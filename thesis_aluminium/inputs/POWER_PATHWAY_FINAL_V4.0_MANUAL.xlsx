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ercaswell/Desktop/SBTi_Py/Power_Standard/"/>
    </mc:Choice>
  </mc:AlternateContent>
  <xr:revisionPtr revIDLastSave="0" documentId="13_ncr:1_{C935DB73-FDFB-D84A-90DC-0BF4F6D1BD4C}" xr6:coauthVersionLast="47" xr6:coauthVersionMax="47" xr10:uidLastSave="{00000000-0000-0000-0000-000000000000}"/>
  <bookViews>
    <workbookView xWindow="1340" yWindow="2600" windowWidth="28060" windowHeight="14900" xr2:uid="{2B7A6894-51E4-9D46-A98C-70BA57BCDBB8}"/>
  </bookViews>
  <sheets>
    <sheet name="POWER PATHWAY V4" sheetId="5" r:id="rId1"/>
    <sheet name="IEA WEO NZE 2024 2030-2050" sheetId="1" r:id="rId2"/>
    <sheet name="IEA EDGAR Emissions" sheetId="3" r:id="rId3"/>
    <sheet name="IEA World Energy Balances 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" i="4" l="1"/>
  <c r="O5" i="4"/>
  <c r="Q6" i="4"/>
  <c r="P6" i="4"/>
  <c r="O6" i="4"/>
  <c r="Q5" i="4"/>
  <c r="Q4" i="4"/>
  <c r="P4" i="4"/>
  <c r="F3" i="5" s="1"/>
  <c r="O4" i="4"/>
  <c r="S4" i="3"/>
  <c r="T4" i="3"/>
  <c r="R4" i="3"/>
  <c r="T5" i="3"/>
  <c r="G10" i="5" s="1"/>
  <c r="R5" i="3"/>
  <c r="E10" i="5" s="1"/>
  <c r="S5" i="3"/>
  <c r="F10" i="5" s="1"/>
  <c r="E6" i="5"/>
  <c r="T3" i="3" a="1"/>
  <c r="T3" i="3" s="1"/>
  <c r="G2" i="5" s="1"/>
  <c r="S3" i="3" a="1"/>
  <c r="S3" i="3" s="1"/>
  <c r="F2" i="5" s="1"/>
  <c r="R3" i="3" a="1"/>
  <c r="R3" i="3" s="1"/>
  <c r="E2" i="5" s="1"/>
  <c r="E11" i="5"/>
  <c r="F11" i="5"/>
  <c r="G11" i="5"/>
  <c r="H11" i="5" s="1"/>
  <c r="F6" i="5"/>
  <c r="G6" i="5"/>
  <c r="H6" i="5" s="1"/>
  <c r="E7" i="5"/>
  <c r="F7" i="5"/>
  <c r="G7" i="5"/>
  <c r="H7" i="5" s="1"/>
  <c r="E3" i="5"/>
  <c r="G3" i="5"/>
  <c r="H3" i="5" s="1"/>
  <c r="J7" i="5"/>
  <c r="K7" i="5"/>
  <c r="L7" i="5"/>
  <c r="M7" i="5"/>
  <c r="I7" i="5"/>
  <c r="Q3" i="3" a="1"/>
  <c r="Q3" i="3" s="1"/>
  <c r="D2" i="5" s="1"/>
  <c r="D7" i="5"/>
  <c r="D3" i="5"/>
  <c r="N6" i="4"/>
  <c r="D11" i="5" s="1"/>
  <c r="N5" i="4"/>
  <c r="N4" i="4"/>
  <c r="Q5" i="3"/>
  <c r="Q4" i="3" s="1"/>
  <c r="D6" i="5" s="1"/>
  <c r="G12" i="5" l="1"/>
  <c r="E12" i="5"/>
  <c r="G4" i="5"/>
  <c r="F4" i="5"/>
  <c r="E4" i="5"/>
  <c r="F8" i="5"/>
  <c r="F12" i="5"/>
  <c r="E8" i="5"/>
  <c r="G8" i="5"/>
  <c r="H2" i="5"/>
  <c r="H4" i="5" s="1"/>
  <c r="H10" i="5"/>
  <c r="D8" i="5"/>
  <c r="D4" i="5"/>
  <c r="D10" i="5"/>
  <c r="D12" i="5" s="1"/>
  <c r="E17" i="1"/>
  <c r="E18" i="1" s="1"/>
  <c r="E19" i="1" s="1"/>
  <c r="F17" i="1"/>
  <c r="F18" i="1" s="1"/>
  <c r="F19" i="1" s="1"/>
  <c r="G17" i="1"/>
  <c r="G18" i="1" s="1"/>
  <c r="G19" i="1" s="1"/>
  <c r="H17" i="1"/>
  <c r="H18" i="1" s="1"/>
  <c r="H19" i="1" s="1"/>
  <c r="D17" i="1"/>
  <c r="D18" i="1" s="1"/>
  <c r="D19" i="1" s="1"/>
  <c r="E16" i="1"/>
  <c r="F16" i="1"/>
  <c r="G16" i="1"/>
  <c r="H16" i="1"/>
  <c r="D16" i="1"/>
  <c r="E14" i="1"/>
  <c r="F14" i="1"/>
  <c r="G14" i="1"/>
  <c r="H14" i="1"/>
  <c r="D14" i="1"/>
  <c r="E13" i="1"/>
  <c r="F13" i="1"/>
  <c r="G13" i="1"/>
  <c r="H13" i="1"/>
  <c r="D13" i="1"/>
  <c r="E29" i="1"/>
  <c r="E30" i="1" s="1"/>
  <c r="E31" i="1" s="1"/>
  <c r="J11" i="5" s="1"/>
  <c r="F29" i="1"/>
  <c r="F30" i="1" s="1"/>
  <c r="F31" i="1" s="1"/>
  <c r="K11" i="5" s="1"/>
  <c r="G29" i="1"/>
  <c r="G30" i="1" s="1"/>
  <c r="G31" i="1" s="1"/>
  <c r="L11" i="5" s="1"/>
  <c r="H29" i="1"/>
  <c r="H30" i="1" s="1"/>
  <c r="H31" i="1" s="1"/>
  <c r="M11" i="5" s="1"/>
  <c r="D29" i="1"/>
  <c r="D30" i="1" s="1"/>
  <c r="D31" i="1" s="1"/>
  <c r="I11" i="5" s="1"/>
  <c r="E26" i="1"/>
  <c r="J10" i="5" s="1"/>
  <c r="F26" i="1"/>
  <c r="K10" i="5" s="1"/>
  <c r="G26" i="1"/>
  <c r="L10" i="5" s="1"/>
  <c r="H26" i="1"/>
  <c r="M10" i="5" s="1"/>
  <c r="D26" i="1"/>
  <c r="I10" i="5" s="1"/>
  <c r="E7" i="1"/>
  <c r="F7" i="1"/>
  <c r="G7" i="1"/>
  <c r="H7" i="1"/>
  <c r="D7" i="1"/>
  <c r="E4" i="1"/>
  <c r="F4" i="1"/>
  <c r="K2" i="5" s="1"/>
  <c r="G4" i="1"/>
  <c r="L2" i="5" s="1"/>
  <c r="H4" i="1"/>
  <c r="M2" i="5" s="1"/>
  <c r="D4" i="1"/>
  <c r="I2" i="5" s="1"/>
  <c r="M12" i="5" l="1"/>
  <c r="L12" i="5"/>
  <c r="H12" i="5"/>
  <c r="J12" i="5"/>
  <c r="K12" i="5"/>
  <c r="E20" i="1"/>
  <c r="G8" i="1"/>
  <c r="G9" i="1" s="1"/>
  <c r="F8" i="1"/>
  <c r="F9" i="1" s="1"/>
  <c r="H20" i="1"/>
  <c r="J2" i="5"/>
  <c r="G20" i="1"/>
  <c r="D8" i="1"/>
  <c r="D9" i="1" s="1"/>
  <c r="I3" i="5" s="1"/>
  <c r="E8" i="1"/>
  <c r="E9" i="1" s="1"/>
  <c r="F20" i="1"/>
  <c r="H8" i="1"/>
  <c r="H9" i="1" s="1"/>
  <c r="I12" i="5"/>
  <c r="H32" i="1"/>
  <c r="D20" i="1"/>
  <c r="F15" i="1"/>
  <c r="G15" i="1"/>
  <c r="L6" i="5" s="1"/>
  <c r="G32" i="1"/>
  <c r="E32" i="1"/>
  <c r="E15" i="1"/>
  <c r="J6" i="5" s="1"/>
  <c r="D15" i="1"/>
  <c r="I6" i="5" s="1"/>
  <c r="F32" i="1"/>
  <c r="H15" i="1"/>
  <c r="D32" i="1"/>
  <c r="I8" i="5" l="1"/>
  <c r="H8" i="5"/>
  <c r="L8" i="5"/>
  <c r="G21" i="1"/>
  <c r="I4" i="5"/>
  <c r="D10" i="1"/>
  <c r="M3" i="5"/>
  <c r="M4" i="5" s="1"/>
  <c r="H10" i="1"/>
  <c r="L3" i="5"/>
  <c r="L4" i="5" s="1"/>
  <c r="G10" i="1"/>
  <c r="K3" i="5"/>
  <c r="K4" i="5" s="1"/>
  <c r="F10" i="1"/>
  <c r="J3" i="5"/>
  <c r="J4" i="5" s="1"/>
  <c r="E10" i="1"/>
  <c r="H21" i="1"/>
  <c r="M6" i="5"/>
  <c r="M8" i="5" s="1"/>
  <c r="F21" i="1"/>
  <c r="K6" i="5"/>
  <c r="K8" i="5" s="1"/>
  <c r="J8" i="5"/>
  <c r="E21" i="1"/>
  <c r="D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<sst xmlns="http://schemas.openxmlformats.org/spreadsheetml/2006/main" count="48968" uniqueCount="603">
  <si>
    <t>Emerging Economies</t>
  </si>
  <si>
    <t>Advanced Economies</t>
  </si>
  <si>
    <t>Region</t>
  </si>
  <si>
    <t>Global</t>
  </si>
  <si>
    <t>Electricity activity</t>
  </si>
  <si>
    <t>Heat activity</t>
  </si>
  <si>
    <t>Unit</t>
  </si>
  <si>
    <t>CO2</t>
  </si>
  <si>
    <t>Value</t>
  </si>
  <si>
    <t>Emissions intensity</t>
  </si>
  <si>
    <t>Power activity</t>
  </si>
  <si>
    <t>TWh</t>
  </si>
  <si>
    <t>PJ</t>
  </si>
  <si>
    <t>Net power emissions</t>
  </si>
  <si>
    <t>Gross power emissions</t>
  </si>
  <si>
    <t>Biomass power emissions</t>
  </si>
  <si>
    <t>MtCO2</t>
  </si>
  <si>
    <t>EJ</t>
  </si>
  <si>
    <t>kgCO2/MWh</t>
  </si>
  <si>
    <t>Heat consumption</t>
  </si>
  <si>
    <t>Heat loss factor from IEA world energy balances</t>
  </si>
  <si>
    <t>AE</t>
  </si>
  <si>
    <t>EE</t>
  </si>
  <si>
    <t>IPCC_annex</t>
  </si>
  <si>
    <t>C_group_IM24_sh</t>
  </si>
  <si>
    <t>Country_code_A3</t>
  </si>
  <si>
    <t>Name</t>
  </si>
  <si>
    <t>ipcc_code_2006_for_standard_report</t>
  </si>
  <si>
    <t>ipcc_code_2006_for_standard_report_name</t>
  </si>
  <si>
    <t>Substance</t>
  </si>
  <si>
    <t>fossil_bio</t>
  </si>
  <si>
    <t>Y_2020</t>
  </si>
  <si>
    <t>Non-Annex_I</t>
  </si>
  <si>
    <t>Rest Central America</t>
  </si>
  <si>
    <t>ABW</t>
  </si>
  <si>
    <t>Aruba</t>
  </si>
  <si>
    <t>1.A.1.a</t>
  </si>
  <si>
    <t>Main Activity Electricity and Heat Production</t>
  </si>
  <si>
    <t>fossil</t>
  </si>
  <si>
    <t>1.A.2</t>
  </si>
  <si>
    <t>Manufacturing Industries and Construction</t>
  </si>
  <si>
    <t>1.A.3.a</t>
  </si>
  <si>
    <t>Civil Aviation</t>
  </si>
  <si>
    <t>1.A.3.b_noRES</t>
  </si>
  <si>
    <t>Road Transportation no resuspension</t>
  </si>
  <si>
    <t>1.A.3.d</t>
  </si>
  <si>
    <t>Water-borne Navigation</t>
  </si>
  <si>
    <t>1.A.3.e</t>
  </si>
  <si>
    <t>Other Transportation</t>
  </si>
  <si>
    <t>1.A.4</t>
  </si>
  <si>
    <t>Residential and other sectors</t>
  </si>
  <si>
    <t>1.A.5</t>
  </si>
  <si>
    <t>Non-Specified</t>
  </si>
  <si>
    <t>1.B.2</t>
  </si>
  <si>
    <t>Oil and Natural Gas</t>
  </si>
  <si>
    <t>2.A.3</t>
  </si>
  <si>
    <t>Glass Production</t>
  </si>
  <si>
    <t>2.A.4</t>
  </si>
  <si>
    <t>Other Process Uses of Carbonates</t>
  </si>
  <si>
    <t>2.D</t>
  </si>
  <si>
    <t>Non-Energy Products from Fuels and Solvent Use</t>
  </si>
  <si>
    <t>India +</t>
  </si>
  <si>
    <t>AFG</t>
  </si>
  <si>
    <t>Afghanistan</t>
  </si>
  <si>
    <t>1.A.1.bc</t>
  </si>
  <si>
    <t>Petroleum Refining - Manufacture of Solid Fuels and Other Energy Industries</t>
  </si>
  <si>
    <t>1.A.3.c</t>
  </si>
  <si>
    <t>Railways</t>
  </si>
  <si>
    <t>1.B.1</t>
  </si>
  <si>
    <t>Solid Fuels</t>
  </si>
  <si>
    <t>2.A.1</t>
  </si>
  <si>
    <t>Cement production</t>
  </si>
  <si>
    <t>2.B</t>
  </si>
  <si>
    <t>Chemical Industry</t>
  </si>
  <si>
    <t>2.C</t>
  </si>
  <si>
    <t>Metal Industry</t>
  </si>
  <si>
    <t>3.C.2</t>
  </si>
  <si>
    <t>Liming</t>
  </si>
  <si>
    <t>3.C.3</t>
  </si>
  <si>
    <t>Urea application</t>
  </si>
  <si>
    <t>Southern_Africa</t>
  </si>
  <si>
    <t>AGO</t>
  </si>
  <si>
    <t>Angola</t>
  </si>
  <si>
    <t>2.A.2</t>
  </si>
  <si>
    <t>Lime production</t>
  </si>
  <si>
    <t>AIA</t>
  </si>
  <si>
    <t>Anguilla</t>
  </si>
  <si>
    <t>Int. Aviation</t>
  </si>
  <si>
    <t>AIR</t>
  </si>
  <si>
    <t>Central Europe</t>
  </si>
  <si>
    <t>ALB</t>
  </si>
  <si>
    <t>Albania</t>
  </si>
  <si>
    <t>4.C</t>
  </si>
  <si>
    <t>Incineration and Open Burning of Waste</t>
  </si>
  <si>
    <t>ANT</t>
  </si>
  <si>
    <t>Netherlands Antilles</t>
  </si>
  <si>
    <t>Middle_East</t>
  </si>
  <si>
    <t>ARE</t>
  </si>
  <si>
    <t>United Arab Emirates</t>
  </si>
  <si>
    <t>Rest South America</t>
  </si>
  <si>
    <t>ARG</t>
  </si>
  <si>
    <t>Argentina</t>
  </si>
  <si>
    <t>Russia +</t>
  </si>
  <si>
    <t>ARM</t>
  </si>
  <si>
    <t>Armenia</t>
  </si>
  <si>
    <t>Oceania</t>
  </si>
  <si>
    <t>ASM</t>
  </si>
  <si>
    <t>American Samoa</t>
  </si>
  <si>
    <t>ATG</t>
  </si>
  <si>
    <t>Antigua and Barbuda</t>
  </si>
  <si>
    <t>Annex_I</t>
  </si>
  <si>
    <t>AUS</t>
  </si>
  <si>
    <t>Australia</t>
  </si>
  <si>
    <t>5.B</t>
  </si>
  <si>
    <t>Fossil fuel fires</t>
  </si>
  <si>
    <t>OECD_Europe</t>
  </si>
  <si>
    <t>AUT</t>
  </si>
  <si>
    <t>Austria</t>
  </si>
  <si>
    <t>AZE</t>
  </si>
  <si>
    <t>Azerbaijan</t>
  </si>
  <si>
    <t>Eastern_Africa</t>
  </si>
  <si>
    <t>BDI</t>
  </si>
  <si>
    <t>Burundi</t>
  </si>
  <si>
    <t>BEL</t>
  </si>
  <si>
    <t>Belgium</t>
  </si>
  <si>
    <t>Western_Africa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</si>
  <si>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</si>
  <si>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</si>
  <si>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</si>
  <si>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</si>
  <si>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</si>
  <si>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</si>
  <si>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</si>
  <si>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</si>
  <si>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</si>
  <si>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</si>
  <si>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</si>
  <si>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</si>
  <si>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</si>
  <si>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</si>
  <si>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Ukraine +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</si>
  <si>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</si>
  <si>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</si>
  <si>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</si>
  <si>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</si>
  <si>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</si>
  <si>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</si>
  <si>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</si>
  <si>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</si>
  <si>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Brazil</t>
  </si>
  <si>
    <t>BRA</t>
  </si>
  <si>
    <t>BRB</t>
  </si>
  <si>
    <t>Barbados</t>
  </si>
  <si>
    <t>Southeastern Asia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</si>
  <si>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</si>
  <si>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</si>
  <si>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</si>
  <si>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</si>
  <si>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</si>
  <si>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</si>
  <si>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</si>
  <si>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</si>
  <si>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Canada</t>
  </si>
  <si>
    <t>CAN</t>
  </si>
  <si>
    <t>CHE</t>
  </si>
  <si>
    <t>Switzerland</t>
  </si>
  <si>
    <t>CHL</t>
  </si>
  <si>
    <t>Chile</t>
  </si>
  <si>
    <t>China +</t>
  </si>
  <si>
    <t>CHN</t>
  </si>
  <si>
    <t>China</t>
  </si>
  <si>
    <t>CIV</t>
  </si>
  <si>
    <t>Cote d'Ivoire</t>
  </si>
  <si>
    <t>CMR</t>
  </si>
  <si>
    <t>Cameroon</t>
  </si>
  <si>
    <t>COD</t>
  </si>
  <si>
    <t>Congo_the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</si>
  <si>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</si>
  <si>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</si>
  <si>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</si>
  <si>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</si>
  <si>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</si>
  <si>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</si>
  <si>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</si>
  <si>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</si>
  <si>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</si>
  <si>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</si>
  <si>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</si>
  <si>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</si>
  <si>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</si>
  <si>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</si>
  <si>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</si>
  <si>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</si>
  <si>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</si>
  <si>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</si>
  <si>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</si>
  <si>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</si>
  <si>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</si>
  <si>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</si>
  <si>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</si>
  <si>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</si>
  <si>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</si>
  <si>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</si>
  <si>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</si>
  <si>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</si>
  <si>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</si>
  <si>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</si>
  <si>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Northern_Africa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</si>
  <si>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</si>
  <si>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</si>
  <si>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</si>
  <si>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</si>
  <si>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</si>
  <si>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</si>
  <si>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</si>
  <si>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</si>
  <si>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</si>
  <si>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</si>
  <si>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</si>
  <si>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</si>
  <si>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</si>
  <si>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</si>
  <si>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</si>
  <si>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</si>
  <si>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</si>
  <si>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</si>
  <si>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</si>
  <si>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</si>
  <si>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</si>
  <si>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</si>
  <si>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</si>
  <si>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</si>
  <si>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</si>
  <si>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</si>
  <si>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</si>
  <si>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</si>
  <si>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</si>
  <si>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</si>
  <si>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</si>
  <si>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</si>
  <si>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</si>
  <si>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</si>
  <si>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</si>
  <si>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</si>
  <si>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</si>
  <si>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</si>
  <si>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</si>
  <si>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</si>
  <si>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</si>
  <si>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</si>
  <si>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</si>
  <si>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</si>
  <si>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</si>
  <si>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</si>
  <si>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</si>
  <si>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</si>
  <si>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</si>
  <si>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</si>
  <si>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</si>
  <si>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</si>
  <si>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</si>
  <si>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</si>
  <si>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</si>
  <si>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</si>
  <si>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</si>
  <si>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</si>
  <si>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</si>
  <si>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</si>
  <si>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</si>
  <si>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</si>
  <si>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</si>
  <si>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</si>
  <si>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</si>
  <si>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</si>
  <si>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</si>
  <si>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</si>
  <si>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</si>
  <si>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</si>
  <si>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</si>
  <si>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</si>
  <si>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 +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</si>
  <si>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</si>
  <si>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</si>
  <si>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</si>
  <si>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</si>
  <si>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</si>
  <si>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</si>
  <si>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</si>
  <si>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</si>
  <si>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</si>
  <si>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</si>
  <si>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</si>
  <si>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</si>
  <si>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</si>
  <si>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</si>
  <si>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</si>
  <si>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</si>
  <si>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</si>
  <si>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</si>
  <si>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</si>
  <si>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</si>
  <si>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Japan</t>
  </si>
  <si>
    <t>JPN</t>
  </si>
  <si>
    <t>Asia-Stan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</si>
  <si>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</si>
  <si>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</si>
  <si>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</si>
  <si>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</si>
  <si>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</si>
  <si>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</si>
  <si>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</si>
  <si>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</si>
  <si>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</si>
  <si>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</si>
  <si>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</si>
  <si>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</si>
  <si>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Korea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</si>
  <si>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</si>
  <si>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</si>
  <si>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</si>
  <si>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</si>
  <si>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</si>
  <si>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</si>
  <si>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</si>
  <si>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</si>
  <si>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</si>
  <si>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</si>
  <si>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</si>
  <si>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Libyan Arab Jamahiriya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</si>
  <si>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</si>
  <si>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</si>
  <si>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</si>
  <si>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</si>
  <si>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</si>
  <si>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</si>
  <si>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</si>
  <si>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</si>
  <si>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</si>
  <si>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</si>
  <si>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</si>
  <si>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</si>
  <si>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</si>
  <si>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</si>
  <si>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</si>
  <si>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</si>
  <si>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</si>
  <si>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Moldova, Republic of</t>
  </si>
  <si>
    <t>MDG</t>
  </si>
  <si>
    <t>Madagascar</t>
  </si>
  <si>
    <t>MDV</t>
  </si>
  <si>
    <t>Maldives</t>
  </si>
  <si>
    <t>Mexico</t>
  </si>
  <si>
    <t>MEX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</si>
  <si>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</si>
  <si>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</si>
  <si>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</si>
  <si>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</si>
  <si>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</si>
  <si>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</si>
  <si>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</si>
  <si>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</si>
  <si>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</si>
  <si>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</si>
  <si>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</si>
  <si>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</si>
  <si>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</si>
  <si>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</si>
  <si>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</si>
  <si>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</si>
  <si>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</si>
  <si>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</si>
  <si>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</si>
  <si>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</si>
  <si>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</si>
  <si>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</si>
  <si>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</si>
  <si>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</si>
  <si>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</si>
  <si>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</si>
  <si>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</si>
  <si>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</si>
  <si>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</si>
  <si>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</si>
  <si>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</si>
  <si>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</si>
  <si>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</si>
  <si>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</si>
  <si>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</si>
  <si>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</si>
  <si>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</si>
  <si>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</si>
  <si>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</si>
  <si>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</si>
  <si>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</si>
  <si>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</si>
  <si>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</si>
  <si>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</si>
  <si>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</si>
  <si>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</si>
  <si>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</si>
  <si>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</si>
  <si>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</si>
  <si>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</si>
  <si>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</si>
  <si>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</si>
  <si>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</si>
  <si>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</si>
  <si>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</si>
  <si>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</si>
  <si>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</si>
  <si>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</si>
  <si>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</si>
  <si>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</si>
  <si>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</si>
  <si>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</si>
  <si>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</si>
  <si>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</si>
  <si>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</si>
  <si>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</si>
  <si>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</si>
  <si>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</si>
  <si>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</si>
  <si>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</si>
  <si>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</si>
  <si>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</si>
  <si>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</si>
  <si>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</si>
  <si>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</si>
  <si>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</si>
  <si>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</si>
  <si>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</si>
  <si>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</si>
  <si>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</si>
  <si>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</si>
  <si>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</si>
  <si>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</si>
  <si>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</si>
  <si>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</si>
  <si>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</si>
  <si>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</si>
  <si>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</si>
  <si>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</si>
  <si>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</si>
  <si>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</si>
  <si>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</si>
  <si>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</si>
  <si>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</si>
  <si>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</si>
  <si>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</si>
  <si>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</si>
  <si>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</si>
  <si>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Int. Shipping</t>
  </si>
  <si>
    <t>SEA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</si>
  <si>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</si>
  <si>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</si>
  <si>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</si>
  <si>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</si>
  <si>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</si>
  <si>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</si>
  <si>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</si>
  <si>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</si>
  <si>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</si>
  <si>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</si>
  <si>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</si>
  <si>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</si>
  <si>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</si>
  <si>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</si>
  <si>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USA</t>
  </si>
  <si>
    <t>SPM</t>
  </si>
  <si>
    <t>Saint Pierre and Miquelon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</si>
  <si>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</si>
  <si>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</si>
  <si>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</si>
  <si>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</si>
  <si>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</si>
  <si>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</si>
  <si>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</si>
  <si>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</si>
  <si>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</si>
  <si>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</si>
  <si>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</si>
  <si>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</si>
  <si>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</si>
  <si>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</si>
  <si>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</si>
  <si>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</si>
  <si>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</si>
  <si>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</si>
  <si>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</si>
  <si>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</si>
  <si>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</si>
  <si>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</si>
  <si>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</si>
  <si>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</si>
  <si>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</si>
  <si>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</si>
  <si>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</si>
  <si>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</si>
  <si>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</si>
  <si>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</si>
  <si>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</si>
  <si>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</si>
  <si>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</si>
  <si>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</si>
  <si>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</si>
  <si>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</si>
  <si>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</si>
  <si>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</si>
  <si>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Turkey</t>
  </si>
  <si>
    <t>TUR</t>
  </si>
  <si>
    <t>TUV</t>
  </si>
  <si>
    <t>Tuvalu</t>
  </si>
  <si>
    <t>TWN</t>
  </si>
  <si>
    <t>Taiwan_Province of China</t>
  </si>
  <si>
    <t>TZA</t>
  </si>
  <si>
    <t>Tanzania_United Republic of</t>
  </si>
  <si>
    <t>UGA</t>
  </si>
  <si>
    <t>Uganda</t>
  </si>
  <si>
    <t>UKR</t>
  </si>
  <si>
    <t>Ukraine</t>
  </si>
  <si>
    <t>URY</t>
  </si>
  <si>
    <t>Uruguay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</si>
  <si>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</si>
  <si>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</si>
  <si>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</si>
  <si>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</si>
  <si>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</si>
  <si>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</si>
  <si>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</si>
  <si>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</si>
  <si>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Virgin Islands_British</t>
  </si>
  <si>
    <t>VIR</t>
  </si>
  <si>
    <t>Virgin Islands_USA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</si>
  <si>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</si>
  <si>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</si>
  <si>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</si>
  <si>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</si>
  <si>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</si>
  <si>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</si>
  <si>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</si>
  <si>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</si>
  <si>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</si>
  <si>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</si>
  <si>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</si>
  <si>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</si>
  <si>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</si>
  <si>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</si>
  <si>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</si>
  <si>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</si>
  <si>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Source: IEA (2025). All rights reserved. (https://www.iea.org/terms)</t>
  </si>
  <si>
    <t>Country</t>
  </si>
  <si>
    <t>Product</t>
  </si>
  <si>
    <t>Flow</t>
  </si>
  <si>
    <t>Coal, peat and oil shale</t>
  </si>
  <si>
    <t>Production (PJ)</t>
  </si>
  <si>
    <t>Imports (PJ)</t>
  </si>
  <si>
    <t>Exports (PJ)</t>
  </si>
  <si>
    <t>Total energy supply (PJ)</t>
  </si>
  <si>
    <t>Electricity, CHP and heat plants (PJ)</t>
  </si>
  <si>
    <t>..</t>
  </si>
  <si>
    <t>Oil refineries, transformation (PJ)</t>
  </si>
  <si>
    <t>Total final consumption (PJ)</t>
  </si>
  <si>
    <t>Industry (PJ)</t>
  </si>
  <si>
    <t>Transport (PJ)</t>
  </si>
  <si>
    <t>Residential (PJ)</t>
  </si>
  <si>
    <t>Commercial and public services (PJ)</t>
  </si>
  <si>
    <t>Other final consumption (PJ)</t>
  </si>
  <si>
    <t>Crude, NGL and feedstocks</t>
  </si>
  <si>
    <t>Oil products</t>
  </si>
  <si>
    <t>Natural gas</t>
  </si>
  <si>
    <t>Nuclear</t>
  </si>
  <si>
    <t>Renewables and waste</t>
  </si>
  <si>
    <t>Electricity</t>
  </si>
  <si>
    <t>Heat</t>
  </si>
  <si>
    <t>Total</t>
  </si>
  <si>
    <t>c</t>
  </si>
  <si>
    <t>Slovak Republic</t>
  </si>
  <si>
    <t>Republic of Turkiye</t>
  </si>
  <si>
    <t>OECD Total</t>
  </si>
  <si>
    <t>People's Republic of China</t>
  </si>
  <si>
    <t>Non-OECD Total</t>
  </si>
  <si>
    <t>Africa</t>
  </si>
  <si>
    <t>Non-OECD Americas</t>
  </si>
  <si>
    <t>Non-OECD Asia (including China)</t>
  </si>
  <si>
    <t>Non-OECD Europe and Eurasia</t>
  </si>
  <si>
    <t>Middle East</t>
  </si>
  <si>
    <t>IEA Total</t>
  </si>
  <si>
    <t>IEA and Accession/Association countries</t>
  </si>
  <si>
    <t>World</t>
  </si>
  <si>
    <t>Electricity output (GWh)</t>
  </si>
  <si>
    <t>Fossil fuels</t>
  </si>
  <si>
    <t>Renewable sources</t>
  </si>
  <si>
    <t>Power generation activity</t>
  </si>
  <si>
    <t>Power generation emissions</t>
  </si>
  <si>
    <t>Power generation emissions intensity</t>
  </si>
  <si>
    <t>Emerging economies</t>
  </si>
  <si>
    <t>2020 Emissions</t>
  </si>
  <si>
    <t>Geography</t>
  </si>
  <si>
    <t>2020 Activity</t>
  </si>
  <si>
    <t>PWh</t>
  </si>
  <si>
    <t>Y_2021</t>
  </si>
  <si>
    <t>Y_2022</t>
  </si>
  <si>
    <t>Y_2023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</si>
</sst>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name val="Arial"/>
      <family val="2"/>
    </font>
    <font>
      <sz val="10"/>
      <name val="Arial"/>
      <family val="2"/>
      <charset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3" fillId="0" borderId="1" xfId="0" applyFont="1" applyBorder="1" applyAlignment="1">
      <alignment vertic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 applyAlignment="1" applyProtection="1">
      <alignment horizontal="left"/>
      <protection locked="0"/>
    </xf>
    <xf numFmtId="1" fontId="5" fillId="0" borderId="0" xfId="0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2" fontId="7" fillId="3" borderId="0" xfId="1" applyNumberFormat="1" applyFill="1" applyAlignment="1">
      <alignment horizontal="left"/>
    </xf>
    <xf numFmtId="49" fontId="0" fillId="0" borderId="0" xfId="0" applyNumberFormat="1" applyAlignment="1">
      <alignment horizontal="right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D471-1B4F-5647-B39B-1CFFFF237073}">
  <dimension ref="A1:M12"/>
  <sheetViews>
    <sheetView tabSelected="1" workbookViewId="0">
      <selection activeCell="H6" sqref="H6"/>
    </sheetView>
  </sheetViews>
  <sheetFormatPr baseColWidth="10" defaultRowHeight="16" x14ac:dyDescent="0.2"/>
  <sheetData>
    <row r="1" spans="1:13" x14ac:dyDescent="0.2">
      <c r="A1" s="2" t="s">
        <v>2</v>
      </c>
      <c r="B1" s="2" t="s">
        <v>8</v>
      </c>
      <c r="C1" s="2" t="s">
        <v>6</v>
      </c>
      <c r="D1" s="2">
        <v>2020</v>
      </c>
      <c r="E1" s="2">
        <v>2021</v>
      </c>
      <c r="F1" s="2">
        <v>2022</v>
      </c>
      <c r="G1" s="2">
        <v>2023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</row>
    <row r="2" spans="1:13" x14ac:dyDescent="0.2">
      <c r="A2" t="s">
        <v>1</v>
      </c>
      <c r="B2" t="s">
        <v>593</v>
      </c>
      <c r="C2" t="s">
        <v>16</v>
      </c>
      <c r="D2" s="3">
        <f>'IEA EDGAR Emissions'!Q3</f>
        <v>3670.1762304202002</v>
      </c>
      <c r="E2" s="3">
        <f>'IEA EDGAR Emissions'!R3</f>
        <v>3867.0882703762409</v>
      </c>
      <c r="F2" s="3">
        <f>'IEA EDGAR Emissions'!S3</f>
        <v>3774.1589972518209</v>
      </c>
      <c r="G2" s="3">
        <f>'IEA EDGAR Emissions'!T3</f>
        <v>3471.8131770255632</v>
      </c>
      <c r="H2" s="3">
        <f>G2+(I2-G2)*(H$1-G$1)/(I$1-G$1)</f>
        <v>2837.6436978754023</v>
      </c>
      <c r="I2" s="3">
        <f>'IEA WEO NZE 2024 2030-2050'!D4</f>
        <v>1252.22</v>
      </c>
      <c r="J2" s="3">
        <f>'IEA WEO NZE 2024 2030-2050'!E4</f>
        <v>50.85</v>
      </c>
      <c r="K2" s="3">
        <f>'IEA WEO NZE 2024 2030-2050'!F4</f>
        <v>26.640000000000015</v>
      </c>
      <c r="L2" s="3">
        <f>'IEA WEO NZE 2024 2030-2050'!G4</f>
        <v>23.370000000000005</v>
      </c>
      <c r="M2" s="3">
        <f>'IEA WEO NZE 2024 2030-2050'!H4</f>
        <v>60.569999999999993</v>
      </c>
    </row>
    <row r="3" spans="1:13" x14ac:dyDescent="0.2">
      <c r="A3" t="s">
        <v>1</v>
      </c>
      <c r="B3" t="s">
        <v>592</v>
      </c>
      <c r="C3" t="s">
        <v>599</v>
      </c>
      <c r="D3" s="3">
        <f>'IEA World Energy Balances 2025'!N4/3600</f>
        <v>11.729166666666666</v>
      </c>
      <c r="E3" s="3">
        <f>'IEA World Energy Balances 2025'!O4/3600</f>
        <v>12.082776551111111</v>
      </c>
      <c r="F3" s="3">
        <f>'IEA World Energy Balances 2025'!P4/3600</f>
        <v>12.052724014999999</v>
      </c>
      <c r="G3" s="3">
        <f>'IEA World Energy Balances 2025'!Q4/3600</f>
        <v>11.872386298611106</v>
      </c>
      <c r="H3" s="3">
        <f>G3+(I3-G3)*(H$1-G$1)/(I$1-G$1)</f>
        <v>12.66597735615079</v>
      </c>
      <c r="I3" s="3">
        <f>'IEA WEO NZE 2024 2030-2050'!D9/1000</f>
        <v>14.649955</v>
      </c>
      <c r="J3" s="3">
        <f>'IEA WEO NZE 2024 2030-2050'!E9/1000</f>
        <v>17.45784888888889</v>
      </c>
      <c r="K3" s="3">
        <f>'IEA WEO NZE 2024 2030-2050'!F9/1000</f>
        <v>20.964358333333333</v>
      </c>
      <c r="L3" s="3">
        <f>'IEA WEO NZE 2024 2030-2050'!G9/1000</f>
        <v>22.970577777777777</v>
      </c>
      <c r="M3" s="3">
        <f>'IEA WEO NZE 2024 2030-2050'!H9/1000</f>
        <v>24.61261</v>
      </c>
    </row>
    <row r="4" spans="1:13" x14ac:dyDescent="0.2">
      <c r="A4" t="s">
        <v>1</v>
      </c>
      <c r="B4" t="s">
        <v>594</v>
      </c>
      <c r="C4" t="s">
        <v>18</v>
      </c>
      <c r="D4" s="3">
        <f>D2/D3</f>
        <v>312.91022923653571</v>
      </c>
      <c r="E4" s="3">
        <f t="shared" ref="E4:H4" si="0">E2/E3</f>
        <v>320.04963875795835</v>
      </c>
      <c r="F4" s="3">
        <f t="shared" si="0"/>
        <v>313.13742790051111</v>
      </c>
      <c r="G4" s="3">
        <f t="shared" si="0"/>
        <v>292.42757855947747</v>
      </c>
      <c r="H4" s="3">
        <f t="shared" si="0"/>
        <v>224.0366943730086</v>
      </c>
      <c r="I4" s="3">
        <f>I2/I3</f>
        <v>85.476030472448556</v>
      </c>
      <c r="J4" s="3">
        <f t="shared" ref="J4:M4" si="1">J2/J3</f>
        <v>2.9127299888798821</v>
      </c>
      <c r="K4" s="3">
        <f t="shared" si="1"/>
        <v>1.2707281366032754</v>
      </c>
      <c r="L4" s="3">
        <f t="shared" si="1"/>
        <v>1.0173884273215208</v>
      </c>
      <c r="M4" s="3">
        <f t="shared" si="1"/>
        <v>2.4609336433641125</v>
      </c>
    </row>
    <row r="5" spans="1:13" x14ac:dyDescent="0.2"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">
      <c r="A6" t="s">
        <v>595</v>
      </c>
      <c r="B6" t="s">
        <v>593</v>
      </c>
      <c r="C6" t="s">
        <v>16</v>
      </c>
      <c r="D6" s="3">
        <f>'IEA EDGAR Emissions'!Q4</f>
        <v>10029.256507895794</v>
      </c>
      <c r="E6" s="3">
        <f>'IEA EDGAR Emissions'!R4</f>
        <v>10913.318243206806</v>
      </c>
      <c r="F6" s="3">
        <f>'IEA EDGAR Emissions'!S4</f>
        <v>11183.501492240315</v>
      </c>
      <c r="G6" s="3">
        <f>'IEA EDGAR Emissions'!T4</f>
        <v>11781.148659236591</v>
      </c>
      <c r="H6" s="3">
        <f>G6+(I6-G6)*(H$1-G$1)/(I$1-G$1)</f>
        <v>10573.314756597565</v>
      </c>
      <c r="I6" s="3">
        <f>'IEA WEO NZE 2024 2030-2050'!D15</f>
        <v>7553.7300000000005</v>
      </c>
      <c r="J6" s="3">
        <f>'IEA WEO NZE 2024 2030-2050'!E15</f>
        <v>3166.39</v>
      </c>
      <c r="K6" s="3">
        <f>'IEA WEO NZE 2024 2030-2050'!F15</f>
        <v>660.95</v>
      </c>
      <c r="L6" s="3">
        <f>'IEA WEO NZE 2024 2030-2050'!G15</f>
        <v>159</v>
      </c>
      <c r="M6" s="3">
        <f>'IEA WEO NZE 2024 2030-2050'!H15</f>
        <v>70.75</v>
      </c>
    </row>
    <row r="7" spans="1:13" x14ac:dyDescent="0.2">
      <c r="A7" t="s">
        <v>595</v>
      </c>
      <c r="B7" t="s">
        <v>592</v>
      </c>
      <c r="C7" t="s">
        <v>599</v>
      </c>
      <c r="D7" s="3">
        <f>'IEA World Energy Balances 2025'!N5/3600</f>
        <v>19.587222222222223</v>
      </c>
      <c r="E7" s="3">
        <f>'IEA World Energy Balances 2025'!O5/3600</f>
        <v>21.316925509722221</v>
      </c>
      <c r="F7" s="3">
        <f>'IEA World Energy Balances 2025'!P5/3600</f>
        <v>22.154070090555553</v>
      </c>
      <c r="G7" s="3">
        <f>'IEA World Energy Balances 2025'!Q5/3600</f>
        <v>23.31587720166667</v>
      </c>
      <c r="H7" s="3">
        <f>G7+(I7-G7)*(H$1-G$1)/(I$1-G$1)</f>
        <v>25.193571969444445</v>
      </c>
      <c r="I7" s="3">
        <f>'IEA WEO NZE 2024 2030-2050'!D20/1000</f>
        <v>29.887808888888888</v>
      </c>
      <c r="J7" s="3">
        <f>'IEA WEO NZE 2024 2030-2050'!E20/1000</f>
        <v>36.843796666666663</v>
      </c>
      <c r="K7" s="3">
        <f>'IEA WEO NZE 2024 2030-2050'!F20/1000</f>
        <v>44.585215555555557</v>
      </c>
      <c r="L7" s="3">
        <f>'IEA WEO NZE 2024 2030-2050'!G20/1000</f>
        <v>51.676311111111104</v>
      </c>
      <c r="M7" s="3">
        <f>'IEA WEO NZE 2024 2030-2050'!H20/1000</f>
        <v>57.988024444444441</v>
      </c>
    </row>
    <row r="8" spans="1:13" x14ac:dyDescent="0.2">
      <c r="A8" t="s">
        <v>595</v>
      </c>
      <c r="B8" t="s">
        <v>594</v>
      </c>
      <c r="C8" t="s">
        <v>18</v>
      </c>
      <c r="D8" s="3">
        <f>D6/D7</f>
        <v>512.0305673827163</v>
      </c>
      <c r="E8" s="3">
        <f t="shared" ref="E8:G8" si="2">E6/E7</f>
        <v>511.955546226845</v>
      </c>
      <c r="F8" s="3">
        <f t="shared" si="2"/>
        <v>504.80572854231087</v>
      </c>
      <c r="G8" s="3">
        <f t="shared" si="2"/>
        <v>505.28438442772585</v>
      </c>
      <c r="H8" s="3">
        <f>H6/H7</f>
        <v>419.6830353957435</v>
      </c>
      <c r="I8" s="3">
        <f>I6/I7</f>
        <v>252.73615834743177</v>
      </c>
      <c r="J8" s="3">
        <f t="shared" ref="J8:M8" si="3">J6/J7</f>
        <v>85.940925921586626</v>
      </c>
      <c r="K8" s="3">
        <f t="shared" si="3"/>
        <v>14.824420870555645</v>
      </c>
      <c r="L8" s="3">
        <f t="shared" si="3"/>
        <v>3.0768450104367617</v>
      </c>
      <c r="M8" s="3">
        <f t="shared" si="3"/>
        <v>1.2200795022389872</v>
      </c>
    </row>
    <row r="9" spans="1:13" x14ac:dyDescent="0.2"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t="s">
        <v>3</v>
      </c>
      <c r="B10" t="s">
        <v>593</v>
      </c>
      <c r="C10" t="s">
        <v>16</v>
      </c>
      <c r="D10" s="3">
        <f>'IEA EDGAR Emissions'!Q5</f>
        <v>13699.432738315994</v>
      </c>
      <c r="E10" s="3">
        <f>'IEA EDGAR Emissions'!R5</f>
        <v>14780.406513583046</v>
      </c>
      <c r="F10" s="3">
        <f>'IEA EDGAR Emissions'!S5</f>
        <v>14957.660489492137</v>
      </c>
      <c r="G10" s="3">
        <f>'IEA EDGAR Emissions'!T5</f>
        <v>15252.961836262155</v>
      </c>
      <c r="H10" s="3">
        <f>G10+(I10-G10)*(H$1-G$1)/(I$1-G$1)</f>
        <v>13410.958454472968</v>
      </c>
      <c r="I10" s="3">
        <f>'IEA WEO NZE 2024 2030-2050'!D26</f>
        <v>8805.9500000000007</v>
      </c>
      <c r="J10" s="3">
        <f>'IEA WEO NZE 2024 2030-2050'!E26</f>
        <v>3217.2400000000002</v>
      </c>
      <c r="K10" s="3">
        <f>'IEA WEO NZE 2024 2030-2050'!F26</f>
        <v>687.58999999999992</v>
      </c>
      <c r="L10" s="3">
        <f>'IEA WEO NZE 2024 2030-2050'!G26</f>
        <v>182.37</v>
      </c>
      <c r="M10" s="3">
        <f>'IEA WEO NZE 2024 2030-2050'!H26</f>
        <v>131.32</v>
      </c>
    </row>
    <row r="11" spans="1:13" x14ac:dyDescent="0.2">
      <c r="A11" t="s">
        <v>3</v>
      </c>
      <c r="B11" t="s">
        <v>592</v>
      </c>
      <c r="C11" t="s">
        <v>599</v>
      </c>
      <c r="D11" s="3">
        <f>'IEA World Energy Balances 2025'!N6/3600</f>
        <v>31.316388888888888</v>
      </c>
      <c r="E11" s="3">
        <f>'IEA World Energy Balances 2025'!O6/3600</f>
        <v>33.399702061111107</v>
      </c>
      <c r="F11" s="3">
        <f>'IEA World Energy Balances 2025'!P6/3600</f>
        <v>34.206794105277773</v>
      </c>
      <c r="G11" s="3">
        <f>'IEA World Energy Balances 2025'!Q6/3600</f>
        <v>35.188263499722218</v>
      </c>
      <c r="H11" s="3">
        <f>G11+(I11-G11)*(H$1-G$1)/(I$1-G$1)</f>
        <v>37.851085039484126</v>
      </c>
      <c r="I11" s="3">
        <f>'IEA WEO NZE 2024 2030-2050'!D31/1000</f>
        <v>44.508138888888894</v>
      </c>
      <c r="J11" s="3">
        <f>'IEA WEO NZE 2024 2030-2050'!E31/1000</f>
        <v>54.275284444444445</v>
      </c>
      <c r="K11" s="3">
        <f>'IEA WEO NZE 2024 2030-2050'!F31/1000</f>
        <v>65.52653222222223</v>
      </c>
      <c r="L11" s="3">
        <f>'IEA WEO NZE 2024 2030-2050'!G31/1000</f>
        <v>74.627416666666662</v>
      </c>
      <c r="M11" s="3">
        <f>'IEA WEO NZE 2024 2030-2050'!H31/1000</f>
        <v>82.584634444444447</v>
      </c>
    </row>
    <row r="12" spans="1:13" x14ac:dyDescent="0.2">
      <c r="A12" t="s">
        <v>3</v>
      </c>
      <c r="B12" t="s">
        <v>594</v>
      </c>
      <c r="C12" t="s">
        <v>18</v>
      </c>
      <c r="D12" s="3">
        <f>D10/D11</f>
        <v>437.45250408410203</v>
      </c>
      <c r="E12" s="3">
        <f t="shared" ref="E12:G12" si="4">E10/E11</f>
        <v>442.53108864682332</v>
      </c>
      <c r="F12" s="3">
        <f t="shared" si="4"/>
        <v>437.27162631660696</v>
      </c>
      <c r="G12" s="3">
        <f t="shared" si="4"/>
        <v>433.46730754083853</v>
      </c>
      <c r="H12" s="3">
        <f>H10/H11</f>
        <v>354.30842842374028</v>
      </c>
      <c r="I12" s="3">
        <f>I10/I11</f>
        <v>197.85033074475143</v>
      </c>
      <c r="J12" s="3">
        <f t="shared" ref="J12:M12" si="5">J10/J11</f>
        <v>59.276336051138159</v>
      </c>
      <c r="K12" s="3">
        <f t="shared" si="5"/>
        <v>10.49330670617749</v>
      </c>
      <c r="L12" s="3">
        <f t="shared" si="5"/>
        <v>2.4437399570533174</v>
      </c>
      <c r="M12" s="3">
        <f t="shared" si="5"/>
        <v>1.5901263096144156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99C7-F10E-C44E-A264-66866C524E6F}">
  <dimension ref="A1:M32"/>
  <sheetViews>
    <sheetView workbookViewId="0">
      <selection activeCell="K18" sqref="K18"/>
    </sheetView>
  </sheetViews>
  <sheetFormatPr baseColWidth="10" defaultRowHeight="16" x14ac:dyDescent="0.2"/>
  <cols>
    <col min="4" max="4" width="11.6640625" bestFit="1" customWidth="1"/>
    <col min="5" max="8" width="11" bestFit="1" customWidth="1"/>
  </cols>
  <sheetData>
    <row r="1" spans="1:12" x14ac:dyDescent="0.2">
      <c r="A1" s="2" t="s">
        <v>2</v>
      </c>
      <c r="B1" s="2" t="s">
        <v>8</v>
      </c>
      <c r="C1" s="2" t="s">
        <v>6</v>
      </c>
      <c r="D1" s="2">
        <v>2030</v>
      </c>
      <c r="E1" s="2">
        <v>2035</v>
      </c>
      <c r="F1" s="2">
        <v>2040</v>
      </c>
      <c r="G1" s="2">
        <v>2045</v>
      </c>
      <c r="H1" s="2">
        <v>2050</v>
      </c>
      <c r="K1" s="2" t="s">
        <v>20</v>
      </c>
    </row>
    <row r="2" spans="1:12" x14ac:dyDescent="0.2">
      <c r="A2" t="s">
        <v>1</v>
      </c>
      <c r="B2" t="s">
        <v>13</v>
      </c>
      <c r="C2" t="s">
        <v>16</v>
      </c>
      <c r="D2" s="5">
        <v>1276.5899999999999</v>
      </c>
      <c r="E2" s="5">
        <v>-52.62</v>
      </c>
      <c r="F2" s="5">
        <v>-129.79</v>
      </c>
      <c r="G2" s="5">
        <v>-148.56</v>
      </c>
      <c r="H2" s="5">
        <v>-115.68</v>
      </c>
      <c r="K2" t="s">
        <v>21</v>
      </c>
      <c r="L2">
        <v>1.21</v>
      </c>
    </row>
    <row r="3" spans="1:12" x14ac:dyDescent="0.2">
      <c r="A3" t="s">
        <v>1</v>
      </c>
      <c r="B3" t="s">
        <v>15</v>
      </c>
      <c r="C3" t="s">
        <v>16</v>
      </c>
      <c r="D3" s="5">
        <v>24.37</v>
      </c>
      <c r="E3" s="5">
        <v>-103.47</v>
      </c>
      <c r="F3" s="5">
        <v>-156.43</v>
      </c>
      <c r="G3" s="5">
        <v>-171.93</v>
      </c>
      <c r="H3" s="5">
        <v>-176.25</v>
      </c>
      <c r="K3" t="s">
        <v>22</v>
      </c>
      <c r="L3">
        <v>1.1599999999999999</v>
      </c>
    </row>
    <row r="4" spans="1:12" x14ac:dyDescent="0.2">
      <c r="A4" t="s">
        <v>1</v>
      </c>
      <c r="B4" t="s">
        <v>14</v>
      </c>
      <c r="C4" t="s">
        <v>16</v>
      </c>
      <c r="D4" s="5">
        <f>D2-D3</f>
        <v>1252.22</v>
      </c>
      <c r="E4" s="5">
        <f t="shared" ref="E4:H4" si="0">E2-E3</f>
        <v>50.85</v>
      </c>
      <c r="F4" s="5">
        <f t="shared" si="0"/>
        <v>26.640000000000015</v>
      </c>
      <c r="G4" s="5">
        <f t="shared" si="0"/>
        <v>23.370000000000005</v>
      </c>
      <c r="H4" s="5">
        <f t="shared" si="0"/>
        <v>60.569999999999993</v>
      </c>
      <c r="K4" t="s">
        <v>3</v>
      </c>
      <c r="L4">
        <v>1.1599999999999999</v>
      </c>
    </row>
    <row r="5" spans="1:12" x14ac:dyDescent="0.2">
      <c r="A5" t="s">
        <v>1</v>
      </c>
      <c r="B5" t="s">
        <v>4</v>
      </c>
      <c r="C5" t="s">
        <v>11</v>
      </c>
      <c r="D5" s="5">
        <v>13933.03</v>
      </c>
      <c r="E5" s="5">
        <v>16819.91</v>
      </c>
      <c r="F5" s="5">
        <v>20406.75</v>
      </c>
      <c r="G5" s="5">
        <v>22499.35</v>
      </c>
      <c r="H5" s="5">
        <v>24225.41</v>
      </c>
    </row>
    <row r="6" spans="1:12" x14ac:dyDescent="0.2">
      <c r="A6" t="s">
        <v>1</v>
      </c>
      <c r="B6" t="s">
        <v>5</v>
      </c>
      <c r="C6" t="s">
        <v>12</v>
      </c>
      <c r="D6" s="5">
        <v>2133</v>
      </c>
      <c r="E6" s="5">
        <v>1898</v>
      </c>
      <c r="F6" s="5">
        <v>1659</v>
      </c>
      <c r="G6" s="5">
        <v>1402</v>
      </c>
      <c r="H6" s="5">
        <v>1152</v>
      </c>
    </row>
    <row r="7" spans="1:12" x14ac:dyDescent="0.2">
      <c r="A7" t="s">
        <v>1</v>
      </c>
      <c r="B7" t="s">
        <v>19</v>
      </c>
      <c r="C7" t="s">
        <v>11</v>
      </c>
      <c r="D7" s="5">
        <f>D6/3.6</f>
        <v>592.5</v>
      </c>
      <c r="E7" s="5">
        <f t="shared" ref="E7:H7" si="1">E6/3.6</f>
        <v>527.22222222222217</v>
      </c>
      <c r="F7" s="5">
        <f t="shared" si="1"/>
        <v>460.83333333333331</v>
      </c>
      <c r="G7" s="5">
        <f t="shared" si="1"/>
        <v>389.44444444444446</v>
      </c>
      <c r="H7" s="5">
        <f t="shared" si="1"/>
        <v>320</v>
      </c>
    </row>
    <row r="8" spans="1:12" x14ac:dyDescent="0.2">
      <c r="A8" t="s">
        <v>1</v>
      </c>
      <c r="B8" t="s">
        <v>5</v>
      </c>
      <c r="C8" t="s">
        <v>11</v>
      </c>
      <c r="D8" s="5">
        <f>D7*$L$2</f>
        <v>716.92499999999995</v>
      </c>
      <c r="E8" s="5">
        <f t="shared" ref="E8:H8" si="2">E7*$L$2</f>
        <v>637.93888888888875</v>
      </c>
      <c r="F8" s="5">
        <f t="shared" si="2"/>
        <v>557.60833333333335</v>
      </c>
      <c r="G8" s="5">
        <f t="shared" si="2"/>
        <v>471.22777777777776</v>
      </c>
      <c r="H8" s="5">
        <f t="shared" si="2"/>
        <v>387.2</v>
      </c>
    </row>
    <row r="9" spans="1:12" x14ac:dyDescent="0.2">
      <c r="A9" t="s">
        <v>1</v>
      </c>
      <c r="B9" t="s">
        <v>10</v>
      </c>
      <c r="C9" t="s">
        <v>11</v>
      </c>
      <c r="D9" s="5">
        <f>D8+D5</f>
        <v>14649.955</v>
      </c>
      <c r="E9" s="5">
        <f t="shared" ref="E9:H9" si="3">E8+E5</f>
        <v>17457.84888888889</v>
      </c>
      <c r="F9" s="5">
        <f t="shared" si="3"/>
        <v>20964.358333333334</v>
      </c>
      <c r="G9" s="5">
        <f t="shared" si="3"/>
        <v>22970.577777777777</v>
      </c>
      <c r="H9" s="5">
        <f t="shared" si="3"/>
        <v>24612.61</v>
      </c>
    </row>
    <row r="10" spans="1:12" x14ac:dyDescent="0.2">
      <c r="A10" t="s">
        <v>1</v>
      </c>
      <c r="B10" t="s">
        <v>9</v>
      </c>
      <c r="C10" t="s">
        <v>18</v>
      </c>
      <c r="D10" s="5">
        <f>(D4/D9)*1000</f>
        <v>85.476030472448542</v>
      </c>
      <c r="E10" s="5">
        <f t="shared" ref="E10:H10" si="4">(E4/E9)*1000</f>
        <v>2.9127299888798821</v>
      </c>
      <c r="F10" s="5">
        <f t="shared" si="4"/>
        <v>1.2707281366032754</v>
      </c>
      <c r="G10" s="5">
        <f t="shared" si="4"/>
        <v>1.0173884273215208</v>
      </c>
      <c r="H10" s="6">
        <f t="shared" si="4"/>
        <v>2.4609336433641125</v>
      </c>
    </row>
    <row r="13" spans="1:12" x14ac:dyDescent="0.2">
      <c r="A13" t="s">
        <v>0</v>
      </c>
      <c r="B13" t="s">
        <v>13</v>
      </c>
      <c r="C13" t="s">
        <v>16</v>
      </c>
      <c r="D13" s="5">
        <f>D24-D2</f>
        <v>7584.2800000000007</v>
      </c>
      <c r="E13" s="5">
        <f t="shared" ref="E13:H13" si="5">E24-E2</f>
        <v>3106.96</v>
      </c>
      <c r="F13" s="5">
        <f t="shared" si="5"/>
        <v>513.75</v>
      </c>
      <c r="G13" s="5">
        <f t="shared" si="5"/>
        <v>-52.819999999999993</v>
      </c>
      <c r="H13" s="5">
        <f t="shared" si="5"/>
        <v>-183.32</v>
      </c>
    </row>
    <row r="14" spans="1:12" x14ac:dyDescent="0.2">
      <c r="A14" t="s">
        <v>0</v>
      </c>
      <c r="B14" t="s">
        <v>15</v>
      </c>
      <c r="C14" t="s">
        <v>16</v>
      </c>
      <c r="D14" s="5">
        <f>D25-D3</f>
        <v>30.55</v>
      </c>
      <c r="E14" s="5">
        <f t="shared" ref="E14:H14" si="6">E25-E3</f>
        <v>-59.430000000000007</v>
      </c>
      <c r="F14" s="5">
        <f t="shared" si="6"/>
        <v>-147.19999999999999</v>
      </c>
      <c r="G14" s="5">
        <f t="shared" si="6"/>
        <v>-211.82</v>
      </c>
      <c r="H14" s="5">
        <f t="shared" si="6"/>
        <v>-254.07</v>
      </c>
      <c r="K14" s="1"/>
    </row>
    <row r="15" spans="1:12" x14ac:dyDescent="0.2">
      <c r="A15" t="s">
        <v>0</v>
      </c>
      <c r="B15" t="s">
        <v>14</v>
      </c>
      <c r="C15" t="s">
        <v>16</v>
      </c>
      <c r="D15" s="5">
        <f>D13-D14</f>
        <v>7553.7300000000005</v>
      </c>
      <c r="E15" s="5">
        <f t="shared" ref="E15:H15" si="7">E13-E14</f>
        <v>3166.39</v>
      </c>
      <c r="F15" s="5">
        <f t="shared" si="7"/>
        <v>660.95</v>
      </c>
      <c r="G15" s="5">
        <f t="shared" si="7"/>
        <v>159</v>
      </c>
      <c r="H15" s="5">
        <f t="shared" si="7"/>
        <v>70.75</v>
      </c>
      <c r="K15" s="1"/>
    </row>
    <row r="16" spans="1:12" x14ac:dyDescent="0.2">
      <c r="A16" t="s">
        <v>0</v>
      </c>
      <c r="B16" t="s">
        <v>4</v>
      </c>
      <c r="C16" t="s">
        <v>11</v>
      </c>
      <c r="D16" s="5">
        <f>D27-D5</f>
        <v>25849.72</v>
      </c>
      <c r="E16" s="5">
        <f t="shared" ref="E16:H16" si="8">E27-E5</f>
        <v>33264.229999999996</v>
      </c>
      <c r="F16" s="5">
        <f t="shared" si="8"/>
        <v>41558.26</v>
      </c>
      <c r="G16" s="5">
        <f t="shared" si="8"/>
        <v>49206.799999999996</v>
      </c>
      <c r="H16" s="5">
        <f t="shared" si="8"/>
        <v>55968.979999999996</v>
      </c>
      <c r="K16" s="1"/>
    </row>
    <row r="17" spans="1:13" x14ac:dyDescent="0.2">
      <c r="A17" t="s">
        <v>0</v>
      </c>
      <c r="B17" t="s">
        <v>5</v>
      </c>
      <c r="C17" t="s">
        <v>12</v>
      </c>
      <c r="D17" s="5">
        <f>(D28*1000)-D6</f>
        <v>12532</v>
      </c>
      <c r="E17" s="5">
        <f t="shared" ref="E17:H17" si="9">(E28*1000)-E6</f>
        <v>11109</v>
      </c>
      <c r="F17" s="5">
        <f t="shared" si="9"/>
        <v>9394</v>
      </c>
      <c r="G17" s="5">
        <f t="shared" si="9"/>
        <v>7664</v>
      </c>
      <c r="H17" s="5">
        <f t="shared" si="9"/>
        <v>6266</v>
      </c>
      <c r="K17" s="1"/>
    </row>
    <row r="18" spans="1:13" x14ac:dyDescent="0.2">
      <c r="A18" t="s">
        <v>0</v>
      </c>
      <c r="B18" t="s">
        <v>19</v>
      </c>
      <c r="C18" t="s">
        <v>11</v>
      </c>
      <c r="D18" s="5">
        <f>D17/3.6</f>
        <v>3481.1111111111109</v>
      </c>
      <c r="E18" s="5">
        <f t="shared" ref="E18:H18" si="10">E17/3.6</f>
        <v>3085.833333333333</v>
      </c>
      <c r="F18" s="5">
        <f t="shared" si="10"/>
        <v>2609.4444444444443</v>
      </c>
      <c r="G18" s="5">
        <f t="shared" si="10"/>
        <v>2128.8888888888887</v>
      </c>
      <c r="H18" s="5">
        <f t="shared" si="10"/>
        <v>1740.5555555555554</v>
      </c>
      <c r="K18" s="1"/>
    </row>
    <row r="19" spans="1:13" x14ac:dyDescent="0.2">
      <c r="A19" t="s">
        <v>0</v>
      </c>
      <c r="B19" t="s">
        <v>5</v>
      </c>
      <c r="C19" t="s">
        <v>11</v>
      </c>
      <c r="D19" s="5">
        <f>D18*$L$3</f>
        <v>4038.0888888888885</v>
      </c>
      <c r="E19" s="5">
        <f t="shared" ref="E19:H19" si="11">E18*$L$3</f>
        <v>3579.5666666666662</v>
      </c>
      <c r="F19" s="5">
        <f t="shared" si="11"/>
        <v>3026.9555555555553</v>
      </c>
      <c r="G19" s="5">
        <f t="shared" si="11"/>
        <v>2469.5111111111105</v>
      </c>
      <c r="H19" s="5">
        <f t="shared" si="11"/>
        <v>2019.0444444444443</v>
      </c>
      <c r="J19" s="5"/>
      <c r="K19" s="1"/>
    </row>
    <row r="20" spans="1:13" x14ac:dyDescent="0.2">
      <c r="A20" t="s">
        <v>0</v>
      </c>
      <c r="B20" t="s">
        <v>10</v>
      </c>
      <c r="C20" t="s">
        <v>11</v>
      </c>
      <c r="D20" s="5">
        <f>D16+D19</f>
        <v>29887.808888888889</v>
      </c>
      <c r="E20" s="5">
        <f t="shared" ref="E20:H20" si="12">E16+E19</f>
        <v>36843.796666666662</v>
      </c>
      <c r="F20" s="5">
        <f t="shared" si="12"/>
        <v>44585.215555555558</v>
      </c>
      <c r="G20" s="5">
        <f t="shared" si="12"/>
        <v>51676.311111111107</v>
      </c>
      <c r="H20" s="5">
        <f t="shared" si="12"/>
        <v>57988.02444444444</v>
      </c>
      <c r="J20" s="5"/>
      <c r="M20" s="1"/>
    </row>
    <row r="21" spans="1:13" x14ac:dyDescent="0.2">
      <c r="A21" t="s">
        <v>0</v>
      </c>
      <c r="B21" t="s">
        <v>9</v>
      </c>
      <c r="C21" t="s">
        <v>18</v>
      </c>
      <c r="D21" s="5">
        <f>(D15/D20)*1000</f>
        <v>252.73615834743174</v>
      </c>
      <c r="E21" s="5">
        <f t="shared" ref="E21:H21" si="13">(E15/E20)*1000</f>
        <v>85.940925921586626</v>
      </c>
      <c r="F21" s="5">
        <f t="shared" si="13"/>
        <v>14.824420870555647</v>
      </c>
      <c r="G21" s="5">
        <f t="shared" si="13"/>
        <v>3.0768450104367617</v>
      </c>
      <c r="H21" s="5">
        <f t="shared" si="13"/>
        <v>1.2200795022389874</v>
      </c>
      <c r="M21" s="1"/>
    </row>
    <row r="22" spans="1:13" x14ac:dyDescent="0.2">
      <c r="M22" s="1"/>
    </row>
    <row r="23" spans="1:13" x14ac:dyDescent="0.2">
      <c r="M23" s="1"/>
    </row>
    <row r="24" spans="1:13" x14ac:dyDescent="0.2">
      <c r="A24" t="s">
        <v>3</v>
      </c>
      <c r="B24" t="s">
        <v>13</v>
      </c>
      <c r="C24" t="s">
        <v>16</v>
      </c>
      <c r="D24" s="5">
        <v>8860.8700000000008</v>
      </c>
      <c r="E24" s="5">
        <v>3054.34</v>
      </c>
      <c r="F24" s="5">
        <v>383.96</v>
      </c>
      <c r="G24" s="5">
        <v>-201.38</v>
      </c>
      <c r="H24" s="5">
        <v>-299</v>
      </c>
      <c r="M24" s="1"/>
    </row>
    <row r="25" spans="1:13" x14ac:dyDescent="0.2">
      <c r="A25" t="s">
        <v>3</v>
      </c>
      <c r="B25" t="s">
        <v>15</v>
      </c>
      <c r="C25" t="s">
        <v>16</v>
      </c>
      <c r="D25" s="5">
        <v>54.92</v>
      </c>
      <c r="E25" s="5">
        <v>-162.9</v>
      </c>
      <c r="F25" s="5">
        <v>-303.63</v>
      </c>
      <c r="G25" s="5">
        <v>-383.75</v>
      </c>
      <c r="H25" s="5">
        <v>-430.32</v>
      </c>
      <c r="M25" s="1"/>
    </row>
    <row r="26" spans="1:13" x14ac:dyDescent="0.2">
      <c r="A26" t="s">
        <v>3</v>
      </c>
      <c r="B26" t="s">
        <v>14</v>
      </c>
      <c r="C26" t="s">
        <v>16</v>
      </c>
      <c r="D26" s="5">
        <f>D24-D25</f>
        <v>8805.9500000000007</v>
      </c>
      <c r="E26" s="5">
        <f t="shared" ref="E26:H26" si="14">E24-E25</f>
        <v>3217.2400000000002</v>
      </c>
      <c r="F26" s="5">
        <f t="shared" si="14"/>
        <v>687.58999999999992</v>
      </c>
      <c r="G26" s="5">
        <f t="shared" si="14"/>
        <v>182.37</v>
      </c>
      <c r="H26" s="5">
        <f t="shared" si="14"/>
        <v>131.32</v>
      </c>
      <c r="J26" s="1"/>
      <c r="M26" s="1"/>
    </row>
    <row r="27" spans="1:13" x14ac:dyDescent="0.2">
      <c r="A27" t="s">
        <v>3</v>
      </c>
      <c r="B27" t="s">
        <v>4</v>
      </c>
      <c r="C27" t="s">
        <v>11</v>
      </c>
      <c r="D27" s="5">
        <v>39782.75</v>
      </c>
      <c r="E27" s="5">
        <v>50084.14</v>
      </c>
      <c r="F27" s="5">
        <v>61965.01</v>
      </c>
      <c r="G27" s="5">
        <v>71706.149999999994</v>
      </c>
      <c r="H27" s="5">
        <v>80194.39</v>
      </c>
      <c r="J27" s="1"/>
      <c r="M27" s="1"/>
    </row>
    <row r="28" spans="1:13" x14ac:dyDescent="0.2">
      <c r="A28" t="s">
        <v>3</v>
      </c>
      <c r="B28" t="s">
        <v>5</v>
      </c>
      <c r="C28" t="s">
        <v>17</v>
      </c>
      <c r="D28" s="5">
        <v>14.664999999999999</v>
      </c>
      <c r="E28" s="5">
        <v>13.007</v>
      </c>
      <c r="F28" s="5">
        <v>11.053000000000001</v>
      </c>
      <c r="G28" s="5">
        <v>9.0660000000000007</v>
      </c>
      <c r="H28" s="5">
        <v>7.4180000000000001</v>
      </c>
    </row>
    <row r="29" spans="1:13" x14ac:dyDescent="0.2">
      <c r="A29" t="s">
        <v>3</v>
      </c>
      <c r="B29" t="s">
        <v>19</v>
      </c>
      <c r="C29" t="s">
        <v>11</v>
      </c>
      <c r="D29" s="5">
        <f>D28/0.0036</f>
        <v>4073.6111111111109</v>
      </c>
      <c r="E29" s="5">
        <f t="shared" ref="E29:H29" si="15">E28/0.0036</f>
        <v>3613.0555555555557</v>
      </c>
      <c r="F29" s="5">
        <f t="shared" si="15"/>
        <v>3070.2777777777783</v>
      </c>
      <c r="G29" s="5">
        <f t="shared" si="15"/>
        <v>2518.3333333333335</v>
      </c>
      <c r="H29" s="5">
        <f t="shared" si="15"/>
        <v>2060.5555555555557</v>
      </c>
      <c r="J29" s="1"/>
    </row>
    <row r="30" spans="1:13" x14ac:dyDescent="0.2">
      <c r="A30" t="s">
        <v>3</v>
      </c>
      <c r="B30" t="s">
        <v>5</v>
      </c>
      <c r="C30" t="s">
        <v>11</v>
      </c>
      <c r="D30" s="5">
        <f>D29*$L$4</f>
        <v>4725.3888888888887</v>
      </c>
      <c r="E30" s="5">
        <f t="shared" ref="E30:H30" si="16">E29*$L$4</f>
        <v>4191.1444444444442</v>
      </c>
      <c r="F30" s="5">
        <f t="shared" si="16"/>
        <v>3561.5222222222224</v>
      </c>
      <c r="G30" s="5">
        <f t="shared" si="16"/>
        <v>2921.2666666666664</v>
      </c>
      <c r="H30" s="5">
        <f t="shared" si="16"/>
        <v>2390.2444444444445</v>
      </c>
      <c r="J30" s="1"/>
    </row>
    <row r="31" spans="1:13" x14ac:dyDescent="0.2">
      <c r="A31" t="s">
        <v>3</v>
      </c>
      <c r="B31" t="s">
        <v>10</v>
      </c>
      <c r="C31" t="s">
        <v>11</v>
      </c>
      <c r="D31" s="5">
        <f>D27+D30</f>
        <v>44508.138888888891</v>
      </c>
      <c r="E31" s="5">
        <f t="shared" ref="E31:H31" si="17">E27+E30</f>
        <v>54275.284444444442</v>
      </c>
      <c r="F31" s="5">
        <f t="shared" si="17"/>
        <v>65526.532222222224</v>
      </c>
      <c r="G31" s="5">
        <f t="shared" si="17"/>
        <v>74627.416666666657</v>
      </c>
      <c r="H31" s="5">
        <f t="shared" si="17"/>
        <v>82584.63444444444</v>
      </c>
      <c r="J31" s="1"/>
    </row>
    <row r="32" spans="1:13" x14ac:dyDescent="0.2">
      <c r="A32" t="s">
        <v>3</v>
      </c>
      <c r="B32" t="s">
        <v>9</v>
      </c>
      <c r="C32" t="s">
        <v>18</v>
      </c>
      <c r="D32" s="5">
        <f>(D26/D31)*1000</f>
        <v>197.85033074475143</v>
      </c>
      <c r="E32" s="5">
        <f t="shared" ref="E32:H32" si="18">(E26/E31)*1000</f>
        <v>59.276336051138159</v>
      </c>
      <c r="F32" s="5">
        <f t="shared" si="18"/>
        <v>10.49330670617749</v>
      </c>
      <c r="G32" s="5">
        <f t="shared" si="18"/>
        <v>2.4437399570533174</v>
      </c>
      <c r="H32" s="5">
        <f t="shared" si="18"/>
        <v>1.5901263096144156</v>
      </c>
    </row>
  </sheetData>
  <pageMargins left="0.7" right="0.7" top="0.75" bottom="0.75" header="0.3" footer="0.3"/>
  <ignoredErrors>
    <ignoredError sqref="D15:H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2712-DEC5-2E4D-AFE0-135F58A0E134}">
  <dimension ref="A1:T3534"/>
  <sheetViews>
    <sheetView workbookViewId="0">
      <selection activeCell="R17" sqref="R17"/>
    </sheetView>
  </sheetViews>
  <sheetFormatPr baseColWidth="10" defaultRowHeight="16" x14ac:dyDescent="0.2"/>
  <cols>
    <col min="19" max="19" width="11.6640625" bestFit="1" customWidth="1"/>
  </cols>
  <sheetData>
    <row r="1" spans="1:20" x14ac:dyDescent="0.2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600</v>
      </c>
      <c r="K1" s="7" t="s">
        <v>601</v>
      </c>
      <c r="L1" s="7" t="s">
        <v>602</v>
      </c>
      <c r="O1" s="2" t="s">
        <v>596</v>
      </c>
    </row>
    <row r="2" spans="1:20" x14ac:dyDescent="0.2">
      <c r="A2" s="8" t="s">
        <v>32</v>
      </c>
      <c r="B2" s="8" t="s">
        <v>33</v>
      </c>
      <c r="C2" s="8" t="s">
        <v>34</v>
      </c>
      <c r="D2" s="8" t="s">
        <v>35</v>
      </c>
      <c r="E2" s="8" t="s">
        <v>36</v>
      </c>
      <c r="F2" s="8" t="s">
        <v>37</v>
      </c>
      <c r="G2" s="8" t="s">
        <v>7</v>
      </c>
      <c r="H2" s="8" t="s">
        <v>38</v>
      </c>
      <c r="I2" s="9">
        <v>251.29352</v>
      </c>
      <c r="J2">
        <v>256.13248707445001</v>
      </c>
      <c r="K2">
        <v>271.01220518815001</v>
      </c>
      <c r="L2">
        <v>270.46343607707001</v>
      </c>
      <c r="O2" s="2" t="s">
        <v>597</v>
      </c>
      <c r="P2" s="2" t="s">
        <v>6</v>
      </c>
      <c r="Q2" s="2">
        <v>2020</v>
      </c>
      <c r="R2" s="2">
        <v>2021</v>
      </c>
      <c r="S2" s="2">
        <v>2022</v>
      </c>
      <c r="T2" s="2">
        <v>2023</v>
      </c>
    </row>
    <row r="3" spans="1:20" ht="19" customHeight="1" x14ac:dyDescent="0.2">
      <c r="A3" s="8" t="s">
        <v>32</v>
      </c>
      <c r="B3" s="8" t="s">
        <v>33</v>
      </c>
      <c r="C3" s="8" t="s">
        <v>34</v>
      </c>
      <c r="D3" s="8" t="s">
        <v>35</v>
      </c>
      <c r="E3" s="8" t="s">
        <v>39</v>
      </c>
      <c r="F3" s="8" t="s">
        <v>40</v>
      </c>
      <c r="G3" s="8" t="s">
        <v>7</v>
      </c>
      <c r="H3" s="8" t="s">
        <v>38</v>
      </c>
      <c r="I3" s="9">
        <v>28.657397</v>
      </c>
      <c r="J3">
        <v>34.630666817029002</v>
      </c>
      <c r="K3">
        <v>36.642767026031002</v>
      </c>
      <c r="L3">
        <v>36.568569560739</v>
      </c>
      <c r="O3" t="s">
        <v>1</v>
      </c>
      <c r="P3" t="s">
        <v>16</v>
      </c>
      <c r="Q3" s="17" cm="1">
        <f t="array" ref="Q3">SUMPRODUCT(($E$2:$E$3534="1.A.1.a")*ISNUMBER(MATCH($C$2:$C$3534,{"AUS","AUT","BEL","CAN","CHL","COL","CRI","CZE","DNK","EST","FIN","FRA","DEU","GRC","HUN","ISL","IRL","ISR","ITA","JPN","KOR","LVA","LTU","LUX","MEX","NLD","NZL","NOR","POL","PRT","SVK","SVN","ESP","SWE","CHE","TUR","GBR","USA"},0))*$I$2:$I$3534)
  /1000</f>
        <v>3670.1762304202002</v>
      </c>
      <c r="R3" s="18" cm="1">
        <f t="array" ref="R3">SUMPRODUCT(($E$2:$E$3534="1.A.1.a")*ISNUMBER(MATCH($C$2:$C$3534,{"AUS","AUT","BEL","CAN","CHL","COL","CRI","CZE","DNK","EST","FIN","FRA","DEU","GRC","HUN","ISL","IRL","ISR","ITA","JPN","KOR","LVA","LTU","LUX","MEX","NLD","NZL","NOR","POL","PRT","SVK","SVN","ESP","SWE","CHE","TUR","GBR","USA"},0))*$J$2:$J$3534)
  /1000</f>
        <v>3867.0882703762409</v>
      </c>
      <c r="S3" s="17" cm="1">
        <f t="array" ref="S3">SUMPRODUCT(($E$2:$E$3534="1.A.1.a")*ISNUMBER(MATCH($C$2:$C$3534,{"AUS","AUT","BEL","CAN","CHL","COL","CRI","CZE","DNK","EST","FIN","FRA","DEU","GRC","HUN","ISL","IRL","ISR","ITA","JPN","KOR","LVA","LTU","LUX","MEX","NLD","NZL","NOR","POL","PRT","SVK","SVN","ESP","SWE","CHE","TUR","GBR","USA"},0))*$K$2:$K$3534)
  /1000</f>
        <v>3774.1589972518209</v>
      </c>
      <c r="T3" s="18" cm="1">
        <f t="array" ref="T3">SUMPRODUCT(($E$2:$E$3534="1.A.1.a")*ISNUMBER(MATCH($C$2:$C$3534,{"AUS","AUT","BEL","CAN","CHL","COL","CRI","CZE","DNK","EST","FIN","FRA","DEU","GRC","HUN","ISL","IRL","ISR","ITA","JPN","KOR","LVA","LTU","LUX","MEX","NLD","NZL","NOR","POL","PRT","SVK","SVN","ESP","SWE","CHE","TUR","GBR","USA"},0))*$L$2:$L$3534)
  /1000</f>
        <v>3471.8131770255632</v>
      </c>
    </row>
    <row r="4" spans="1:20" x14ac:dyDescent="0.2">
      <c r="A4" s="8" t="s">
        <v>32</v>
      </c>
      <c r="B4" s="8" t="s">
        <v>33</v>
      </c>
      <c r="C4" s="8" t="s">
        <v>34</v>
      </c>
      <c r="D4" s="8" t="s">
        <v>35</v>
      </c>
      <c r="E4" s="8" t="s">
        <v>41</v>
      </c>
      <c r="F4" s="8" t="s">
        <v>42</v>
      </c>
      <c r="G4" s="8" t="s">
        <v>7</v>
      </c>
      <c r="H4" s="8" t="s">
        <v>38</v>
      </c>
      <c r="I4" s="9">
        <v>12.101409</v>
      </c>
      <c r="J4">
        <v>12.627120001572999</v>
      </c>
      <c r="K4">
        <v>13.360779034087001</v>
      </c>
      <c r="L4">
        <v>15.254929055386</v>
      </c>
      <c r="O4" t="s">
        <v>0</v>
      </c>
      <c r="P4" t="s">
        <v>16</v>
      </c>
      <c r="Q4" s="18">
        <f>Q5-Q3</f>
        <v>10029.256507895794</v>
      </c>
      <c r="R4" s="18">
        <f>R5-R3</f>
        <v>10913.318243206806</v>
      </c>
      <c r="S4" s="18">
        <f t="shared" ref="S4:T4" si="0">S5-S3</f>
        <v>11183.501492240315</v>
      </c>
      <c r="T4" s="18">
        <f t="shared" si="0"/>
        <v>11781.148659236591</v>
      </c>
    </row>
    <row r="5" spans="1:20" x14ac:dyDescent="0.2">
      <c r="A5" s="8" t="s">
        <v>32</v>
      </c>
      <c r="B5" s="8" t="s">
        <v>33</v>
      </c>
      <c r="C5" s="8" t="s">
        <v>34</v>
      </c>
      <c r="D5" s="8" t="s">
        <v>35</v>
      </c>
      <c r="E5" s="8" t="s">
        <v>43</v>
      </c>
      <c r="F5" s="8" t="s">
        <v>44</v>
      </c>
      <c r="G5" s="8" t="s">
        <v>7</v>
      </c>
      <c r="H5" s="8" t="s">
        <v>38</v>
      </c>
      <c r="I5" s="9">
        <v>138.52494999999999</v>
      </c>
      <c r="J5">
        <v>144.87296140891999</v>
      </c>
      <c r="K5">
        <v>153.29059639317001</v>
      </c>
      <c r="L5">
        <v>152.98020024602999</v>
      </c>
      <c r="O5" t="s">
        <v>3</v>
      </c>
      <c r="P5" t="s">
        <v>16</v>
      </c>
      <c r="Q5" s="19">
        <f>SUMIFS($I$2:$I$3534,$E$2:$E$3534,"1.A.1.a")/1000</f>
        <v>13699.432738315994</v>
      </c>
      <c r="R5" s="19">
        <f>SUMIFS($J$2:$J$3534,$E$2:$E$3534,"1.A.1.a")/1000</f>
        <v>14780.406513583046</v>
      </c>
      <c r="S5" s="19">
        <f>SUMIFS($K$2:$K$3534,$E$2:$E$3534,"1.A.1.a")/1000</f>
        <v>14957.660489492137</v>
      </c>
      <c r="T5" s="19">
        <f>SUMIFS($L$2:$L$3534,$E$2:$E$3534,"1.A.1.a")/1000</f>
        <v>15252.961836262155</v>
      </c>
    </row>
    <row r="6" spans="1:20" x14ac:dyDescent="0.2">
      <c r="A6" s="8" t="s">
        <v>32</v>
      </c>
      <c r="B6" s="8" t="s">
        <v>33</v>
      </c>
      <c r="C6" s="8" t="s">
        <v>34</v>
      </c>
      <c r="D6" s="8" t="s">
        <v>35</v>
      </c>
      <c r="E6" s="8" t="s">
        <v>45</v>
      </c>
      <c r="F6" s="8" t="s">
        <v>46</v>
      </c>
      <c r="G6" s="8" t="s">
        <v>7</v>
      </c>
      <c r="H6" s="8" t="s">
        <v>38</v>
      </c>
      <c r="I6" s="9">
        <v>10.644315000000001</v>
      </c>
      <c r="J6">
        <v>10.828778216144</v>
      </c>
      <c r="K6">
        <v>11.458058833127</v>
      </c>
      <c r="L6">
        <v>12.209959001984</v>
      </c>
    </row>
    <row r="7" spans="1:20" x14ac:dyDescent="0.2">
      <c r="A7" s="8" t="s">
        <v>32</v>
      </c>
      <c r="B7" s="8" t="s">
        <v>33</v>
      </c>
      <c r="C7" s="8" t="s">
        <v>34</v>
      </c>
      <c r="D7" s="8" t="s">
        <v>35</v>
      </c>
      <c r="E7" s="8" t="s">
        <v>47</v>
      </c>
      <c r="F7" s="8" t="s">
        <v>48</v>
      </c>
      <c r="G7" s="8" t="s">
        <v>7</v>
      </c>
      <c r="H7" s="8" t="s">
        <v>38</v>
      </c>
      <c r="I7" s="9">
        <v>4.5708871999999996</v>
      </c>
      <c r="J7">
        <v>4.3694703353155004</v>
      </c>
      <c r="K7">
        <v>4.6234342484523001</v>
      </c>
      <c r="L7">
        <v>4.6140723162068999</v>
      </c>
    </row>
    <row r="8" spans="1:20" x14ac:dyDescent="0.2">
      <c r="A8" s="8" t="s">
        <v>32</v>
      </c>
      <c r="B8" s="8" t="s">
        <v>33</v>
      </c>
      <c r="C8" s="8" t="s">
        <v>34</v>
      </c>
      <c r="D8" s="8" t="s">
        <v>35</v>
      </c>
      <c r="E8" s="8" t="s">
        <v>49</v>
      </c>
      <c r="F8" s="8" t="s">
        <v>50</v>
      </c>
      <c r="G8" s="8" t="s">
        <v>7</v>
      </c>
      <c r="H8" s="8" t="s">
        <v>38</v>
      </c>
      <c r="I8" s="9">
        <v>38.097070000000002</v>
      </c>
      <c r="J8">
        <v>38.698683182457003</v>
      </c>
      <c r="K8">
        <v>39.608363337260002</v>
      </c>
      <c r="L8">
        <v>39.528160874332002</v>
      </c>
    </row>
    <row r="9" spans="1:20" x14ac:dyDescent="0.2">
      <c r="A9" s="8" t="s">
        <v>32</v>
      </c>
      <c r="B9" s="8" t="s">
        <v>33</v>
      </c>
      <c r="C9" s="8" t="s">
        <v>34</v>
      </c>
      <c r="D9" s="8" t="s">
        <v>35</v>
      </c>
      <c r="E9" s="8" t="s">
        <v>51</v>
      </c>
      <c r="F9" s="8" t="s">
        <v>52</v>
      </c>
      <c r="G9" s="8" t="s">
        <v>7</v>
      </c>
      <c r="H9" s="8" t="s">
        <v>38</v>
      </c>
      <c r="I9" s="9">
        <v>2.9238010999999999</v>
      </c>
      <c r="J9">
        <v>3.2194984998240002</v>
      </c>
      <c r="K9">
        <v>3.4065293417470999</v>
      </c>
      <c r="L9">
        <v>3.3996315045170999</v>
      </c>
    </row>
    <row r="10" spans="1:20" x14ac:dyDescent="0.2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53</v>
      </c>
      <c r="F10" s="8" t="s">
        <v>54</v>
      </c>
      <c r="G10" s="8" t="s">
        <v>7</v>
      </c>
      <c r="H10" s="8" t="s">
        <v>38</v>
      </c>
      <c r="I10" s="9"/>
    </row>
    <row r="11" spans="1:20" x14ac:dyDescent="0.2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55</v>
      </c>
      <c r="F11" s="8" t="s">
        <v>56</v>
      </c>
      <c r="G11" s="8" t="s">
        <v>7</v>
      </c>
      <c r="H11" s="8" t="s">
        <v>38</v>
      </c>
      <c r="I11" s="9">
        <v>5.2706999999999997E-3</v>
      </c>
      <c r="J11">
        <v>5.2921740799013002E-3</v>
      </c>
      <c r="K11">
        <v>5.3137031477600996E-3</v>
      </c>
      <c r="L11">
        <v>5.3347818334335004E-3</v>
      </c>
    </row>
    <row r="12" spans="1:20" x14ac:dyDescent="0.2">
      <c r="A12" s="8" t="s">
        <v>32</v>
      </c>
      <c r="B12" s="8" t="s">
        <v>33</v>
      </c>
      <c r="C12" s="8" t="s">
        <v>34</v>
      </c>
      <c r="D12" s="8" t="s">
        <v>35</v>
      </c>
      <c r="E12" s="8" t="s">
        <v>57</v>
      </c>
      <c r="F12" s="8" t="s">
        <v>58</v>
      </c>
      <c r="G12" s="8" t="s">
        <v>7</v>
      </c>
      <c r="H12" s="8" t="s">
        <v>38</v>
      </c>
      <c r="I12" s="9">
        <v>1.7359999999999999E-4</v>
      </c>
      <c r="J12">
        <v>2.0568735335976999E-4</v>
      </c>
      <c r="K12">
        <v>2.4372494663831999E-4</v>
      </c>
      <c r="L12">
        <v>2.8964793596597999E-4</v>
      </c>
    </row>
    <row r="13" spans="1:20" x14ac:dyDescent="0.2">
      <c r="A13" s="8" t="s">
        <v>32</v>
      </c>
      <c r="B13" s="8" t="s">
        <v>33</v>
      </c>
      <c r="C13" s="8" t="s">
        <v>34</v>
      </c>
      <c r="D13" s="8" t="s">
        <v>35</v>
      </c>
      <c r="E13" s="8" t="s">
        <v>59</v>
      </c>
      <c r="F13" s="8" t="s">
        <v>60</v>
      </c>
      <c r="G13" s="8" t="s">
        <v>7</v>
      </c>
      <c r="H13" s="8" t="s">
        <v>38</v>
      </c>
      <c r="I13" s="9">
        <v>1.9161013</v>
      </c>
      <c r="J13">
        <v>1.9653542666276</v>
      </c>
      <c r="K13">
        <v>2.0567731283870998</v>
      </c>
      <c r="L13">
        <v>2.0992591045828002</v>
      </c>
    </row>
    <row r="14" spans="1:20" x14ac:dyDescent="0.2">
      <c r="A14" s="8" t="s">
        <v>32</v>
      </c>
      <c r="B14" s="8" t="s">
        <v>61</v>
      </c>
      <c r="C14" s="8" t="s">
        <v>62</v>
      </c>
      <c r="D14" s="8" t="s">
        <v>63</v>
      </c>
      <c r="E14" s="8" t="s">
        <v>36</v>
      </c>
      <c r="F14" s="8" t="s">
        <v>37</v>
      </c>
      <c r="G14" s="8" t="s">
        <v>7</v>
      </c>
      <c r="H14" s="8" t="s">
        <v>38</v>
      </c>
      <c r="I14" s="9">
        <v>3097.5843</v>
      </c>
      <c r="J14">
        <v>3028.3871303823998</v>
      </c>
      <c r="K14">
        <v>2743.0271494665999</v>
      </c>
      <c r="L14">
        <v>2819.4204752412002</v>
      </c>
    </row>
    <row r="15" spans="1:20" x14ac:dyDescent="0.2">
      <c r="A15" s="8" t="s">
        <v>32</v>
      </c>
      <c r="B15" s="8" t="s">
        <v>61</v>
      </c>
      <c r="C15" s="8" t="s">
        <v>62</v>
      </c>
      <c r="D15" s="8" t="s">
        <v>63</v>
      </c>
      <c r="E15" s="8" t="s">
        <v>64</v>
      </c>
      <c r="F15" s="8" t="s">
        <v>65</v>
      </c>
      <c r="G15" s="8" t="s">
        <v>7</v>
      </c>
      <c r="H15" s="8" t="s">
        <v>38</v>
      </c>
      <c r="I15" s="9">
        <v>370.57202000000001</v>
      </c>
    </row>
    <row r="16" spans="1:20" x14ac:dyDescent="0.2">
      <c r="A16" s="8" t="s">
        <v>32</v>
      </c>
      <c r="B16" s="8" t="s">
        <v>61</v>
      </c>
      <c r="C16" s="8" t="s">
        <v>62</v>
      </c>
      <c r="D16" s="8" t="s">
        <v>63</v>
      </c>
      <c r="E16" s="8" t="s">
        <v>39</v>
      </c>
      <c r="F16" s="8" t="s">
        <v>40</v>
      </c>
      <c r="G16" s="8" t="s">
        <v>7</v>
      </c>
      <c r="H16" s="8" t="s">
        <v>38</v>
      </c>
      <c r="I16" s="9">
        <v>2756.0965999999999</v>
      </c>
      <c r="J16">
        <v>3510.5018817921</v>
      </c>
      <c r="K16">
        <v>3225.3859627337001</v>
      </c>
      <c r="L16">
        <v>3463.4991443059998</v>
      </c>
    </row>
    <row r="17" spans="1:12" x14ac:dyDescent="0.2">
      <c r="A17" s="8" t="s">
        <v>32</v>
      </c>
      <c r="B17" s="8" t="s">
        <v>61</v>
      </c>
      <c r="C17" s="8" t="s">
        <v>62</v>
      </c>
      <c r="D17" s="8" t="s">
        <v>63</v>
      </c>
      <c r="E17" s="8" t="s">
        <v>41</v>
      </c>
      <c r="F17" s="8" t="s">
        <v>42</v>
      </c>
      <c r="G17" s="8" t="s">
        <v>7</v>
      </c>
      <c r="H17" s="8" t="s">
        <v>38</v>
      </c>
      <c r="I17" s="9">
        <v>219.34517</v>
      </c>
      <c r="J17">
        <v>227.77429932326999</v>
      </c>
      <c r="K17">
        <v>203.13168786975999</v>
      </c>
      <c r="L17">
        <v>270.52614290145999</v>
      </c>
    </row>
    <row r="18" spans="1:12" x14ac:dyDescent="0.2">
      <c r="A18" s="8" t="s">
        <v>32</v>
      </c>
      <c r="B18" s="8" t="s">
        <v>61</v>
      </c>
      <c r="C18" s="8" t="s">
        <v>62</v>
      </c>
      <c r="D18" s="8" t="s">
        <v>63</v>
      </c>
      <c r="E18" s="8" t="s">
        <v>43</v>
      </c>
      <c r="F18" s="8" t="s">
        <v>44</v>
      </c>
      <c r="G18" s="8" t="s">
        <v>7</v>
      </c>
      <c r="H18" s="8" t="s">
        <v>38</v>
      </c>
      <c r="I18" s="9">
        <v>3702.3051</v>
      </c>
      <c r="J18">
        <v>3740.3725499603001</v>
      </c>
      <c r="K18">
        <v>3335.7065663848998</v>
      </c>
      <c r="L18">
        <v>3319.940693259</v>
      </c>
    </row>
    <row r="19" spans="1:12" x14ac:dyDescent="0.2">
      <c r="A19" s="8" t="s">
        <v>32</v>
      </c>
      <c r="B19" s="8" t="s">
        <v>61</v>
      </c>
      <c r="C19" s="8" t="s">
        <v>62</v>
      </c>
      <c r="D19" s="8" t="s">
        <v>63</v>
      </c>
      <c r="E19" s="8" t="s">
        <v>66</v>
      </c>
      <c r="F19" s="8" t="s">
        <v>67</v>
      </c>
      <c r="G19" s="8" t="s">
        <v>7</v>
      </c>
      <c r="H19" s="8" t="s">
        <v>38</v>
      </c>
      <c r="I19" s="9"/>
    </row>
    <row r="20" spans="1:12" x14ac:dyDescent="0.2">
      <c r="A20" s="8" t="s">
        <v>32</v>
      </c>
      <c r="B20" s="8" t="s">
        <v>61</v>
      </c>
      <c r="C20" s="8" t="s">
        <v>62</v>
      </c>
      <c r="D20" s="8" t="s">
        <v>63</v>
      </c>
      <c r="E20" s="8" t="s">
        <v>45</v>
      </c>
      <c r="F20" s="8" t="s">
        <v>46</v>
      </c>
      <c r="G20" s="8" t="s">
        <v>7</v>
      </c>
      <c r="H20" s="8" t="s">
        <v>38</v>
      </c>
      <c r="I20" s="9">
        <v>254.73213000000001</v>
      </c>
      <c r="J20">
        <v>308.61014653516997</v>
      </c>
      <c r="K20">
        <v>275.22203872399001</v>
      </c>
      <c r="L20">
        <v>265.63579519992999</v>
      </c>
    </row>
    <row r="21" spans="1:12" x14ac:dyDescent="0.2">
      <c r="A21" s="8" t="s">
        <v>32</v>
      </c>
      <c r="B21" s="8" t="s">
        <v>61</v>
      </c>
      <c r="C21" s="8" t="s">
        <v>62</v>
      </c>
      <c r="D21" s="8" t="s">
        <v>63</v>
      </c>
      <c r="E21" s="8" t="s">
        <v>47</v>
      </c>
      <c r="F21" s="8" t="s">
        <v>48</v>
      </c>
      <c r="G21" s="8" t="s">
        <v>7</v>
      </c>
      <c r="H21" s="8" t="s">
        <v>38</v>
      </c>
      <c r="I21" s="9">
        <v>267.16800999999998</v>
      </c>
      <c r="J21">
        <v>263.49575997312002</v>
      </c>
      <c r="K21">
        <v>234.98704332399001</v>
      </c>
      <c r="L21">
        <v>233.87640129433001</v>
      </c>
    </row>
    <row r="22" spans="1:12" x14ac:dyDescent="0.2">
      <c r="A22" s="8" t="s">
        <v>32</v>
      </c>
      <c r="B22" s="8" t="s">
        <v>61</v>
      </c>
      <c r="C22" s="8" t="s">
        <v>62</v>
      </c>
      <c r="D22" s="8" t="s">
        <v>63</v>
      </c>
      <c r="E22" s="8" t="s">
        <v>49</v>
      </c>
      <c r="F22" s="8" t="s">
        <v>50</v>
      </c>
      <c r="G22" s="8" t="s">
        <v>7</v>
      </c>
      <c r="H22" s="8" t="s">
        <v>38</v>
      </c>
      <c r="I22" s="9">
        <v>1209.8081999999999</v>
      </c>
      <c r="J22">
        <v>1172.1450023457</v>
      </c>
      <c r="K22">
        <v>1045.3326226505999</v>
      </c>
      <c r="L22">
        <v>1040.3919657987999</v>
      </c>
    </row>
    <row r="23" spans="1:12" x14ac:dyDescent="0.2">
      <c r="A23" s="8" t="s">
        <v>32</v>
      </c>
      <c r="B23" s="8" t="s">
        <v>61</v>
      </c>
      <c r="C23" s="8" t="s">
        <v>62</v>
      </c>
      <c r="D23" s="8" t="s">
        <v>63</v>
      </c>
      <c r="E23" s="8" t="s">
        <v>51</v>
      </c>
      <c r="F23" s="8" t="s">
        <v>52</v>
      </c>
      <c r="G23" s="8" t="s">
        <v>7</v>
      </c>
      <c r="H23" s="8" t="s">
        <v>38</v>
      </c>
      <c r="I23" s="9">
        <v>55.712800999999999</v>
      </c>
      <c r="J23">
        <v>59.382520904137998</v>
      </c>
      <c r="K23">
        <v>52.957091433210998</v>
      </c>
      <c r="L23">
        <v>52.706795201204002</v>
      </c>
    </row>
    <row r="24" spans="1:12" x14ac:dyDescent="0.2">
      <c r="A24" s="8" t="s">
        <v>32</v>
      </c>
      <c r="B24" s="8" t="s">
        <v>61</v>
      </c>
      <c r="C24" s="8" t="s">
        <v>62</v>
      </c>
      <c r="D24" s="8" t="s">
        <v>63</v>
      </c>
      <c r="E24" s="8" t="s">
        <v>68</v>
      </c>
      <c r="F24" s="8" t="s">
        <v>69</v>
      </c>
      <c r="G24" s="8" t="s">
        <v>7</v>
      </c>
      <c r="H24" s="8" t="s">
        <v>38</v>
      </c>
      <c r="I24" s="9">
        <v>34.208506999999997</v>
      </c>
      <c r="J24">
        <v>37.501426272856001</v>
      </c>
      <c r="K24">
        <v>36.81169126943</v>
      </c>
      <c r="L24">
        <v>37.211192256201997</v>
      </c>
    </row>
    <row r="25" spans="1:12" x14ac:dyDescent="0.2">
      <c r="A25" s="8" t="s">
        <v>32</v>
      </c>
      <c r="B25" s="8" t="s">
        <v>61</v>
      </c>
      <c r="C25" s="8" t="s">
        <v>62</v>
      </c>
      <c r="D25" s="8" t="s">
        <v>63</v>
      </c>
      <c r="E25" s="8" t="s">
        <v>53</v>
      </c>
      <c r="F25" s="8" t="s">
        <v>54</v>
      </c>
      <c r="G25" s="8" t="s">
        <v>7</v>
      </c>
      <c r="H25" s="8" t="s">
        <v>38</v>
      </c>
      <c r="I25" s="9">
        <v>5.6871999999999999E-3</v>
      </c>
      <c r="J25">
        <v>1.6536381741824999E-5</v>
      </c>
      <c r="K25">
        <v>1.3752504449813E-5</v>
      </c>
      <c r="L25">
        <v>6.5453638174649004E-6</v>
      </c>
    </row>
    <row r="26" spans="1:12" x14ac:dyDescent="0.2">
      <c r="A26" s="8" t="s">
        <v>32</v>
      </c>
      <c r="B26" s="8" t="s">
        <v>61</v>
      </c>
      <c r="C26" s="8" t="s">
        <v>62</v>
      </c>
      <c r="D26" s="8" t="s">
        <v>63</v>
      </c>
      <c r="E26" s="8" t="s">
        <v>70</v>
      </c>
      <c r="F26" s="8" t="s">
        <v>71</v>
      </c>
      <c r="G26" s="8" t="s">
        <v>7</v>
      </c>
      <c r="H26" s="8" t="s">
        <v>38</v>
      </c>
      <c r="I26" s="9">
        <v>28.225152999999999</v>
      </c>
      <c r="J26">
        <v>14.112576560000001</v>
      </c>
      <c r="K26">
        <v>9.1731747640000005</v>
      </c>
      <c r="L26">
        <v>9.1628261603365999</v>
      </c>
    </row>
    <row r="27" spans="1:12" x14ac:dyDescent="0.2">
      <c r="A27" s="8" t="s">
        <v>32</v>
      </c>
      <c r="B27" s="8" t="s">
        <v>61</v>
      </c>
      <c r="C27" s="8" t="s">
        <v>62</v>
      </c>
      <c r="D27" s="8" t="s">
        <v>63</v>
      </c>
      <c r="E27" s="8" t="s">
        <v>55</v>
      </c>
      <c r="F27" s="8" t="s">
        <v>56</v>
      </c>
      <c r="G27" s="8" t="s">
        <v>7</v>
      </c>
      <c r="H27" s="8" t="s">
        <v>38</v>
      </c>
      <c r="I27" s="9">
        <v>1.7427973999999999</v>
      </c>
      <c r="J27">
        <v>1.9519782950819</v>
      </c>
      <c r="K27">
        <v>1.9519782950819</v>
      </c>
      <c r="L27">
        <v>1.9519782950819</v>
      </c>
    </row>
    <row r="28" spans="1:12" x14ac:dyDescent="0.2">
      <c r="A28" s="8" t="s">
        <v>32</v>
      </c>
      <c r="B28" s="8" t="s">
        <v>61</v>
      </c>
      <c r="C28" s="8" t="s">
        <v>62</v>
      </c>
      <c r="D28" s="8" t="s">
        <v>63</v>
      </c>
      <c r="E28" s="8" t="s">
        <v>72</v>
      </c>
      <c r="F28" s="8" t="s">
        <v>73</v>
      </c>
      <c r="G28" s="8" t="s">
        <v>7</v>
      </c>
      <c r="H28" s="8" t="s">
        <v>38</v>
      </c>
      <c r="I28" s="9"/>
    </row>
    <row r="29" spans="1:12" x14ac:dyDescent="0.2">
      <c r="A29" s="8" t="s">
        <v>32</v>
      </c>
      <c r="B29" s="8" t="s">
        <v>61</v>
      </c>
      <c r="C29" s="8" t="s">
        <v>62</v>
      </c>
      <c r="D29" s="8" t="s">
        <v>63</v>
      </c>
      <c r="E29" s="8" t="s">
        <v>74</v>
      </c>
      <c r="F29" s="8" t="s">
        <v>75</v>
      </c>
      <c r="G29" s="8" t="s">
        <v>7</v>
      </c>
      <c r="H29" s="8" t="s">
        <v>38</v>
      </c>
      <c r="I29" s="9"/>
    </row>
    <row r="30" spans="1:12" x14ac:dyDescent="0.2">
      <c r="A30" s="8" t="s">
        <v>32</v>
      </c>
      <c r="B30" s="8" t="s">
        <v>61</v>
      </c>
      <c r="C30" s="8" t="s">
        <v>62</v>
      </c>
      <c r="D30" s="8" t="s">
        <v>63</v>
      </c>
      <c r="E30" s="8" t="s">
        <v>59</v>
      </c>
      <c r="F30" s="8" t="s">
        <v>60</v>
      </c>
      <c r="G30" s="8" t="s">
        <v>7</v>
      </c>
      <c r="H30" s="8" t="s">
        <v>38</v>
      </c>
      <c r="I30" s="9">
        <v>81.265878999999998</v>
      </c>
      <c r="J30">
        <v>81.665558471124996</v>
      </c>
      <c r="K30">
        <v>81.162568358781002</v>
      </c>
      <c r="L30">
        <v>81.955777119537998</v>
      </c>
    </row>
    <row r="31" spans="1:12" x14ac:dyDescent="0.2">
      <c r="A31" s="8" t="s">
        <v>32</v>
      </c>
      <c r="B31" s="8" t="s">
        <v>61</v>
      </c>
      <c r="C31" s="8" t="s">
        <v>62</v>
      </c>
      <c r="D31" s="8" t="s">
        <v>63</v>
      </c>
      <c r="E31" s="8" t="s">
        <v>76</v>
      </c>
      <c r="F31" s="8" t="s">
        <v>77</v>
      </c>
      <c r="G31" s="8" t="s">
        <v>7</v>
      </c>
      <c r="H31" s="8" t="s">
        <v>38</v>
      </c>
      <c r="I31" s="9">
        <v>6.4952380999999999</v>
      </c>
      <c r="J31">
        <v>1.04761904764</v>
      </c>
      <c r="K31">
        <v>2.5142857143359998</v>
      </c>
      <c r="L31">
        <v>1.7600000000352001</v>
      </c>
    </row>
    <row r="32" spans="1:12" x14ac:dyDescent="0.2">
      <c r="A32" s="8" t="s">
        <v>32</v>
      </c>
      <c r="B32" s="8" t="s">
        <v>61</v>
      </c>
      <c r="C32" s="8" t="s">
        <v>62</v>
      </c>
      <c r="D32" s="8" t="s">
        <v>63</v>
      </c>
      <c r="E32" s="8" t="s">
        <v>78</v>
      </c>
      <c r="F32" s="8" t="s">
        <v>79</v>
      </c>
      <c r="G32" s="8" t="s">
        <v>7</v>
      </c>
      <c r="H32" s="8" t="s">
        <v>38</v>
      </c>
      <c r="I32" s="9">
        <v>58.299988999999997</v>
      </c>
      <c r="J32">
        <v>39.442849971428998</v>
      </c>
      <c r="K32">
        <v>50.5999908</v>
      </c>
      <c r="L32">
        <v>50.5999908</v>
      </c>
    </row>
    <row r="33" spans="1:12" x14ac:dyDescent="0.2">
      <c r="A33" s="8" t="s">
        <v>32</v>
      </c>
      <c r="B33" s="8" t="s">
        <v>80</v>
      </c>
      <c r="C33" s="8" t="s">
        <v>81</v>
      </c>
      <c r="D33" s="8" t="s">
        <v>82</v>
      </c>
      <c r="E33" s="8" t="s">
        <v>36</v>
      </c>
      <c r="F33" s="8" t="s">
        <v>37</v>
      </c>
      <c r="G33" s="8" t="s">
        <v>7</v>
      </c>
      <c r="H33" s="8" t="s">
        <v>38</v>
      </c>
      <c r="I33" s="9">
        <v>3559.029</v>
      </c>
      <c r="J33">
        <v>3599.2004824199998</v>
      </c>
      <c r="K33">
        <v>3710.0270881199999</v>
      </c>
      <c r="L33">
        <v>3727.3555801575999</v>
      </c>
    </row>
    <row r="34" spans="1:12" x14ac:dyDescent="0.2">
      <c r="A34" s="8" t="s">
        <v>32</v>
      </c>
      <c r="B34" s="8" t="s">
        <v>80</v>
      </c>
      <c r="C34" s="8" t="s">
        <v>81</v>
      </c>
      <c r="D34" s="8" t="s">
        <v>82</v>
      </c>
      <c r="E34" s="8" t="s">
        <v>64</v>
      </c>
      <c r="F34" s="8" t="s">
        <v>65</v>
      </c>
      <c r="G34" s="8" t="s">
        <v>7</v>
      </c>
      <c r="H34" s="8" t="s">
        <v>38</v>
      </c>
      <c r="I34" s="9">
        <v>1224.7996000000001</v>
      </c>
      <c r="J34">
        <v>967.66202838000004</v>
      </c>
      <c r="K34">
        <v>895.81902744000001</v>
      </c>
      <c r="L34">
        <v>817.22048335276997</v>
      </c>
    </row>
    <row r="35" spans="1:12" x14ac:dyDescent="0.2">
      <c r="A35" s="8" t="s">
        <v>32</v>
      </c>
      <c r="B35" s="8" t="s">
        <v>80</v>
      </c>
      <c r="C35" s="8" t="s">
        <v>81</v>
      </c>
      <c r="D35" s="8" t="s">
        <v>82</v>
      </c>
      <c r="E35" s="8" t="s">
        <v>39</v>
      </c>
      <c r="F35" s="8" t="s">
        <v>40</v>
      </c>
      <c r="G35" s="8" t="s">
        <v>7</v>
      </c>
      <c r="H35" s="8" t="s">
        <v>38</v>
      </c>
      <c r="I35" s="9">
        <v>1061.1693</v>
      </c>
      <c r="J35">
        <v>1327.69246595</v>
      </c>
      <c r="K35">
        <v>1730.80932338</v>
      </c>
      <c r="L35">
        <v>1646.2978756478999</v>
      </c>
    </row>
    <row r="36" spans="1:12" x14ac:dyDescent="0.2">
      <c r="A36" s="8" t="s">
        <v>32</v>
      </c>
      <c r="B36" s="8" t="s">
        <v>80</v>
      </c>
      <c r="C36" s="8" t="s">
        <v>81</v>
      </c>
      <c r="D36" s="8" t="s">
        <v>82</v>
      </c>
      <c r="E36" s="8" t="s">
        <v>41</v>
      </c>
      <c r="F36" s="8" t="s">
        <v>42</v>
      </c>
      <c r="G36" s="8" t="s">
        <v>7</v>
      </c>
      <c r="H36" s="8" t="s">
        <v>38</v>
      </c>
      <c r="I36" s="9">
        <v>12.219722000000001</v>
      </c>
      <c r="J36">
        <v>10.68911415</v>
      </c>
      <c r="K36">
        <v>46.232572099999999</v>
      </c>
      <c r="L36">
        <v>52.106164986086</v>
      </c>
    </row>
    <row r="37" spans="1:12" x14ac:dyDescent="0.2">
      <c r="A37" s="8" t="s">
        <v>32</v>
      </c>
      <c r="B37" s="8" t="s">
        <v>80</v>
      </c>
      <c r="C37" s="8" t="s">
        <v>81</v>
      </c>
      <c r="D37" s="8" t="s">
        <v>82</v>
      </c>
      <c r="E37" s="8" t="s">
        <v>43</v>
      </c>
      <c r="F37" s="8" t="s">
        <v>44</v>
      </c>
      <c r="G37" s="8" t="s">
        <v>7</v>
      </c>
      <c r="H37" s="8" t="s">
        <v>38</v>
      </c>
      <c r="I37" s="9">
        <v>3870.8566999999998</v>
      </c>
      <c r="J37">
        <v>7051.3757661600002</v>
      </c>
      <c r="K37">
        <v>8220.7424381699002</v>
      </c>
      <c r="L37">
        <v>8479.7923839390005</v>
      </c>
    </row>
    <row r="38" spans="1:12" x14ac:dyDescent="0.2">
      <c r="A38" s="8" t="s">
        <v>32</v>
      </c>
      <c r="B38" s="8" t="s">
        <v>80</v>
      </c>
      <c r="C38" s="8" t="s">
        <v>81</v>
      </c>
      <c r="D38" s="8" t="s">
        <v>82</v>
      </c>
      <c r="E38" s="8" t="s">
        <v>45</v>
      </c>
      <c r="F38" s="8" t="s">
        <v>46</v>
      </c>
      <c r="G38" s="8" t="s">
        <v>7</v>
      </c>
      <c r="H38" s="8" t="s">
        <v>38</v>
      </c>
      <c r="I38" s="9">
        <v>16.677983000000001</v>
      </c>
      <c r="J38">
        <v>27.984746789999999</v>
      </c>
      <c r="K38">
        <v>32.839415700000004</v>
      </c>
      <c r="L38">
        <v>30.764549196082999</v>
      </c>
    </row>
    <row r="39" spans="1:12" x14ac:dyDescent="0.2">
      <c r="A39" s="8" t="s">
        <v>32</v>
      </c>
      <c r="B39" s="8" t="s">
        <v>80</v>
      </c>
      <c r="C39" s="8" t="s">
        <v>81</v>
      </c>
      <c r="D39" s="8" t="s">
        <v>82</v>
      </c>
      <c r="E39" s="8" t="s">
        <v>47</v>
      </c>
      <c r="F39" s="8" t="s">
        <v>48</v>
      </c>
      <c r="G39" s="8" t="s">
        <v>7</v>
      </c>
      <c r="H39" s="8" t="s">
        <v>38</v>
      </c>
      <c r="I39" s="9"/>
    </row>
    <row r="40" spans="1:12" x14ac:dyDescent="0.2">
      <c r="A40" s="8" t="s">
        <v>32</v>
      </c>
      <c r="B40" s="8" t="s">
        <v>80</v>
      </c>
      <c r="C40" s="8" t="s">
        <v>81</v>
      </c>
      <c r="D40" s="8" t="s">
        <v>82</v>
      </c>
      <c r="E40" s="8" t="s">
        <v>49</v>
      </c>
      <c r="F40" s="8" t="s">
        <v>50</v>
      </c>
      <c r="G40" s="8" t="s">
        <v>7</v>
      </c>
      <c r="H40" s="8" t="s">
        <v>38</v>
      </c>
      <c r="I40" s="9">
        <v>5344.2554</v>
      </c>
      <c r="J40">
        <v>7244.5449048399996</v>
      </c>
      <c r="K40">
        <v>6915.3735265599998</v>
      </c>
      <c r="L40">
        <v>7133.2890190478001</v>
      </c>
    </row>
    <row r="41" spans="1:12" x14ac:dyDescent="0.2">
      <c r="A41" s="8" t="s">
        <v>32</v>
      </c>
      <c r="B41" s="8" t="s">
        <v>80</v>
      </c>
      <c r="C41" s="8" t="s">
        <v>81</v>
      </c>
      <c r="D41" s="8" t="s">
        <v>82</v>
      </c>
      <c r="E41" s="8" t="s">
        <v>51</v>
      </c>
      <c r="F41" s="8" t="s">
        <v>52</v>
      </c>
      <c r="G41" s="8" t="s">
        <v>7</v>
      </c>
      <c r="H41" s="8" t="s">
        <v>38</v>
      </c>
      <c r="I41" s="9">
        <v>10.465832000000001</v>
      </c>
      <c r="J41">
        <v>21.589708139999999</v>
      </c>
      <c r="K41">
        <v>24.945817049999999</v>
      </c>
      <c r="L41">
        <v>25.731903294955998</v>
      </c>
    </row>
    <row r="42" spans="1:12" x14ac:dyDescent="0.2">
      <c r="A42" s="8" t="s">
        <v>32</v>
      </c>
      <c r="B42" s="8" t="s">
        <v>80</v>
      </c>
      <c r="C42" s="8" t="s">
        <v>81</v>
      </c>
      <c r="D42" s="8" t="s">
        <v>82</v>
      </c>
      <c r="E42" s="8" t="s">
        <v>53</v>
      </c>
      <c r="F42" s="8" t="s">
        <v>54</v>
      </c>
      <c r="G42" s="8" t="s">
        <v>7</v>
      </c>
      <c r="H42" s="8" t="s">
        <v>38</v>
      </c>
      <c r="I42" s="9">
        <v>3684.0374999999999</v>
      </c>
      <c r="J42">
        <v>3556.4531153840999</v>
      </c>
      <c r="K42">
        <v>3309.4100461598</v>
      </c>
      <c r="L42">
        <v>3625.7064705664998</v>
      </c>
    </row>
    <row r="43" spans="1:12" x14ac:dyDescent="0.2">
      <c r="A43" s="8" t="s">
        <v>32</v>
      </c>
      <c r="B43" s="8" t="s">
        <v>80</v>
      </c>
      <c r="C43" s="8" t="s">
        <v>81</v>
      </c>
      <c r="D43" s="8" t="s">
        <v>82</v>
      </c>
      <c r="E43" s="8" t="s">
        <v>70</v>
      </c>
      <c r="F43" s="8" t="s">
        <v>71</v>
      </c>
      <c r="G43" s="8" t="s">
        <v>7</v>
      </c>
      <c r="H43" s="8" t="s">
        <v>38</v>
      </c>
      <c r="I43" s="9">
        <v>1093.7409</v>
      </c>
      <c r="J43">
        <v>1093.7409196000001</v>
      </c>
      <c r="K43">
        <v>1132.8030953</v>
      </c>
      <c r="L43">
        <v>1131.5251374976001</v>
      </c>
    </row>
    <row r="44" spans="1:12" x14ac:dyDescent="0.2">
      <c r="A44" s="8" t="s">
        <v>32</v>
      </c>
      <c r="B44" s="8" t="s">
        <v>80</v>
      </c>
      <c r="C44" s="8" t="s">
        <v>81</v>
      </c>
      <c r="D44" s="8" t="s">
        <v>82</v>
      </c>
      <c r="E44" s="8" t="s">
        <v>83</v>
      </c>
      <c r="F44" s="8" t="s">
        <v>84</v>
      </c>
      <c r="G44" s="8" t="s">
        <v>7</v>
      </c>
      <c r="H44" s="8" t="s">
        <v>38</v>
      </c>
      <c r="I44" s="9">
        <v>600</v>
      </c>
      <c r="J44">
        <v>600</v>
      </c>
      <c r="K44">
        <v>600</v>
      </c>
      <c r="L44">
        <v>600</v>
      </c>
    </row>
    <row r="45" spans="1:12" x14ac:dyDescent="0.2">
      <c r="A45" s="8" t="s">
        <v>32</v>
      </c>
      <c r="B45" s="8" t="s">
        <v>80</v>
      </c>
      <c r="C45" s="8" t="s">
        <v>81</v>
      </c>
      <c r="D45" s="8" t="s">
        <v>82</v>
      </c>
      <c r="E45" s="8" t="s">
        <v>55</v>
      </c>
      <c r="F45" s="8" t="s">
        <v>56</v>
      </c>
      <c r="G45" s="8" t="s">
        <v>7</v>
      </c>
      <c r="H45" s="8" t="s">
        <v>38</v>
      </c>
      <c r="I45" s="9">
        <v>1.4749939000000001</v>
      </c>
      <c r="J45">
        <v>1.6520314245072001</v>
      </c>
      <c r="K45">
        <v>1.6520314245072001</v>
      </c>
      <c r="L45">
        <v>1.6520314245072001</v>
      </c>
    </row>
    <row r="46" spans="1:12" x14ac:dyDescent="0.2">
      <c r="A46" s="8" t="s">
        <v>32</v>
      </c>
      <c r="B46" s="8" t="s">
        <v>80</v>
      </c>
      <c r="C46" s="8" t="s">
        <v>81</v>
      </c>
      <c r="D46" s="8" t="s">
        <v>82</v>
      </c>
      <c r="E46" s="8" t="s">
        <v>57</v>
      </c>
      <c r="F46" s="8" t="s">
        <v>58</v>
      </c>
      <c r="G46" s="8" t="s">
        <v>7</v>
      </c>
      <c r="H46" s="8" t="s">
        <v>38</v>
      </c>
      <c r="I46" s="9">
        <v>4.7922988000000002</v>
      </c>
      <c r="J46">
        <v>5.3674988940782002</v>
      </c>
      <c r="K46">
        <v>5.3674988940782002</v>
      </c>
      <c r="L46">
        <v>5.3674988940782002</v>
      </c>
    </row>
    <row r="47" spans="1:12" x14ac:dyDescent="0.2">
      <c r="A47" s="8" t="s">
        <v>32</v>
      </c>
      <c r="B47" s="8" t="s">
        <v>80</v>
      </c>
      <c r="C47" s="8" t="s">
        <v>81</v>
      </c>
      <c r="D47" s="8" t="s">
        <v>82</v>
      </c>
      <c r="E47" s="8" t="s">
        <v>74</v>
      </c>
      <c r="F47" s="8" t="s">
        <v>75</v>
      </c>
      <c r="G47" s="8" t="s">
        <v>7</v>
      </c>
      <c r="H47" s="8" t="s">
        <v>38</v>
      </c>
      <c r="I47" s="9"/>
    </row>
    <row r="48" spans="1:12" x14ac:dyDescent="0.2">
      <c r="A48" s="8" t="s">
        <v>32</v>
      </c>
      <c r="B48" s="8" t="s">
        <v>80</v>
      </c>
      <c r="C48" s="8" t="s">
        <v>81</v>
      </c>
      <c r="D48" s="8" t="s">
        <v>82</v>
      </c>
      <c r="E48" s="8" t="s">
        <v>59</v>
      </c>
      <c r="F48" s="8" t="s">
        <v>60</v>
      </c>
      <c r="G48" s="8" t="s">
        <v>7</v>
      </c>
      <c r="H48" s="8" t="s">
        <v>38</v>
      </c>
      <c r="I48" s="9">
        <v>54.519578000000003</v>
      </c>
      <c r="J48">
        <v>56.158239642402002</v>
      </c>
      <c r="K48">
        <v>57.891779294072997</v>
      </c>
      <c r="L48">
        <v>59.196154400341001</v>
      </c>
    </row>
    <row r="49" spans="1:12" x14ac:dyDescent="0.2">
      <c r="A49" s="8" t="s">
        <v>32</v>
      </c>
      <c r="B49" s="8" t="s">
        <v>33</v>
      </c>
      <c r="C49" s="8" t="s">
        <v>85</v>
      </c>
      <c r="D49" s="8" t="s">
        <v>86</v>
      </c>
      <c r="E49" s="8" t="s">
        <v>36</v>
      </c>
      <c r="F49" s="8" t="s">
        <v>37</v>
      </c>
      <c r="G49" s="8" t="s">
        <v>7</v>
      </c>
      <c r="H49" s="8" t="s">
        <v>38</v>
      </c>
      <c r="I49" s="9">
        <v>0.86982369999999998</v>
      </c>
      <c r="J49">
        <v>0.88038300292564997</v>
      </c>
      <c r="K49">
        <v>0.86853110391779997</v>
      </c>
      <c r="L49">
        <v>0.89314835205507004</v>
      </c>
    </row>
    <row r="50" spans="1:12" x14ac:dyDescent="0.2">
      <c r="A50" s="8" t="s">
        <v>32</v>
      </c>
      <c r="B50" s="8" t="s">
        <v>33</v>
      </c>
      <c r="C50" s="8" t="s">
        <v>85</v>
      </c>
      <c r="D50" s="8" t="s">
        <v>86</v>
      </c>
      <c r="E50" s="8" t="s">
        <v>39</v>
      </c>
      <c r="F50" s="8" t="s">
        <v>40</v>
      </c>
      <c r="G50" s="8" t="s">
        <v>7</v>
      </c>
      <c r="H50" s="8" t="s">
        <v>38</v>
      </c>
      <c r="I50" s="9">
        <v>0.97387789999999996</v>
      </c>
      <c r="J50">
        <v>0.93919574919649995</v>
      </c>
      <c r="K50">
        <v>0.93266558680440004</v>
      </c>
      <c r="L50">
        <v>0.93123441104370996</v>
      </c>
    </row>
    <row r="51" spans="1:12" x14ac:dyDescent="0.2">
      <c r="A51" s="8" t="s">
        <v>32</v>
      </c>
      <c r="B51" s="8" t="s">
        <v>33</v>
      </c>
      <c r="C51" s="8" t="s">
        <v>85</v>
      </c>
      <c r="D51" s="8" t="s">
        <v>86</v>
      </c>
      <c r="E51" s="8" t="s">
        <v>43</v>
      </c>
      <c r="F51" s="8" t="s">
        <v>44</v>
      </c>
      <c r="G51" s="8" t="s">
        <v>7</v>
      </c>
      <c r="H51" s="8" t="s">
        <v>38</v>
      </c>
      <c r="I51" s="9">
        <v>20.922917999999999</v>
      </c>
      <c r="J51">
        <v>20.162084531141002</v>
      </c>
      <c r="K51">
        <v>20.024067458906998</v>
      </c>
      <c r="L51">
        <v>19.983520983548999</v>
      </c>
    </row>
    <row r="52" spans="1:12" x14ac:dyDescent="0.2">
      <c r="A52" s="8" t="s">
        <v>32</v>
      </c>
      <c r="B52" s="8" t="s">
        <v>33</v>
      </c>
      <c r="C52" s="8" t="s">
        <v>85</v>
      </c>
      <c r="D52" s="8" t="s">
        <v>86</v>
      </c>
      <c r="E52" s="8" t="s">
        <v>49</v>
      </c>
      <c r="F52" s="8" t="s">
        <v>50</v>
      </c>
      <c r="G52" s="8" t="s">
        <v>7</v>
      </c>
      <c r="H52" s="8" t="s">
        <v>38</v>
      </c>
      <c r="I52" s="9">
        <v>1.1393199999999999E-2</v>
      </c>
      <c r="J52">
        <v>1.0990383914575999E-2</v>
      </c>
      <c r="K52">
        <v>1.0913568127172001E-2</v>
      </c>
      <c r="L52">
        <v>1.0898634448251E-2</v>
      </c>
    </row>
    <row r="53" spans="1:12" x14ac:dyDescent="0.2">
      <c r="A53" s="8" t="s">
        <v>32</v>
      </c>
      <c r="B53" s="8" t="s">
        <v>33</v>
      </c>
      <c r="C53" s="8" t="s">
        <v>85</v>
      </c>
      <c r="D53" s="8" t="s">
        <v>86</v>
      </c>
      <c r="E53" s="8" t="s">
        <v>51</v>
      </c>
      <c r="F53" s="8" t="s">
        <v>52</v>
      </c>
      <c r="G53" s="8" t="s">
        <v>7</v>
      </c>
      <c r="H53" s="8" t="s">
        <v>38</v>
      </c>
      <c r="I53" s="9">
        <v>2.6962000000000002E-3</v>
      </c>
      <c r="J53">
        <v>2.6295986691649998E-3</v>
      </c>
      <c r="K53">
        <v>2.6110126948774002E-3</v>
      </c>
      <c r="L53">
        <v>2.6306032037731E-3</v>
      </c>
    </row>
    <row r="54" spans="1:12" x14ac:dyDescent="0.2">
      <c r="A54" s="8" t="s">
        <v>32</v>
      </c>
      <c r="B54" s="8" t="s">
        <v>33</v>
      </c>
      <c r="C54" s="8" t="s">
        <v>85</v>
      </c>
      <c r="D54" s="8" t="s">
        <v>86</v>
      </c>
      <c r="E54" s="8" t="s">
        <v>68</v>
      </c>
      <c r="F54" s="8" t="s">
        <v>69</v>
      </c>
      <c r="G54" s="8" t="s">
        <v>7</v>
      </c>
      <c r="H54" s="8" t="s">
        <v>38</v>
      </c>
      <c r="I54" s="9"/>
    </row>
    <row r="55" spans="1:12" x14ac:dyDescent="0.2">
      <c r="A55" s="8" t="s">
        <v>32</v>
      </c>
      <c r="B55" s="8" t="s">
        <v>33</v>
      </c>
      <c r="C55" s="8" t="s">
        <v>85</v>
      </c>
      <c r="D55" s="8" t="s">
        <v>86</v>
      </c>
      <c r="E55" s="8" t="s">
        <v>53</v>
      </c>
      <c r="F55" s="8" t="s">
        <v>54</v>
      </c>
      <c r="G55" s="8" t="s">
        <v>7</v>
      </c>
      <c r="H55" s="8" t="s">
        <v>38</v>
      </c>
      <c r="I55" s="9"/>
    </row>
    <row r="56" spans="1:12" x14ac:dyDescent="0.2">
      <c r="A56" s="8" t="s">
        <v>32</v>
      </c>
      <c r="B56" s="8" t="s">
        <v>33</v>
      </c>
      <c r="C56" s="8" t="s">
        <v>85</v>
      </c>
      <c r="D56" s="8" t="s">
        <v>86</v>
      </c>
      <c r="E56" s="8" t="s">
        <v>55</v>
      </c>
      <c r="F56" s="8" t="s">
        <v>56</v>
      </c>
      <c r="G56" s="8" t="s">
        <v>7</v>
      </c>
      <c r="H56" s="8" t="s">
        <v>38</v>
      </c>
      <c r="I56" s="9">
        <v>7.607E-4</v>
      </c>
      <c r="J56">
        <v>7.6831851673508E-4</v>
      </c>
      <c r="K56">
        <v>7.7598812079347995E-4</v>
      </c>
      <c r="L56">
        <v>7.8352566553786004E-4</v>
      </c>
    </row>
    <row r="57" spans="1:12" x14ac:dyDescent="0.2">
      <c r="A57" s="8" t="s">
        <v>32</v>
      </c>
      <c r="B57" s="8" t="s">
        <v>33</v>
      </c>
      <c r="C57" s="8" t="s">
        <v>85</v>
      </c>
      <c r="D57" s="8" t="s">
        <v>86</v>
      </c>
      <c r="E57" s="8" t="s">
        <v>57</v>
      </c>
      <c r="F57" s="8" t="s">
        <v>58</v>
      </c>
      <c r="G57" s="8" t="s">
        <v>7</v>
      </c>
      <c r="H57" s="8" t="s">
        <v>38</v>
      </c>
      <c r="I57" s="9"/>
    </row>
    <row r="58" spans="1:12" x14ac:dyDescent="0.2">
      <c r="A58" s="8" t="s">
        <v>32</v>
      </c>
      <c r="B58" s="8" t="s">
        <v>33</v>
      </c>
      <c r="C58" s="8" t="s">
        <v>85</v>
      </c>
      <c r="D58" s="8" t="s">
        <v>86</v>
      </c>
      <c r="E58" s="8" t="s">
        <v>59</v>
      </c>
      <c r="F58" s="8" t="s">
        <v>60</v>
      </c>
      <c r="G58" s="8" t="s">
        <v>7</v>
      </c>
      <c r="H58" s="8" t="s">
        <v>38</v>
      </c>
      <c r="I58" s="9">
        <v>9.4686800000000002E-2</v>
      </c>
      <c r="J58">
        <v>9.4275945594801999E-2</v>
      </c>
      <c r="K58">
        <v>9.4275945594801999E-2</v>
      </c>
      <c r="L58">
        <v>9.5727608634454994E-2</v>
      </c>
    </row>
    <row r="59" spans="1:12" x14ac:dyDescent="0.2">
      <c r="A59" s="8" t="s">
        <v>87</v>
      </c>
      <c r="B59" s="8" t="s">
        <v>87</v>
      </c>
      <c r="C59" s="8" t="s">
        <v>88</v>
      </c>
      <c r="D59" s="8" t="s">
        <v>87</v>
      </c>
      <c r="E59" s="8" t="s">
        <v>41</v>
      </c>
      <c r="F59" s="8" t="s">
        <v>42</v>
      </c>
      <c r="G59" s="8" t="s">
        <v>7</v>
      </c>
      <c r="H59" s="8" t="s">
        <v>38</v>
      </c>
      <c r="I59" s="9">
        <v>295699.05</v>
      </c>
      <c r="J59">
        <v>326402.53300583002</v>
      </c>
      <c r="K59">
        <v>471471.36960853997</v>
      </c>
      <c r="L59">
        <v>570728.50005243998</v>
      </c>
    </row>
    <row r="60" spans="1:12" x14ac:dyDescent="0.2">
      <c r="A60" s="8" t="s">
        <v>32</v>
      </c>
      <c r="B60" s="8" t="s">
        <v>89</v>
      </c>
      <c r="C60" s="8" t="s">
        <v>90</v>
      </c>
      <c r="D60" s="8" t="s">
        <v>91</v>
      </c>
      <c r="E60" s="8" t="s">
        <v>36</v>
      </c>
      <c r="F60" s="8" t="s">
        <v>37</v>
      </c>
      <c r="G60" s="8" t="s">
        <v>7</v>
      </c>
      <c r="H60" s="8" t="s">
        <v>38</v>
      </c>
      <c r="I60" s="9"/>
    </row>
    <row r="61" spans="1:12" x14ac:dyDescent="0.2">
      <c r="A61" s="8" t="s">
        <v>32</v>
      </c>
      <c r="B61" s="8" t="s">
        <v>89</v>
      </c>
      <c r="C61" s="8" t="s">
        <v>90</v>
      </c>
      <c r="D61" s="8" t="s">
        <v>91</v>
      </c>
      <c r="E61" s="8" t="s">
        <v>64</v>
      </c>
      <c r="F61" s="8" t="s">
        <v>65</v>
      </c>
      <c r="G61" s="8" t="s">
        <v>7</v>
      </c>
      <c r="H61" s="8" t="s">
        <v>38</v>
      </c>
      <c r="I61" s="9">
        <v>134.14424</v>
      </c>
      <c r="J61">
        <v>146.51453720000001</v>
      </c>
      <c r="K61">
        <v>118.80380029</v>
      </c>
      <c r="L61">
        <v>116.66038635984999</v>
      </c>
    </row>
    <row r="62" spans="1:12" x14ac:dyDescent="0.2">
      <c r="A62" s="8" t="s">
        <v>32</v>
      </c>
      <c r="B62" s="8" t="s">
        <v>89</v>
      </c>
      <c r="C62" s="8" t="s">
        <v>90</v>
      </c>
      <c r="D62" s="8" t="s">
        <v>91</v>
      </c>
      <c r="E62" s="8" t="s">
        <v>39</v>
      </c>
      <c r="F62" s="8" t="s">
        <v>40</v>
      </c>
      <c r="G62" s="8" t="s">
        <v>7</v>
      </c>
      <c r="H62" s="8" t="s">
        <v>38</v>
      </c>
      <c r="I62" s="9">
        <v>981.57101999999998</v>
      </c>
      <c r="J62">
        <v>1200.23863665</v>
      </c>
      <c r="K62">
        <v>1045.13579906</v>
      </c>
      <c r="L62">
        <v>939.18353156080002</v>
      </c>
    </row>
    <row r="63" spans="1:12" x14ac:dyDescent="0.2">
      <c r="A63" s="8" t="s">
        <v>32</v>
      </c>
      <c r="B63" s="8" t="s">
        <v>89</v>
      </c>
      <c r="C63" s="8" t="s">
        <v>90</v>
      </c>
      <c r="D63" s="8" t="s">
        <v>91</v>
      </c>
      <c r="E63" s="8" t="s">
        <v>41</v>
      </c>
      <c r="F63" s="8" t="s">
        <v>42</v>
      </c>
      <c r="G63" s="8" t="s">
        <v>7</v>
      </c>
      <c r="H63" s="8" t="s">
        <v>38</v>
      </c>
      <c r="I63" s="9"/>
    </row>
    <row r="64" spans="1:12" x14ac:dyDescent="0.2">
      <c r="A64" s="8" t="s">
        <v>32</v>
      </c>
      <c r="B64" s="8" t="s">
        <v>89</v>
      </c>
      <c r="C64" s="8" t="s">
        <v>90</v>
      </c>
      <c r="D64" s="8" t="s">
        <v>91</v>
      </c>
      <c r="E64" s="8" t="s">
        <v>43</v>
      </c>
      <c r="F64" s="8" t="s">
        <v>44</v>
      </c>
      <c r="G64" s="8" t="s">
        <v>7</v>
      </c>
      <c r="H64" s="8" t="s">
        <v>38</v>
      </c>
      <c r="I64" s="9">
        <v>1421.5428999999999</v>
      </c>
      <c r="J64">
        <v>1631.4186066300001</v>
      </c>
      <c r="K64">
        <v>1553.3600121500001</v>
      </c>
      <c r="L64">
        <v>1419.4118589776999</v>
      </c>
    </row>
    <row r="65" spans="1:12" x14ac:dyDescent="0.2">
      <c r="A65" s="8" t="s">
        <v>32</v>
      </c>
      <c r="B65" s="8" t="s">
        <v>89</v>
      </c>
      <c r="C65" s="8" t="s">
        <v>90</v>
      </c>
      <c r="D65" s="8" t="s">
        <v>91</v>
      </c>
      <c r="E65" s="8" t="s">
        <v>66</v>
      </c>
      <c r="F65" s="8" t="s">
        <v>67</v>
      </c>
      <c r="G65" s="8" t="s">
        <v>7</v>
      </c>
      <c r="H65" s="8" t="s">
        <v>38</v>
      </c>
      <c r="I65" s="9">
        <v>6.6599598000000002</v>
      </c>
      <c r="J65">
        <v>6.6599598000000002</v>
      </c>
      <c r="K65">
        <v>6.6599598000000002</v>
      </c>
      <c r="L65">
        <v>6.3428858999999997</v>
      </c>
    </row>
    <row r="66" spans="1:12" x14ac:dyDescent="0.2">
      <c r="A66" s="8" t="s">
        <v>32</v>
      </c>
      <c r="B66" s="8" t="s">
        <v>89</v>
      </c>
      <c r="C66" s="8" t="s">
        <v>90</v>
      </c>
      <c r="D66" s="8" t="s">
        <v>91</v>
      </c>
      <c r="E66" s="8" t="s">
        <v>45</v>
      </c>
      <c r="F66" s="8" t="s">
        <v>46</v>
      </c>
      <c r="G66" s="8" t="s">
        <v>7</v>
      </c>
      <c r="H66" s="8" t="s">
        <v>38</v>
      </c>
      <c r="I66" s="9">
        <v>104.2666</v>
      </c>
      <c r="J66">
        <v>110.60948907</v>
      </c>
      <c r="K66">
        <v>108.03564591</v>
      </c>
      <c r="L66">
        <v>104.39273355764</v>
      </c>
    </row>
    <row r="67" spans="1:12" x14ac:dyDescent="0.2">
      <c r="A67" s="8" t="s">
        <v>32</v>
      </c>
      <c r="B67" s="8" t="s">
        <v>89</v>
      </c>
      <c r="C67" s="8" t="s">
        <v>90</v>
      </c>
      <c r="D67" s="8" t="s">
        <v>91</v>
      </c>
      <c r="E67" s="8" t="s">
        <v>47</v>
      </c>
      <c r="F67" s="8" t="s">
        <v>48</v>
      </c>
      <c r="G67" s="8" t="s">
        <v>7</v>
      </c>
      <c r="H67" s="8" t="s">
        <v>38</v>
      </c>
      <c r="I67" s="9"/>
    </row>
    <row r="68" spans="1:12" x14ac:dyDescent="0.2">
      <c r="A68" s="8" t="s">
        <v>32</v>
      </c>
      <c r="B68" s="8" t="s">
        <v>89</v>
      </c>
      <c r="C68" s="8" t="s">
        <v>90</v>
      </c>
      <c r="D68" s="8" t="s">
        <v>91</v>
      </c>
      <c r="E68" s="8" t="s">
        <v>49</v>
      </c>
      <c r="F68" s="8" t="s">
        <v>50</v>
      </c>
      <c r="G68" s="8" t="s">
        <v>7</v>
      </c>
      <c r="H68" s="8" t="s">
        <v>38</v>
      </c>
      <c r="I68" s="9">
        <v>744.51868999999999</v>
      </c>
      <c r="J68">
        <v>795.58225864999997</v>
      </c>
      <c r="K68">
        <v>782.69884870999999</v>
      </c>
      <c r="L68">
        <v>743.86500356127999</v>
      </c>
    </row>
    <row r="69" spans="1:12" x14ac:dyDescent="0.2">
      <c r="A69" s="8" t="s">
        <v>32</v>
      </c>
      <c r="B69" s="8" t="s">
        <v>89</v>
      </c>
      <c r="C69" s="8" t="s">
        <v>90</v>
      </c>
      <c r="D69" s="8" t="s">
        <v>91</v>
      </c>
      <c r="E69" s="8" t="s">
        <v>51</v>
      </c>
      <c r="F69" s="8" t="s">
        <v>52</v>
      </c>
      <c r="G69" s="8" t="s">
        <v>7</v>
      </c>
      <c r="H69" s="8" t="s">
        <v>38</v>
      </c>
      <c r="I69" s="9"/>
    </row>
    <row r="70" spans="1:12" x14ac:dyDescent="0.2">
      <c r="A70" s="8" t="s">
        <v>32</v>
      </c>
      <c r="B70" s="8" t="s">
        <v>89</v>
      </c>
      <c r="C70" s="8" t="s">
        <v>90</v>
      </c>
      <c r="D70" s="8" t="s">
        <v>91</v>
      </c>
      <c r="E70" s="8" t="s">
        <v>68</v>
      </c>
      <c r="F70" s="8" t="s">
        <v>69</v>
      </c>
      <c r="G70" s="8" t="s">
        <v>7</v>
      </c>
      <c r="H70" s="8" t="s">
        <v>38</v>
      </c>
      <c r="I70" s="9">
        <v>1.0877941</v>
      </c>
      <c r="J70">
        <v>2.0548161931034001</v>
      </c>
      <c r="K70">
        <v>1.8521445331083</v>
      </c>
      <c r="L70">
        <v>2.3978682136418001</v>
      </c>
    </row>
    <row r="71" spans="1:12" x14ac:dyDescent="0.2">
      <c r="A71" s="8" t="s">
        <v>32</v>
      </c>
      <c r="B71" s="8" t="s">
        <v>89</v>
      </c>
      <c r="C71" s="8" t="s">
        <v>90</v>
      </c>
      <c r="D71" s="8" t="s">
        <v>91</v>
      </c>
      <c r="E71" s="8" t="s">
        <v>53</v>
      </c>
      <c r="F71" s="8" t="s">
        <v>54</v>
      </c>
      <c r="G71" s="8" t="s">
        <v>7</v>
      </c>
      <c r="H71" s="8" t="s">
        <v>38</v>
      </c>
      <c r="I71" s="9">
        <v>5.6326428999999996</v>
      </c>
      <c r="J71">
        <v>5.4212609152526996</v>
      </c>
      <c r="K71">
        <v>19.305576998277001</v>
      </c>
      <c r="L71">
        <v>6.9072627910940998</v>
      </c>
    </row>
    <row r="72" spans="1:12" x14ac:dyDescent="0.2">
      <c r="A72" s="8" t="s">
        <v>32</v>
      </c>
      <c r="B72" s="8" t="s">
        <v>89</v>
      </c>
      <c r="C72" s="8" t="s">
        <v>90</v>
      </c>
      <c r="D72" s="8" t="s">
        <v>91</v>
      </c>
      <c r="E72" s="8" t="s">
        <v>70</v>
      </c>
      <c r="F72" s="8" t="s">
        <v>71</v>
      </c>
      <c r="G72" s="8" t="s">
        <v>7</v>
      </c>
      <c r="H72" s="8" t="s">
        <v>38</v>
      </c>
      <c r="I72" s="9">
        <v>1004.7901000000001</v>
      </c>
      <c r="J72">
        <v>997.22030258699999</v>
      </c>
      <c r="K72">
        <v>689.24935016999996</v>
      </c>
      <c r="L72">
        <v>688.47178203969997</v>
      </c>
    </row>
    <row r="73" spans="1:12" x14ac:dyDescent="0.2">
      <c r="A73" s="8" t="s">
        <v>32</v>
      </c>
      <c r="B73" s="8" t="s">
        <v>89</v>
      </c>
      <c r="C73" s="8" t="s">
        <v>90</v>
      </c>
      <c r="D73" s="8" t="s">
        <v>91</v>
      </c>
      <c r="E73" s="8" t="s">
        <v>55</v>
      </c>
      <c r="F73" s="8" t="s">
        <v>56</v>
      </c>
      <c r="G73" s="8" t="s">
        <v>7</v>
      </c>
      <c r="H73" s="8" t="s">
        <v>38</v>
      </c>
      <c r="I73" s="9">
        <v>0.15307460000000001</v>
      </c>
      <c r="J73">
        <v>0.17144749753899999</v>
      </c>
      <c r="K73">
        <v>0.17144749753899999</v>
      </c>
      <c r="L73">
        <v>0.17144749753899999</v>
      </c>
    </row>
    <row r="74" spans="1:12" x14ac:dyDescent="0.2">
      <c r="A74" s="8" t="s">
        <v>32</v>
      </c>
      <c r="B74" s="8" t="s">
        <v>89</v>
      </c>
      <c r="C74" s="8" t="s">
        <v>90</v>
      </c>
      <c r="D74" s="8" t="s">
        <v>91</v>
      </c>
      <c r="E74" s="8" t="s">
        <v>57</v>
      </c>
      <c r="F74" s="8" t="s">
        <v>58</v>
      </c>
      <c r="G74" s="8" t="s">
        <v>7</v>
      </c>
      <c r="H74" s="8" t="s">
        <v>38</v>
      </c>
      <c r="I74" s="9">
        <v>3.8730000000000001E-3</v>
      </c>
      <c r="J74">
        <v>4.3378661292745998E-3</v>
      </c>
      <c r="K74">
        <v>4.3378661292745998E-3</v>
      </c>
      <c r="L74">
        <v>4.3378661292745998E-3</v>
      </c>
    </row>
    <row r="75" spans="1:12" x14ac:dyDescent="0.2">
      <c r="A75" s="8" t="s">
        <v>32</v>
      </c>
      <c r="B75" s="8" t="s">
        <v>89</v>
      </c>
      <c r="C75" s="8" t="s">
        <v>90</v>
      </c>
      <c r="D75" s="8" t="s">
        <v>91</v>
      </c>
      <c r="E75" s="8" t="s">
        <v>72</v>
      </c>
      <c r="F75" s="8" t="s">
        <v>73</v>
      </c>
      <c r="G75" s="8" t="s">
        <v>7</v>
      </c>
      <c r="H75" s="8" t="s">
        <v>38</v>
      </c>
      <c r="I75" s="9"/>
    </row>
    <row r="76" spans="1:12" x14ac:dyDescent="0.2">
      <c r="A76" s="8" t="s">
        <v>32</v>
      </c>
      <c r="B76" s="8" t="s">
        <v>89</v>
      </c>
      <c r="C76" s="8" t="s">
        <v>90</v>
      </c>
      <c r="D76" s="8" t="s">
        <v>91</v>
      </c>
      <c r="E76" s="8" t="s">
        <v>74</v>
      </c>
      <c r="F76" s="8" t="s">
        <v>75</v>
      </c>
      <c r="G76" s="8" t="s">
        <v>7</v>
      </c>
      <c r="H76" s="8" t="s">
        <v>38</v>
      </c>
      <c r="I76" s="9">
        <v>85.605900000000005</v>
      </c>
      <c r="J76">
        <v>150.81</v>
      </c>
      <c r="K76">
        <v>120.2522</v>
      </c>
      <c r="L76">
        <v>114.97373809488001</v>
      </c>
    </row>
    <row r="77" spans="1:12" x14ac:dyDescent="0.2">
      <c r="A77" s="8" t="s">
        <v>32</v>
      </c>
      <c r="B77" s="8" t="s">
        <v>89</v>
      </c>
      <c r="C77" s="8" t="s">
        <v>90</v>
      </c>
      <c r="D77" s="8" t="s">
        <v>91</v>
      </c>
      <c r="E77" s="8" t="s">
        <v>59</v>
      </c>
      <c r="F77" s="8" t="s">
        <v>60</v>
      </c>
      <c r="G77" s="8" t="s">
        <v>7</v>
      </c>
      <c r="H77" s="8" t="s">
        <v>38</v>
      </c>
      <c r="I77" s="9">
        <v>14.336410000000001</v>
      </c>
      <c r="J77">
        <v>14.371807899954</v>
      </c>
      <c r="K77">
        <v>14.841114800315999</v>
      </c>
      <c r="L77">
        <v>14.929802862053</v>
      </c>
    </row>
    <row r="78" spans="1:12" x14ac:dyDescent="0.2">
      <c r="A78" s="8" t="s">
        <v>32</v>
      </c>
      <c r="B78" s="8" t="s">
        <v>89</v>
      </c>
      <c r="C78" s="8" t="s">
        <v>90</v>
      </c>
      <c r="D78" s="8" t="s">
        <v>91</v>
      </c>
      <c r="E78" s="8" t="s">
        <v>76</v>
      </c>
      <c r="F78" s="8" t="s">
        <v>77</v>
      </c>
      <c r="G78" s="8" t="s">
        <v>7</v>
      </c>
      <c r="H78" s="8" t="s">
        <v>38</v>
      </c>
      <c r="I78" s="9">
        <v>32.266666999999998</v>
      </c>
      <c r="J78">
        <v>24.619047619716</v>
      </c>
      <c r="K78">
        <v>37.714285715216</v>
      </c>
      <c r="L78">
        <v>39.264761905758</v>
      </c>
    </row>
    <row r="79" spans="1:12" x14ac:dyDescent="0.2">
      <c r="A79" s="8" t="s">
        <v>32</v>
      </c>
      <c r="B79" s="8" t="s">
        <v>89</v>
      </c>
      <c r="C79" s="8" t="s">
        <v>90</v>
      </c>
      <c r="D79" s="8" t="s">
        <v>91</v>
      </c>
      <c r="E79" s="8" t="s">
        <v>78</v>
      </c>
      <c r="F79" s="8" t="s">
        <v>79</v>
      </c>
      <c r="G79" s="8" t="s">
        <v>7</v>
      </c>
      <c r="H79" s="8" t="s">
        <v>38</v>
      </c>
      <c r="I79" s="9">
        <v>28.285709000000001</v>
      </c>
      <c r="J79">
        <v>23.728567114286001</v>
      </c>
      <c r="K79">
        <v>22.942852971429001</v>
      </c>
      <c r="L79">
        <v>22.691424445713999</v>
      </c>
    </row>
    <row r="80" spans="1:12" x14ac:dyDescent="0.2">
      <c r="A80" s="8" t="s">
        <v>32</v>
      </c>
      <c r="B80" s="8" t="s">
        <v>89</v>
      </c>
      <c r="C80" s="8" t="s">
        <v>90</v>
      </c>
      <c r="D80" s="8" t="s">
        <v>91</v>
      </c>
      <c r="E80" s="8" t="s">
        <v>92</v>
      </c>
      <c r="F80" s="8" t="s">
        <v>93</v>
      </c>
      <c r="G80" s="8" t="s">
        <v>7</v>
      </c>
      <c r="H80" s="8" t="s">
        <v>38</v>
      </c>
      <c r="I80" s="9">
        <v>2.7823294000000001</v>
      </c>
      <c r="J80">
        <v>2.8186437952640002</v>
      </c>
      <c r="K80">
        <v>2.8554321096475999</v>
      </c>
      <c r="L80">
        <v>2.8973365583890001</v>
      </c>
    </row>
    <row r="81" spans="1:12" x14ac:dyDescent="0.2">
      <c r="A81" s="8" t="s">
        <v>32</v>
      </c>
      <c r="B81" s="8" t="s">
        <v>33</v>
      </c>
      <c r="C81" s="8" t="s">
        <v>94</v>
      </c>
      <c r="D81" s="8" t="s">
        <v>95</v>
      </c>
      <c r="E81" s="8" t="s">
        <v>36</v>
      </c>
      <c r="F81" s="8" t="s">
        <v>37</v>
      </c>
      <c r="G81" s="8" t="s">
        <v>7</v>
      </c>
      <c r="H81" s="8" t="s">
        <v>38</v>
      </c>
      <c r="I81" s="9">
        <v>445.34894000000003</v>
      </c>
      <c r="J81">
        <v>530.71390886999995</v>
      </c>
      <c r="K81">
        <v>525.60733934999996</v>
      </c>
      <c r="L81">
        <v>524.54304384275997</v>
      </c>
    </row>
    <row r="82" spans="1:12" x14ac:dyDescent="0.2">
      <c r="A82" s="8" t="s">
        <v>32</v>
      </c>
      <c r="B82" s="8" t="s">
        <v>33</v>
      </c>
      <c r="C82" s="8" t="s">
        <v>94</v>
      </c>
      <c r="D82" s="8" t="s">
        <v>95</v>
      </c>
      <c r="E82" s="8" t="s">
        <v>64</v>
      </c>
      <c r="F82" s="8" t="s">
        <v>65</v>
      </c>
      <c r="G82" s="8" t="s">
        <v>7</v>
      </c>
      <c r="H82" s="8" t="s">
        <v>38</v>
      </c>
      <c r="I82" s="9"/>
    </row>
    <row r="83" spans="1:12" x14ac:dyDescent="0.2">
      <c r="A83" s="8" t="s">
        <v>32</v>
      </c>
      <c r="B83" s="8" t="s">
        <v>33</v>
      </c>
      <c r="C83" s="8" t="s">
        <v>94</v>
      </c>
      <c r="D83" s="8" t="s">
        <v>95</v>
      </c>
      <c r="E83" s="8" t="s">
        <v>39</v>
      </c>
      <c r="F83" s="8" t="s">
        <v>40</v>
      </c>
      <c r="G83" s="8" t="s">
        <v>7</v>
      </c>
      <c r="H83" s="8" t="s">
        <v>38</v>
      </c>
      <c r="I83" s="9">
        <v>403.10457000000002</v>
      </c>
      <c r="J83">
        <v>420.21776574</v>
      </c>
      <c r="K83">
        <v>445.01016995999998</v>
      </c>
      <c r="L83">
        <v>444.10907461922</v>
      </c>
    </row>
    <row r="84" spans="1:12" x14ac:dyDescent="0.2">
      <c r="A84" s="8" t="s">
        <v>32</v>
      </c>
      <c r="B84" s="8" t="s">
        <v>33</v>
      </c>
      <c r="C84" s="8" t="s">
        <v>94</v>
      </c>
      <c r="D84" s="8" t="s">
        <v>95</v>
      </c>
      <c r="E84" s="8" t="s">
        <v>43</v>
      </c>
      <c r="F84" s="8" t="s">
        <v>44</v>
      </c>
      <c r="G84" s="8" t="s">
        <v>7</v>
      </c>
      <c r="H84" s="8" t="s">
        <v>38</v>
      </c>
      <c r="I84" s="9">
        <v>1077.7806</v>
      </c>
      <c r="J84">
        <v>1113.88216614</v>
      </c>
      <c r="K84">
        <v>1168.0116025499999</v>
      </c>
      <c r="L84">
        <v>1165.6465109542</v>
      </c>
    </row>
    <row r="85" spans="1:12" x14ac:dyDescent="0.2">
      <c r="A85" s="8" t="s">
        <v>32</v>
      </c>
      <c r="B85" s="8" t="s">
        <v>33</v>
      </c>
      <c r="C85" s="8" t="s">
        <v>94</v>
      </c>
      <c r="D85" s="8" t="s">
        <v>95</v>
      </c>
      <c r="E85" s="8" t="s">
        <v>49</v>
      </c>
      <c r="F85" s="8" t="s">
        <v>50</v>
      </c>
      <c r="G85" s="8" t="s">
        <v>7</v>
      </c>
      <c r="H85" s="8" t="s">
        <v>38</v>
      </c>
      <c r="I85" s="9">
        <v>141.67744999999999</v>
      </c>
      <c r="J85">
        <v>138.93440029999999</v>
      </c>
      <c r="K85">
        <v>137.10781305</v>
      </c>
      <c r="L85">
        <v>136.83018521167</v>
      </c>
    </row>
    <row r="86" spans="1:12" x14ac:dyDescent="0.2">
      <c r="A86" s="8" t="s">
        <v>32</v>
      </c>
      <c r="B86" s="8" t="s">
        <v>33</v>
      </c>
      <c r="C86" s="8" t="s">
        <v>94</v>
      </c>
      <c r="D86" s="8" t="s">
        <v>95</v>
      </c>
      <c r="E86" s="8" t="s">
        <v>53</v>
      </c>
      <c r="F86" s="8" t="s">
        <v>54</v>
      </c>
      <c r="G86" s="8" t="s">
        <v>7</v>
      </c>
      <c r="H86" s="8" t="s">
        <v>38</v>
      </c>
      <c r="I86" s="9"/>
    </row>
    <row r="87" spans="1:12" x14ac:dyDescent="0.2">
      <c r="A87" s="8" t="s">
        <v>32</v>
      </c>
      <c r="B87" s="8" t="s">
        <v>33</v>
      </c>
      <c r="C87" s="8" t="s">
        <v>94</v>
      </c>
      <c r="D87" s="8" t="s">
        <v>95</v>
      </c>
      <c r="E87" s="8" t="s">
        <v>55</v>
      </c>
      <c r="F87" s="8" t="s">
        <v>56</v>
      </c>
      <c r="G87" s="8" t="s">
        <v>7</v>
      </c>
      <c r="H87" s="8" t="s">
        <v>38</v>
      </c>
      <c r="I87" s="9">
        <v>1.4176E-3</v>
      </c>
      <c r="J87">
        <v>1.4558284354561999E-3</v>
      </c>
      <c r="K87">
        <v>1.4950382637554001E-3</v>
      </c>
      <c r="L87">
        <v>1.5330841465823E-3</v>
      </c>
    </row>
    <row r="88" spans="1:12" x14ac:dyDescent="0.2">
      <c r="A88" s="8" t="s">
        <v>32</v>
      </c>
      <c r="B88" s="8" t="s">
        <v>33</v>
      </c>
      <c r="C88" s="8" t="s">
        <v>94</v>
      </c>
      <c r="D88" s="8" t="s">
        <v>95</v>
      </c>
      <c r="E88" s="8" t="s">
        <v>57</v>
      </c>
      <c r="F88" s="8" t="s">
        <v>58</v>
      </c>
      <c r="G88" s="8" t="s">
        <v>7</v>
      </c>
      <c r="H88" s="8" t="s">
        <v>38</v>
      </c>
      <c r="I88" s="9"/>
    </row>
    <row r="89" spans="1:12" x14ac:dyDescent="0.2">
      <c r="A89" s="8" t="s">
        <v>32</v>
      </c>
      <c r="B89" s="8" t="s">
        <v>33</v>
      </c>
      <c r="C89" s="8" t="s">
        <v>94</v>
      </c>
      <c r="D89" s="8" t="s">
        <v>95</v>
      </c>
      <c r="E89" s="8" t="s">
        <v>59</v>
      </c>
      <c r="F89" s="8" t="s">
        <v>60</v>
      </c>
      <c r="G89" s="8" t="s">
        <v>7</v>
      </c>
      <c r="H89" s="8" t="s">
        <v>38</v>
      </c>
      <c r="I89" s="9">
        <v>34.874214000000002</v>
      </c>
      <c r="J89">
        <v>36.344560476542</v>
      </c>
      <c r="K89">
        <v>38.474967874588003</v>
      </c>
      <c r="L89">
        <v>37.139092044511997</v>
      </c>
    </row>
    <row r="90" spans="1:12" x14ac:dyDescent="0.2">
      <c r="A90" s="8" t="s">
        <v>32</v>
      </c>
      <c r="B90" s="8" t="s">
        <v>96</v>
      </c>
      <c r="C90" s="8" t="s">
        <v>97</v>
      </c>
      <c r="D90" s="8" t="s">
        <v>98</v>
      </c>
      <c r="E90" s="8" t="s">
        <v>36</v>
      </c>
      <c r="F90" s="8" t="s">
        <v>37</v>
      </c>
      <c r="G90" s="8" t="s">
        <v>7</v>
      </c>
      <c r="H90" s="8" t="s">
        <v>38</v>
      </c>
      <c r="I90" s="9">
        <v>68469.607000000004</v>
      </c>
      <c r="J90">
        <v>70665.859589999993</v>
      </c>
      <c r="K90">
        <v>65111.861130999001</v>
      </c>
      <c r="L90">
        <v>60501.587929888999</v>
      </c>
    </row>
    <row r="91" spans="1:12" x14ac:dyDescent="0.2">
      <c r="A91" s="8" t="s">
        <v>32</v>
      </c>
      <c r="B91" s="8" t="s">
        <v>96</v>
      </c>
      <c r="C91" s="8" t="s">
        <v>97</v>
      </c>
      <c r="D91" s="8" t="s">
        <v>98</v>
      </c>
      <c r="E91" s="8" t="s">
        <v>64</v>
      </c>
      <c r="F91" s="8" t="s">
        <v>65</v>
      </c>
      <c r="G91" s="8" t="s">
        <v>7</v>
      </c>
      <c r="H91" s="8" t="s">
        <v>38</v>
      </c>
      <c r="I91" s="9">
        <v>2236.5486000000001</v>
      </c>
      <c r="J91">
        <v>2507.2459920000001</v>
      </c>
      <c r="K91">
        <v>2352.5214810000002</v>
      </c>
      <c r="L91">
        <v>2391.3621324095998</v>
      </c>
    </row>
    <row r="92" spans="1:12" x14ac:dyDescent="0.2">
      <c r="A92" s="8" t="s">
        <v>32</v>
      </c>
      <c r="B92" s="8" t="s">
        <v>96</v>
      </c>
      <c r="C92" s="8" t="s">
        <v>97</v>
      </c>
      <c r="D92" s="8" t="s">
        <v>98</v>
      </c>
      <c r="E92" s="8" t="s">
        <v>39</v>
      </c>
      <c r="F92" s="8" t="s">
        <v>40</v>
      </c>
      <c r="G92" s="8" t="s">
        <v>7</v>
      </c>
      <c r="H92" s="8" t="s">
        <v>38</v>
      </c>
      <c r="I92" s="9">
        <v>73439.33</v>
      </c>
      <c r="J92">
        <v>70998.414136000007</v>
      </c>
      <c r="K92">
        <v>69976.066391999993</v>
      </c>
      <c r="L92">
        <v>70760.371551757999</v>
      </c>
    </row>
    <row r="93" spans="1:12" x14ac:dyDescent="0.2">
      <c r="A93" s="8" t="s">
        <v>32</v>
      </c>
      <c r="B93" s="8" t="s">
        <v>96</v>
      </c>
      <c r="C93" s="8" t="s">
        <v>97</v>
      </c>
      <c r="D93" s="8" t="s">
        <v>98</v>
      </c>
      <c r="E93" s="8" t="s">
        <v>41</v>
      </c>
      <c r="F93" s="8" t="s">
        <v>42</v>
      </c>
      <c r="G93" s="8" t="s">
        <v>7</v>
      </c>
      <c r="H93" s="8" t="s">
        <v>38</v>
      </c>
      <c r="I93" s="9">
        <v>984.10740999999996</v>
      </c>
      <c r="J93">
        <v>1144.0400400000001</v>
      </c>
      <c r="K93">
        <v>1195.2762250000001</v>
      </c>
      <c r="L93">
        <v>1318.1360198135001</v>
      </c>
    </row>
    <row r="94" spans="1:12" x14ac:dyDescent="0.2">
      <c r="A94" s="8" t="s">
        <v>32</v>
      </c>
      <c r="B94" s="8" t="s">
        <v>96</v>
      </c>
      <c r="C94" s="8" t="s">
        <v>97</v>
      </c>
      <c r="D94" s="8" t="s">
        <v>98</v>
      </c>
      <c r="E94" s="8" t="s">
        <v>43</v>
      </c>
      <c r="F94" s="8" t="s">
        <v>44</v>
      </c>
      <c r="G94" s="8" t="s">
        <v>7</v>
      </c>
      <c r="H94" s="8" t="s">
        <v>38</v>
      </c>
      <c r="I94" s="9">
        <v>29724.947</v>
      </c>
      <c r="J94">
        <v>32877.948942000003</v>
      </c>
      <c r="K94">
        <v>34392.885548999999</v>
      </c>
      <c r="L94">
        <v>35579.834914045001</v>
      </c>
    </row>
    <row r="95" spans="1:12" x14ac:dyDescent="0.2">
      <c r="A95" s="8" t="s">
        <v>32</v>
      </c>
      <c r="B95" s="8" t="s">
        <v>96</v>
      </c>
      <c r="C95" s="8" t="s">
        <v>97</v>
      </c>
      <c r="D95" s="8" t="s">
        <v>98</v>
      </c>
      <c r="E95" s="8" t="s">
        <v>49</v>
      </c>
      <c r="F95" s="8" t="s">
        <v>50</v>
      </c>
      <c r="G95" s="8" t="s">
        <v>7</v>
      </c>
      <c r="H95" s="8" t="s">
        <v>38</v>
      </c>
      <c r="I95" s="9">
        <v>513.14119000000005</v>
      </c>
      <c r="J95">
        <v>578.34052599999995</v>
      </c>
      <c r="K95">
        <v>613.88160100000005</v>
      </c>
      <c r="L95">
        <v>635.06756329683003</v>
      </c>
    </row>
    <row r="96" spans="1:12" x14ac:dyDescent="0.2">
      <c r="A96" s="8" t="s">
        <v>32</v>
      </c>
      <c r="B96" s="8" t="s">
        <v>96</v>
      </c>
      <c r="C96" s="8" t="s">
        <v>97</v>
      </c>
      <c r="D96" s="8" t="s">
        <v>98</v>
      </c>
      <c r="E96" s="8" t="s">
        <v>53</v>
      </c>
      <c r="F96" s="8" t="s">
        <v>54</v>
      </c>
      <c r="G96" s="8" t="s">
        <v>7</v>
      </c>
      <c r="H96" s="8" t="s">
        <v>38</v>
      </c>
      <c r="I96" s="9">
        <v>2433.1086</v>
      </c>
      <c r="J96">
        <v>2262.6967843977</v>
      </c>
      <c r="K96">
        <v>2445.3081033151002</v>
      </c>
      <c r="L96">
        <v>2399.0518588671998</v>
      </c>
    </row>
    <row r="97" spans="1:12" x14ac:dyDescent="0.2">
      <c r="A97" s="8" t="s">
        <v>32</v>
      </c>
      <c r="B97" s="8" t="s">
        <v>96</v>
      </c>
      <c r="C97" s="8" t="s">
        <v>97</v>
      </c>
      <c r="D97" s="8" t="s">
        <v>98</v>
      </c>
      <c r="E97" s="8" t="s">
        <v>70</v>
      </c>
      <c r="F97" s="8" t="s">
        <v>71</v>
      </c>
      <c r="G97" s="8" t="s">
        <v>7</v>
      </c>
      <c r="H97" s="8" t="s">
        <v>38</v>
      </c>
      <c r="I97" s="9">
        <v>6634.4561999999996</v>
      </c>
      <c r="J97">
        <v>6678.9827850000001</v>
      </c>
      <c r="K97">
        <v>6768.0358888000001</v>
      </c>
      <c r="L97">
        <v>6760.4006128137999</v>
      </c>
    </row>
    <row r="98" spans="1:12" x14ac:dyDescent="0.2">
      <c r="A98" s="8" t="s">
        <v>32</v>
      </c>
      <c r="B98" s="8" t="s">
        <v>96</v>
      </c>
      <c r="C98" s="8" t="s">
        <v>97</v>
      </c>
      <c r="D98" s="8" t="s">
        <v>98</v>
      </c>
      <c r="E98" s="8" t="s">
        <v>83</v>
      </c>
      <c r="F98" s="8" t="s">
        <v>84</v>
      </c>
      <c r="G98" s="8" t="s">
        <v>7</v>
      </c>
      <c r="H98" s="8" t="s">
        <v>38</v>
      </c>
      <c r="I98" s="9">
        <v>352.5</v>
      </c>
      <c r="J98">
        <v>360</v>
      </c>
      <c r="K98">
        <v>367.5</v>
      </c>
      <c r="L98">
        <v>367.5</v>
      </c>
    </row>
    <row r="99" spans="1:12" x14ac:dyDescent="0.2">
      <c r="A99" s="8" t="s">
        <v>32</v>
      </c>
      <c r="B99" s="8" t="s">
        <v>96</v>
      </c>
      <c r="C99" s="8" t="s">
        <v>97</v>
      </c>
      <c r="D99" s="8" t="s">
        <v>98</v>
      </c>
      <c r="E99" s="8" t="s">
        <v>55</v>
      </c>
      <c r="F99" s="8" t="s">
        <v>56</v>
      </c>
      <c r="G99" s="8" t="s">
        <v>7</v>
      </c>
      <c r="H99" s="8" t="s">
        <v>38</v>
      </c>
      <c r="I99" s="9">
        <v>0.45491429999999999</v>
      </c>
      <c r="J99">
        <v>0.50951585128485999</v>
      </c>
      <c r="K99">
        <v>0.50951585128485999</v>
      </c>
      <c r="L99">
        <v>0.50951585128485999</v>
      </c>
    </row>
    <row r="100" spans="1:12" x14ac:dyDescent="0.2">
      <c r="A100" s="8" t="s">
        <v>32</v>
      </c>
      <c r="B100" s="8" t="s">
        <v>96</v>
      </c>
      <c r="C100" s="8" t="s">
        <v>97</v>
      </c>
      <c r="D100" s="8" t="s">
        <v>98</v>
      </c>
      <c r="E100" s="8" t="s">
        <v>57</v>
      </c>
      <c r="F100" s="8" t="s">
        <v>58</v>
      </c>
      <c r="G100" s="8" t="s">
        <v>7</v>
      </c>
      <c r="H100" s="8" t="s">
        <v>38</v>
      </c>
      <c r="I100" s="9"/>
    </row>
    <row r="101" spans="1:12" x14ac:dyDescent="0.2">
      <c r="A101" s="8" t="s">
        <v>32</v>
      </c>
      <c r="B101" s="8" t="s">
        <v>96</v>
      </c>
      <c r="C101" s="8" t="s">
        <v>97</v>
      </c>
      <c r="D101" s="8" t="s">
        <v>98</v>
      </c>
      <c r="E101" s="8" t="s">
        <v>72</v>
      </c>
      <c r="F101" s="8" t="s">
        <v>73</v>
      </c>
      <c r="G101" s="8" t="s">
        <v>7</v>
      </c>
      <c r="H101" s="8" t="s">
        <v>38</v>
      </c>
      <c r="I101" s="9">
        <v>6514.6887999999999</v>
      </c>
      <c r="J101">
        <v>6927.2105395447998</v>
      </c>
      <c r="K101">
        <v>7209.0649873238999</v>
      </c>
      <c r="L101">
        <v>7315.6256162501004</v>
      </c>
    </row>
    <row r="102" spans="1:12" x14ac:dyDescent="0.2">
      <c r="A102" s="8" t="s">
        <v>32</v>
      </c>
      <c r="B102" s="8" t="s">
        <v>96</v>
      </c>
      <c r="C102" s="8" t="s">
        <v>97</v>
      </c>
      <c r="D102" s="8" t="s">
        <v>98</v>
      </c>
      <c r="E102" s="8" t="s">
        <v>74</v>
      </c>
      <c r="F102" s="8" t="s">
        <v>75</v>
      </c>
      <c r="G102" s="8" t="s">
        <v>7</v>
      </c>
      <c r="H102" s="8" t="s">
        <v>38</v>
      </c>
      <c r="I102" s="9">
        <v>4153.3594999999996</v>
      </c>
      <c r="J102">
        <v>4196.8984</v>
      </c>
      <c r="K102">
        <v>4515.4580400000004</v>
      </c>
      <c r="L102">
        <v>4423.0216399999999</v>
      </c>
    </row>
    <row r="103" spans="1:12" x14ac:dyDescent="0.2">
      <c r="A103" s="8" t="s">
        <v>32</v>
      </c>
      <c r="B103" s="8" t="s">
        <v>96</v>
      </c>
      <c r="C103" s="8" t="s">
        <v>97</v>
      </c>
      <c r="D103" s="8" t="s">
        <v>98</v>
      </c>
      <c r="E103" s="8" t="s">
        <v>59</v>
      </c>
      <c r="F103" s="8" t="s">
        <v>60</v>
      </c>
      <c r="G103" s="8" t="s">
        <v>7</v>
      </c>
      <c r="H103" s="8" t="s">
        <v>38</v>
      </c>
      <c r="I103" s="9">
        <v>217.98669000000001</v>
      </c>
      <c r="J103">
        <v>222.84457445187999</v>
      </c>
      <c r="K103">
        <v>235.64056470604001</v>
      </c>
      <c r="L103">
        <v>243.97429270884001</v>
      </c>
    </row>
    <row r="104" spans="1:12" x14ac:dyDescent="0.2">
      <c r="A104" s="8" t="s">
        <v>32</v>
      </c>
      <c r="B104" s="8" t="s">
        <v>99</v>
      </c>
      <c r="C104" s="8" t="s">
        <v>100</v>
      </c>
      <c r="D104" s="8" t="s">
        <v>101</v>
      </c>
      <c r="E104" s="8" t="s">
        <v>36</v>
      </c>
      <c r="F104" s="8" t="s">
        <v>37</v>
      </c>
      <c r="G104" s="8" t="s">
        <v>7</v>
      </c>
      <c r="H104" s="8" t="s">
        <v>38</v>
      </c>
      <c r="I104" s="9">
        <v>39008.277000000002</v>
      </c>
      <c r="J104">
        <v>47052.147842639999</v>
      </c>
      <c r="K104">
        <v>44979.053429469997</v>
      </c>
      <c r="L104">
        <v>41089.050060335001</v>
      </c>
    </row>
    <row r="105" spans="1:12" x14ac:dyDescent="0.2">
      <c r="A105" s="8" t="s">
        <v>32</v>
      </c>
      <c r="B105" s="8" t="s">
        <v>99</v>
      </c>
      <c r="C105" s="8" t="s">
        <v>100</v>
      </c>
      <c r="D105" s="8" t="s">
        <v>101</v>
      </c>
      <c r="E105" s="8" t="s">
        <v>64</v>
      </c>
      <c r="F105" s="8" t="s">
        <v>65</v>
      </c>
      <c r="G105" s="8" t="s">
        <v>7</v>
      </c>
      <c r="H105" s="8" t="s">
        <v>38</v>
      </c>
      <c r="I105" s="9">
        <v>15148.614</v>
      </c>
      <c r="J105">
        <v>15062.739472540001</v>
      </c>
      <c r="K105">
        <v>15565.531752110001</v>
      </c>
      <c r="L105">
        <v>14883.822884886</v>
      </c>
    </row>
    <row r="106" spans="1:12" x14ac:dyDescent="0.2">
      <c r="A106" s="8" t="s">
        <v>32</v>
      </c>
      <c r="B106" s="8" t="s">
        <v>99</v>
      </c>
      <c r="C106" s="8" t="s">
        <v>100</v>
      </c>
      <c r="D106" s="8" t="s">
        <v>101</v>
      </c>
      <c r="E106" s="8" t="s">
        <v>39</v>
      </c>
      <c r="F106" s="8" t="s">
        <v>40</v>
      </c>
      <c r="G106" s="8" t="s">
        <v>7</v>
      </c>
      <c r="H106" s="8" t="s">
        <v>38</v>
      </c>
      <c r="I106" s="9">
        <v>19969.195</v>
      </c>
      <c r="J106">
        <v>17171.869998760001</v>
      </c>
      <c r="K106">
        <v>21582.831822429998</v>
      </c>
      <c r="L106">
        <v>22289.173307506</v>
      </c>
    </row>
    <row r="107" spans="1:12" x14ac:dyDescent="0.2">
      <c r="A107" s="8" t="s">
        <v>32</v>
      </c>
      <c r="B107" s="8" t="s">
        <v>99</v>
      </c>
      <c r="C107" s="8" t="s">
        <v>100</v>
      </c>
      <c r="D107" s="8" t="s">
        <v>101</v>
      </c>
      <c r="E107" s="8" t="s">
        <v>41</v>
      </c>
      <c r="F107" s="8" t="s">
        <v>42</v>
      </c>
      <c r="G107" s="8" t="s">
        <v>7</v>
      </c>
      <c r="H107" s="8" t="s">
        <v>38</v>
      </c>
      <c r="I107" s="9">
        <v>620.78971000000001</v>
      </c>
      <c r="J107">
        <v>664.12795964999998</v>
      </c>
      <c r="K107">
        <v>1310.9878661</v>
      </c>
      <c r="L107">
        <v>1627.3582306131</v>
      </c>
    </row>
    <row r="108" spans="1:12" x14ac:dyDescent="0.2">
      <c r="A108" s="8" t="s">
        <v>32</v>
      </c>
      <c r="B108" s="8" t="s">
        <v>99</v>
      </c>
      <c r="C108" s="8" t="s">
        <v>100</v>
      </c>
      <c r="D108" s="8" t="s">
        <v>101</v>
      </c>
      <c r="E108" s="8" t="s">
        <v>43</v>
      </c>
      <c r="F108" s="8" t="s">
        <v>44</v>
      </c>
      <c r="G108" s="8" t="s">
        <v>7</v>
      </c>
      <c r="H108" s="8" t="s">
        <v>38</v>
      </c>
      <c r="I108" s="9">
        <v>34377.976000000002</v>
      </c>
      <c r="J108">
        <v>43078.460452710002</v>
      </c>
      <c r="K108">
        <v>47006.350537170001</v>
      </c>
      <c r="L108">
        <v>47348.656164733999</v>
      </c>
    </row>
    <row r="109" spans="1:12" x14ac:dyDescent="0.2">
      <c r="A109" s="8" t="s">
        <v>32</v>
      </c>
      <c r="B109" s="8" t="s">
        <v>99</v>
      </c>
      <c r="C109" s="8" t="s">
        <v>100</v>
      </c>
      <c r="D109" s="8" t="s">
        <v>101</v>
      </c>
      <c r="E109" s="8" t="s">
        <v>66</v>
      </c>
      <c r="F109" s="8" t="s">
        <v>67</v>
      </c>
      <c r="G109" s="8" t="s">
        <v>7</v>
      </c>
      <c r="H109" s="8" t="s">
        <v>38</v>
      </c>
      <c r="I109" s="9"/>
    </row>
    <row r="110" spans="1:12" x14ac:dyDescent="0.2">
      <c r="A110" s="8" t="s">
        <v>32</v>
      </c>
      <c r="B110" s="8" t="s">
        <v>99</v>
      </c>
      <c r="C110" s="8" t="s">
        <v>100</v>
      </c>
      <c r="D110" s="8" t="s">
        <v>101</v>
      </c>
      <c r="E110" s="8" t="s">
        <v>45</v>
      </c>
      <c r="F110" s="8" t="s">
        <v>46</v>
      </c>
      <c r="G110" s="8" t="s">
        <v>7</v>
      </c>
      <c r="H110" s="8" t="s">
        <v>38</v>
      </c>
      <c r="I110" s="9">
        <v>810.45727999999997</v>
      </c>
      <c r="J110">
        <v>738.18501518000005</v>
      </c>
      <c r="K110">
        <v>819.54180383000005</v>
      </c>
      <c r="L110">
        <v>879.34735441240002</v>
      </c>
    </row>
    <row r="111" spans="1:12" x14ac:dyDescent="0.2">
      <c r="A111" s="8" t="s">
        <v>32</v>
      </c>
      <c r="B111" s="8" t="s">
        <v>99</v>
      </c>
      <c r="C111" s="8" t="s">
        <v>100</v>
      </c>
      <c r="D111" s="8" t="s">
        <v>101</v>
      </c>
      <c r="E111" s="8" t="s">
        <v>47</v>
      </c>
      <c r="F111" s="8" t="s">
        <v>48</v>
      </c>
      <c r="G111" s="8" t="s">
        <v>7</v>
      </c>
      <c r="H111" s="8" t="s">
        <v>38</v>
      </c>
      <c r="I111" s="9">
        <v>1578.3901000000001</v>
      </c>
      <c r="J111">
        <v>1463.2991603999999</v>
      </c>
      <c r="K111">
        <v>1813.2695856</v>
      </c>
      <c r="L111">
        <v>1665.2955132</v>
      </c>
    </row>
    <row r="112" spans="1:12" x14ac:dyDescent="0.2">
      <c r="A112" s="8" t="s">
        <v>32</v>
      </c>
      <c r="B112" s="8" t="s">
        <v>99</v>
      </c>
      <c r="C112" s="8" t="s">
        <v>100</v>
      </c>
      <c r="D112" s="8" t="s">
        <v>101</v>
      </c>
      <c r="E112" s="8" t="s">
        <v>49</v>
      </c>
      <c r="F112" s="8" t="s">
        <v>50</v>
      </c>
      <c r="G112" s="8" t="s">
        <v>7</v>
      </c>
      <c r="H112" s="8" t="s">
        <v>38</v>
      </c>
      <c r="I112" s="9">
        <v>35516.697999999997</v>
      </c>
      <c r="J112">
        <v>36790.375058869999</v>
      </c>
      <c r="K112">
        <v>41247.368576599998</v>
      </c>
      <c r="L112">
        <v>40494.980853093999</v>
      </c>
    </row>
    <row r="113" spans="1:12" x14ac:dyDescent="0.2">
      <c r="A113" s="8" t="s">
        <v>32</v>
      </c>
      <c r="B113" s="8" t="s">
        <v>99</v>
      </c>
      <c r="C113" s="8" t="s">
        <v>100</v>
      </c>
      <c r="D113" s="8" t="s">
        <v>101</v>
      </c>
      <c r="E113" s="8" t="s">
        <v>68</v>
      </c>
      <c r="F113" s="8" t="s">
        <v>69</v>
      </c>
      <c r="G113" s="8" t="s">
        <v>7</v>
      </c>
      <c r="H113" s="8" t="s">
        <v>38</v>
      </c>
      <c r="I113" s="9">
        <v>745.58244000000002</v>
      </c>
      <c r="J113">
        <v>916.52971949480002</v>
      </c>
      <c r="K113">
        <v>1081.9428887948</v>
      </c>
      <c r="L113">
        <v>1011.8587546217</v>
      </c>
    </row>
    <row r="114" spans="1:12" x14ac:dyDescent="0.2">
      <c r="A114" s="8" t="s">
        <v>32</v>
      </c>
      <c r="B114" s="8" t="s">
        <v>99</v>
      </c>
      <c r="C114" s="8" t="s">
        <v>100</v>
      </c>
      <c r="D114" s="8" t="s">
        <v>101</v>
      </c>
      <c r="E114" s="8" t="s">
        <v>53</v>
      </c>
      <c r="F114" s="8" t="s">
        <v>54</v>
      </c>
      <c r="G114" s="8" t="s">
        <v>7</v>
      </c>
      <c r="H114" s="8" t="s">
        <v>38</v>
      </c>
      <c r="I114" s="9">
        <v>8350.2013000000006</v>
      </c>
      <c r="J114">
        <v>10066.600639573</v>
      </c>
      <c r="K114">
        <v>6172.0179869413996</v>
      </c>
      <c r="L114">
        <v>5272.9806357103998</v>
      </c>
    </row>
    <row r="115" spans="1:12" x14ac:dyDescent="0.2">
      <c r="A115" s="8" t="s">
        <v>32</v>
      </c>
      <c r="B115" s="8" t="s">
        <v>99</v>
      </c>
      <c r="C115" s="8" t="s">
        <v>100</v>
      </c>
      <c r="D115" s="8" t="s">
        <v>101</v>
      </c>
      <c r="E115" s="8" t="s">
        <v>70</v>
      </c>
      <c r="F115" s="8" t="s">
        <v>71</v>
      </c>
      <c r="G115" s="8" t="s">
        <v>7</v>
      </c>
      <c r="H115" s="8" t="s">
        <v>38</v>
      </c>
      <c r="I115" s="9">
        <v>3782.1460000000002</v>
      </c>
      <c r="J115">
        <v>4646.1657957059997</v>
      </c>
      <c r="K115">
        <v>4971.8495270559997</v>
      </c>
      <c r="L115">
        <v>4966.2405964999998</v>
      </c>
    </row>
    <row r="116" spans="1:12" x14ac:dyDescent="0.2">
      <c r="A116" s="8" t="s">
        <v>32</v>
      </c>
      <c r="B116" s="8" t="s">
        <v>99</v>
      </c>
      <c r="C116" s="8" t="s">
        <v>100</v>
      </c>
      <c r="D116" s="8" t="s">
        <v>101</v>
      </c>
      <c r="E116" s="8" t="s">
        <v>83</v>
      </c>
      <c r="F116" s="8" t="s">
        <v>84</v>
      </c>
      <c r="G116" s="8" t="s">
        <v>7</v>
      </c>
      <c r="H116" s="8" t="s">
        <v>38</v>
      </c>
      <c r="I116" s="9">
        <v>1230</v>
      </c>
      <c r="J116">
        <v>1230</v>
      </c>
      <c r="K116">
        <v>1260</v>
      </c>
      <c r="L116">
        <v>1230</v>
      </c>
    </row>
    <row r="117" spans="1:12" x14ac:dyDescent="0.2">
      <c r="A117" s="8" t="s">
        <v>32</v>
      </c>
      <c r="B117" s="8" t="s">
        <v>99</v>
      </c>
      <c r="C117" s="8" t="s">
        <v>100</v>
      </c>
      <c r="D117" s="8" t="s">
        <v>101</v>
      </c>
      <c r="E117" s="8" t="s">
        <v>55</v>
      </c>
      <c r="F117" s="8" t="s">
        <v>56</v>
      </c>
      <c r="G117" s="8" t="s">
        <v>7</v>
      </c>
      <c r="H117" s="8" t="s">
        <v>38</v>
      </c>
      <c r="I117" s="9">
        <v>1.9797994999999999</v>
      </c>
      <c r="J117">
        <v>2.2174267492617998</v>
      </c>
      <c r="K117">
        <v>2.2174267492617998</v>
      </c>
      <c r="L117">
        <v>2.2174267492617998</v>
      </c>
    </row>
    <row r="118" spans="1:12" x14ac:dyDescent="0.2">
      <c r="A118" s="8" t="s">
        <v>32</v>
      </c>
      <c r="B118" s="8" t="s">
        <v>99</v>
      </c>
      <c r="C118" s="8" t="s">
        <v>100</v>
      </c>
      <c r="D118" s="8" t="s">
        <v>101</v>
      </c>
      <c r="E118" s="8" t="s">
        <v>57</v>
      </c>
      <c r="F118" s="8" t="s">
        <v>58</v>
      </c>
      <c r="G118" s="8" t="s">
        <v>7</v>
      </c>
      <c r="H118" s="8" t="s">
        <v>38</v>
      </c>
      <c r="I118" s="9">
        <v>991.83474000000001</v>
      </c>
      <c r="J118">
        <v>1110.8806249984</v>
      </c>
      <c r="K118">
        <v>1110.8806249984</v>
      </c>
      <c r="L118">
        <v>1110.8806249984</v>
      </c>
    </row>
    <row r="119" spans="1:12" x14ac:dyDescent="0.2">
      <c r="A119" s="8" t="s">
        <v>32</v>
      </c>
      <c r="B119" s="8" t="s">
        <v>99</v>
      </c>
      <c r="C119" s="8" t="s">
        <v>100</v>
      </c>
      <c r="D119" s="8" t="s">
        <v>101</v>
      </c>
      <c r="E119" s="8" t="s">
        <v>72</v>
      </c>
      <c r="F119" s="8" t="s">
        <v>73</v>
      </c>
      <c r="G119" s="8" t="s">
        <v>7</v>
      </c>
      <c r="H119" s="8" t="s">
        <v>38</v>
      </c>
      <c r="I119" s="9">
        <v>2474.2251999999999</v>
      </c>
      <c r="J119">
        <v>1897.1437627471</v>
      </c>
      <c r="K119">
        <v>2321.5213309721998</v>
      </c>
      <c r="L119">
        <v>2165.8470511398</v>
      </c>
    </row>
    <row r="120" spans="1:12" x14ac:dyDescent="0.2">
      <c r="A120" s="8" t="s">
        <v>32</v>
      </c>
      <c r="B120" s="8" t="s">
        <v>99</v>
      </c>
      <c r="C120" s="8" t="s">
        <v>100</v>
      </c>
      <c r="D120" s="8" t="s">
        <v>101</v>
      </c>
      <c r="E120" s="8" t="s">
        <v>74</v>
      </c>
      <c r="F120" s="8" t="s">
        <v>75</v>
      </c>
      <c r="G120" s="8" t="s">
        <v>7</v>
      </c>
      <c r="H120" s="8" t="s">
        <v>38</v>
      </c>
      <c r="I120" s="9">
        <v>808.28521000000001</v>
      </c>
      <c r="J120">
        <v>940.62125275300002</v>
      </c>
      <c r="K120">
        <v>1044.7246541525001</v>
      </c>
      <c r="L120">
        <v>1055.4851567306</v>
      </c>
    </row>
    <row r="121" spans="1:12" x14ac:dyDescent="0.2">
      <c r="A121" s="8" t="s">
        <v>32</v>
      </c>
      <c r="B121" s="8" t="s">
        <v>99</v>
      </c>
      <c r="C121" s="8" t="s">
        <v>100</v>
      </c>
      <c r="D121" s="8" t="s">
        <v>101</v>
      </c>
      <c r="E121" s="8" t="s">
        <v>59</v>
      </c>
      <c r="F121" s="8" t="s">
        <v>60</v>
      </c>
      <c r="G121" s="8" t="s">
        <v>7</v>
      </c>
      <c r="H121" s="8" t="s">
        <v>38</v>
      </c>
      <c r="I121" s="9">
        <v>763.70083</v>
      </c>
      <c r="J121">
        <v>761.45988490753996</v>
      </c>
      <c r="K121">
        <v>797.62136403517002</v>
      </c>
      <c r="L121">
        <v>747.13960090449996</v>
      </c>
    </row>
    <row r="122" spans="1:12" x14ac:dyDescent="0.2">
      <c r="A122" s="8" t="s">
        <v>32</v>
      </c>
      <c r="B122" s="8" t="s">
        <v>99</v>
      </c>
      <c r="C122" s="8" t="s">
        <v>100</v>
      </c>
      <c r="D122" s="8" t="s">
        <v>101</v>
      </c>
      <c r="E122" s="8" t="s">
        <v>76</v>
      </c>
      <c r="F122" s="8" t="s">
        <v>77</v>
      </c>
      <c r="G122" s="8" t="s">
        <v>7</v>
      </c>
      <c r="H122" s="8" t="s">
        <v>38</v>
      </c>
      <c r="I122" s="9">
        <v>426.17142999999999</v>
      </c>
      <c r="J122">
        <v>400.19047619847998</v>
      </c>
      <c r="K122">
        <v>455.40000002459999</v>
      </c>
      <c r="L122">
        <v>444.55714288115001</v>
      </c>
    </row>
    <row r="123" spans="1:12" x14ac:dyDescent="0.2">
      <c r="A123" s="8" t="s">
        <v>32</v>
      </c>
      <c r="B123" s="8" t="s">
        <v>99</v>
      </c>
      <c r="C123" s="8" t="s">
        <v>100</v>
      </c>
      <c r="D123" s="8" t="s">
        <v>101</v>
      </c>
      <c r="E123" s="8" t="s">
        <v>78</v>
      </c>
      <c r="F123" s="8" t="s">
        <v>79</v>
      </c>
      <c r="G123" s="8" t="s">
        <v>7</v>
      </c>
      <c r="H123" s="8" t="s">
        <v>38</v>
      </c>
      <c r="I123" s="9">
        <v>1499.2997</v>
      </c>
      <c r="J123">
        <v>1671.2139818571</v>
      </c>
      <c r="K123">
        <v>1486.0997298</v>
      </c>
      <c r="L123">
        <v>1593.9311387657001</v>
      </c>
    </row>
    <row r="124" spans="1:12" x14ac:dyDescent="0.2">
      <c r="A124" s="8" t="s">
        <v>32</v>
      </c>
      <c r="B124" s="8" t="s">
        <v>99</v>
      </c>
      <c r="C124" s="8" t="s">
        <v>100</v>
      </c>
      <c r="D124" s="8" t="s">
        <v>101</v>
      </c>
      <c r="E124" s="8" t="s">
        <v>92</v>
      </c>
      <c r="F124" s="8" t="s">
        <v>93</v>
      </c>
      <c r="G124" s="8" t="s">
        <v>7</v>
      </c>
      <c r="H124" s="8" t="s">
        <v>38</v>
      </c>
      <c r="I124" s="9">
        <v>11.609748</v>
      </c>
      <c r="J124">
        <v>11.727768697051999</v>
      </c>
      <c r="K124">
        <v>11.844918986544</v>
      </c>
      <c r="L124">
        <v>11.964132563252001</v>
      </c>
    </row>
    <row r="125" spans="1:12" x14ac:dyDescent="0.2">
      <c r="A125" s="8" t="s">
        <v>32</v>
      </c>
      <c r="B125" s="8" t="s">
        <v>102</v>
      </c>
      <c r="C125" s="8" t="s">
        <v>103</v>
      </c>
      <c r="D125" s="8" t="s">
        <v>104</v>
      </c>
      <c r="E125" s="8" t="s">
        <v>36</v>
      </c>
      <c r="F125" s="8" t="s">
        <v>37</v>
      </c>
      <c r="G125" s="8" t="s">
        <v>7</v>
      </c>
      <c r="H125" s="8" t="s">
        <v>38</v>
      </c>
      <c r="I125" s="9">
        <v>1423.885</v>
      </c>
      <c r="J125">
        <v>1626.11503758</v>
      </c>
      <c r="K125">
        <v>1667.7866449200001</v>
      </c>
      <c r="L125">
        <v>1575.5776654009001</v>
      </c>
    </row>
    <row r="126" spans="1:12" x14ac:dyDescent="0.2">
      <c r="A126" s="8" t="s">
        <v>32</v>
      </c>
      <c r="B126" s="8" t="s">
        <v>102</v>
      </c>
      <c r="C126" s="8" t="s">
        <v>103</v>
      </c>
      <c r="D126" s="8" t="s">
        <v>104</v>
      </c>
      <c r="E126" s="8" t="s">
        <v>64</v>
      </c>
      <c r="F126" s="8" t="s">
        <v>65</v>
      </c>
      <c r="G126" s="8" t="s">
        <v>7</v>
      </c>
      <c r="H126" s="8" t="s">
        <v>38</v>
      </c>
      <c r="I126" s="9">
        <v>12.359356999999999</v>
      </c>
      <c r="J126">
        <v>12.55313235</v>
      </c>
      <c r="K126">
        <v>15.49687887</v>
      </c>
      <c r="L126">
        <v>14.640083793312</v>
      </c>
    </row>
    <row r="127" spans="1:12" x14ac:dyDescent="0.2">
      <c r="A127" s="8" t="s">
        <v>32</v>
      </c>
      <c r="B127" s="8" t="s">
        <v>102</v>
      </c>
      <c r="C127" s="8" t="s">
        <v>103</v>
      </c>
      <c r="D127" s="8" t="s">
        <v>104</v>
      </c>
      <c r="E127" s="8" t="s">
        <v>39</v>
      </c>
      <c r="F127" s="8" t="s">
        <v>40</v>
      </c>
      <c r="G127" s="8" t="s">
        <v>7</v>
      </c>
      <c r="H127" s="8" t="s">
        <v>38</v>
      </c>
      <c r="I127" s="9">
        <v>447.91005999999999</v>
      </c>
      <c r="J127">
        <v>524.23661176999997</v>
      </c>
      <c r="K127">
        <v>625.32635720999997</v>
      </c>
      <c r="L127">
        <v>594.94122009786997</v>
      </c>
    </row>
    <row r="128" spans="1:12" x14ac:dyDescent="0.2">
      <c r="A128" s="8" t="s">
        <v>32</v>
      </c>
      <c r="B128" s="8" t="s">
        <v>102</v>
      </c>
      <c r="C128" s="8" t="s">
        <v>103</v>
      </c>
      <c r="D128" s="8" t="s">
        <v>104</v>
      </c>
      <c r="E128" s="8" t="s">
        <v>43</v>
      </c>
      <c r="F128" s="8" t="s">
        <v>44</v>
      </c>
      <c r="G128" s="8" t="s">
        <v>7</v>
      </c>
      <c r="H128" s="8" t="s">
        <v>38</v>
      </c>
      <c r="I128" s="9">
        <v>2261.0486999999998</v>
      </c>
      <c r="J128">
        <v>2366.1377792100002</v>
      </c>
      <c r="K128">
        <v>2328.1085889699998</v>
      </c>
      <c r="L128">
        <v>2311.1751177142</v>
      </c>
    </row>
    <row r="129" spans="1:12" x14ac:dyDescent="0.2">
      <c r="A129" s="8" t="s">
        <v>32</v>
      </c>
      <c r="B129" s="8" t="s">
        <v>102</v>
      </c>
      <c r="C129" s="8" t="s">
        <v>103</v>
      </c>
      <c r="D129" s="8" t="s">
        <v>104</v>
      </c>
      <c r="E129" s="8" t="s">
        <v>49</v>
      </c>
      <c r="F129" s="8" t="s">
        <v>50</v>
      </c>
      <c r="G129" s="8" t="s">
        <v>7</v>
      </c>
      <c r="H129" s="8" t="s">
        <v>38</v>
      </c>
      <c r="I129" s="9">
        <v>1772.4789000000001</v>
      </c>
      <c r="J129">
        <v>1933.9967091999999</v>
      </c>
      <c r="K129">
        <v>2022.40473892</v>
      </c>
      <c r="L129">
        <v>1919.9518535565001</v>
      </c>
    </row>
    <row r="130" spans="1:12" x14ac:dyDescent="0.2">
      <c r="A130" s="8" t="s">
        <v>32</v>
      </c>
      <c r="B130" s="8" t="s">
        <v>102</v>
      </c>
      <c r="C130" s="8" t="s">
        <v>103</v>
      </c>
      <c r="D130" s="8" t="s">
        <v>104</v>
      </c>
      <c r="E130" s="8" t="s">
        <v>51</v>
      </c>
      <c r="F130" s="8" t="s">
        <v>52</v>
      </c>
      <c r="G130" s="8" t="s">
        <v>7</v>
      </c>
      <c r="H130" s="8" t="s">
        <v>38</v>
      </c>
      <c r="I130" s="9">
        <v>416.43639000000002</v>
      </c>
      <c r="J130">
        <v>396.94890741</v>
      </c>
      <c r="K130">
        <v>387.79165953</v>
      </c>
      <c r="L130">
        <v>366.35134322802998</v>
      </c>
    </row>
    <row r="131" spans="1:12" x14ac:dyDescent="0.2">
      <c r="A131" s="8" t="s">
        <v>32</v>
      </c>
      <c r="B131" s="8" t="s">
        <v>102</v>
      </c>
      <c r="C131" s="8" t="s">
        <v>103</v>
      </c>
      <c r="D131" s="8" t="s">
        <v>104</v>
      </c>
      <c r="E131" s="8" t="s">
        <v>68</v>
      </c>
      <c r="F131" s="8" t="s">
        <v>69</v>
      </c>
      <c r="G131" s="8" t="s">
        <v>7</v>
      </c>
      <c r="H131" s="8" t="s">
        <v>38</v>
      </c>
      <c r="I131" s="9">
        <v>1.999E-5</v>
      </c>
      <c r="J131">
        <v>1.9985953103448001E-5</v>
      </c>
      <c r="K131">
        <v>1.9985953103448001E-5</v>
      </c>
      <c r="L131">
        <v>1.9985953103448001E-5</v>
      </c>
    </row>
    <row r="132" spans="1:12" x14ac:dyDescent="0.2">
      <c r="A132" s="8" t="s">
        <v>32</v>
      </c>
      <c r="B132" s="8" t="s">
        <v>102</v>
      </c>
      <c r="C132" s="8" t="s">
        <v>103</v>
      </c>
      <c r="D132" s="8" t="s">
        <v>104</v>
      </c>
      <c r="E132" s="8" t="s">
        <v>53</v>
      </c>
      <c r="F132" s="8" t="s">
        <v>54</v>
      </c>
      <c r="G132" s="8" t="s">
        <v>7</v>
      </c>
      <c r="H132" s="8" t="s">
        <v>38</v>
      </c>
      <c r="I132" s="9">
        <v>189.39389</v>
      </c>
      <c r="J132">
        <v>213.85353660000001</v>
      </c>
      <c r="K132">
        <v>228.79093578000001</v>
      </c>
      <c r="L132">
        <v>216.63817791</v>
      </c>
    </row>
    <row r="133" spans="1:12" x14ac:dyDescent="0.2">
      <c r="A133" s="8" t="s">
        <v>32</v>
      </c>
      <c r="B133" s="8" t="s">
        <v>102</v>
      </c>
      <c r="C133" s="8" t="s">
        <v>103</v>
      </c>
      <c r="D133" s="8" t="s">
        <v>104</v>
      </c>
      <c r="E133" s="8" t="s">
        <v>70</v>
      </c>
      <c r="F133" s="8" t="s">
        <v>71</v>
      </c>
      <c r="G133" s="8" t="s">
        <v>7</v>
      </c>
      <c r="H133" s="8" t="s">
        <v>38</v>
      </c>
      <c r="I133" s="9">
        <v>307.15129999999999</v>
      </c>
      <c r="J133">
        <v>319.60918358399999</v>
      </c>
      <c r="K133">
        <v>431.30056494399997</v>
      </c>
      <c r="L133">
        <v>430.81399854564</v>
      </c>
    </row>
    <row r="134" spans="1:12" x14ac:dyDescent="0.2">
      <c r="A134" s="8" t="s">
        <v>32</v>
      </c>
      <c r="B134" s="8" t="s">
        <v>102</v>
      </c>
      <c r="C134" s="8" t="s">
        <v>103</v>
      </c>
      <c r="D134" s="8" t="s">
        <v>104</v>
      </c>
      <c r="E134" s="8" t="s">
        <v>83</v>
      </c>
      <c r="F134" s="8" t="s">
        <v>84</v>
      </c>
      <c r="G134" s="8" t="s">
        <v>7</v>
      </c>
      <c r="H134" s="8" t="s">
        <v>38</v>
      </c>
      <c r="I134" s="9"/>
    </row>
    <row r="135" spans="1:12" x14ac:dyDescent="0.2">
      <c r="A135" s="8" t="s">
        <v>32</v>
      </c>
      <c r="B135" s="8" t="s">
        <v>102</v>
      </c>
      <c r="C135" s="8" t="s">
        <v>103</v>
      </c>
      <c r="D135" s="8" t="s">
        <v>104</v>
      </c>
      <c r="E135" s="8" t="s">
        <v>55</v>
      </c>
      <c r="F135" s="8" t="s">
        <v>56</v>
      </c>
      <c r="G135" s="8" t="s">
        <v>7</v>
      </c>
      <c r="H135" s="8" t="s">
        <v>38</v>
      </c>
      <c r="I135" s="9">
        <v>0.18399160000000001</v>
      </c>
      <c r="J135">
        <v>0.20607535746031</v>
      </c>
      <c r="K135">
        <v>0.20607535746031</v>
      </c>
      <c r="L135">
        <v>0.20607535746031</v>
      </c>
    </row>
    <row r="136" spans="1:12" x14ac:dyDescent="0.2">
      <c r="A136" s="8" t="s">
        <v>32</v>
      </c>
      <c r="B136" s="8" t="s">
        <v>102</v>
      </c>
      <c r="C136" s="8" t="s">
        <v>103</v>
      </c>
      <c r="D136" s="8" t="s">
        <v>104</v>
      </c>
      <c r="E136" s="8" t="s">
        <v>57</v>
      </c>
      <c r="F136" s="8" t="s">
        <v>58</v>
      </c>
      <c r="G136" s="8" t="s">
        <v>7</v>
      </c>
      <c r="H136" s="8" t="s">
        <v>38</v>
      </c>
      <c r="I136" s="9"/>
    </row>
    <row r="137" spans="1:12" x14ac:dyDescent="0.2">
      <c r="A137" s="8" t="s">
        <v>32</v>
      </c>
      <c r="B137" s="8" t="s">
        <v>102</v>
      </c>
      <c r="C137" s="8" t="s">
        <v>103</v>
      </c>
      <c r="D137" s="8" t="s">
        <v>104</v>
      </c>
      <c r="E137" s="8" t="s">
        <v>72</v>
      </c>
      <c r="F137" s="8" t="s">
        <v>73</v>
      </c>
      <c r="G137" s="8" t="s">
        <v>7</v>
      </c>
      <c r="H137" s="8" t="s">
        <v>38</v>
      </c>
      <c r="I137" s="9">
        <v>5.13085E-2</v>
      </c>
      <c r="J137">
        <v>5.1672150380474E-2</v>
      </c>
      <c r="K137">
        <v>4.4939722413914002E-2</v>
      </c>
      <c r="L137">
        <v>4.2580583561221998E-2</v>
      </c>
    </row>
    <row r="138" spans="1:12" x14ac:dyDescent="0.2">
      <c r="A138" s="8" t="s">
        <v>32</v>
      </c>
      <c r="B138" s="8" t="s">
        <v>102</v>
      </c>
      <c r="C138" s="8" t="s">
        <v>103</v>
      </c>
      <c r="D138" s="8" t="s">
        <v>104</v>
      </c>
      <c r="E138" s="8" t="s">
        <v>74</v>
      </c>
      <c r="F138" s="8" t="s">
        <v>75</v>
      </c>
      <c r="G138" s="8" t="s">
        <v>7</v>
      </c>
      <c r="H138" s="8" t="s">
        <v>38</v>
      </c>
      <c r="I138" s="9">
        <v>0.26872000000000001</v>
      </c>
      <c r="J138">
        <v>0.33339999999999997</v>
      </c>
      <c r="K138">
        <v>0.36656</v>
      </c>
      <c r="L138">
        <v>0.36656</v>
      </c>
    </row>
    <row r="139" spans="1:12" x14ac:dyDescent="0.2">
      <c r="A139" s="8" t="s">
        <v>32</v>
      </c>
      <c r="B139" s="8" t="s">
        <v>102</v>
      </c>
      <c r="C139" s="8" t="s">
        <v>103</v>
      </c>
      <c r="D139" s="8" t="s">
        <v>104</v>
      </c>
      <c r="E139" s="8" t="s">
        <v>59</v>
      </c>
      <c r="F139" s="8" t="s">
        <v>60</v>
      </c>
      <c r="G139" s="8" t="s">
        <v>7</v>
      </c>
      <c r="H139" s="8" t="s">
        <v>38</v>
      </c>
      <c r="I139" s="9">
        <v>27.522124999999999</v>
      </c>
      <c r="J139">
        <v>24.759676733134999</v>
      </c>
      <c r="K139">
        <v>24.764926332687999</v>
      </c>
      <c r="L139">
        <v>26.010153499967998</v>
      </c>
    </row>
    <row r="140" spans="1:12" x14ac:dyDescent="0.2">
      <c r="A140" s="8" t="s">
        <v>32</v>
      </c>
      <c r="B140" s="8" t="s">
        <v>102</v>
      </c>
      <c r="C140" s="8" t="s">
        <v>103</v>
      </c>
      <c r="D140" s="8" t="s">
        <v>104</v>
      </c>
      <c r="E140" s="8" t="s">
        <v>76</v>
      </c>
      <c r="F140" s="8" t="s">
        <v>77</v>
      </c>
      <c r="G140" s="8" t="s">
        <v>7</v>
      </c>
      <c r="H140" s="8" t="s">
        <v>38</v>
      </c>
      <c r="I140" s="9">
        <v>52.066667000000002</v>
      </c>
      <c r="J140">
        <v>42.742857143712001</v>
      </c>
      <c r="K140">
        <v>38.028571429331997</v>
      </c>
      <c r="L140">
        <v>38.028571429331997</v>
      </c>
    </row>
    <row r="141" spans="1:12" x14ac:dyDescent="0.2">
      <c r="A141" s="8" t="s">
        <v>32</v>
      </c>
      <c r="B141" s="8" t="s">
        <v>102</v>
      </c>
      <c r="C141" s="8" t="s">
        <v>103</v>
      </c>
      <c r="D141" s="8" t="s">
        <v>104</v>
      </c>
      <c r="E141" s="8" t="s">
        <v>78</v>
      </c>
      <c r="F141" s="8" t="s">
        <v>79</v>
      </c>
      <c r="G141" s="8" t="s">
        <v>7</v>
      </c>
      <c r="H141" s="8" t="s">
        <v>38</v>
      </c>
      <c r="I141" s="9">
        <v>3.7714278999999999</v>
      </c>
      <c r="J141">
        <v>1.8857139428570999</v>
      </c>
      <c r="K141">
        <v>3.7714278857143002</v>
      </c>
      <c r="L141">
        <v>3.9599992799999999</v>
      </c>
    </row>
    <row r="142" spans="1:12" x14ac:dyDescent="0.2">
      <c r="A142" s="8" t="s">
        <v>32</v>
      </c>
      <c r="B142" s="8" t="s">
        <v>105</v>
      </c>
      <c r="C142" s="8" t="s">
        <v>106</v>
      </c>
      <c r="D142" s="8" t="s">
        <v>107</v>
      </c>
      <c r="E142" s="8" t="s">
        <v>59</v>
      </c>
      <c r="F142" s="8" t="s">
        <v>60</v>
      </c>
      <c r="G142" s="8" t="s">
        <v>7</v>
      </c>
      <c r="H142" s="8" t="s">
        <v>38</v>
      </c>
      <c r="I142" s="9">
        <v>8.4725999999999996E-2</v>
      </c>
      <c r="J142">
        <v>8.5031218657810007E-2</v>
      </c>
      <c r="K142">
        <v>8.5031218657810007E-2</v>
      </c>
      <c r="L142">
        <v>8.5031218657810007E-2</v>
      </c>
    </row>
    <row r="143" spans="1:12" x14ac:dyDescent="0.2">
      <c r="A143" s="8" t="s">
        <v>32</v>
      </c>
      <c r="B143" s="8" t="s">
        <v>33</v>
      </c>
      <c r="C143" s="8" t="s">
        <v>108</v>
      </c>
      <c r="D143" s="8" t="s">
        <v>109</v>
      </c>
      <c r="E143" s="8" t="s">
        <v>36</v>
      </c>
      <c r="F143" s="8" t="s">
        <v>37</v>
      </c>
      <c r="G143" s="8" t="s">
        <v>7</v>
      </c>
      <c r="H143" s="8" t="s">
        <v>38</v>
      </c>
      <c r="I143" s="9">
        <v>167.63124999999999</v>
      </c>
      <c r="J143">
        <v>167.38372910640001</v>
      </c>
      <c r="K143">
        <v>173.61456178076</v>
      </c>
      <c r="L143">
        <v>173.26301189882</v>
      </c>
    </row>
    <row r="144" spans="1:12" x14ac:dyDescent="0.2">
      <c r="A144" s="8" t="s">
        <v>32</v>
      </c>
      <c r="B144" s="8" t="s">
        <v>33</v>
      </c>
      <c r="C144" s="8" t="s">
        <v>108</v>
      </c>
      <c r="D144" s="8" t="s">
        <v>109</v>
      </c>
      <c r="E144" s="8" t="s">
        <v>39</v>
      </c>
      <c r="F144" s="8" t="s">
        <v>40</v>
      </c>
      <c r="G144" s="8" t="s">
        <v>7</v>
      </c>
      <c r="H144" s="8" t="s">
        <v>38</v>
      </c>
      <c r="I144" s="9">
        <v>19.116591</v>
      </c>
      <c r="J144">
        <v>22.631296090098999</v>
      </c>
      <c r="K144">
        <v>23.473916738334999</v>
      </c>
      <c r="L144">
        <v>23.426384707764001</v>
      </c>
    </row>
    <row r="145" spans="1:12" x14ac:dyDescent="0.2">
      <c r="A145" s="8" t="s">
        <v>32</v>
      </c>
      <c r="B145" s="8" t="s">
        <v>33</v>
      </c>
      <c r="C145" s="8" t="s">
        <v>108</v>
      </c>
      <c r="D145" s="8" t="s">
        <v>109</v>
      </c>
      <c r="E145" s="8" t="s">
        <v>41</v>
      </c>
      <c r="F145" s="8" t="s">
        <v>42</v>
      </c>
      <c r="G145" s="8" t="s">
        <v>7</v>
      </c>
      <c r="H145" s="8" t="s">
        <v>38</v>
      </c>
      <c r="I145" s="9">
        <v>8.0725294000000005</v>
      </c>
      <c r="J145">
        <v>8.2518795560786007</v>
      </c>
      <c r="K145">
        <v>8.5591193040259999</v>
      </c>
      <c r="L145">
        <v>9.7725407647554992</v>
      </c>
    </row>
    <row r="146" spans="1:12" x14ac:dyDescent="0.2">
      <c r="A146" s="8" t="s">
        <v>32</v>
      </c>
      <c r="B146" s="8" t="s">
        <v>33</v>
      </c>
      <c r="C146" s="8" t="s">
        <v>108</v>
      </c>
      <c r="D146" s="8" t="s">
        <v>109</v>
      </c>
      <c r="E146" s="8" t="s">
        <v>43</v>
      </c>
      <c r="F146" s="8" t="s">
        <v>44</v>
      </c>
      <c r="G146" s="8" t="s">
        <v>7</v>
      </c>
      <c r="H146" s="8" t="s">
        <v>38</v>
      </c>
      <c r="I146" s="9">
        <v>92.406328000000002</v>
      </c>
      <c r="J146">
        <v>94.675130063696997</v>
      </c>
      <c r="K146">
        <v>98.200299501033996</v>
      </c>
      <c r="L146">
        <v>98.001454983949998</v>
      </c>
    </row>
    <row r="147" spans="1:12" x14ac:dyDescent="0.2">
      <c r="A147" s="8" t="s">
        <v>32</v>
      </c>
      <c r="B147" s="8" t="s">
        <v>33</v>
      </c>
      <c r="C147" s="8" t="s">
        <v>108</v>
      </c>
      <c r="D147" s="8" t="s">
        <v>109</v>
      </c>
      <c r="E147" s="8" t="s">
        <v>45</v>
      </c>
      <c r="F147" s="8" t="s">
        <v>46</v>
      </c>
      <c r="G147" s="8" t="s">
        <v>7</v>
      </c>
      <c r="H147" s="8" t="s">
        <v>38</v>
      </c>
      <c r="I147" s="9">
        <v>7.1005405000000001</v>
      </c>
      <c r="J147">
        <v>7.0766551333937002</v>
      </c>
      <c r="K147">
        <v>7.3402076551885997</v>
      </c>
      <c r="L147">
        <v>7.8218863981381004</v>
      </c>
    </row>
    <row r="148" spans="1:12" x14ac:dyDescent="0.2">
      <c r="A148" s="8" t="s">
        <v>32</v>
      </c>
      <c r="B148" s="8" t="s">
        <v>33</v>
      </c>
      <c r="C148" s="8" t="s">
        <v>108</v>
      </c>
      <c r="D148" s="8" t="s">
        <v>109</v>
      </c>
      <c r="E148" s="8" t="s">
        <v>47</v>
      </c>
      <c r="F148" s="8" t="s">
        <v>48</v>
      </c>
      <c r="G148" s="8" t="s">
        <v>7</v>
      </c>
      <c r="H148" s="8" t="s">
        <v>38</v>
      </c>
      <c r="I148" s="9">
        <v>3.0491177999999999</v>
      </c>
      <c r="J148">
        <v>2.8554684620397999</v>
      </c>
      <c r="K148">
        <v>2.9618426609603001</v>
      </c>
      <c r="L148">
        <v>2.9558452640420998</v>
      </c>
    </row>
    <row r="149" spans="1:12" x14ac:dyDescent="0.2">
      <c r="A149" s="8" t="s">
        <v>32</v>
      </c>
      <c r="B149" s="8" t="s">
        <v>33</v>
      </c>
      <c r="C149" s="8" t="s">
        <v>108</v>
      </c>
      <c r="D149" s="8" t="s">
        <v>109</v>
      </c>
      <c r="E149" s="8" t="s">
        <v>49</v>
      </c>
      <c r="F149" s="8" t="s">
        <v>50</v>
      </c>
      <c r="G149" s="8" t="s">
        <v>7</v>
      </c>
      <c r="H149" s="8" t="s">
        <v>38</v>
      </c>
      <c r="I149" s="9">
        <v>25.413547000000001</v>
      </c>
      <c r="J149">
        <v>25.289763030739</v>
      </c>
      <c r="K149">
        <v>25.373723072278999</v>
      </c>
      <c r="L149">
        <v>25.322344148420001</v>
      </c>
    </row>
    <row r="150" spans="1:12" x14ac:dyDescent="0.2">
      <c r="A150" s="8" t="s">
        <v>32</v>
      </c>
      <c r="B150" s="8" t="s">
        <v>33</v>
      </c>
      <c r="C150" s="8" t="s">
        <v>108</v>
      </c>
      <c r="D150" s="8" t="s">
        <v>109</v>
      </c>
      <c r="E150" s="8" t="s">
        <v>51</v>
      </c>
      <c r="F150" s="8" t="s">
        <v>52</v>
      </c>
      <c r="G150" s="8" t="s">
        <v>7</v>
      </c>
      <c r="H150" s="8" t="s">
        <v>38</v>
      </c>
      <c r="I150" s="9">
        <v>1.9503903</v>
      </c>
      <c r="J150">
        <v>2.1039567097021998</v>
      </c>
      <c r="K150">
        <v>2.1822747741200001</v>
      </c>
      <c r="L150">
        <v>2.1778559141388998</v>
      </c>
    </row>
    <row r="151" spans="1:12" x14ac:dyDescent="0.2">
      <c r="A151" s="8" t="s">
        <v>32</v>
      </c>
      <c r="B151" s="8" t="s">
        <v>33</v>
      </c>
      <c r="C151" s="8" t="s">
        <v>108</v>
      </c>
      <c r="D151" s="8" t="s">
        <v>109</v>
      </c>
      <c r="E151" s="8" t="s">
        <v>53</v>
      </c>
      <c r="F151" s="8" t="s">
        <v>54</v>
      </c>
      <c r="G151" s="8" t="s">
        <v>7</v>
      </c>
      <c r="H151" s="8" t="s">
        <v>38</v>
      </c>
      <c r="I151" s="9"/>
    </row>
    <row r="152" spans="1:12" x14ac:dyDescent="0.2">
      <c r="A152" s="8" t="s">
        <v>32</v>
      </c>
      <c r="B152" s="8" t="s">
        <v>33</v>
      </c>
      <c r="C152" s="8" t="s">
        <v>108</v>
      </c>
      <c r="D152" s="8" t="s">
        <v>109</v>
      </c>
      <c r="E152" s="8" t="s">
        <v>55</v>
      </c>
      <c r="F152" s="8" t="s">
        <v>56</v>
      </c>
      <c r="G152" s="8" t="s">
        <v>7</v>
      </c>
      <c r="H152" s="8" t="s">
        <v>38</v>
      </c>
      <c r="I152" s="9">
        <v>4.7378999999999998E-3</v>
      </c>
      <c r="J152">
        <v>4.7778827098154996E-3</v>
      </c>
      <c r="K152">
        <v>4.8182373659917998E-3</v>
      </c>
      <c r="L152">
        <v>4.8578799505990004E-3</v>
      </c>
    </row>
    <row r="153" spans="1:12" x14ac:dyDescent="0.2">
      <c r="A153" s="8" t="s">
        <v>32</v>
      </c>
      <c r="B153" s="8" t="s">
        <v>33</v>
      </c>
      <c r="C153" s="8" t="s">
        <v>108</v>
      </c>
      <c r="D153" s="8" t="s">
        <v>109</v>
      </c>
      <c r="E153" s="8" t="s">
        <v>57</v>
      </c>
      <c r="F153" s="8" t="s">
        <v>58</v>
      </c>
      <c r="G153" s="8" t="s">
        <v>7</v>
      </c>
      <c r="H153" s="8" t="s">
        <v>38</v>
      </c>
      <c r="I153" s="9">
        <v>2.4236000000000001E-3</v>
      </c>
      <c r="J153">
        <v>2.9075234182416002E-3</v>
      </c>
      <c r="K153">
        <v>3.4880724655979001E-3</v>
      </c>
      <c r="L153">
        <v>4.0278209587175E-3</v>
      </c>
    </row>
    <row r="154" spans="1:12" x14ac:dyDescent="0.2">
      <c r="A154" s="8" t="s">
        <v>32</v>
      </c>
      <c r="B154" s="8" t="s">
        <v>33</v>
      </c>
      <c r="C154" s="8" t="s">
        <v>108</v>
      </c>
      <c r="D154" s="8" t="s">
        <v>109</v>
      </c>
      <c r="E154" s="8" t="s">
        <v>59</v>
      </c>
      <c r="F154" s="8" t="s">
        <v>60</v>
      </c>
      <c r="G154" s="8" t="s">
        <v>7</v>
      </c>
      <c r="H154" s="8" t="s">
        <v>38</v>
      </c>
      <c r="I154" s="9">
        <v>1.2706995999999999</v>
      </c>
      <c r="J154">
        <v>1.2637205135419001</v>
      </c>
      <c r="K154">
        <v>1.2963545946463999</v>
      </c>
      <c r="L154">
        <v>1.344369821203</v>
      </c>
    </row>
    <row r="155" spans="1:12" x14ac:dyDescent="0.2">
      <c r="A155" s="8" t="s">
        <v>110</v>
      </c>
      <c r="B155" s="8" t="s">
        <v>105</v>
      </c>
      <c r="C155" s="8" t="s">
        <v>111</v>
      </c>
      <c r="D155" s="8" t="s">
        <v>112</v>
      </c>
      <c r="E155" s="8" t="s">
        <v>36</v>
      </c>
      <c r="F155" s="8" t="s">
        <v>37</v>
      </c>
      <c r="G155" s="8" t="s">
        <v>7</v>
      </c>
      <c r="H155" s="8" t="s">
        <v>38</v>
      </c>
      <c r="I155" s="9">
        <v>179618.26</v>
      </c>
      <c r="J155">
        <v>171952.74840307</v>
      </c>
      <c r="K155">
        <v>164613.09747730001</v>
      </c>
      <c r="L155">
        <v>159780.97158041</v>
      </c>
    </row>
    <row r="156" spans="1:12" x14ac:dyDescent="0.2">
      <c r="A156" s="8" t="s">
        <v>110</v>
      </c>
      <c r="B156" s="8" t="s">
        <v>105</v>
      </c>
      <c r="C156" s="8" t="s">
        <v>111</v>
      </c>
      <c r="D156" s="8" t="s">
        <v>112</v>
      </c>
      <c r="E156" s="8" t="s">
        <v>64</v>
      </c>
      <c r="F156" s="8" t="s">
        <v>65</v>
      </c>
      <c r="G156" s="8" t="s">
        <v>7</v>
      </c>
      <c r="H156" s="8" t="s">
        <v>38</v>
      </c>
      <c r="I156" s="9">
        <v>31404.365000000002</v>
      </c>
      <c r="J156">
        <v>30696.248564850001</v>
      </c>
      <c r="K156">
        <v>31277.336633880001</v>
      </c>
      <c r="L156">
        <v>29892.902844021999</v>
      </c>
    </row>
    <row r="157" spans="1:12" x14ac:dyDescent="0.2">
      <c r="A157" s="8" t="s">
        <v>110</v>
      </c>
      <c r="B157" s="8" t="s">
        <v>105</v>
      </c>
      <c r="C157" s="8" t="s">
        <v>111</v>
      </c>
      <c r="D157" s="8" t="s">
        <v>112</v>
      </c>
      <c r="E157" s="8" t="s">
        <v>39</v>
      </c>
      <c r="F157" s="8" t="s">
        <v>40</v>
      </c>
      <c r="G157" s="8" t="s">
        <v>7</v>
      </c>
      <c r="H157" s="8" t="s">
        <v>38</v>
      </c>
      <c r="I157" s="9">
        <v>38966.072999999997</v>
      </c>
      <c r="J157">
        <v>40177.2508275</v>
      </c>
      <c r="K157">
        <v>39957.954601990001</v>
      </c>
      <c r="L157">
        <v>39613.372245377002</v>
      </c>
    </row>
    <row r="158" spans="1:12" x14ac:dyDescent="0.2">
      <c r="A158" s="8" t="s">
        <v>110</v>
      </c>
      <c r="B158" s="8" t="s">
        <v>105</v>
      </c>
      <c r="C158" s="8" t="s">
        <v>111</v>
      </c>
      <c r="D158" s="8" t="s">
        <v>112</v>
      </c>
      <c r="E158" s="8" t="s">
        <v>41</v>
      </c>
      <c r="F158" s="8" t="s">
        <v>42</v>
      </c>
      <c r="G158" s="8" t="s">
        <v>7</v>
      </c>
      <c r="H158" s="8" t="s">
        <v>38</v>
      </c>
      <c r="I158" s="9">
        <v>7103.3262000000004</v>
      </c>
      <c r="J158">
        <v>4889.3774696</v>
      </c>
      <c r="K158">
        <v>6219.3349350500002</v>
      </c>
      <c r="L158">
        <v>9521.2384206299994</v>
      </c>
    </row>
    <row r="159" spans="1:12" x14ac:dyDescent="0.2">
      <c r="A159" s="8" t="s">
        <v>110</v>
      </c>
      <c r="B159" s="8" t="s">
        <v>105</v>
      </c>
      <c r="C159" s="8" t="s">
        <v>111</v>
      </c>
      <c r="D159" s="8" t="s">
        <v>112</v>
      </c>
      <c r="E159" s="8" t="s">
        <v>43</v>
      </c>
      <c r="F159" s="8" t="s">
        <v>44</v>
      </c>
      <c r="G159" s="8" t="s">
        <v>7</v>
      </c>
      <c r="H159" s="8" t="s">
        <v>38</v>
      </c>
      <c r="I159" s="9">
        <v>76309.437999999995</v>
      </c>
      <c r="J159">
        <v>75480.682632451004</v>
      </c>
      <c r="K159">
        <v>75464.856020370004</v>
      </c>
      <c r="L159">
        <v>79443.941400551004</v>
      </c>
    </row>
    <row r="160" spans="1:12" x14ac:dyDescent="0.2">
      <c r="A160" s="8" t="s">
        <v>110</v>
      </c>
      <c r="B160" s="8" t="s">
        <v>105</v>
      </c>
      <c r="C160" s="8" t="s">
        <v>111</v>
      </c>
      <c r="D160" s="8" t="s">
        <v>112</v>
      </c>
      <c r="E160" s="8" t="s">
        <v>66</v>
      </c>
      <c r="F160" s="8" t="s">
        <v>67</v>
      </c>
      <c r="G160" s="8" t="s">
        <v>7</v>
      </c>
      <c r="H160" s="8" t="s">
        <v>38</v>
      </c>
      <c r="I160" s="9">
        <v>3473.7961</v>
      </c>
      <c r="J160">
        <v>3618.4619869899998</v>
      </c>
      <c r="K160">
        <v>3578.5633528799999</v>
      </c>
      <c r="L160">
        <v>3591.2581787262998</v>
      </c>
    </row>
    <row r="161" spans="1:12" x14ac:dyDescent="0.2">
      <c r="A161" s="8" t="s">
        <v>110</v>
      </c>
      <c r="B161" s="8" t="s">
        <v>105</v>
      </c>
      <c r="C161" s="8" t="s">
        <v>111</v>
      </c>
      <c r="D161" s="8" t="s">
        <v>112</v>
      </c>
      <c r="E161" s="8" t="s">
        <v>45</v>
      </c>
      <c r="F161" s="8" t="s">
        <v>46</v>
      </c>
      <c r="G161" s="8" t="s">
        <v>7</v>
      </c>
      <c r="H161" s="8" t="s">
        <v>38</v>
      </c>
      <c r="I161" s="9">
        <v>2176.2608</v>
      </c>
      <c r="J161">
        <v>2109.30201528</v>
      </c>
      <c r="K161">
        <v>2265.5880700500002</v>
      </c>
      <c r="L161">
        <v>2456.7115992877002</v>
      </c>
    </row>
    <row r="162" spans="1:12" x14ac:dyDescent="0.2">
      <c r="A162" s="8" t="s">
        <v>110</v>
      </c>
      <c r="B162" s="8" t="s">
        <v>105</v>
      </c>
      <c r="C162" s="8" t="s">
        <v>111</v>
      </c>
      <c r="D162" s="8" t="s">
        <v>112</v>
      </c>
      <c r="E162" s="8" t="s">
        <v>47</v>
      </c>
      <c r="F162" s="8" t="s">
        <v>48</v>
      </c>
      <c r="G162" s="8" t="s">
        <v>7</v>
      </c>
      <c r="H162" s="8" t="s">
        <v>38</v>
      </c>
      <c r="I162" s="9">
        <v>1441.5539000000001</v>
      </c>
      <c r="J162">
        <v>1509.1857168399999</v>
      </c>
      <c r="K162">
        <v>1660.8175604</v>
      </c>
      <c r="L162">
        <v>1674.8616953431001</v>
      </c>
    </row>
    <row r="163" spans="1:12" x14ac:dyDescent="0.2">
      <c r="A163" s="8" t="s">
        <v>110</v>
      </c>
      <c r="B163" s="8" t="s">
        <v>105</v>
      </c>
      <c r="C163" s="8" t="s">
        <v>111</v>
      </c>
      <c r="D163" s="8" t="s">
        <v>112</v>
      </c>
      <c r="E163" s="8" t="s">
        <v>49</v>
      </c>
      <c r="F163" s="8" t="s">
        <v>50</v>
      </c>
      <c r="G163" s="8" t="s">
        <v>7</v>
      </c>
      <c r="H163" s="8" t="s">
        <v>38</v>
      </c>
      <c r="I163" s="9">
        <v>19173.417000000001</v>
      </c>
      <c r="J163">
        <v>21317.255061280001</v>
      </c>
      <c r="K163">
        <v>20655.86991324</v>
      </c>
      <c r="L163">
        <v>19693.939292288</v>
      </c>
    </row>
    <row r="164" spans="1:12" x14ac:dyDescent="0.2">
      <c r="A164" s="8" t="s">
        <v>110</v>
      </c>
      <c r="B164" s="8" t="s">
        <v>105</v>
      </c>
      <c r="C164" s="8" t="s">
        <v>111</v>
      </c>
      <c r="D164" s="8" t="s">
        <v>112</v>
      </c>
      <c r="E164" s="8" t="s">
        <v>51</v>
      </c>
      <c r="F164" s="8" t="s">
        <v>52</v>
      </c>
      <c r="G164" s="8" t="s">
        <v>7</v>
      </c>
      <c r="H164" s="8" t="s">
        <v>38</v>
      </c>
      <c r="I164" s="9">
        <v>9376.3984999999993</v>
      </c>
      <c r="J164">
        <v>9192.6765574500005</v>
      </c>
      <c r="K164">
        <v>9090.0903746399999</v>
      </c>
      <c r="L164">
        <v>10012.012695718</v>
      </c>
    </row>
    <row r="165" spans="1:12" x14ac:dyDescent="0.2">
      <c r="A165" s="8" t="s">
        <v>110</v>
      </c>
      <c r="B165" s="8" t="s">
        <v>105</v>
      </c>
      <c r="C165" s="8" t="s">
        <v>111</v>
      </c>
      <c r="D165" s="8" t="s">
        <v>112</v>
      </c>
      <c r="E165" s="8" t="s">
        <v>68</v>
      </c>
      <c r="F165" s="8" t="s">
        <v>69</v>
      </c>
      <c r="G165" s="8" t="s">
        <v>7</v>
      </c>
      <c r="H165" s="8" t="s">
        <v>38</v>
      </c>
      <c r="I165" s="9">
        <v>4206.8171000000002</v>
      </c>
      <c r="J165">
        <v>4075.1202477086999</v>
      </c>
      <c r="K165">
        <v>4545.8883334316997</v>
      </c>
      <c r="L165">
        <v>3668.2376225888001</v>
      </c>
    </row>
    <row r="166" spans="1:12" x14ac:dyDescent="0.2">
      <c r="A166" s="8" t="s">
        <v>110</v>
      </c>
      <c r="B166" s="8" t="s">
        <v>105</v>
      </c>
      <c r="C166" s="8" t="s">
        <v>111</v>
      </c>
      <c r="D166" s="8" t="s">
        <v>112</v>
      </c>
      <c r="E166" s="8" t="s">
        <v>53</v>
      </c>
      <c r="F166" s="8" t="s">
        <v>54</v>
      </c>
      <c r="G166" s="8" t="s">
        <v>7</v>
      </c>
      <c r="H166" s="8" t="s">
        <v>38</v>
      </c>
      <c r="I166" s="9">
        <v>2117.0315999999998</v>
      </c>
      <c r="J166">
        <v>1793.7426023370999</v>
      </c>
      <c r="K166">
        <v>1581.4241077619999</v>
      </c>
      <c r="L166">
        <v>1498.5669530594</v>
      </c>
    </row>
    <row r="167" spans="1:12" x14ac:dyDescent="0.2">
      <c r="A167" s="8" t="s">
        <v>110</v>
      </c>
      <c r="B167" s="8" t="s">
        <v>105</v>
      </c>
      <c r="C167" s="8" t="s">
        <v>111</v>
      </c>
      <c r="D167" s="8" t="s">
        <v>112</v>
      </c>
      <c r="E167" s="8" t="s">
        <v>70</v>
      </c>
      <c r="F167" s="8" t="s">
        <v>71</v>
      </c>
      <c r="G167" s="8" t="s">
        <v>7</v>
      </c>
      <c r="H167" s="8" t="s">
        <v>38</v>
      </c>
      <c r="I167" s="9">
        <v>2727.8692999999998</v>
      </c>
      <c r="J167">
        <v>2543.5205040205001</v>
      </c>
      <c r="K167">
        <v>2595.4290857351998</v>
      </c>
      <c r="L167">
        <v>2592.5010845103002</v>
      </c>
    </row>
    <row r="168" spans="1:12" x14ac:dyDescent="0.2">
      <c r="A168" s="8" t="s">
        <v>110</v>
      </c>
      <c r="B168" s="8" t="s">
        <v>105</v>
      </c>
      <c r="C168" s="8" t="s">
        <v>111</v>
      </c>
      <c r="D168" s="8" t="s">
        <v>112</v>
      </c>
      <c r="E168" s="8" t="s">
        <v>83</v>
      </c>
      <c r="F168" s="8" t="s">
        <v>84</v>
      </c>
      <c r="G168" s="8" t="s">
        <v>7</v>
      </c>
      <c r="H168" s="8" t="s">
        <v>38</v>
      </c>
      <c r="I168" s="9">
        <v>1500</v>
      </c>
      <c r="J168">
        <v>1500</v>
      </c>
      <c r="K168">
        <v>1500</v>
      </c>
      <c r="L168">
        <v>1477.5</v>
      </c>
    </row>
    <row r="169" spans="1:12" x14ac:dyDescent="0.2">
      <c r="A169" s="8" t="s">
        <v>110</v>
      </c>
      <c r="B169" s="8" t="s">
        <v>105</v>
      </c>
      <c r="C169" s="8" t="s">
        <v>111</v>
      </c>
      <c r="D169" s="8" t="s">
        <v>112</v>
      </c>
      <c r="E169" s="8" t="s">
        <v>55</v>
      </c>
      <c r="F169" s="8" t="s">
        <v>56</v>
      </c>
      <c r="G169" s="8" t="s">
        <v>7</v>
      </c>
      <c r="H169" s="8" t="s">
        <v>38</v>
      </c>
      <c r="I169" s="9">
        <v>83.735484</v>
      </c>
      <c r="J169">
        <v>93.785913010428999</v>
      </c>
      <c r="K169">
        <v>93.785913010428999</v>
      </c>
      <c r="L169">
        <v>93.785913010428999</v>
      </c>
    </row>
    <row r="170" spans="1:12" x14ac:dyDescent="0.2">
      <c r="A170" s="8" t="s">
        <v>110</v>
      </c>
      <c r="B170" s="8" t="s">
        <v>105</v>
      </c>
      <c r="C170" s="8" t="s">
        <v>111</v>
      </c>
      <c r="D170" s="8" t="s">
        <v>112</v>
      </c>
      <c r="E170" s="8" t="s">
        <v>57</v>
      </c>
      <c r="F170" s="8" t="s">
        <v>58</v>
      </c>
      <c r="G170" s="8" t="s">
        <v>7</v>
      </c>
      <c r="H170" s="8" t="s">
        <v>38</v>
      </c>
      <c r="I170" s="9">
        <v>1339.4902</v>
      </c>
      <c r="J170">
        <v>1500.2637283757001</v>
      </c>
      <c r="K170">
        <v>1500.2637283757001</v>
      </c>
      <c r="L170">
        <v>1500.2637283757001</v>
      </c>
    </row>
    <row r="171" spans="1:12" x14ac:dyDescent="0.2">
      <c r="A171" s="8" t="s">
        <v>110</v>
      </c>
      <c r="B171" s="8" t="s">
        <v>105</v>
      </c>
      <c r="C171" s="8" t="s">
        <v>111</v>
      </c>
      <c r="D171" s="8" t="s">
        <v>112</v>
      </c>
      <c r="E171" s="8" t="s">
        <v>72</v>
      </c>
      <c r="F171" s="8" t="s">
        <v>73</v>
      </c>
      <c r="G171" s="8" t="s">
        <v>7</v>
      </c>
      <c r="H171" s="8" t="s">
        <v>38</v>
      </c>
      <c r="I171" s="9">
        <v>3823.7593999999999</v>
      </c>
      <c r="J171">
        <v>3987.0840312596001</v>
      </c>
      <c r="K171">
        <v>3668.0709416072</v>
      </c>
      <c r="L171">
        <v>3202.0680288776998</v>
      </c>
    </row>
    <row r="172" spans="1:12" x14ac:dyDescent="0.2">
      <c r="A172" s="8" t="s">
        <v>110</v>
      </c>
      <c r="B172" s="8" t="s">
        <v>105</v>
      </c>
      <c r="C172" s="8" t="s">
        <v>111</v>
      </c>
      <c r="D172" s="8" t="s">
        <v>112</v>
      </c>
      <c r="E172" s="8" t="s">
        <v>74</v>
      </c>
      <c r="F172" s="8" t="s">
        <v>75</v>
      </c>
      <c r="G172" s="8" t="s">
        <v>7</v>
      </c>
      <c r="H172" s="8" t="s">
        <v>38</v>
      </c>
      <c r="I172" s="9">
        <v>3827.5488</v>
      </c>
      <c r="J172">
        <v>3812.0087784562002</v>
      </c>
      <c r="K172">
        <v>3707.827338819</v>
      </c>
      <c r="L172">
        <v>3763.7803793825001</v>
      </c>
    </row>
    <row r="173" spans="1:12" x14ac:dyDescent="0.2">
      <c r="A173" s="8" t="s">
        <v>110</v>
      </c>
      <c r="B173" s="8" t="s">
        <v>105</v>
      </c>
      <c r="C173" s="8" t="s">
        <v>111</v>
      </c>
      <c r="D173" s="8" t="s">
        <v>112</v>
      </c>
      <c r="E173" s="8" t="s">
        <v>59</v>
      </c>
      <c r="F173" s="8" t="s">
        <v>60</v>
      </c>
      <c r="G173" s="8" t="s">
        <v>7</v>
      </c>
      <c r="H173" s="8" t="s">
        <v>38</v>
      </c>
      <c r="I173" s="9">
        <v>1007.4684</v>
      </c>
      <c r="J173">
        <v>1026.7490531835999</v>
      </c>
      <c r="K173">
        <v>1020.6926239551</v>
      </c>
      <c r="L173">
        <v>1001.8338810482001</v>
      </c>
    </row>
    <row r="174" spans="1:12" x14ac:dyDescent="0.2">
      <c r="A174" s="8" t="s">
        <v>110</v>
      </c>
      <c r="B174" s="8" t="s">
        <v>105</v>
      </c>
      <c r="C174" s="8" t="s">
        <v>111</v>
      </c>
      <c r="D174" s="8" t="s">
        <v>112</v>
      </c>
      <c r="E174" s="8" t="s">
        <v>76</v>
      </c>
      <c r="F174" s="8" t="s">
        <v>77</v>
      </c>
      <c r="G174" s="8" t="s">
        <v>7</v>
      </c>
      <c r="H174" s="8" t="s">
        <v>38</v>
      </c>
      <c r="I174" s="9">
        <v>1063.9619</v>
      </c>
      <c r="J174">
        <v>1279.3523812091</v>
      </c>
      <c r="K174">
        <v>1103.7714288110001</v>
      </c>
      <c r="L174">
        <v>1087.2148573789</v>
      </c>
    </row>
    <row r="175" spans="1:12" x14ac:dyDescent="0.2">
      <c r="A175" s="8" t="s">
        <v>110</v>
      </c>
      <c r="B175" s="8" t="s">
        <v>105</v>
      </c>
      <c r="C175" s="8" t="s">
        <v>111</v>
      </c>
      <c r="D175" s="8" t="s">
        <v>112</v>
      </c>
      <c r="E175" s="8" t="s">
        <v>78</v>
      </c>
      <c r="F175" s="8" t="s">
        <v>79</v>
      </c>
      <c r="G175" s="8" t="s">
        <v>7</v>
      </c>
      <c r="H175" s="8" t="s">
        <v>38</v>
      </c>
      <c r="I175" s="9">
        <v>1600.3425999999999</v>
      </c>
      <c r="J175">
        <v>1974.4996410000001</v>
      </c>
      <c r="K175">
        <v>1758.8996801999999</v>
      </c>
      <c r="L175">
        <v>1723.0711152857</v>
      </c>
    </row>
    <row r="176" spans="1:12" x14ac:dyDescent="0.2">
      <c r="A176" s="8" t="s">
        <v>110</v>
      </c>
      <c r="B176" s="8" t="s">
        <v>105</v>
      </c>
      <c r="C176" s="8" t="s">
        <v>111</v>
      </c>
      <c r="D176" s="8" t="s">
        <v>112</v>
      </c>
      <c r="E176" s="8" t="s">
        <v>92</v>
      </c>
      <c r="F176" s="8" t="s">
        <v>93</v>
      </c>
      <c r="G176" s="8" t="s">
        <v>7</v>
      </c>
      <c r="H176" s="8" t="s">
        <v>38</v>
      </c>
      <c r="I176" s="9">
        <v>15.668592</v>
      </c>
      <c r="J176">
        <v>16.231413641795001</v>
      </c>
      <c r="K176">
        <v>16.327508469287999</v>
      </c>
      <c r="L176">
        <v>16.460490603236</v>
      </c>
    </row>
    <row r="177" spans="1:12" x14ac:dyDescent="0.2">
      <c r="A177" s="8" t="s">
        <v>110</v>
      </c>
      <c r="B177" s="8" t="s">
        <v>105</v>
      </c>
      <c r="C177" s="8" t="s">
        <v>111</v>
      </c>
      <c r="D177" s="8" t="s">
        <v>112</v>
      </c>
      <c r="E177" s="8" t="s">
        <v>113</v>
      </c>
      <c r="F177" s="8" t="s">
        <v>114</v>
      </c>
      <c r="G177" s="8" t="s">
        <v>7</v>
      </c>
      <c r="H177" s="8" t="s">
        <v>38</v>
      </c>
      <c r="I177" s="9">
        <v>189.2</v>
      </c>
      <c r="J177">
        <v>189.2</v>
      </c>
      <c r="K177">
        <v>189.2</v>
      </c>
      <c r="L177">
        <v>189.2</v>
      </c>
    </row>
    <row r="178" spans="1:12" x14ac:dyDescent="0.2">
      <c r="A178" s="8" t="s">
        <v>110</v>
      </c>
      <c r="B178" s="8" t="s">
        <v>115</v>
      </c>
      <c r="C178" s="8" t="s">
        <v>116</v>
      </c>
      <c r="D178" s="8" t="s">
        <v>117</v>
      </c>
      <c r="E178" s="8" t="s">
        <v>36</v>
      </c>
      <c r="F178" s="8" t="s">
        <v>37</v>
      </c>
      <c r="G178" s="8" t="s">
        <v>7</v>
      </c>
      <c r="H178" s="8" t="s">
        <v>38</v>
      </c>
      <c r="I178" s="9">
        <v>11410.867</v>
      </c>
      <c r="J178">
        <v>12239.78880884</v>
      </c>
      <c r="K178">
        <v>11099.7275692</v>
      </c>
      <c r="L178">
        <v>9978.8783290933006</v>
      </c>
    </row>
    <row r="179" spans="1:12" x14ac:dyDescent="0.2">
      <c r="A179" s="8" t="s">
        <v>110</v>
      </c>
      <c r="B179" s="8" t="s">
        <v>115</v>
      </c>
      <c r="C179" s="8" t="s">
        <v>116</v>
      </c>
      <c r="D179" s="8" t="s">
        <v>117</v>
      </c>
      <c r="E179" s="8" t="s">
        <v>64</v>
      </c>
      <c r="F179" s="8" t="s">
        <v>65</v>
      </c>
      <c r="G179" s="8" t="s">
        <v>7</v>
      </c>
      <c r="H179" s="8" t="s">
        <v>38</v>
      </c>
      <c r="I179" s="9">
        <v>5461.3788999999997</v>
      </c>
      <c r="J179">
        <v>5745.6663184099998</v>
      </c>
      <c r="K179">
        <v>6292.9021288100002</v>
      </c>
      <c r="L179">
        <v>6195.9625489050004</v>
      </c>
    </row>
    <row r="180" spans="1:12" x14ac:dyDescent="0.2">
      <c r="A180" s="8" t="s">
        <v>110</v>
      </c>
      <c r="B180" s="8" t="s">
        <v>115</v>
      </c>
      <c r="C180" s="8" t="s">
        <v>116</v>
      </c>
      <c r="D180" s="8" t="s">
        <v>117</v>
      </c>
      <c r="E180" s="8" t="s">
        <v>39</v>
      </c>
      <c r="F180" s="8" t="s">
        <v>40</v>
      </c>
      <c r="G180" s="8" t="s">
        <v>7</v>
      </c>
      <c r="H180" s="8" t="s">
        <v>38</v>
      </c>
      <c r="I180" s="9">
        <v>10397.049999999999</v>
      </c>
      <c r="J180">
        <v>10723.350282060001</v>
      </c>
      <c r="K180">
        <v>10580.786821019999</v>
      </c>
      <c r="L180">
        <v>9649.8307115837997</v>
      </c>
    </row>
    <row r="181" spans="1:12" x14ac:dyDescent="0.2">
      <c r="A181" s="8" t="s">
        <v>110</v>
      </c>
      <c r="B181" s="8" t="s">
        <v>115</v>
      </c>
      <c r="C181" s="8" t="s">
        <v>116</v>
      </c>
      <c r="D181" s="8" t="s">
        <v>117</v>
      </c>
      <c r="E181" s="8" t="s">
        <v>41</v>
      </c>
      <c r="F181" s="8" t="s">
        <v>42</v>
      </c>
      <c r="G181" s="8" t="s">
        <v>7</v>
      </c>
      <c r="H181" s="8" t="s">
        <v>38</v>
      </c>
      <c r="I181" s="9">
        <v>49.703102000000001</v>
      </c>
      <c r="J181">
        <v>48.941817899999997</v>
      </c>
      <c r="K181">
        <v>54.019167249999001</v>
      </c>
      <c r="L181">
        <v>55.049514540460997</v>
      </c>
    </row>
    <row r="182" spans="1:12" x14ac:dyDescent="0.2">
      <c r="A182" s="8" t="s">
        <v>110</v>
      </c>
      <c r="B182" s="8" t="s">
        <v>115</v>
      </c>
      <c r="C182" s="8" t="s">
        <v>116</v>
      </c>
      <c r="D182" s="8" t="s">
        <v>117</v>
      </c>
      <c r="E182" s="8" t="s">
        <v>43</v>
      </c>
      <c r="F182" s="8" t="s">
        <v>44</v>
      </c>
      <c r="G182" s="8" t="s">
        <v>7</v>
      </c>
      <c r="H182" s="8" t="s">
        <v>38</v>
      </c>
      <c r="I182" s="9">
        <v>21034.956999999999</v>
      </c>
      <c r="J182">
        <v>21890.442954689999</v>
      </c>
      <c r="K182">
        <v>20757.65350312</v>
      </c>
      <c r="L182">
        <v>20111.106662876002</v>
      </c>
    </row>
    <row r="183" spans="1:12" x14ac:dyDescent="0.2">
      <c r="A183" s="8" t="s">
        <v>110</v>
      </c>
      <c r="B183" s="8" t="s">
        <v>115</v>
      </c>
      <c r="C183" s="8" t="s">
        <v>116</v>
      </c>
      <c r="D183" s="8" t="s">
        <v>117</v>
      </c>
      <c r="E183" s="8" t="s">
        <v>66</v>
      </c>
      <c r="F183" s="8" t="s">
        <v>67</v>
      </c>
      <c r="G183" s="8" t="s">
        <v>7</v>
      </c>
      <c r="H183" s="8" t="s">
        <v>38</v>
      </c>
      <c r="I183" s="9">
        <v>86.785043999999999</v>
      </c>
      <c r="J183">
        <v>86.62453988</v>
      </c>
      <c r="K183">
        <v>85.793320219999998</v>
      </c>
      <c r="L183">
        <v>78.847577634177995</v>
      </c>
    </row>
    <row r="184" spans="1:12" x14ac:dyDescent="0.2">
      <c r="A184" s="8" t="s">
        <v>110</v>
      </c>
      <c r="B184" s="8" t="s">
        <v>115</v>
      </c>
      <c r="C184" s="8" t="s">
        <v>116</v>
      </c>
      <c r="D184" s="8" t="s">
        <v>117</v>
      </c>
      <c r="E184" s="8" t="s">
        <v>45</v>
      </c>
      <c r="F184" s="8" t="s">
        <v>46</v>
      </c>
      <c r="G184" s="8" t="s">
        <v>7</v>
      </c>
      <c r="H184" s="8" t="s">
        <v>38</v>
      </c>
      <c r="I184" s="9">
        <v>24.487366000000002</v>
      </c>
      <c r="J184">
        <v>37.36879536</v>
      </c>
      <c r="K184">
        <v>65.3098995</v>
      </c>
      <c r="L184">
        <v>67.086189036001002</v>
      </c>
    </row>
    <row r="185" spans="1:12" x14ac:dyDescent="0.2">
      <c r="A185" s="8" t="s">
        <v>110</v>
      </c>
      <c r="B185" s="8" t="s">
        <v>115</v>
      </c>
      <c r="C185" s="8" t="s">
        <v>116</v>
      </c>
      <c r="D185" s="8" t="s">
        <v>117</v>
      </c>
      <c r="E185" s="8" t="s">
        <v>47</v>
      </c>
      <c r="F185" s="8" t="s">
        <v>48</v>
      </c>
      <c r="G185" s="8" t="s">
        <v>7</v>
      </c>
      <c r="H185" s="8" t="s">
        <v>38</v>
      </c>
      <c r="I185" s="9">
        <v>476.11667999999997</v>
      </c>
      <c r="J185">
        <v>377.53165395000002</v>
      </c>
      <c r="K185">
        <v>153.02938365</v>
      </c>
      <c r="L185">
        <v>23.161450245451</v>
      </c>
    </row>
    <row r="186" spans="1:12" x14ac:dyDescent="0.2">
      <c r="A186" s="8" t="s">
        <v>110</v>
      </c>
      <c r="B186" s="8" t="s">
        <v>115</v>
      </c>
      <c r="C186" s="8" t="s">
        <v>116</v>
      </c>
      <c r="D186" s="8" t="s">
        <v>117</v>
      </c>
      <c r="E186" s="8" t="s">
        <v>49</v>
      </c>
      <c r="F186" s="8" t="s">
        <v>50</v>
      </c>
      <c r="G186" s="8" t="s">
        <v>7</v>
      </c>
      <c r="H186" s="8" t="s">
        <v>38</v>
      </c>
      <c r="I186" s="9">
        <v>8427.1458000000002</v>
      </c>
      <c r="J186">
        <v>9160.0324161299995</v>
      </c>
      <c r="K186">
        <v>7723.3328709899997</v>
      </c>
      <c r="L186">
        <v>6757.3007740983003</v>
      </c>
    </row>
    <row r="187" spans="1:12" x14ac:dyDescent="0.2">
      <c r="A187" s="8" t="s">
        <v>110</v>
      </c>
      <c r="B187" s="8" t="s">
        <v>115</v>
      </c>
      <c r="C187" s="8" t="s">
        <v>116</v>
      </c>
      <c r="D187" s="8" t="s">
        <v>117</v>
      </c>
      <c r="E187" s="8" t="s">
        <v>68</v>
      </c>
      <c r="F187" s="8" t="s">
        <v>69</v>
      </c>
      <c r="G187" s="8" t="s">
        <v>7</v>
      </c>
      <c r="H187" s="8" t="s">
        <v>38</v>
      </c>
      <c r="I187" s="9">
        <v>165.16311999999999</v>
      </c>
      <c r="J187">
        <v>255.70283323000001</v>
      </c>
      <c r="K187">
        <v>505.95060409000001</v>
      </c>
      <c r="L187">
        <v>416.88741262842001</v>
      </c>
    </row>
    <row r="188" spans="1:12" x14ac:dyDescent="0.2">
      <c r="A188" s="8" t="s">
        <v>110</v>
      </c>
      <c r="B188" s="8" t="s">
        <v>115</v>
      </c>
      <c r="C188" s="8" t="s">
        <v>116</v>
      </c>
      <c r="D188" s="8" t="s">
        <v>117</v>
      </c>
      <c r="E188" s="8" t="s">
        <v>53</v>
      </c>
      <c r="F188" s="8" t="s">
        <v>54</v>
      </c>
      <c r="G188" s="8" t="s">
        <v>7</v>
      </c>
      <c r="H188" s="8" t="s">
        <v>38</v>
      </c>
      <c r="I188" s="9">
        <v>127.16694</v>
      </c>
      <c r="J188">
        <v>154.07849404479001</v>
      </c>
      <c r="K188">
        <v>120.07373822552</v>
      </c>
      <c r="L188">
        <v>58.692708083519001</v>
      </c>
    </row>
    <row r="189" spans="1:12" x14ac:dyDescent="0.2">
      <c r="A189" s="8" t="s">
        <v>110</v>
      </c>
      <c r="B189" s="8" t="s">
        <v>115</v>
      </c>
      <c r="C189" s="8" t="s">
        <v>116</v>
      </c>
      <c r="D189" s="8" t="s">
        <v>117</v>
      </c>
      <c r="E189" s="8" t="s">
        <v>70</v>
      </c>
      <c r="F189" s="8" t="s">
        <v>71</v>
      </c>
      <c r="G189" s="8" t="s">
        <v>7</v>
      </c>
      <c r="H189" s="8" t="s">
        <v>38</v>
      </c>
      <c r="I189" s="9">
        <v>1940.7728999999999</v>
      </c>
      <c r="J189">
        <v>1913.0180721764</v>
      </c>
      <c r="K189">
        <v>1904.8544104175</v>
      </c>
      <c r="L189">
        <v>1902.7054724720999</v>
      </c>
    </row>
    <row r="190" spans="1:12" x14ac:dyDescent="0.2">
      <c r="A190" s="8" t="s">
        <v>110</v>
      </c>
      <c r="B190" s="8" t="s">
        <v>115</v>
      </c>
      <c r="C190" s="8" t="s">
        <v>116</v>
      </c>
      <c r="D190" s="8" t="s">
        <v>117</v>
      </c>
      <c r="E190" s="8" t="s">
        <v>83</v>
      </c>
      <c r="F190" s="8" t="s">
        <v>84</v>
      </c>
      <c r="G190" s="8" t="s">
        <v>7</v>
      </c>
      <c r="H190" s="8" t="s">
        <v>38</v>
      </c>
      <c r="I190" s="9">
        <v>647.25</v>
      </c>
      <c r="J190">
        <v>747.75</v>
      </c>
      <c r="K190">
        <v>717.75</v>
      </c>
      <c r="L190">
        <v>712.5</v>
      </c>
    </row>
    <row r="191" spans="1:12" x14ac:dyDescent="0.2">
      <c r="A191" s="8" t="s">
        <v>110</v>
      </c>
      <c r="B191" s="8" t="s">
        <v>115</v>
      </c>
      <c r="C191" s="8" t="s">
        <v>116</v>
      </c>
      <c r="D191" s="8" t="s">
        <v>117</v>
      </c>
      <c r="E191" s="8" t="s">
        <v>55</v>
      </c>
      <c r="F191" s="8" t="s">
        <v>56</v>
      </c>
      <c r="G191" s="8" t="s">
        <v>7</v>
      </c>
      <c r="H191" s="8" t="s">
        <v>38</v>
      </c>
      <c r="I191" s="9">
        <v>70.488579000000001</v>
      </c>
      <c r="J191">
        <v>77.387189820190002</v>
      </c>
      <c r="K191">
        <v>77.387189820190002</v>
      </c>
      <c r="L191">
        <v>77.387189820190002</v>
      </c>
    </row>
    <row r="192" spans="1:12" x14ac:dyDescent="0.2">
      <c r="A192" s="8" t="s">
        <v>110</v>
      </c>
      <c r="B192" s="8" t="s">
        <v>115</v>
      </c>
      <c r="C192" s="8" t="s">
        <v>116</v>
      </c>
      <c r="D192" s="8" t="s">
        <v>117</v>
      </c>
      <c r="E192" s="8" t="s">
        <v>57</v>
      </c>
      <c r="F192" s="8" t="s">
        <v>58</v>
      </c>
      <c r="G192" s="8" t="s">
        <v>7</v>
      </c>
      <c r="H192" s="8" t="s">
        <v>38</v>
      </c>
      <c r="I192" s="9">
        <v>111.86771</v>
      </c>
      <c r="J192">
        <v>122.81603735374</v>
      </c>
      <c r="K192">
        <v>122.81603735374</v>
      </c>
      <c r="L192">
        <v>122.81603735374</v>
      </c>
    </row>
    <row r="193" spans="1:12" x14ac:dyDescent="0.2">
      <c r="A193" s="8" t="s">
        <v>110</v>
      </c>
      <c r="B193" s="8" t="s">
        <v>115</v>
      </c>
      <c r="C193" s="8" t="s">
        <v>116</v>
      </c>
      <c r="D193" s="8" t="s">
        <v>117</v>
      </c>
      <c r="E193" s="8" t="s">
        <v>72</v>
      </c>
      <c r="F193" s="8" t="s">
        <v>73</v>
      </c>
      <c r="G193" s="8" t="s">
        <v>7</v>
      </c>
      <c r="H193" s="8" t="s">
        <v>38</v>
      </c>
      <c r="I193" s="9">
        <v>1572.5920000000001</v>
      </c>
      <c r="J193">
        <v>1606.7598951693999</v>
      </c>
      <c r="K193">
        <v>1415.8845508971001</v>
      </c>
      <c r="L193">
        <v>1356.3268993607001</v>
      </c>
    </row>
    <row r="194" spans="1:12" x14ac:dyDescent="0.2">
      <c r="A194" s="8" t="s">
        <v>110</v>
      </c>
      <c r="B194" s="8" t="s">
        <v>115</v>
      </c>
      <c r="C194" s="8" t="s">
        <v>116</v>
      </c>
      <c r="D194" s="8" t="s">
        <v>117</v>
      </c>
      <c r="E194" s="8" t="s">
        <v>74</v>
      </c>
      <c r="F194" s="8" t="s">
        <v>75</v>
      </c>
      <c r="G194" s="8" t="s">
        <v>7</v>
      </c>
      <c r="H194" s="8" t="s">
        <v>38</v>
      </c>
      <c r="I194" s="9">
        <v>669.75652000000002</v>
      </c>
      <c r="J194">
        <v>763.43963512000005</v>
      </c>
      <c r="K194">
        <v>728.29697990532998</v>
      </c>
      <c r="L194">
        <v>690.74647460076994</v>
      </c>
    </row>
    <row r="195" spans="1:12" x14ac:dyDescent="0.2">
      <c r="A195" s="8" t="s">
        <v>110</v>
      </c>
      <c r="B195" s="8" t="s">
        <v>115</v>
      </c>
      <c r="C195" s="8" t="s">
        <v>116</v>
      </c>
      <c r="D195" s="8" t="s">
        <v>117</v>
      </c>
      <c r="E195" s="8" t="s">
        <v>59</v>
      </c>
      <c r="F195" s="8" t="s">
        <v>60</v>
      </c>
      <c r="G195" s="8" t="s">
        <v>7</v>
      </c>
      <c r="H195" s="8" t="s">
        <v>38</v>
      </c>
      <c r="I195" s="9">
        <v>191.53681</v>
      </c>
      <c r="J195">
        <v>211.96467563605</v>
      </c>
      <c r="K195">
        <v>199.92104637989999</v>
      </c>
      <c r="L195">
        <v>178.10879210448999</v>
      </c>
    </row>
    <row r="196" spans="1:12" x14ac:dyDescent="0.2">
      <c r="A196" s="8" t="s">
        <v>110</v>
      </c>
      <c r="B196" s="8" t="s">
        <v>115</v>
      </c>
      <c r="C196" s="8" t="s">
        <v>116</v>
      </c>
      <c r="D196" s="8" t="s">
        <v>117</v>
      </c>
      <c r="E196" s="8" t="s">
        <v>76</v>
      </c>
      <c r="F196" s="8" t="s">
        <v>77</v>
      </c>
      <c r="G196" s="8" t="s">
        <v>7</v>
      </c>
      <c r="H196" s="8" t="s">
        <v>38</v>
      </c>
      <c r="I196" s="9">
        <v>30.590475999999999</v>
      </c>
      <c r="J196">
        <v>12.990476193376001</v>
      </c>
      <c r="K196">
        <v>13.200000002904</v>
      </c>
      <c r="L196">
        <v>13.103448278745001</v>
      </c>
    </row>
    <row r="197" spans="1:12" x14ac:dyDescent="0.2">
      <c r="A197" s="8" t="s">
        <v>110</v>
      </c>
      <c r="B197" s="8" t="s">
        <v>115</v>
      </c>
      <c r="C197" s="8" t="s">
        <v>116</v>
      </c>
      <c r="D197" s="8" t="s">
        <v>117</v>
      </c>
      <c r="E197" s="8" t="s">
        <v>78</v>
      </c>
      <c r="F197" s="8" t="s">
        <v>79</v>
      </c>
      <c r="G197" s="8" t="s">
        <v>7</v>
      </c>
      <c r="H197" s="8" t="s">
        <v>38</v>
      </c>
      <c r="I197" s="9">
        <v>19.642854</v>
      </c>
      <c r="J197">
        <v>26.871423685713999</v>
      </c>
      <c r="K197">
        <v>27.657137828570999</v>
      </c>
      <c r="L197">
        <v>28.788566194285998</v>
      </c>
    </row>
    <row r="198" spans="1:12" x14ac:dyDescent="0.2">
      <c r="A198" s="8" t="s">
        <v>110</v>
      </c>
      <c r="B198" s="8" t="s">
        <v>115</v>
      </c>
      <c r="C198" s="8" t="s">
        <v>116</v>
      </c>
      <c r="D198" s="8" t="s">
        <v>117</v>
      </c>
      <c r="E198" s="8" t="s">
        <v>92</v>
      </c>
      <c r="F198" s="8" t="s">
        <v>93</v>
      </c>
      <c r="G198" s="8" t="s">
        <v>7</v>
      </c>
      <c r="H198" s="8" t="s">
        <v>38</v>
      </c>
      <c r="I198" s="9">
        <v>0.83416500000000005</v>
      </c>
      <c r="J198">
        <v>0.83416500000000005</v>
      </c>
      <c r="K198">
        <v>0.83416500000000005</v>
      </c>
      <c r="L198">
        <v>0.83416500000000005</v>
      </c>
    </row>
    <row r="199" spans="1:12" x14ac:dyDescent="0.2">
      <c r="A199" s="8" t="s">
        <v>32</v>
      </c>
      <c r="B199" s="8" t="s">
        <v>102</v>
      </c>
      <c r="C199" s="8" t="s">
        <v>118</v>
      </c>
      <c r="D199" s="8" t="s">
        <v>119</v>
      </c>
      <c r="E199" s="8" t="s">
        <v>36</v>
      </c>
      <c r="F199" s="8" t="s">
        <v>37</v>
      </c>
      <c r="G199" s="8" t="s">
        <v>7</v>
      </c>
      <c r="H199" s="8" t="s">
        <v>38</v>
      </c>
      <c r="I199" s="9">
        <v>12238.755999999999</v>
      </c>
      <c r="J199">
        <v>13064.504570180001</v>
      </c>
      <c r="K199">
        <v>13136.986694679999</v>
      </c>
      <c r="L199">
        <v>13217.900401266999</v>
      </c>
    </row>
    <row r="200" spans="1:12" x14ac:dyDescent="0.2">
      <c r="A200" s="8" t="s">
        <v>32</v>
      </c>
      <c r="B200" s="8" t="s">
        <v>102</v>
      </c>
      <c r="C200" s="8" t="s">
        <v>118</v>
      </c>
      <c r="D200" s="8" t="s">
        <v>119</v>
      </c>
      <c r="E200" s="8" t="s">
        <v>64</v>
      </c>
      <c r="F200" s="8" t="s">
        <v>65</v>
      </c>
      <c r="G200" s="8" t="s">
        <v>7</v>
      </c>
      <c r="H200" s="8" t="s">
        <v>38</v>
      </c>
      <c r="I200" s="9">
        <v>1412.9528</v>
      </c>
      <c r="J200">
        <v>1465.05783963</v>
      </c>
      <c r="K200">
        <v>1191.4688560100001</v>
      </c>
      <c r="L200">
        <v>1503.161130812</v>
      </c>
    </row>
    <row r="201" spans="1:12" x14ac:dyDescent="0.2">
      <c r="A201" s="8" t="s">
        <v>32</v>
      </c>
      <c r="B201" s="8" t="s">
        <v>102</v>
      </c>
      <c r="C201" s="8" t="s">
        <v>118</v>
      </c>
      <c r="D201" s="8" t="s">
        <v>119</v>
      </c>
      <c r="E201" s="8" t="s">
        <v>39</v>
      </c>
      <c r="F201" s="8" t="s">
        <v>40</v>
      </c>
      <c r="G201" s="8" t="s">
        <v>7</v>
      </c>
      <c r="H201" s="8" t="s">
        <v>38</v>
      </c>
      <c r="I201" s="9">
        <v>2203.7640999999999</v>
      </c>
      <c r="J201">
        <v>2110.0854091900001</v>
      </c>
      <c r="K201">
        <v>2641.25770354</v>
      </c>
      <c r="L201">
        <v>2706.5875198301001</v>
      </c>
    </row>
    <row r="202" spans="1:12" x14ac:dyDescent="0.2">
      <c r="A202" s="8" t="s">
        <v>32</v>
      </c>
      <c r="B202" s="8" t="s">
        <v>102</v>
      </c>
      <c r="C202" s="8" t="s">
        <v>118</v>
      </c>
      <c r="D202" s="8" t="s">
        <v>119</v>
      </c>
      <c r="E202" s="8" t="s">
        <v>41</v>
      </c>
      <c r="F202" s="8" t="s">
        <v>42</v>
      </c>
      <c r="G202" s="8" t="s">
        <v>7</v>
      </c>
      <c r="H202" s="8" t="s">
        <v>38</v>
      </c>
      <c r="I202" s="9">
        <v>409.65911999999997</v>
      </c>
      <c r="J202">
        <v>295.44965502000002</v>
      </c>
      <c r="K202">
        <v>471.42024124001</v>
      </c>
      <c r="L202">
        <v>584.69594823740999</v>
      </c>
    </row>
    <row r="203" spans="1:12" x14ac:dyDescent="0.2">
      <c r="A203" s="8" t="s">
        <v>32</v>
      </c>
      <c r="B203" s="8" t="s">
        <v>102</v>
      </c>
      <c r="C203" s="8" t="s">
        <v>118</v>
      </c>
      <c r="D203" s="8" t="s">
        <v>119</v>
      </c>
      <c r="E203" s="8" t="s">
        <v>43</v>
      </c>
      <c r="F203" s="8" t="s">
        <v>44</v>
      </c>
      <c r="G203" s="8" t="s">
        <v>7</v>
      </c>
      <c r="H203" s="8" t="s">
        <v>38</v>
      </c>
      <c r="I203" s="9">
        <v>6309.8207000000002</v>
      </c>
      <c r="J203">
        <v>7204.5621461700002</v>
      </c>
      <c r="K203">
        <v>8449.7857145399994</v>
      </c>
      <c r="L203">
        <v>9051.2627355698005</v>
      </c>
    </row>
    <row r="204" spans="1:12" x14ac:dyDescent="0.2">
      <c r="A204" s="8" t="s">
        <v>32</v>
      </c>
      <c r="B204" s="8" t="s">
        <v>102</v>
      </c>
      <c r="C204" s="8" t="s">
        <v>118</v>
      </c>
      <c r="D204" s="8" t="s">
        <v>119</v>
      </c>
      <c r="E204" s="8" t="s">
        <v>66</v>
      </c>
      <c r="F204" s="8" t="s">
        <v>67</v>
      </c>
      <c r="G204" s="8" t="s">
        <v>7</v>
      </c>
      <c r="H204" s="8" t="s">
        <v>38</v>
      </c>
      <c r="I204" s="9">
        <v>6.3214857999999996</v>
      </c>
      <c r="J204">
        <v>5.9926685400000004</v>
      </c>
      <c r="K204">
        <v>35.401082340000002</v>
      </c>
      <c r="L204">
        <v>4.1091448404330002</v>
      </c>
    </row>
    <row r="205" spans="1:12" x14ac:dyDescent="0.2">
      <c r="A205" s="8" t="s">
        <v>32</v>
      </c>
      <c r="B205" s="8" t="s">
        <v>102</v>
      </c>
      <c r="C205" s="8" t="s">
        <v>118</v>
      </c>
      <c r="D205" s="8" t="s">
        <v>119</v>
      </c>
      <c r="E205" s="8" t="s">
        <v>45</v>
      </c>
      <c r="F205" s="8" t="s">
        <v>46</v>
      </c>
      <c r="G205" s="8" t="s">
        <v>7</v>
      </c>
      <c r="H205" s="8" t="s">
        <v>38</v>
      </c>
      <c r="I205" s="9">
        <v>122.95537</v>
      </c>
      <c r="J205">
        <v>181.74651495000001</v>
      </c>
      <c r="K205">
        <v>177.95349897</v>
      </c>
      <c r="L205">
        <v>220.62442323953999</v>
      </c>
    </row>
    <row r="206" spans="1:12" x14ac:dyDescent="0.2">
      <c r="A206" s="8" t="s">
        <v>32</v>
      </c>
      <c r="B206" s="8" t="s">
        <v>102</v>
      </c>
      <c r="C206" s="8" t="s">
        <v>118</v>
      </c>
      <c r="D206" s="8" t="s">
        <v>119</v>
      </c>
      <c r="E206" s="8" t="s">
        <v>47</v>
      </c>
      <c r="F206" s="8" t="s">
        <v>48</v>
      </c>
      <c r="G206" s="8" t="s">
        <v>7</v>
      </c>
      <c r="H206" s="8" t="s">
        <v>38</v>
      </c>
      <c r="I206" s="9">
        <v>2.3914426999999998</v>
      </c>
      <c r="J206">
        <v>1.3834428299999999</v>
      </c>
      <c r="K206">
        <v>1.9975478099999999</v>
      </c>
      <c r="L206">
        <v>1.6293262724911</v>
      </c>
    </row>
    <row r="207" spans="1:12" x14ac:dyDescent="0.2">
      <c r="A207" s="8" t="s">
        <v>32</v>
      </c>
      <c r="B207" s="8" t="s">
        <v>102</v>
      </c>
      <c r="C207" s="8" t="s">
        <v>118</v>
      </c>
      <c r="D207" s="8" t="s">
        <v>119</v>
      </c>
      <c r="E207" s="8" t="s">
        <v>49</v>
      </c>
      <c r="F207" s="8" t="s">
        <v>50</v>
      </c>
      <c r="G207" s="8" t="s">
        <v>7</v>
      </c>
      <c r="H207" s="8" t="s">
        <v>38</v>
      </c>
      <c r="I207" s="9">
        <v>9255.3701999999994</v>
      </c>
      <c r="J207">
        <v>9641.1171016600001</v>
      </c>
      <c r="K207">
        <v>10277.288508150001</v>
      </c>
      <c r="L207">
        <v>11094.369867686</v>
      </c>
    </row>
    <row r="208" spans="1:12" x14ac:dyDescent="0.2">
      <c r="A208" s="8" t="s">
        <v>32</v>
      </c>
      <c r="B208" s="8" t="s">
        <v>102</v>
      </c>
      <c r="C208" s="8" t="s">
        <v>118</v>
      </c>
      <c r="D208" s="8" t="s">
        <v>119</v>
      </c>
      <c r="E208" s="8" t="s">
        <v>51</v>
      </c>
      <c r="F208" s="8" t="s">
        <v>52</v>
      </c>
      <c r="G208" s="8" t="s">
        <v>7</v>
      </c>
      <c r="H208" s="8" t="s">
        <v>38</v>
      </c>
      <c r="I208" s="9"/>
    </row>
    <row r="209" spans="1:12" x14ac:dyDescent="0.2">
      <c r="A209" s="8" t="s">
        <v>32</v>
      </c>
      <c r="B209" s="8" t="s">
        <v>102</v>
      </c>
      <c r="C209" s="8" t="s">
        <v>118</v>
      </c>
      <c r="D209" s="8" t="s">
        <v>119</v>
      </c>
      <c r="E209" s="8" t="s">
        <v>53</v>
      </c>
      <c r="F209" s="8" t="s">
        <v>54</v>
      </c>
      <c r="G209" s="8" t="s">
        <v>7</v>
      </c>
      <c r="H209" s="8" t="s">
        <v>38</v>
      </c>
      <c r="I209" s="9">
        <v>1604.8776</v>
      </c>
      <c r="J209">
        <v>1669.896314764</v>
      </c>
      <c r="K209">
        <v>1397.9250327339</v>
      </c>
      <c r="L209">
        <v>1431.7455571937001</v>
      </c>
    </row>
    <row r="210" spans="1:12" x14ac:dyDescent="0.2">
      <c r="A210" s="8" t="s">
        <v>32</v>
      </c>
      <c r="B210" s="8" t="s">
        <v>102</v>
      </c>
      <c r="C210" s="8" t="s">
        <v>118</v>
      </c>
      <c r="D210" s="8" t="s">
        <v>119</v>
      </c>
      <c r="E210" s="8" t="s">
        <v>70</v>
      </c>
      <c r="F210" s="8" t="s">
        <v>71</v>
      </c>
      <c r="G210" s="8" t="s">
        <v>7</v>
      </c>
      <c r="H210" s="8" t="s">
        <v>38</v>
      </c>
      <c r="I210" s="9">
        <v>1390.5577000000001</v>
      </c>
      <c r="J210">
        <v>1477.3333096040001</v>
      </c>
      <c r="K210">
        <v>1529.7423423959999</v>
      </c>
      <c r="L210">
        <v>1528.0165824911001</v>
      </c>
    </row>
    <row r="211" spans="1:12" x14ac:dyDescent="0.2">
      <c r="A211" s="8" t="s">
        <v>32</v>
      </c>
      <c r="B211" s="8" t="s">
        <v>102</v>
      </c>
      <c r="C211" s="8" t="s">
        <v>118</v>
      </c>
      <c r="D211" s="8" t="s">
        <v>119</v>
      </c>
      <c r="E211" s="8" t="s">
        <v>83</v>
      </c>
      <c r="F211" s="8" t="s">
        <v>84</v>
      </c>
      <c r="G211" s="8" t="s">
        <v>7</v>
      </c>
      <c r="H211" s="8" t="s">
        <v>38</v>
      </c>
      <c r="I211" s="9"/>
    </row>
    <row r="212" spans="1:12" x14ac:dyDescent="0.2">
      <c r="A212" s="8" t="s">
        <v>32</v>
      </c>
      <c r="B212" s="8" t="s">
        <v>102</v>
      </c>
      <c r="C212" s="8" t="s">
        <v>118</v>
      </c>
      <c r="D212" s="8" t="s">
        <v>119</v>
      </c>
      <c r="E212" s="8" t="s">
        <v>55</v>
      </c>
      <c r="F212" s="8" t="s">
        <v>56</v>
      </c>
      <c r="G212" s="8" t="s">
        <v>7</v>
      </c>
      <c r="H212" s="8" t="s">
        <v>38</v>
      </c>
      <c r="I212" s="9">
        <v>0.46659669999999998</v>
      </c>
      <c r="J212">
        <v>0.52260044509532</v>
      </c>
      <c r="K212">
        <v>0.52260044509532</v>
      </c>
      <c r="L212">
        <v>0.52260044509532</v>
      </c>
    </row>
    <row r="213" spans="1:12" x14ac:dyDescent="0.2">
      <c r="A213" s="8" t="s">
        <v>32</v>
      </c>
      <c r="B213" s="8" t="s">
        <v>102</v>
      </c>
      <c r="C213" s="8" t="s">
        <v>118</v>
      </c>
      <c r="D213" s="8" t="s">
        <v>119</v>
      </c>
      <c r="E213" s="8" t="s">
        <v>57</v>
      </c>
      <c r="F213" s="8" t="s">
        <v>58</v>
      </c>
      <c r="G213" s="8" t="s">
        <v>7</v>
      </c>
      <c r="H213" s="8" t="s">
        <v>38</v>
      </c>
      <c r="I213" s="9"/>
    </row>
    <row r="214" spans="1:12" x14ac:dyDescent="0.2">
      <c r="A214" s="8" t="s">
        <v>32</v>
      </c>
      <c r="B214" s="8" t="s">
        <v>102</v>
      </c>
      <c r="C214" s="8" t="s">
        <v>118</v>
      </c>
      <c r="D214" s="8" t="s">
        <v>119</v>
      </c>
      <c r="E214" s="8" t="s">
        <v>72</v>
      </c>
      <c r="F214" s="8" t="s">
        <v>73</v>
      </c>
      <c r="G214" s="8" t="s">
        <v>7</v>
      </c>
      <c r="H214" s="8" t="s">
        <v>38</v>
      </c>
      <c r="I214" s="9">
        <v>18.571255000000001</v>
      </c>
      <c r="J214">
        <v>19.181867735028</v>
      </c>
      <c r="K214">
        <v>18.580211696016999</v>
      </c>
      <c r="L214">
        <v>16.641788713621999</v>
      </c>
    </row>
    <row r="215" spans="1:12" x14ac:dyDescent="0.2">
      <c r="A215" s="8" t="s">
        <v>32</v>
      </c>
      <c r="B215" s="8" t="s">
        <v>102</v>
      </c>
      <c r="C215" s="8" t="s">
        <v>118</v>
      </c>
      <c r="D215" s="8" t="s">
        <v>119</v>
      </c>
      <c r="E215" s="8" t="s">
        <v>74</v>
      </c>
      <c r="F215" s="8" t="s">
        <v>75</v>
      </c>
      <c r="G215" s="8" t="s">
        <v>7</v>
      </c>
      <c r="H215" s="8" t="s">
        <v>38</v>
      </c>
      <c r="I215" s="9">
        <v>61.5364</v>
      </c>
      <c r="J215">
        <v>53.758560000000003</v>
      </c>
      <c r="K215">
        <v>71.359300000000005</v>
      </c>
      <c r="L215">
        <v>62.563887058008</v>
      </c>
    </row>
    <row r="216" spans="1:12" x14ac:dyDescent="0.2">
      <c r="A216" s="8" t="s">
        <v>32</v>
      </c>
      <c r="B216" s="8" t="s">
        <v>102</v>
      </c>
      <c r="C216" s="8" t="s">
        <v>118</v>
      </c>
      <c r="D216" s="8" t="s">
        <v>119</v>
      </c>
      <c r="E216" s="8" t="s">
        <v>59</v>
      </c>
      <c r="F216" s="8" t="s">
        <v>60</v>
      </c>
      <c r="G216" s="8" t="s">
        <v>7</v>
      </c>
      <c r="H216" s="8" t="s">
        <v>38</v>
      </c>
      <c r="I216" s="9">
        <v>105.22609</v>
      </c>
      <c r="J216">
        <v>98.682022637296001</v>
      </c>
      <c r="K216">
        <v>113.77853508299999</v>
      </c>
      <c r="L216">
        <v>129.9926707322</v>
      </c>
    </row>
    <row r="217" spans="1:12" x14ac:dyDescent="0.2">
      <c r="A217" s="8" t="s">
        <v>32</v>
      </c>
      <c r="B217" s="8" t="s">
        <v>102</v>
      </c>
      <c r="C217" s="8" t="s">
        <v>118</v>
      </c>
      <c r="D217" s="8" t="s">
        <v>119</v>
      </c>
      <c r="E217" s="8" t="s">
        <v>76</v>
      </c>
      <c r="F217" s="8" t="s">
        <v>77</v>
      </c>
      <c r="G217" s="8" t="s">
        <v>7</v>
      </c>
      <c r="H217" s="8" t="s">
        <v>38</v>
      </c>
      <c r="I217" s="9">
        <v>230.05714</v>
      </c>
      <c r="J217">
        <v>110.73333333642999</v>
      </c>
      <c r="K217">
        <v>37.504761906568</v>
      </c>
      <c r="L217">
        <v>37.504761906568</v>
      </c>
    </row>
    <row r="218" spans="1:12" x14ac:dyDescent="0.2">
      <c r="A218" s="8" t="s">
        <v>32</v>
      </c>
      <c r="B218" s="8" t="s">
        <v>102</v>
      </c>
      <c r="C218" s="8" t="s">
        <v>118</v>
      </c>
      <c r="D218" s="8" t="s">
        <v>119</v>
      </c>
      <c r="E218" s="8" t="s">
        <v>78</v>
      </c>
      <c r="F218" s="8" t="s">
        <v>79</v>
      </c>
      <c r="G218" s="8" t="s">
        <v>7</v>
      </c>
      <c r="H218" s="8" t="s">
        <v>38</v>
      </c>
      <c r="I218" s="9">
        <v>31.114280000000001</v>
      </c>
      <c r="J218">
        <v>21.842853171428999</v>
      </c>
      <c r="K218">
        <v>128.22854811428999</v>
      </c>
      <c r="L218">
        <v>151.98854379429</v>
      </c>
    </row>
    <row r="219" spans="1:12" x14ac:dyDescent="0.2">
      <c r="A219" s="8" t="s">
        <v>32</v>
      </c>
      <c r="B219" s="8" t="s">
        <v>102</v>
      </c>
      <c r="C219" s="8" t="s">
        <v>118</v>
      </c>
      <c r="D219" s="8" t="s">
        <v>119</v>
      </c>
      <c r="E219" s="8" t="s">
        <v>92</v>
      </c>
      <c r="F219" s="8" t="s">
        <v>93</v>
      </c>
      <c r="G219" s="8" t="s">
        <v>7</v>
      </c>
      <c r="H219" s="8" t="s">
        <v>38</v>
      </c>
      <c r="I219" s="9">
        <v>2.3399548000000001</v>
      </c>
      <c r="J219">
        <v>2.3740809612868001</v>
      </c>
      <c r="K219">
        <v>2.4077675227723998</v>
      </c>
      <c r="L219">
        <v>2.4420919421279002</v>
      </c>
    </row>
    <row r="220" spans="1:12" x14ac:dyDescent="0.2">
      <c r="A220" s="8" t="s">
        <v>32</v>
      </c>
      <c r="B220" s="8" t="s">
        <v>120</v>
      </c>
      <c r="C220" s="8" t="s">
        <v>121</v>
      </c>
      <c r="D220" s="8" t="s">
        <v>122</v>
      </c>
      <c r="E220" s="8" t="s">
        <v>36</v>
      </c>
      <c r="F220" s="8" t="s">
        <v>37</v>
      </c>
      <c r="G220" s="8" t="s">
        <v>7</v>
      </c>
      <c r="H220" s="8" t="s">
        <v>38</v>
      </c>
      <c r="I220" s="9">
        <v>166.22171</v>
      </c>
      <c r="J220">
        <v>147.17134905212001</v>
      </c>
      <c r="K220">
        <v>150.13165519687001</v>
      </c>
      <c r="L220">
        <v>153.08500628863001</v>
      </c>
    </row>
    <row r="221" spans="1:12" x14ac:dyDescent="0.2">
      <c r="A221" s="8" t="s">
        <v>32</v>
      </c>
      <c r="B221" s="8" t="s">
        <v>120</v>
      </c>
      <c r="C221" s="8" t="s">
        <v>121</v>
      </c>
      <c r="D221" s="8" t="s">
        <v>122</v>
      </c>
      <c r="E221" s="8" t="s">
        <v>64</v>
      </c>
      <c r="F221" s="8" t="s">
        <v>65</v>
      </c>
      <c r="G221" s="8" t="s">
        <v>7</v>
      </c>
      <c r="H221" s="8" t="s">
        <v>38</v>
      </c>
      <c r="I221" s="9"/>
    </row>
    <row r="222" spans="1:12" x14ac:dyDescent="0.2">
      <c r="A222" s="8" t="s">
        <v>32</v>
      </c>
      <c r="B222" s="8" t="s">
        <v>120</v>
      </c>
      <c r="C222" s="8" t="s">
        <v>121</v>
      </c>
      <c r="D222" s="8" t="s">
        <v>122</v>
      </c>
      <c r="E222" s="8" t="s">
        <v>39</v>
      </c>
      <c r="F222" s="8" t="s">
        <v>40</v>
      </c>
      <c r="G222" s="8" t="s">
        <v>7</v>
      </c>
      <c r="H222" s="8" t="s">
        <v>38</v>
      </c>
      <c r="I222" s="9">
        <v>99.917136999999997</v>
      </c>
      <c r="J222">
        <v>94.838811256859998</v>
      </c>
      <c r="K222">
        <v>97.003447895822006</v>
      </c>
      <c r="L222">
        <v>98.911674634362001</v>
      </c>
    </row>
    <row r="223" spans="1:12" x14ac:dyDescent="0.2">
      <c r="A223" s="8" t="s">
        <v>32</v>
      </c>
      <c r="B223" s="8" t="s">
        <v>120</v>
      </c>
      <c r="C223" s="8" t="s">
        <v>121</v>
      </c>
      <c r="D223" s="8" t="s">
        <v>122</v>
      </c>
      <c r="E223" s="8" t="s">
        <v>41</v>
      </c>
      <c r="F223" s="8" t="s">
        <v>42</v>
      </c>
      <c r="G223" s="8" t="s">
        <v>7</v>
      </c>
      <c r="H223" s="8" t="s">
        <v>38</v>
      </c>
      <c r="I223" s="9">
        <v>3.5377252000000001</v>
      </c>
      <c r="J223">
        <v>3.7458026297728</v>
      </c>
      <c r="K223">
        <v>3.7302813911957999</v>
      </c>
      <c r="L223">
        <v>4.2041930350261998</v>
      </c>
    </row>
    <row r="224" spans="1:12" x14ac:dyDescent="0.2">
      <c r="A224" s="8" t="s">
        <v>32</v>
      </c>
      <c r="B224" s="8" t="s">
        <v>120</v>
      </c>
      <c r="C224" s="8" t="s">
        <v>121</v>
      </c>
      <c r="D224" s="8" t="s">
        <v>122</v>
      </c>
      <c r="E224" s="8" t="s">
        <v>43</v>
      </c>
      <c r="F224" s="8" t="s">
        <v>44</v>
      </c>
      <c r="G224" s="8" t="s">
        <v>7</v>
      </c>
      <c r="H224" s="8" t="s">
        <v>38</v>
      </c>
      <c r="I224" s="9">
        <v>412.65618999999998</v>
      </c>
      <c r="J224">
        <v>425.33499300819</v>
      </c>
      <c r="K224">
        <v>437.16768763751998</v>
      </c>
      <c r="L224">
        <v>445.76753732195999</v>
      </c>
    </row>
    <row r="225" spans="1:12" x14ac:dyDescent="0.2">
      <c r="A225" s="8" t="s">
        <v>32</v>
      </c>
      <c r="B225" s="8" t="s">
        <v>120</v>
      </c>
      <c r="C225" s="8" t="s">
        <v>121</v>
      </c>
      <c r="D225" s="8" t="s">
        <v>122</v>
      </c>
      <c r="E225" s="8" t="s">
        <v>66</v>
      </c>
      <c r="F225" s="8" t="s">
        <v>67</v>
      </c>
      <c r="G225" s="8" t="s">
        <v>7</v>
      </c>
      <c r="H225" s="8" t="s">
        <v>38</v>
      </c>
      <c r="I225" s="9">
        <v>20.076589999999999</v>
      </c>
      <c r="J225">
        <v>19.170380488429998</v>
      </c>
      <c r="K225">
        <v>18.617787870516999</v>
      </c>
      <c r="L225">
        <v>18.984032178298001</v>
      </c>
    </row>
    <row r="226" spans="1:12" x14ac:dyDescent="0.2">
      <c r="A226" s="8" t="s">
        <v>32</v>
      </c>
      <c r="B226" s="8" t="s">
        <v>120</v>
      </c>
      <c r="C226" s="8" t="s">
        <v>121</v>
      </c>
      <c r="D226" s="8" t="s">
        <v>122</v>
      </c>
      <c r="E226" s="8" t="s">
        <v>45</v>
      </c>
      <c r="F226" s="8" t="s">
        <v>46</v>
      </c>
      <c r="G226" s="8" t="s">
        <v>7</v>
      </c>
      <c r="H226" s="8" t="s">
        <v>38</v>
      </c>
      <c r="I226" s="9">
        <v>4.3362550000000004</v>
      </c>
      <c r="J226">
        <v>4.1543271501614001</v>
      </c>
      <c r="K226">
        <v>4.1085743925960996</v>
      </c>
      <c r="L226">
        <v>3.8489856269517002</v>
      </c>
    </row>
    <row r="227" spans="1:12" x14ac:dyDescent="0.2">
      <c r="A227" s="8" t="s">
        <v>32</v>
      </c>
      <c r="B227" s="8" t="s">
        <v>120</v>
      </c>
      <c r="C227" s="8" t="s">
        <v>121</v>
      </c>
      <c r="D227" s="8" t="s">
        <v>122</v>
      </c>
      <c r="E227" s="8" t="s">
        <v>47</v>
      </c>
      <c r="F227" s="8" t="s">
        <v>48</v>
      </c>
      <c r="G227" s="8" t="s">
        <v>7</v>
      </c>
      <c r="H227" s="8" t="s">
        <v>38</v>
      </c>
      <c r="I227" s="9">
        <v>4.9604882000000003</v>
      </c>
      <c r="J227">
        <v>5.2638115922102999</v>
      </c>
      <c r="K227">
        <v>5.5660520665983002</v>
      </c>
      <c r="L227">
        <v>5.6755460032776002</v>
      </c>
    </row>
    <row r="228" spans="1:12" x14ac:dyDescent="0.2">
      <c r="A228" s="8" t="s">
        <v>32</v>
      </c>
      <c r="B228" s="8" t="s">
        <v>120</v>
      </c>
      <c r="C228" s="8" t="s">
        <v>121</v>
      </c>
      <c r="D228" s="8" t="s">
        <v>122</v>
      </c>
      <c r="E228" s="8" t="s">
        <v>49</v>
      </c>
      <c r="F228" s="8" t="s">
        <v>50</v>
      </c>
      <c r="G228" s="8" t="s">
        <v>7</v>
      </c>
      <c r="H228" s="8" t="s">
        <v>38</v>
      </c>
      <c r="I228" s="9">
        <v>44.579915999999997</v>
      </c>
      <c r="J228">
        <v>43.956728688654003</v>
      </c>
      <c r="K228">
        <v>47.818485564534001</v>
      </c>
      <c r="L228">
        <v>48.759158445033997</v>
      </c>
    </row>
    <row r="229" spans="1:12" x14ac:dyDescent="0.2">
      <c r="A229" s="8" t="s">
        <v>32</v>
      </c>
      <c r="B229" s="8" t="s">
        <v>120</v>
      </c>
      <c r="C229" s="8" t="s">
        <v>121</v>
      </c>
      <c r="D229" s="8" t="s">
        <v>122</v>
      </c>
      <c r="E229" s="8" t="s">
        <v>51</v>
      </c>
      <c r="F229" s="8" t="s">
        <v>52</v>
      </c>
      <c r="G229" s="8" t="s">
        <v>7</v>
      </c>
      <c r="H229" s="8" t="s">
        <v>38</v>
      </c>
      <c r="I229" s="9">
        <v>34.350346000000002</v>
      </c>
      <c r="J229">
        <v>26.427487349825</v>
      </c>
      <c r="K229">
        <v>34.555288292598</v>
      </c>
      <c r="L229">
        <v>35.235050986689998</v>
      </c>
    </row>
    <row r="230" spans="1:12" x14ac:dyDescent="0.2">
      <c r="A230" s="8" t="s">
        <v>32</v>
      </c>
      <c r="B230" s="8" t="s">
        <v>120</v>
      </c>
      <c r="C230" s="8" t="s">
        <v>121</v>
      </c>
      <c r="D230" s="8" t="s">
        <v>122</v>
      </c>
      <c r="E230" s="8" t="s">
        <v>53</v>
      </c>
      <c r="F230" s="8" t="s">
        <v>54</v>
      </c>
      <c r="G230" s="8" t="s">
        <v>7</v>
      </c>
      <c r="H230" s="8" t="s">
        <v>38</v>
      </c>
      <c r="I230" s="9"/>
    </row>
    <row r="231" spans="1:12" x14ac:dyDescent="0.2">
      <c r="A231" s="8" t="s">
        <v>32</v>
      </c>
      <c r="B231" s="8" t="s">
        <v>120</v>
      </c>
      <c r="C231" s="8" t="s">
        <v>121</v>
      </c>
      <c r="D231" s="8" t="s">
        <v>122</v>
      </c>
      <c r="E231" s="8" t="s">
        <v>70</v>
      </c>
      <c r="F231" s="8" t="s">
        <v>71</v>
      </c>
      <c r="G231" s="8" t="s">
        <v>7</v>
      </c>
      <c r="H231" s="8" t="s">
        <v>38</v>
      </c>
      <c r="I231" s="9">
        <v>82.030569</v>
      </c>
      <c r="J231">
        <v>70.311916260000004</v>
      </c>
      <c r="K231">
        <v>70.311916260000004</v>
      </c>
      <c r="L231">
        <v>70.232594741233001</v>
      </c>
    </row>
    <row r="232" spans="1:12" x14ac:dyDescent="0.2">
      <c r="A232" s="8" t="s">
        <v>32</v>
      </c>
      <c r="B232" s="8" t="s">
        <v>120</v>
      </c>
      <c r="C232" s="8" t="s">
        <v>121</v>
      </c>
      <c r="D232" s="8" t="s">
        <v>122</v>
      </c>
      <c r="E232" s="8" t="s">
        <v>83</v>
      </c>
      <c r="F232" s="8" t="s">
        <v>84</v>
      </c>
      <c r="G232" s="8" t="s">
        <v>7</v>
      </c>
      <c r="H232" s="8" t="s">
        <v>38</v>
      </c>
      <c r="I232" s="9"/>
    </row>
    <row r="233" spans="1:12" x14ac:dyDescent="0.2">
      <c r="A233" s="8" t="s">
        <v>32</v>
      </c>
      <c r="B233" s="8" t="s">
        <v>120</v>
      </c>
      <c r="C233" s="8" t="s">
        <v>121</v>
      </c>
      <c r="D233" s="8" t="s">
        <v>122</v>
      </c>
      <c r="E233" s="8" t="s">
        <v>55</v>
      </c>
      <c r="F233" s="8" t="s">
        <v>56</v>
      </c>
      <c r="G233" s="8" t="s">
        <v>7</v>
      </c>
      <c r="H233" s="8" t="s">
        <v>38</v>
      </c>
      <c r="I233" s="9">
        <v>1.6750201</v>
      </c>
      <c r="J233">
        <v>1.8760659942519999</v>
      </c>
      <c r="K233">
        <v>1.8760659942519999</v>
      </c>
      <c r="L233">
        <v>1.8760659942519999</v>
      </c>
    </row>
    <row r="234" spans="1:12" x14ac:dyDescent="0.2">
      <c r="A234" s="8" t="s">
        <v>32</v>
      </c>
      <c r="B234" s="8" t="s">
        <v>120</v>
      </c>
      <c r="C234" s="8" t="s">
        <v>121</v>
      </c>
      <c r="D234" s="8" t="s">
        <v>122</v>
      </c>
      <c r="E234" s="8" t="s">
        <v>57</v>
      </c>
      <c r="F234" s="8" t="s">
        <v>58</v>
      </c>
      <c r="G234" s="8" t="s">
        <v>7</v>
      </c>
      <c r="H234" s="8" t="s">
        <v>38</v>
      </c>
      <c r="I234" s="9">
        <v>2.1799099999999998E-2</v>
      </c>
      <c r="J234">
        <v>2.441557969248E-2</v>
      </c>
      <c r="K234">
        <v>2.441557969248E-2</v>
      </c>
      <c r="L234">
        <v>2.441557969248E-2</v>
      </c>
    </row>
    <row r="235" spans="1:12" x14ac:dyDescent="0.2">
      <c r="A235" s="8" t="s">
        <v>32</v>
      </c>
      <c r="B235" s="8" t="s">
        <v>120</v>
      </c>
      <c r="C235" s="8" t="s">
        <v>121</v>
      </c>
      <c r="D235" s="8" t="s">
        <v>122</v>
      </c>
      <c r="E235" s="8" t="s">
        <v>59</v>
      </c>
      <c r="F235" s="8" t="s">
        <v>60</v>
      </c>
      <c r="G235" s="8" t="s">
        <v>7</v>
      </c>
      <c r="H235" s="8" t="s">
        <v>38</v>
      </c>
      <c r="I235" s="9">
        <v>51.484183000000002</v>
      </c>
      <c r="J235">
        <v>55.093166529667002</v>
      </c>
      <c r="K235">
        <v>59.16163903767</v>
      </c>
      <c r="L235">
        <v>62.943384639078999</v>
      </c>
    </row>
    <row r="236" spans="1:12" x14ac:dyDescent="0.2">
      <c r="A236" s="8" t="s">
        <v>110</v>
      </c>
      <c r="B236" s="8" t="s">
        <v>115</v>
      </c>
      <c r="C236" s="8" t="s">
        <v>123</v>
      </c>
      <c r="D236" s="8" t="s">
        <v>124</v>
      </c>
      <c r="E236" s="8" t="s">
        <v>36</v>
      </c>
      <c r="F236" s="8" t="s">
        <v>37</v>
      </c>
      <c r="G236" s="8" t="s">
        <v>7</v>
      </c>
      <c r="H236" s="8" t="s">
        <v>38</v>
      </c>
      <c r="I236" s="9">
        <v>15679.965</v>
      </c>
      <c r="J236">
        <v>14689.09506951</v>
      </c>
      <c r="K236">
        <v>14975.93533882</v>
      </c>
      <c r="L236">
        <v>12454.231971226</v>
      </c>
    </row>
    <row r="237" spans="1:12" x14ac:dyDescent="0.2">
      <c r="A237" s="8" t="s">
        <v>110</v>
      </c>
      <c r="B237" s="8" t="s">
        <v>115</v>
      </c>
      <c r="C237" s="8" t="s">
        <v>123</v>
      </c>
      <c r="D237" s="8" t="s">
        <v>124</v>
      </c>
      <c r="E237" s="8" t="s">
        <v>64</v>
      </c>
      <c r="F237" s="8" t="s">
        <v>65</v>
      </c>
      <c r="G237" s="8" t="s">
        <v>7</v>
      </c>
      <c r="H237" s="8" t="s">
        <v>38</v>
      </c>
      <c r="I237" s="9">
        <v>5564.3149999999996</v>
      </c>
      <c r="J237">
        <v>5770.3337366899996</v>
      </c>
      <c r="K237">
        <v>5417.9665178599998</v>
      </c>
      <c r="L237">
        <v>5502.8875359766998</v>
      </c>
    </row>
    <row r="238" spans="1:12" x14ac:dyDescent="0.2">
      <c r="A238" s="8" t="s">
        <v>110</v>
      </c>
      <c r="B238" s="8" t="s">
        <v>115</v>
      </c>
      <c r="C238" s="8" t="s">
        <v>123</v>
      </c>
      <c r="D238" s="8" t="s">
        <v>124</v>
      </c>
      <c r="E238" s="8" t="s">
        <v>39</v>
      </c>
      <c r="F238" s="8" t="s">
        <v>40</v>
      </c>
      <c r="G238" s="8" t="s">
        <v>7</v>
      </c>
      <c r="H238" s="8" t="s">
        <v>38</v>
      </c>
      <c r="I238" s="9">
        <v>15915.7</v>
      </c>
      <c r="J238">
        <v>16920.54177607</v>
      </c>
      <c r="K238">
        <v>14459.1431484</v>
      </c>
      <c r="L238">
        <v>13777.667276534001</v>
      </c>
    </row>
    <row r="239" spans="1:12" x14ac:dyDescent="0.2">
      <c r="A239" s="8" t="s">
        <v>110</v>
      </c>
      <c r="B239" s="8" t="s">
        <v>115</v>
      </c>
      <c r="C239" s="8" t="s">
        <v>123</v>
      </c>
      <c r="D239" s="8" t="s">
        <v>124</v>
      </c>
      <c r="E239" s="8" t="s">
        <v>41</v>
      </c>
      <c r="F239" s="8" t="s">
        <v>42</v>
      </c>
      <c r="G239" s="8" t="s">
        <v>7</v>
      </c>
      <c r="H239" s="8" t="s">
        <v>38</v>
      </c>
      <c r="I239" s="9">
        <v>10.458187000000001</v>
      </c>
      <c r="J239">
        <v>10.766208450000001</v>
      </c>
      <c r="K239">
        <v>11.074229450000001</v>
      </c>
      <c r="L239">
        <v>10.458224358986</v>
      </c>
    </row>
    <row r="240" spans="1:12" x14ac:dyDescent="0.2">
      <c r="A240" s="8" t="s">
        <v>110</v>
      </c>
      <c r="B240" s="8" t="s">
        <v>115</v>
      </c>
      <c r="C240" s="8" t="s">
        <v>123</v>
      </c>
      <c r="D240" s="8" t="s">
        <v>124</v>
      </c>
      <c r="E240" s="8" t="s">
        <v>43</v>
      </c>
      <c r="F240" s="8" t="s">
        <v>44</v>
      </c>
      <c r="G240" s="8" t="s">
        <v>7</v>
      </c>
      <c r="H240" s="8" t="s">
        <v>38</v>
      </c>
      <c r="I240" s="9">
        <v>20254.882000000001</v>
      </c>
      <c r="J240">
        <v>22383.925436310001</v>
      </c>
      <c r="K240">
        <v>22572.73005667</v>
      </c>
      <c r="L240">
        <v>22991.950314375001</v>
      </c>
    </row>
    <row r="241" spans="1:12" x14ac:dyDescent="0.2">
      <c r="A241" s="8" t="s">
        <v>110</v>
      </c>
      <c r="B241" s="8" t="s">
        <v>115</v>
      </c>
      <c r="C241" s="8" t="s">
        <v>123</v>
      </c>
      <c r="D241" s="8" t="s">
        <v>124</v>
      </c>
      <c r="E241" s="8" t="s">
        <v>66</v>
      </c>
      <c r="F241" s="8" t="s">
        <v>67</v>
      </c>
      <c r="G241" s="8" t="s">
        <v>7</v>
      </c>
      <c r="H241" s="8" t="s">
        <v>38</v>
      </c>
      <c r="I241" s="9">
        <v>68.730851000000001</v>
      </c>
      <c r="J241">
        <v>70.309054720000006</v>
      </c>
      <c r="K241">
        <v>72.834419769999997</v>
      </c>
      <c r="L241">
        <v>72.832811504225006</v>
      </c>
    </row>
    <row r="242" spans="1:12" x14ac:dyDescent="0.2">
      <c r="A242" s="8" t="s">
        <v>110</v>
      </c>
      <c r="B242" s="8" t="s">
        <v>115</v>
      </c>
      <c r="C242" s="8" t="s">
        <v>123</v>
      </c>
      <c r="D242" s="8" t="s">
        <v>124</v>
      </c>
      <c r="E242" s="8" t="s">
        <v>45</v>
      </c>
      <c r="F242" s="8" t="s">
        <v>46</v>
      </c>
      <c r="G242" s="8" t="s">
        <v>7</v>
      </c>
      <c r="H242" s="8" t="s">
        <v>38</v>
      </c>
      <c r="I242" s="9">
        <v>383.74822</v>
      </c>
      <c r="J242">
        <v>383.74821765000002</v>
      </c>
      <c r="K242">
        <v>389.44300220000002</v>
      </c>
      <c r="L242">
        <v>367.67437580215</v>
      </c>
    </row>
    <row r="243" spans="1:12" x14ac:dyDescent="0.2">
      <c r="A243" s="8" t="s">
        <v>110</v>
      </c>
      <c r="B243" s="8" t="s">
        <v>115</v>
      </c>
      <c r="C243" s="8" t="s">
        <v>123</v>
      </c>
      <c r="D243" s="8" t="s">
        <v>124</v>
      </c>
      <c r="E243" s="8" t="s">
        <v>47</v>
      </c>
      <c r="F243" s="8" t="s">
        <v>48</v>
      </c>
      <c r="G243" s="8" t="s">
        <v>7</v>
      </c>
      <c r="H243" s="8" t="s">
        <v>38</v>
      </c>
      <c r="I243" s="9">
        <v>54.884591999999998</v>
      </c>
      <c r="J243">
        <v>64.291046820000005</v>
      </c>
      <c r="K243">
        <v>56.263097549999998</v>
      </c>
      <c r="L243">
        <v>41.205939988342998</v>
      </c>
    </row>
    <row r="244" spans="1:12" x14ac:dyDescent="0.2">
      <c r="A244" s="8" t="s">
        <v>110</v>
      </c>
      <c r="B244" s="8" t="s">
        <v>115</v>
      </c>
      <c r="C244" s="8" t="s">
        <v>123</v>
      </c>
      <c r="D244" s="8" t="s">
        <v>124</v>
      </c>
      <c r="E244" s="8" t="s">
        <v>49</v>
      </c>
      <c r="F244" s="8" t="s">
        <v>50</v>
      </c>
      <c r="G244" s="8" t="s">
        <v>7</v>
      </c>
      <c r="H244" s="8" t="s">
        <v>38</v>
      </c>
      <c r="I244" s="9">
        <v>23343.899000000001</v>
      </c>
      <c r="J244">
        <v>24696.00779231</v>
      </c>
      <c r="K244">
        <v>20763.086894939999</v>
      </c>
      <c r="L244">
        <v>20130.101389246</v>
      </c>
    </row>
    <row r="245" spans="1:12" x14ac:dyDescent="0.2">
      <c r="A245" s="8" t="s">
        <v>110</v>
      </c>
      <c r="B245" s="8" t="s">
        <v>115</v>
      </c>
      <c r="C245" s="8" t="s">
        <v>123</v>
      </c>
      <c r="D245" s="8" t="s">
        <v>124</v>
      </c>
      <c r="E245" s="8" t="s">
        <v>51</v>
      </c>
      <c r="F245" s="8" t="s">
        <v>52</v>
      </c>
      <c r="G245" s="8" t="s">
        <v>7</v>
      </c>
      <c r="H245" s="8" t="s">
        <v>38</v>
      </c>
      <c r="I245" s="9">
        <v>104.84860999999999</v>
      </c>
      <c r="J245">
        <v>89.168632549999998</v>
      </c>
      <c r="K245">
        <v>97.770515439999997</v>
      </c>
      <c r="L245">
        <v>97.463065439999994</v>
      </c>
    </row>
    <row r="246" spans="1:12" x14ac:dyDescent="0.2">
      <c r="A246" s="8" t="s">
        <v>110</v>
      </c>
      <c r="B246" s="8" t="s">
        <v>115</v>
      </c>
      <c r="C246" s="8" t="s">
        <v>123</v>
      </c>
      <c r="D246" s="8" t="s">
        <v>124</v>
      </c>
      <c r="E246" s="8" t="s">
        <v>68</v>
      </c>
      <c r="F246" s="8" t="s">
        <v>69</v>
      </c>
      <c r="G246" s="8" t="s">
        <v>7</v>
      </c>
      <c r="H246" s="8" t="s">
        <v>38</v>
      </c>
      <c r="I246" s="9">
        <v>94.307148999999995</v>
      </c>
      <c r="J246">
        <v>104.67977272815</v>
      </c>
      <c r="K246">
        <v>127.27155093141999</v>
      </c>
      <c r="L246">
        <v>133.89080176024001</v>
      </c>
    </row>
    <row r="247" spans="1:12" x14ac:dyDescent="0.2">
      <c r="A247" s="8" t="s">
        <v>110</v>
      </c>
      <c r="B247" s="8" t="s">
        <v>115</v>
      </c>
      <c r="C247" s="8" t="s">
        <v>123</v>
      </c>
      <c r="D247" s="8" t="s">
        <v>124</v>
      </c>
      <c r="E247" s="8" t="s">
        <v>53</v>
      </c>
      <c r="F247" s="8" t="s">
        <v>54</v>
      </c>
      <c r="G247" s="8" t="s">
        <v>7</v>
      </c>
      <c r="H247" s="8" t="s">
        <v>38</v>
      </c>
      <c r="I247" s="9">
        <v>216.55975000000001</v>
      </c>
      <c r="J247">
        <v>231.04621703967999</v>
      </c>
      <c r="K247">
        <v>223.08836167841</v>
      </c>
      <c r="L247">
        <v>206.14657717033</v>
      </c>
    </row>
    <row r="248" spans="1:12" x14ac:dyDescent="0.2">
      <c r="A248" s="8" t="s">
        <v>110</v>
      </c>
      <c r="B248" s="8" t="s">
        <v>115</v>
      </c>
      <c r="C248" s="8" t="s">
        <v>123</v>
      </c>
      <c r="D248" s="8" t="s">
        <v>124</v>
      </c>
      <c r="E248" s="8" t="s">
        <v>70</v>
      </c>
      <c r="F248" s="8" t="s">
        <v>71</v>
      </c>
      <c r="G248" s="8" t="s">
        <v>7</v>
      </c>
      <c r="H248" s="8" t="s">
        <v>38</v>
      </c>
      <c r="I248" s="9">
        <v>2387.3787000000002</v>
      </c>
      <c r="J248">
        <v>2733.472417039</v>
      </c>
      <c r="K248">
        <v>2718.5761095891999</v>
      </c>
      <c r="L248">
        <v>2715.5091815722999</v>
      </c>
    </row>
    <row r="249" spans="1:12" x14ac:dyDescent="0.2">
      <c r="A249" s="8" t="s">
        <v>110</v>
      </c>
      <c r="B249" s="8" t="s">
        <v>115</v>
      </c>
      <c r="C249" s="8" t="s">
        <v>123</v>
      </c>
      <c r="D249" s="8" t="s">
        <v>124</v>
      </c>
      <c r="E249" s="8" t="s">
        <v>83</v>
      </c>
      <c r="F249" s="8" t="s">
        <v>84</v>
      </c>
      <c r="G249" s="8" t="s">
        <v>7</v>
      </c>
      <c r="H249" s="8" t="s">
        <v>38</v>
      </c>
      <c r="I249" s="9">
        <v>877.5</v>
      </c>
      <c r="J249">
        <v>950.25</v>
      </c>
      <c r="K249">
        <v>872.25</v>
      </c>
      <c r="L249">
        <v>781.5</v>
      </c>
    </row>
    <row r="250" spans="1:12" x14ac:dyDescent="0.2">
      <c r="A250" s="8" t="s">
        <v>110</v>
      </c>
      <c r="B250" s="8" t="s">
        <v>115</v>
      </c>
      <c r="C250" s="8" t="s">
        <v>123</v>
      </c>
      <c r="D250" s="8" t="s">
        <v>124</v>
      </c>
      <c r="E250" s="8" t="s">
        <v>55</v>
      </c>
      <c r="F250" s="8" t="s">
        <v>56</v>
      </c>
      <c r="G250" s="8" t="s">
        <v>7</v>
      </c>
      <c r="H250" s="8" t="s">
        <v>38</v>
      </c>
      <c r="I250" s="9">
        <v>162.61894000000001</v>
      </c>
      <c r="J250">
        <v>162.20736639034999</v>
      </c>
      <c r="K250">
        <v>162.20736639034999</v>
      </c>
      <c r="L250">
        <v>162.20736639034999</v>
      </c>
    </row>
    <row r="251" spans="1:12" x14ac:dyDescent="0.2">
      <c r="A251" s="8" t="s">
        <v>110</v>
      </c>
      <c r="B251" s="8" t="s">
        <v>115</v>
      </c>
      <c r="C251" s="8" t="s">
        <v>123</v>
      </c>
      <c r="D251" s="8" t="s">
        <v>124</v>
      </c>
      <c r="E251" s="8" t="s">
        <v>57</v>
      </c>
      <c r="F251" s="8" t="s">
        <v>58</v>
      </c>
      <c r="G251" s="8" t="s">
        <v>7</v>
      </c>
      <c r="H251" s="8" t="s">
        <v>38</v>
      </c>
      <c r="I251" s="9">
        <v>91.712356999999997</v>
      </c>
      <c r="J251">
        <v>91.480243169505997</v>
      </c>
      <c r="K251">
        <v>91.480243169505997</v>
      </c>
      <c r="L251">
        <v>91.480243169505997</v>
      </c>
    </row>
    <row r="252" spans="1:12" x14ac:dyDescent="0.2">
      <c r="A252" s="8" t="s">
        <v>110</v>
      </c>
      <c r="B252" s="8" t="s">
        <v>115</v>
      </c>
      <c r="C252" s="8" t="s">
        <v>123</v>
      </c>
      <c r="D252" s="8" t="s">
        <v>124</v>
      </c>
      <c r="E252" s="8" t="s">
        <v>72</v>
      </c>
      <c r="F252" s="8" t="s">
        <v>73</v>
      </c>
      <c r="G252" s="8" t="s">
        <v>7</v>
      </c>
      <c r="H252" s="8" t="s">
        <v>38</v>
      </c>
      <c r="I252" s="9">
        <v>4637.5337</v>
      </c>
      <c r="J252">
        <v>4430.7990126946997</v>
      </c>
      <c r="K252">
        <v>3914.1705927382</v>
      </c>
      <c r="L252">
        <v>3810.6964634697001</v>
      </c>
    </row>
    <row r="253" spans="1:12" x14ac:dyDescent="0.2">
      <c r="A253" s="8" t="s">
        <v>110</v>
      </c>
      <c r="B253" s="8" t="s">
        <v>115</v>
      </c>
      <c r="C253" s="8" t="s">
        <v>123</v>
      </c>
      <c r="D253" s="8" t="s">
        <v>124</v>
      </c>
      <c r="E253" s="8" t="s">
        <v>74</v>
      </c>
      <c r="F253" s="8" t="s">
        <v>75</v>
      </c>
      <c r="G253" s="8" t="s">
        <v>7</v>
      </c>
      <c r="H253" s="8" t="s">
        <v>38</v>
      </c>
      <c r="I253" s="9">
        <v>1805.4662000000001</v>
      </c>
      <c r="J253">
        <v>1952.55510774</v>
      </c>
      <c r="K253">
        <v>2496.05740986</v>
      </c>
      <c r="L253">
        <v>2140.9207975585</v>
      </c>
    </row>
    <row r="254" spans="1:12" x14ac:dyDescent="0.2">
      <c r="A254" s="8" t="s">
        <v>110</v>
      </c>
      <c r="B254" s="8" t="s">
        <v>115</v>
      </c>
      <c r="C254" s="8" t="s">
        <v>123</v>
      </c>
      <c r="D254" s="8" t="s">
        <v>124</v>
      </c>
      <c r="E254" s="8" t="s">
        <v>59</v>
      </c>
      <c r="F254" s="8" t="s">
        <v>60</v>
      </c>
      <c r="G254" s="8" t="s">
        <v>7</v>
      </c>
      <c r="H254" s="8" t="s">
        <v>38</v>
      </c>
      <c r="I254" s="9">
        <v>207.22800000000001</v>
      </c>
      <c r="J254">
        <v>218.86465041913999</v>
      </c>
      <c r="K254">
        <v>205.34087144400999</v>
      </c>
      <c r="L254">
        <v>194.04208277506001</v>
      </c>
    </row>
    <row r="255" spans="1:12" x14ac:dyDescent="0.2">
      <c r="A255" s="8" t="s">
        <v>110</v>
      </c>
      <c r="B255" s="8" t="s">
        <v>115</v>
      </c>
      <c r="C255" s="8" t="s">
        <v>123</v>
      </c>
      <c r="D255" s="8" t="s">
        <v>124</v>
      </c>
      <c r="E255" s="8" t="s">
        <v>76</v>
      </c>
      <c r="F255" s="8" t="s">
        <v>77</v>
      </c>
      <c r="G255" s="8" t="s">
        <v>7</v>
      </c>
      <c r="H255" s="8" t="s">
        <v>38</v>
      </c>
      <c r="I255" s="9">
        <v>23.047619000000001</v>
      </c>
      <c r="J255">
        <v>21.161904767079999</v>
      </c>
      <c r="K255">
        <v>17.180952385167998</v>
      </c>
      <c r="L255">
        <v>15.393424235034001</v>
      </c>
    </row>
    <row r="256" spans="1:12" x14ac:dyDescent="0.2">
      <c r="A256" s="8" t="s">
        <v>110</v>
      </c>
      <c r="B256" s="8" t="s">
        <v>115</v>
      </c>
      <c r="C256" s="8" t="s">
        <v>123</v>
      </c>
      <c r="D256" s="8" t="s">
        <v>124</v>
      </c>
      <c r="E256" s="8" t="s">
        <v>78</v>
      </c>
      <c r="F256" s="8" t="s">
        <v>79</v>
      </c>
      <c r="G256" s="8" t="s">
        <v>7</v>
      </c>
      <c r="H256" s="8" t="s">
        <v>38</v>
      </c>
      <c r="I256" s="9">
        <v>17.285710999999999</v>
      </c>
      <c r="J256">
        <v>15.557140028571</v>
      </c>
      <c r="K256">
        <v>12.414283457143</v>
      </c>
      <c r="L256">
        <v>11.43999792</v>
      </c>
    </row>
    <row r="257" spans="1:12" x14ac:dyDescent="0.2">
      <c r="A257" s="8" t="s">
        <v>110</v>
      </c>
      <c r="B257" s="8" t="s">
        <v>115</v>
      </c>
      <c r="C257" s="8" t="s">
        <v>123</v>
      </c>
      <c r="D257" s="8" t="s">
        <v>124</v>
      </c>
      <c r="E257" s="8" t="s">
        <v>92</v>
      </c>
      <c r="F257" s="8" t="s">
        <v>93</v>
      </c>
      <c r="G257" s="8" t="s">
        <v>7</v>
      </c>
      <c r="H257" s="8" t="s">
        <v>38</v>
      </c>
      <c r="I257" s="9">
        <v>25.325934</v>
      </c>
      <c r="J257">
        <v>31.101968060459001</v>
      </c>
      <c r="K257">
        <v>20.384523775586999</v>
      </c>
      <c r="L257">
        <v>20.363350909990999</v>
      </c>
    </row>
    <row r="258" spans="1:12" x14ac:dyDescent="0.2">
      <c r="A258" s="8" t="s">
        <v>32</v>
      </c>
      <c r="B258" s="8" t="s">
        <v>125</v>
      </c>
      <c r="C258" s="8" t="s">
        <v>126</v>
      </c>
      <c r="D258" s="8" t="s">
        <v>127</v>
      </c>
      <c r="E258" s="8" t="s">
        <v>36</v>
      </c>
      <c r="F258" s="8" t="s">
        <v>37</v>
      </c>
      <c r="G258" s="8" t="s">
        <v>7</v>
      </c>
      <c r="H258" s="8" t="s">
        <v>38</v>
      </c>
      <c r="I258" s="9">
        <v>505.31245000000001</v>
      </c>
      <c r="J258">
        <v>522.87684171000001</v>
      </c>
      <c r="K258">
        <v>509.95313627999002</v>
      </c>
      <c r="L258">
        <v>497.79204096235998</v>
      </c>
    </row>
    <row r="259" spans="1:12" x14ac:dyDescent="0.2">
      <c r="A259" s="8" t="s">
        <v>32</v>
      </c>
      <c r="B259" s="8" t="s">
        <v>125</v>
      </c>
      <c r="C259" s="8" t="s">
        <v>126</v>
      </c>
      <c r="D259" s="8" t="s">
        <v>127</v>
      </c>
      <c r="E259" s="8" t="s">
        <v>39</v>
      </c>
      <c r="F259" s="8" t="s">
        <v>40</v>
      </c>
      <c r="G259" s="8" t="s">
        <v>7</v>
      </c>
      <c r="H259" s="8" t="s">
        <v>38</v>
      </c>
      <c r="I259" s="9">
        <v>524.85128999999995</v>
      </c>
      <c r="J259">
        <v>526.03953626999999</v>
      </c>
      <c r="K259">
        <v>610.92963971999995</v>
      </c>
      <c r="L259">
        <v>659.48432670875002</v>
      </c>
    </row>
    <row r="260" spans="1:12" x14ac:dyDescent="0.2">
      <c r="A260" s="8" t="s">
        <v>32</v>
      </c>
      <c r="B260" s="8" t="s">
        <v>125</v>
      </c>
      <c r="C260" s="8" t="s">
        <v>126</v>
      </c>
      <c r="D260" s="8" t="s">
        <v>127</v>
      </c>
      <c r="E260" s="8" t="s">
        <v>41</v>
      </c>
      <c r="F260" s="8" t="s">
        <v>42</v>
      </c>
      <c r="G260" s="8" t="s">
        <v>7</v>
      </c>
      <c r="H260" s="8" t="s">
        <v>38</v>
      </c>
      <c r="I260" s="9"/>
      <c r="J260">
        <v>3.5027849999999999E-2</v>
      </c>
      <c r="K260">
        <v>0.4400539</v>
      </c>
      <c r="L260">
        <v>0.49596031703739002</v>
      </c>
    </row>
    <row r="261" spans="1:12" x14ac:dyDescent="0.2">
      <c r="A261" s="8" t="s">
        <v>32</v>
      </c>
      <c r="B261" s="8" t="s">
        <v>125</v>
      </c>
      <c r="C261" s="8" t="s">
        <v>126</v>
      </c>
      <c r="D261" s="8" t="s">
        <v>127</v>
      </c>
      <c r="E261" s="8" t="s">
        <v>43</v>
      </c>
      <c r="F261" s="8" t="s">
        <v>44</v>
      </c>
      <c r="G261" s="8" t="s">
        <v>7</v>
      </c>
      <c r="H261" s="8" t="s">
        <v>38</v>
      </c>
      <c r="I261" s="9">
        <v>6170.6760000000004</v>
      </c>
      <c r="J261">
        <v>4237.3674955799997</v>
      </c>
      <c r="K261">
        <v>4425.4441424400002</v>
      </c>
      <c r="L261">
        <v>4231.7685504349001</v>
      </c>
    </row>
    <row r="262" spans="1:12" x14ac:dyDescent="0.2">
      <c r="A262" s="8" t="s">
        <v>32</v>
      </c>
      <c r="B262" s="8" t="s">
        <v>125</v>
      </c>
      <c r="C262" s="8" t="s">
        <v>126</v>
      </c>
      <c r="D262" s="8" t="s">
        <v>127</v>
      </c>
      <c r="E262" s="8" t="s">
        <v>66</v>
      </c>
      <c r="F262" s="8" t="s">
        <v>67</v>
      </c>
      <c r="G262" s="8" t="s">
        <v>7</v>
      </c>
      <c r="H262" s="8" t="s">
        <v>38</v>
      </c>
      <c r="I262" s="9"/>
      <c r="K262">
        <v>3.2085225899999998</v>
      </c>
      <c r="L262">
        <v>3.0681044778109001</v>
      </c>
    </row>
    <row r="263" spans="1:12" x14ac:dyDescent="0.2">
      <c r="A263" s="8" t="s">
        <v>32</v>
      </c>
      <c r="B263" s="8" t="s">
        <v>125</v>
      </c>
      <c r="C263" s="8" t="s">
        <v>126</v>
      </c>
      <c r="D263" s="8" t="s">
        <v>127</v>
      </c>
      <c r="E263" s="8" t="s">
        <v>45</v>
      </c>
      <c r="F263" s="8" t="s">
        <v>46</v>
      </c>
      <c r="G263" s="8" t="s">
        <v>7</v>
      </c>
      <c r="H263" s="8" t="s">
        <v>38</v>
      </c>
      <c r="I263" s="9"/>
      <c r="J263">
        <v>1.6361314199999999</v>
      </c>
      <c r="K263">
        <v>4.4080216200000004</v>
      </c>
      <c r="L263">
        <v>4.1295131199878998</v>
      </c>
    </row>
    <row r="264" spans="1:12" x14ac:dyDescent="0.2">
      <c r="A264" s="8" t="s">
        <v>32</v>
      </c>
      <c r="B264" s="8" t="s">
        <v>125</v>
      </c>
      <c r="C264" s="8" t="s">
        <v>126</v>
      </c>
      <c r="D264" s="8" t="s">
        <v>127</v>
      </c>
      <c r="E264" s="8" t="s">
        <v>49</v>
      </c>
      <c r="F264" s="8" t="s">
        <v>50</v>
      </c>
      <c r="G264" s="8" t="s">
        <v>7</v>
      </c>
      <c r="H264" s="8" t="s">
        <v>38</v>
      </c>
      <c r="I264" s="9">
        <v>410.12398999999999</v>
      </c>
      <c r="J264">
        <v>185.89117257999999</v>
      </c>
      <c r="K264">
        <v>231.1837208</v>
      </c>
      <c r="L264">
        <v>221.06617269709</v>
      </c>
    </row>
    <row r="265" spans="1:12" x14ac:dyDescent="0.2">
      <c r="A265" s="8" t="s">
        <v>32</v>
      </c>
      <c r="B265" s="8" t="s">
        <v>125</v>
      </c>
      <c r="C265" s="8" t="s">
        <v>126</v>
      </c>
      <c r="D265" s="8" t="s">
        <v>127</v>
      </c>
      <c r="E265" s="8" t="s">
        <v>51</v>
      </c>
      <c r="F265" s="8" t="s">
        <v>52</v>
      </c>
      <c r="G265" s="8" t="s">
        <v>7</v>
      </c>
      <c r="H265" s="8" t="s">
        <v>38</v>
      </c>
      <c r="I265" s="9"/>
      <c r="K265">
        <v>1.0621536499999999</v>
      </c>
      <c r="L265">
        <v>1.0156694485633</v>
      </c>
    </row>
    <row r="266" spans="1:12" x14ac:dyDescent="0.2">
      <c r="A266" s="8" t="s">
        <v>32</v>
      </c>
      <c r="B266" s="8" t="s">
        <v>125</v>
      </c>
      <c r="C266" s="8" t="s">
        <v>126</v>
      </c>
      <c r="D266" s="8" t="s">
        <v>127</v>
      </c>
      <c r="E266" s="8" t="s">
        <v>53</v>
      </c>
      <c r="F266" s="8" t="s">
        <v>54</v>
      </c>
      <c r="G266" s="8" t="s">
        <v>7</v>
      </c>
      <c r="H266" s="8" t="s">
        <v>38</v>
      </c>
      <c r="I266" s="9">
        <v>4.1135941000000003</v>
      </c>
      <c r="J266">
        <v>43.733999490000002</v>
      </c>
      <c r="K266">
        <v>3.8905534400000001</v>
      </c>
      <c r="L266">
        <v>4.7825467547749998</v>
      </c>
    </row>
    <row r="267" spans="1:12" x14ac:dyDescent="0.2">
      <c r="A267" s="8" t="s">
        <v>32</v>
      </c>
      <c r="B267" s="8" t="s">
        <v>125</v>
      </c>
      <c r="C267" s="8" t="s">
        <v>126</v>
      </c>
      <c r="D267" s="8" t="s">
        <v>127</v>
      </c>
      <c r="E267" s="8" t="s">
        <v>70</v>
      </c>
      <c r="F267" s="8" t="s">
        <v>71</v>
      </c>
      <c r="G267" s="8" t="s">
        <v>7</v>
      </c>
      <c r="H267" s="8" t="s">
        <v>38</v>
      </c>
      <c r="I267" s="9">
        <v>1054.6786999999999</v>
      </c>
      <c r="J267">
        <v>1132.8030953</v>
      </c>
      <c r="K267">
        <v>1171.8652709999999</v>
      </c>
      <c r="L267">
        <v>1170.5432456871999</v>
      </c>
    </row>
    <row r="268" spans="1:12" x14ac:dyDescent="0.2">
      <c r="A268" s="8" t="s">
        <v>32</v>
      </c>
      <c r="B268" s="8" t="s">
        <v>125</v>
      </c>
      <c r="C268" s="8" t="s">
        <v>126</v>
      </c>
      <c r="D268" s="8" t="s">
        <v>127</v>
      </c>
      <c r="E268" s="8" t="s">
        <v>55</v>
      </c>
      <c r="F268" s="8" t="s">
        <v>56</v>
      </c>
      <c r="G268" s="8" t="s">
        <v>7</v>
      </c>
      <c r="H268" s="8" t="s">
        <v>38</v>
      </c>
      <c r="I268" s="9">
        <v>0.54843200000000003</v>
      </c>
      <c r="J268">
        <v>0.61425802260286999</v>
      </c>
      <c r="K268">
        <v>0.61425802260286999</v>
      </c>
      <c r="L268">
        <v>0.61425802260286999</v>
      </c>
    </row>
    <row r="269" spans="1:12" x14ac:dyDescent="0.2">
      <c r="A269" s="8" t="s">
        <v>32</v>
      </c>
      <c r="B269" s="8" t="s">
        <v>125</v>
      </c>
      <c r="C269" s="8" t="s">
        <v>126</v>
      </c>
      <c r="D269" s="8" t="s">
        <v>127</v>
      </c>
      <c r="E269" s="8" t="s">
        <v>57</v>
      </c>
      <c r="F269" s="8" t="s">
        <v>58</v>
      </c>
      <c r="G269" s="8" t="s">
        <v>7</v>
      </c>
      <c r="H269" s="8" t="s">
        <v>38</v>
      </c>
      <c r="I269" s="9">
        <v>8.2106000000000002E-3</v>
      </c>
      <c r="J269">
        <v>9.1960317823829001E-3</v>
      </c>
      <c r="K269">
        <v>9.1960317823829001E-3</v>
      </c>
      <c r="L269">
        <v>9.1960317823829001E-3</v>
      </c>
    </row>
    <row r="270" spans="1:12" x14ac:dyDescent="0.2">
      <c r="A270" s="8" t="s">
        <v>32</v>
      </c>
      <c r="B270" s="8" t="s">
        <v>125</v>
      </c>
      <c r="C270" s="8" t="s">
        <v>126</v>
      </c>
      <c r="D270" s="8" t="s">
        <v>127</v>
      </c>
      <c r="E270" s="8" t="s">
        <v>59</v>
      </c>
      <c r="F270" s="8" t="s">
        <v>60</v>
      </c>
      <c r="G270" s="8" t="s">
        <v>7</v>
      </c>
      <c r="H270" s="8" t="s">
        <v>38</v>
      </c>
      <c r="I270" s="9">
        <v>35.222673999999998</v>
      </c>
      <c r="J270">
        <v>95.320964823294005</v>
      </c>
      <c r="K270">
        <v>96.019670008741997</v>
      </c>
      <c r="L270">
        <v>97.024402644898004</v>
      </c>
    </row>
    <row r="271" spans="1:12" x14ac:dyDescent="0.2">
      <c r="A271" s="8" t="s">
        <v>32</v>
      </c>
      <c r="B271" s="8" t="s">
        <v>125</v>
      </c>
      <c r="C271" s="8" t="s">
        <v>126</v>
      </c>
      <c r="D271" s="8" t="s">
        <v>127</v>
      </c>
      <c r="E271" s="8" t="s">
        <v>92</v>
      </c>
      <c r="F271" s="8" t="s">
        <v>93</v>
      </c>
      <c r="G271" s="8" t="s">
        <v>7</v>
      </c>
      <c r="H271" s="8" t="s">
        <v>38</v>
      </c>
      <c r="I271" s="9">
        <v>0.38201659999999998</v>
      </c>
      <c r="J271">
        <v>0.39683678397569999</v>
      </c>
      <c r="K271">
        <v>0.41206719359525001</v>
      </c>
      <c r="L271">
        <v>0.42642175950560002</v>
      </c>
    </row>
    <row r="272" spans="1:12" x14ac:dyDescent="0.2">
      <c r="A272" s="8" t="s">
        <v>32</v>
      </c>
      <c r="B272" s="8" t="s">
        <v>125</v>
      </c>
      <c r="C272" s="8" t="s">
        <v>128</v>
      </c>
      <c r="D272" s="8" t="s">
        <v>129</v>
      </c>
      <c r="E272" s="8" t="s">
        <v>36</v>
      </c>
      <c r="F272" s="8" t="s">
        <v>37</v>
      </c>
      <c r="G272" s="8" t="s">
        <v>7</v>
      </c>
      <c r="H272" s="8" t="s">
        <v>38</v>
      </c>
      <c r="I272" s="9">
        <v>957.89413000000002</v>
      </c>
      <c r="J272">
        <v>996.30905138954995</v>
      </c>
      <c r="K272">
        <v>982.07024066565998</v>
      </c>
      <c r="L272">
        <v>939.09081778073005</v>
      </c>
    </row>
    <row r="273" spans="1:12" x14ac:dyDescent="0.2">
      <c r="A273" s="8" t="s">
        <v>32</v>
      </c>
      <c r="B273" s="8" t="s">
        <v>125</v>
      </c>
      <c r="C273" s="8" t="s">
        <v>128</v>
      </c>
      <c r="D273" s="8" t="s">
        <v>129</v>
      </c>
      <c r="E273" s="8" t="s">
        <v>64</v>
      </c>
      <c r="F273" s="8" t="s">
        <v>65</v>
      </c>
      <c r="G273" s="8" t="s">
        <v>7</v>
      </c>
      <c r="H273" s="8" t="s">
        <v>38</v>
      </c>
      <c r="I273" s="9"/>
    </row>
    <row r="274" spans="1:12" x14ac:dyDescent="0.2">
      <c r="A274" s="8" t="s">
        <v>32</v>
      </c>
      <c r="B274" s="8" t="s">
        <v>125</v>
      </c>
      <c r="C274" s="8" t="s">
        <v>128</v>
      </c>
      <c r="D274" s="8" t="s">
        <v>129</v>
      </c>
      <c r="E274" s="8" t="s">
        <v>39</v>
      </c>
      <c r="F274" s="8" t="s">
        <v>40</v>
      </c>
      <c r="G274" s="8" t="s">
        <v>7</v>
      </c>
      <c r="H274" s="8" t="s">
        <v>38</v>
      </c>
      <c r="I274" s="9">
        <v>575.79745000000003</v>
      </c>
      <c r="J274">
        <v>642.03234316190003</v>
      </c>
      <c r="K274">
        <v>634.53772820613995</v>
      </c>
      <c r="L274">
        <v>606.76775389297995</v>
      </c>
    </row>
    <row r="275" spans="1:12" x14ac:dyDescent="0.2">
      <c r="A275" s="8" t="s">
        <v>32</v>
      </c>
      <c r="B275" s="8" t="s">
        <v>125</v>
      </c>
      <c r="C275" s="8" t="s">
        <v>128</v>
      </c>
      <c r="D275" s="8" t="s">
        <v>129</v>
      </c>
      <c r="E275" s="8" t="s">
        <v>41</v>
      </c>
      <c r="F275" s="8" t="s">
        <v>42</v>
      </c>
      <c r="G275" s="8" t="s">
        <v>7</v>
      </c>
      <c r="H275" s="8" t="s">
        <v>38</v>
      </c>
      <c r="I275" s="9">
        <v>20.387025000000001</v>
      </c>
      <c r="J275">
        <v>25.358040738212001</v>
      </c>
      <c r="K275">
        <v>24.401238624847998</v>
      </c>
      <c r="L275">
        <v>27.501281194154998</v>
      </c>
    </row>
    <row r="276" spans="1:12" x14ac:dyDescent="0.2">
      <c r="A276" s="8" t="s">
        <v>32</v>
      </c>
      <c r="B276" s="8" t="s">
        <v>125</v>
      </c>
      <c r="C276" s="8" t="s">
        <v>128</v>
      </c>
      <c r="D276" s="8" t="s">
        <v>129</v>
      </c>
      <c r="E276" s="8" t="s">
        <v>43</v>
      </c>
      <c r="F276" s="8" t="s">
        <v>44</v>
      </c>
      <c r="G276" s="8" t="s">
        <v>7</v>
      </c>
      <c r="H276" s="8" t="s">
        <v>38</v>
      </c>
      <c r="I276" s="9">
        <v>2378.0342999999998</v>
      </c>
      <c r="J276">
        <v>2879.3994628444002</v>
      </c>
      <c r="K276">
        <v>2859.6858913361002</v>
      </c>
      <c r="L276">
        <v>2734.5343042578002</v>
      </c>
    </row>
    <row r="277" spans="1:12" x14ac:dyDescent="0.2">
      <c r="A277" s="8" t="s">
        <v>32</v>
      </c>
      <c r="B277" s="8" t="s">
        <v>125</v>
      </c>
      <c r="C277" s="8" t="s">
        <v>128</v>
      </c>
      <c r="D277" s="8" t="s">
        <v>129</v>
      </c>
      <c r="E277" s="8" t="s">
        <v>66</v>
      </c>
      <c r="F277" s="8" t="s">
        <v>67</v>
      </c>
      <c r="G277" s="8" t="s">
        <v>7</v>
      </c>
      <c r="H277" s="8" t="s">
        <v>38</v>
      </c>
      <c r="I277" s="9">
        <v>115.69636</v>
      </c>
      <c r="J277">
        <v>129.77813767570001</v>
      </c>
      <c r="K277">
        <v>121.78627745551</v>
      </c>
      <c r="L277">
        <v>116.45641029978</v>
      </c>
    </row>
    <row r="278" spans="1:12" x14ac:dyDescent="0.2">
      <c r="A278" s="8" t="s">
        <v>32</v>
      </c>
      <c r="B278" s="8" t="s">
        <v>125</v>
      </c>
      <c r="C278" s="8" t="s">
        <v>128</v>
      </c>
      <c r="D278" s="8" t="s">
        <v>129</v>
      </c>
      <c r="E278" s="8" t="s">
        <v>45</v>
      </c>
      <c r="F278" s="8" t="s">
        <v>46</v>
      </c>
      <c r="G278" s="8" t="s">
        <v>7</v>
      </c>
      <c r="H278" s="8" t="s">
        <v>38</v>
      </c>
      <c r="I278" s="9">
        <v>24.988752000000002</v>
      </c>
      <c r="J278">
        <v>28.123637982506999</v>
      </c>
      <c r="K278">
        <v>26.875802023487999</v>
      </c>
      <c r="L278">
        <v>25.17772974675</v>
      </c>
    </row>
    <row r="279" spans="1:12" x14ac:dyDescent="0.2">
      <c r="A279" s="8" t="s">
        <v>32</v>
      </c>
      <c r="B279" s="8" t="s">
        <v>125</v>
      </c>
      <c r="C279" s="8" t="s">
        <v>128</v>
      </c>
      <c r="D279" s="8" t="s">
        <v>129</v>
      </c>
      <c r="E279" s="8" t="s">
        <v>47</v>
      </c>
      <c r="F279" s="8" t="s">
        <v>48</v>
      </c>
      <c r="G279" s="8" t="s">
        <v>7</v>
      </c>
      <c r="H279" s="8" t="s">
        <v>38</v>
      </c>
      <c r="I279" s="9">
        <v>28.586051999999999</v>
      </c>
      <c r="J279">
        <v>35.634538705430003</v>
      </c>
      <c r="K279">
        <v>36.409737076660001</v>
      </c>
      <c r="L279">
        <v>34.816297603443999</v>
      </c>
    </row>
    <row r="280" spans="1:12" x14ac:dyDescent="0.2">
      <c r="A280" s="8" t="s">
        <v>32</v>
      </c>
      <c r="B280" s="8" t="s">
        <v>125</v>
      </c>
      <c r="C280" s="8" t="s">
        <v>128</v>
      </c>
      <c r="D280" s="8" t="s">
        <v>129</v>
      </c>
      <c r="E280" s="8" t="s">
        <v>49</v>
      </c>
      <c r="F280" s="8" t="s">
        <v>50</v>
      </c>
      <c r="G280" s="8" t="s">
        <v>7</v>
      </c>
      <c r="H280" s="8" t="s">
        <v>38</v>
      </c>
      <c r="I280" s="9">
        <v>256.90289999999999</v>
      </c>
      <c r="J280">
        <v>297.57481292414002</v>
      </c>
      <c r="K280">
        <v>312.79953295024001</v>
      </c>
      <c r="L280">
        <v>299.1101420613</v>
      </c>
    </row>
    <row r="281" spans="1:12" x14ac:dyDescent="0.2">
      <c r="A281" s="8" t="s">
        <v>32</v>
      </c>
      <c r="B281" s="8" t="s">
        <v>125</v>
      </c>
      <c r="C281" s="8" t="s">
        <v>128</v>
      </c>
      <c r="D281" s="8" t="s">
        <v>129</v>
      </c>
      <c r="E281" s="8" t="s">
        <v>51</v>
      </c>
      <c r="F281" s="8" t="s">
        <v>52</v>
      </c>
      <c r="G281" s="8" t="s">
        <v>7</v>
      </c>
      <c r="H281" s="8" t="s">
        <v>38</v>
      </c>
      <c r="I281" s="9">
        <v>197.95244</v>
      </c>
      <c r="J281">
        <v>178.90673029563999</v>
      </c>
      <c r="K281">
        <v>226.03973988884999</v>
      </c>
      <c r="L281">
        <v>216.1473134949</v>
      </c>
    </row>
    <row r="282" spans="1:12" x14ac:dyDescent="0.2">
      <c r="A282" s="8" t="s">
        <v>32</v>
      </c>
      <c r="B282" s="8" t="s">
        <v>125</v>
      </c>
      <c r="C282" s="8" t="s">
        <v>128</v>
      </c>
      <c r="D282" s="8" t="s">
        <v>129</v>
      </c>
      <c r="E282" s="8" t="s">
        <v>53</v>
      </c>
      <c r="F282" s="8" t="s">
        <v>54</v>
      </c>
      <c r="G282" s="8" t="s">
        <v>7</v>
      </c>
      <c r="H282" s="8" t="s">
        <v>38</v>
      </c>
      <c r="I282" s="9"/>
    </row>
    <row r="283" spans="1:12" x14ac:dyDescent="0.2">
      <c r="A283" s="8" t="s">
        <v>32</v>
      </c>
      <c r="B283" s="8" t="s">
        <v>125</v>
      </c>
      <c r="C283" s="8" t="s">
        <v>128</v>
      </c>
      <c r="D283" s="8" t="s">
        <v>129</v>
      </c>
      <c r="E283" s="8" t="s">
        <v>70</v>
      </c>
      <c r="F283" s="8" t="s">
        <v>71</v>
      </c>
      <c r="G283" s="8" t="s">
        <v>7</v>
      </c>
      <c r="H283" s="8" t="s">
        <v>38</v>
      </c>
      <c r="I283" s="9">
        <v>1093.7409</v>
      </c>
      <c r="J283">
        <v>1171.8652709999999</v>
      </c>
      <c r="K283">
        <v>1210.9274467</v>
      </c>
      <c r="L283">
        <v>1209.5613538768</v>
      </c>
    </row>
    <row r="284" spans="1:12" x14ac:dyDescent="0.2">
      <c r="A284" s="8" t="s">
        <v>32</v>
      </c>
      <c r="B284" s="8" t="s">
        <v>125</v>
      </c>
      <c r="C284" s="8" t="s">
        <v>128</v>
      </c>
      <c r="D284" s="8" t="s">
        <v>129</v>
      </c>
      <c r="E284" s="8" t="s">
        <v>55</v>
      </c>
      <c r="F284" s="8" t="s">
        <v>56</v>
      </c>
      <c r="G284" s="8" t="s">
        <v>7</v>
      </c>
      <c r="H284" s="8" t="s">
        <v>38</v>
      </c>
      <c r="I284" s="9">
        <v>0.76764670000000002</v>
      </c>
      <c r="J284">
        <v>0.85978416578015004</v>
      </c>
      <c r="K284">
        <v>0.85978416578015004</v>
      </c>
      <c r="L284">
        <v>0.85978416578015004</v>
      </c>
    </row>
    <row r="285" spans="1:12" x14ac:dyDescent="0.2">
      <c r="A285" s="8" t="s">
        <v>32</v>
      </c>
      <c r="B285" s="8" t="s">
        <v>125</v>
      </c>
      <c r="C285" s="8" t="s">
        <v>128</v>
      </c>
      <c r="D285" s="8" t="s">
        <v>129</v>
      </c>
      <c r="E285" s="8" t="s">
        <v>57</v>
      </c>
      <c r="F285" s="8" t="s">
        <v>58</v>
      </c>
      <c r="G285" s="8" t="s">
        <v>7</v>
      </c>
      <c r="H285" s="8" t="s">
        <v>38</v>
      </c>
      <c r="I285" s="9">
        <v>4.5636700000000002E-2</v>
      </c>
      <c r="J285">
        <v>5.1114271747365998E-2</v>
      </c>
      <c r="K285">
        <v>5.1114271747365998E-2</v>
      </c>
      <c r="L285">
        <v>5.1114271747365998E-2</v>
      </c>
    </row>
    <row r="286" spans="1:12" x14ac:dyDescent="0.2">
      <c r="A286" s="8" t="s">
        <v>32</v>
      </c>
      <c r="B286" s="8" t="s">
        <v>125</v>
      </c>
      <c r="C286" s="8" t="s">
        <v>128</v>
      </c>
      <c r="D286" s="8" t="s">
        <v>129</v>
      </c>
      <c r="E286" s="8" t="s">
        <v>59</v>
      </c>
      <c r="F286" s="8" t="s">
        <v>60</v>
      </c>
      <c r="G286" s="8" t="s">
        <v>7</v>
      </c>
      <c r="H286" s="8" t="s">
        <v>38</v>
      </c>
      <c r="I286" s="9">
        <v>50.295807000000003</v>
      </c>
      <c r="J286">
        <v>51.254283259308004</v>
      </c>
      <c r="K286">
        <v>52.038765196739</v>
      </c>
      <c r="L286">
        <v>53.592843462627997</v>
      </c>
    </row>
    <row r="287" spans="1:12" x14ac:dyDescent="0.2">
      <c r="A287" s="8" t="s">
        <v>32</v>
      </c>
      <c r="B287" s="8" t="s">
        <v>61</v>
      </c>
      <c r="C287" s="8" t="s">
        <v>130</v>
      </c>
      <c r="D287" s="8" t="s">
        <v>131</v>
      </c>
      <c r="E287" s="8" t="s">
        <v>36</v>
      </c>
      <c r="F287" s="8" t="s">
        <v>37</v>
      </c>
      <c r="G287" s="8" t="s">
        <v>7</v>
      </c>
      <c r="H287" s="8" t="s">
        <v>38</v>
      </c>
      <c r="I287" s="9">
        <v>45887.474999999999</v>
      </c>
      <c r="J287">
        <v>55190.521169448999</v>
      </c>
      <c r="K287">
        <v>60400.63551968</v>
      </c>
      <c r="L287">
        <v>58627.141478217003</v>
      </c>
    </row>
    <row r="288" spans="1:12" x14ac:dyDescent="0.2">
      <c r="A288" s="8" t="s">
        <v>32</v>
      </c>
      <c r="B288" s="8" t="s">
        <v>61</v>
      </c>
      <c r="C288" s="8" t="s">
        <v>130</v>
      </c>
      <c r="D288" s="8" t="s">
        <v>131</v>
      </c>
      <c r="E288" s="8" t="s">
        <v>64</v>
      </c>
      <c r="F288" s="8" t="s">
        <v>65</v>
      </c>
      <c r="G288" s="8" t="s">
        <v>7</v>
      </c>
      <c r="H288" s="8" t="s">
        <v>38</v>
      </c>
      <c r="I288" s="9">
        <v>113.25461</v>
      </c>
      <c r="J288">
        <v>161.03325636</v>
      </c>
      <c r="K288">
        <v>141.4089792</v>
      </c>
      <c r="L288">
        <v>147.19945892755001</v>
      </c>
    </row>
    <row r="289" spans="1:12" x14ac:dyDescent="0.2">
      <c r="A289" s="8" t="s">
        <v>32</v>
      </c>
      <c r="B289" s="8" t="s">
        <v>61</v>
      </c>
      <c r="C289" s="8" t="s">
        <v>130</v>
      </c>
      <c r="D289" s="8" t="s">
        <v>131</v>
      </c>
      <c r="E289" s="8" t="s">
        <v>39</v>
      </c>
      <c r="F289" s="8" t="s">
        <v>40</v>
      </c>
      <c r="G289" s="8" t="s">
        <v>7</v>
      </c>
      <c r="H289" s="8" t="s">
        <v>38</v>
      </c>
      <c r="I289" s="9">
        <v>18014.024000000001</v>
      </c>
      <c r="J289">
        <v>19452.544349240001</v>
      </c>
      <c r="K289">
        <v>17942.25430746</v>
      </c>
      <c r="L289">
        <v>20190.380681998999</v>
      </c>
    </row>
    <row r="290" spans="1:12" x14ac:dyDescent="0.2">
      <c r="A290" s="8" t="s">
        <v>32</v>
      </c>
      <c r="B290" s="8" t="s">
        <v>61</v>
      </c>
      <c r="C290" s="8" t="s">
        <v>130</v>
      </c>
      <c r="D290" s="8" t="s">
        <v>131</v>
      </c>
      <c r="E290" s="8" t="s">
        <v>41</v>
      </c>
      <c r="F290" s="8" t="s">
        <v>42</v>
      </c>
      <c r="G290" s="8" t="s">
        <v>7</v>
      </c>
      <c r="H290" s="8" t="s">
        <v>38</v>
      </c>
      <c r="I290" s="9">
        <v>44.466071999999997</v>
      </c>
      <c r="J290">
        <v>79.531158849999002</v>
      </c>
      <c r="K290">
        <v>127.63261224999999</v>
      </c>
      <c r="L290">
        <v>169.97819819508999</v>
      </c>
    </row>
    <row r="291" spans="1:12" x14ac:dyDescent="0.2">
      <c r="A291" s="8" t="s">
        <v>32</v>
      </c>
      <c r="B291" s="8" t="s">
        <v>61</v>
      </c>
      <c r="C291" s="8" t="s">
        <v>130</v>
      </c>
      <c r="D291" s="8" t="s">
        <v>131</v>
      </c>
      <c r="E291" s="8" t="s">
        <v>43</v>
      </c>
      <c r="F291" s="8" t="s">
        <v>44</v>
      </c>
      <c r="G291" s="8" t="s">
        <v>7</v>
      </c>
      <c r="H291" s="8" t="s">
        <v>38</v>
      </c>
      <c r="I291" s="9">
        <v>8692.8999000000003</v>
      </c>
      <c r="J291">
        <v>9519.2418057300001</v>
      </c>
      <c r="K291">
        <v>10214.945616360001</v>
      </c>
      <c r="L291">
        <v>8869.2497639991998</v>
      </c>
    </row>
    <row r="292" spans="1:12" x14ac:dyDescent="0.2">
      <c r="A292" s="8" t="s">
        <v>32</v>
      </c>
      <c r="B292" s="8" t="s">
        <v>61</v>
      </c>
      <c r="C292" s="8" t="s">
        <v>130</v>
      </c>
      <c r="D292" s="8" t="s">
        <v>131</v>
      </c>
      <c r="E292" s="8" t="s">
        <v>66</v>
      </c>
      <c r="F292" s="8" t="s">
        <v>67</v>
      </c>
      <c r="G292" s="8" t="s">
        <v>7</v>
      </c>
      <c r="H292" s="8" t="s">
        <v>38</v>
      </c>
      <c r="I292" s="9">
        <v>1144.6044999999999</v>
      </c>
      <c r="J292">
        <v>1280.0846802900001</v>
      </c>
      <c r="K292">
        <v>1298.5307267400001</v>
      </c>
      <c r="L292">
        <v>1089.2660695633999</v>
      </c>
    </row>
    <row r="293" spans="1:12" x14ac:dyDescent="0.2">
      <c r="A293" s="8" t="s">
        <v>32</v>
      </c>
      <c r="B293" s="8" t="s">
        <v>61</v>
      </c>
      <c r="C293" s="8" t="s">
        <v>130</v>
      </c>
      <c r="D293" s="8" t="s">
        <v>131</v>
      </c>
      <c r="E293" s="8" t="s">
        <v>45</v>
      </c>
      <c r="F293" s="8" t="s">
        <v>46</v>
      </c>
      <c r="G293" s="8" t="s">
        <v>7</v>
      </c>
      <c r="H293" s="8" t="s">
        <v>38</v>
      </c>
      <c r="I293" s="9">
        <v>1586.3101999999999</v>
      </c>
      <c r="J293">
        <v>1774.07009988</v>
      </c>
      <c r="K293">
        <v>1799.63558541</v>
      </c>
      <c r="L293">
        <v>1736.9525784231</v>
      </c>
    </row>
    <row r="294" spans="1:12" x14ac:dyDescent="0.2">
      <c r="A294" s="8" t="s">
        <v>32</v>
      </c>
      <c r="B294" s="8" t="s">
        <v>61</v>
      </c>
      <c r="C294" s="8" t="s">
        <v>130</v>
      </c>
      <c r="D294" s="8" t="s">
        <v>131</v>
      </c>
      <c r="E294" s="8" t="s">
        <v>47</v>
      </c>
      <c r="F294" s="8" t="s">
        <v>48</v>
      </c>
      <c r="G294" s="8" t="s">
        <v>7</v>
      </c>
      <c r="H294" s="8" t="s">
        <v>38</v>
      </c>
      <c r="I294" s="9">
        <v>13.130515000000001</v>
      </c>
      <c r="J294">
        <v>20.149944479999998</v>
      </c>
      <c r="K294">
        <v>20.604274740000001</v>
      </c>
      <c r="L294">
        <v>17.283793829499</v>
      </c>
    </row>
    <row r="295" spans="1:12" x14ac:dyDescent="0.2">
      <c r="A295" s="8" t="s">
        <v>32</v>
      </c>
      <c r="B295" s="8" t="s">
        <v>61</v>
      </c>
      <c r="C295" s="8" t="s">
        <v>130</v>
      </c>
      <c r="D295" s="8" t="s">
        <v>131</v>
      </c>
      <c r="E295" s="8" t="s">
        <v>49</v>
      </c>
      <c r="F295" s="8" t="s">
        <v>50</v>
      </c>
      <c r="G295" s="8" t="s">
        <v>7</v>
      </c>
      <c r="H295" s="8" t="s">
        <v>38</v>
      </c>
      <c r="I295" s="9">
        <v>11802.986999999999</v>
      </c>
      <c r="J295">
        <v>12256.260427609999</v>
      </c>
      <c r="K295">
        <v>11923.234298199999</v>
      </c>
      <c r="L295">
        <v>11055.236423075001</v>
      </c>
    </row>
    <row r="296" spans="1:12" x14ac:dyDescent="0.2">
      <c r="A296" s="8" t="s">
        <v>32</v>
      </c>
      <c r="B296" s="8" t="s">
        <v>61</v>
      </c>
      <c r="C296" s="8" t="s">
        <v>130</v>
      </c>
      <c r="D296" s="8" t="s">
        <v>131</v>
      </c>
      <c r="E296" s="8" t="s">
        <v>51</v>
      </c>
      <c r="F296" s="8" t="s">
        <v>52</v>
      </c>
      <c r="G296" s="8" t="s">
        <v>7</v>
      </c>
      <c r="H296" s="8" t="s">
        <v>38</v>
      </c>
      <c r="I296" s="9">
        <v>15.284274</v>
      </c>
      <c r="J296">
        <v>17.823620429999998</v>
      </c>
      <c r="K296">
        <v>22.030435350000001</v>
      </c>
      <c r="L296">
        <v>18.480121594589001</v>
      </c>
    </row>
    <row r="297" spans="1:12" x14ac:dyDescent="0.2">
      <c r="A297" s="8" t="s">
        <v>32</v>
      </c>
      <c r="B297" s="8" t="s">
        <v>61</v>
      </c>
      <c r="C297" s="8" t="s">
        <v>130</v>
      </c>
      <c r="D297" s="8" t="s">
        <v>131</v>
      </c>
      <c r="E297" s="8" t="s">
        <v>68</v>
      </c>
      <c r="F297" s="8" t="s">
        <v>69</v>
      </c>
      <c r="G297" s="8" t="s">
        <v>7</v>
      </c>
      <c r="H297" s="8" t="s">
        <v>38</v>
      </c>
      <c r="I297" s="9">
        <v>6.3540739000000004</v>
      </c>
      <c r="J297">
        <v>5.9062770270896996</v>
      </c>
      <c r="K297">
        <v>3.8280625228414</v>
      </c>
      <c r="L297">
        <v>6.0107302022897002</v>
      </c>
    </row>
    <row r="298" spans="1:12" x14ac:dyDescent="0.2">
      <c r="A298" s="8" t="s">
        <v>32</v>
      </c>
      <c r="B298" s="8" t="s">
        <v>61</v>
      </c>
      <c r="C298" s="8" t="s">
        <v>130</v>
      </c>
      <c r="D298" s="8" t="s">
        <v>131</v>
      </c>
      <c r="E298" s="8" t="s">
        <v>53</v>
      </c>
      <c r="F298" s="8" t="s">
        <v>54</v>
      </c>
      <c r="G298" s="8" t="s">
        <v>7</v>
      </c>
      <c r="H298" s="8" t="s">
        <v>38</v>
      </c>
      <c r="I298" s="9">
        <v>1162.9350999999999</v>
      </c>
      <c r="J298">
        <v>1189.6040021164999</v>
      </c>
      <c r="K298">
        <v>1180.2024560755001</v>
      </c>
      <c r="L298">
        <v>1173.3845893517</v>
      </c>
    </row>
    <row r="299" spans="1:12" x14ac:dyDescent="0.2">
      <c r="A299" s="8" t="s">
        <v>32</v>
      </c>
      <c r="B299" s="8" t="s">
        <v>61</v>
      </c>
      <c r="C299" s="8" t="s">
        <v>130</v>
      </c>
      <c r="D299" s="8" t="s">
        <v>131</v>
      </c>
      <c r="E299" s="8" t="s">
        <v>70</v>
      </c>
      <c r="F299" s="8" t="s">
        <v>71</v>
      </c>
      <c r="G299" s="8" t="s">
        <v>7</v>
      </c>
      <c r="H299" s="8" t="s">
        <v>38</v>
      </c>
      <c r="I299" s="9">
        <v>11078.373</v>
      </c>
      <c r="J299">
        <v>12066.2529588</v>
      </c>
      <c r="K299">
        <v>11290.061248</v>
      </c>
      <c r="L299">
        <v>11277.324505029999</v>
      </c>
    </row>
    <row r="300" spans="1:12" x14ac:dyDescent="0.2">
      <c r="A300" s="8" t="s">
        <v>32</v>
      </c>
      <c r="B300" s="8" t="s">
        <v>61</v>
      </c>
      <c r="C300" s="8" t="s">
        <v>130</v>
      </c>
      <c r="D300" s="8" t="s">
        <v>131</v>
      </c>
      <c r="E300" s="8" t="s">
        <v>55</v>
      </c>
      <c r="F300" s="8" t="s">
        <v>56</v>
      </c>
      <c r="G300" s="8" t="s">
        <v>7</v>
      </c>
      <c r="H300" s="8" t="s">
        <v>38</v>
      </c>
      <c r="I300" s="9">
        <v>7.6759918000000003</v>
      </c>
      <c r="J300">
        <v>8.5973098384875009</v>
      </c>
      <c r="K300">
        <v>8.5973098384875009</v>
      </c>
      <c r="L300">
        <v>8.5973098384875009</v>
      </c>
    </row>
    <row r="301" spans="1:12" x14ac:dyDescent="0.2">
      <c r="A301" s="8" t="s">
        <v>32</v>
      </c>
      <c r="B301" s="8" t="s">
        <v>61</v>
      </c>
      <c r="C301" s="8" t="s">
        <v>130</v>
      </c>
      <c r="D301" s="8" t="s">
        <v>131</v>
      </c>
      <c r="E301" s="8" t="s">
        <v>57</v>
      </c>
      <c r="F301" s="8" t="s">
        <v>58</v>
      </c>
      <c r="G301" s="8" t="s">
        <v>7</v>
      </c>
      <c r="H301" s="8" t="s">
        <v>38</v>
      </c>
      <c r="I301" s="9">
        <v>101.65687</v>
      </c>
      <c r="J301">
        <v>113.85833151027001</v>
      </c>
      <c r="K301">
        <v>113.85833151027001</v>
      </c>
      <c r="L301">
        <v>113.85833151027001</v>
      </c>
    </row>
    <row r="302" spans="1:12" x14ac:dyDescent="0.2">
      <c r="A302" s="8" t="s">
        <v>32</v>
      </c>
      <c r="B302" s="8" t="s">
        <v>61</v>
      </c>
      <c r="C302" s="8" t="s">
        <v>130</v>
      </c>
      <c r="D302" s="8" t="s">
        <v>131</v>
      </c>
      <c r="E302" s="8" t="s">
        <v>72</v>
      </c>
      <c r="F302" s="8" t="s">
        <v>73</v>
      </c>
      <c r="G302" s="8" t="s">
        <v>7</v>
      </c>
      <c r="H302" s="8" t="s">
        <v>38</v>
      </c>
      <c r="I302" s="9">
        <v>1631.8715999999999</v>
      </c>
      <c r="J302">
        <v>1533.53621862</v>
      </c>
      <c r="K302">
        <v>1426.65020925</v>
      </c>
      <c r="L302">
        <v>1500.33550909</v>
      </c>
    </row>
    <row r="303" spans="1:12" x14ac:dyDescent="0.2">
      <c r="A303" s="8" t="s">
        <v>32</v>
      </c>
      <c r="B303" s="8" t="s">
        <v>61</v>
      </c>
      <c r="C303" s="8" t="s">
        <v>130</v>
      </c>
      <c r="D303" s="8" t="s">
        <v>131</v>
      </c>
      <c r="E303" s="8" t="s">
        <v>74</v>
      </c>
      <c r="F303" s="8" t="s">
        <v>75</v>
      </c>
      <c r="G303" s="8" t="s">
        <v>7</v>
      </c>
      <c r="H303" s="8" t="s">
        <v>38</v>
      </c>
      <c r="I303" s="9">
        <v>188</v>
      </c>
      <c r="J303">
        <v>220</v>
      </c>
      <c r="K303">
        <v>240</v>
      </c>
      <c r="L303">
        <v>200</v>
      </c>
    </row>
    <row r="304" spans="1:12" x14ac:dyDescent="0.2">
      <c r="A304" s="8" t="s">
        <v>32</v>
      </c>
      <c r="B304" s="8" t="s">
        <v>61</v>
      </c>
      <c r="C304" s="8" t="s">
        <v>130</v>
      </c>
      <c r="D304" s="8" t="s">
        <v>131</v>
      </c>
      <c r="E304" s="8" t="s">
        <v>59</v>
      </c>
      <c r="F304" s="8" t="s">
        <v>60</v>
      </c>
      <c r="G304" s="8" t="s">
        <v>7</v>
      </c>
      <c r="H304" s="8" t="s">
        <v>38</v>
      </c>
      <c r="I304" s="9">
        <v>309.10917000000001</v>
      </c>
      <c r="J304">
        <v>311.85603895733999</v>
      </c>
      <c r="K304">
        <v>314.37940739946998</v>
      </c>
      <c r="L304">
        <v>318.05353080808999</v>
      </c>
    </row>
    <row r="305" spans="1:12" x14ac:dyDescent="0.2">
      <c r="A305" s="8" t="s">
        <v>32</v>
      </c>
      <c r="B305" s="8" t="s">
        <v>61</v>
      </c>
      <c r="C305" s="8" t="s">
        <v>130</v>
      </c>
      <c r="D305" s="8" t="s">
        <v>131</v>
      </c>
      <c r="E305" s="8" t="s">
        <v>76</v>
      </c>
      <c r="F305" s="8" t="s">
        <v>77</v>
      </c>
      <c r="G305" s="8" t="s">
        <v>7</v>
      </c>
      <c r="H305" s="8" t="s">
        <v>38</v>
      </c>
      <c r="I305" s="9">
        <v>542.03809999999999</v>
      </c>
      <c r="J305">
        <v>642.40000001477995</v>
      </c>
      <c r="K305">
        <v>608.87619048960005</v>
      </c>
      <c r="L305">
        <v>675.92380953807003</v>
      </c>
    </row>
    <row r="306" spans="1:12" x14ac:dyDescent="0.2">
      <c r="A306" s="8" t="s">
        <v>32</v>
      </c>
      <c r="B306" s="8" t="s">
        <v>61</v>
      </c>
      <c r="C306" s="8" t="s">
        <v>130</v>
      </c>
      <c r="D306" s="8" t="s">
        <v>131</v>
      </c>
      <c r="E306" s="8" t="s">
        <v>78</v>
      </c>
      <c r="F306" s="8" t="s">
        <v>79</v>
      </c>
      <c r="G306" s="8" t="s">
        <v>7</v>
      </c>
      <c r="H306" s="8" t="s">
        <v>38</v>
      </c>
      <c r="I306" s="9">
        <v>1780.4282000000001</v>
      </c>
      <c r="J306">
        <v>1924.99965</v>
      </c>
      <c r="K306">
        <v>1788.2853891428999</v>
      </c>
      <c r="L306">
        <v>1794.4453880229</v>
      </c>
    </row>
    <row r="307" spans="1:12" x14ac:dyDescent="0.2">
      <c r="A307" s="8" t="s">
        <v>110</v>
      </c>
      <c r="B307" s="8" t="s">
        <v>89</v>
      </c>
      <c r="C307" s="8" t="s">
        <v>132</v>
      </c>
      <c r="D307" s="8" t="s">
        <v>133</v>
      </c>
      <c r="E307" s="8" t="s">
        <v>36</v>
      </c>
      <c r="F307" s="8" t="s">
        <v>37</v>
      </c>
      <c r="G307" s="8" t="s">
        <v>7</v>
      </c>
      <c r="H307" s="8" t="s">
        <v>38</v>
      </c>
      <c r="I307" s="9">
        <v>17294.348999999998</v>
      </c>
      <c r="J307">
        <v>21473.23989415</v>
      </c>
      <c r="K307">
        <v>26044.769757868999</v>
      </c>
      <c r="L307">
        <v>15037.705970939</v>
      </c>
    </row>
    <row r="308" spans="1:12" x14ac:dyDescent="0.2">
      <c r="A308" s="8" t="s">
        <v>110</v>
      </c>
      <c r="B308" s="8" t="s">
        <v>89</v>
      </c>
      <c r="C308" s="8" t="s">
        <v>132</v>
      </c>
      <c r="D308" s="8" t="s">
        <v>133</v>
      </c>
      <c r="E308" s="8" t="s">
        <v>64</v>
      </c>
      <c r="F308" s="8" t="s">
        <v>65</v>
      </c>
      <c r="G308" s="8" t="s">
        <v>7</v>
      </c>
      <c r="H308" s="8" t="s">
        <v>38</v>
      </c>
      <c r="I308" s="9">
        <v>996.18937000000005</v>
      </c>
      <c r="J308">
        <v>876.71221846000003</v>
      </c>
      <c r="K308">
        <v>1267.8398554299999</v>
      </c>
      <c r="L308">
        <v>1167.3682729494999</v>
      </c>
    </row>
    <row r="309" spans="1:12" x14ac:dyDescent="0.2">
      <c r="A309" s="8" t="s">
        <v>110</v>
      </c>
      <c r="B309" s="8" t="s">
        <v>89</v>
      </c>
      <c r="C309" s="8" t="s">
        <v>132</v>
      </c>
      <c r="D309" s="8" t="s">
        <v>133</v>
      </c>
      <c r="E309" s="8" t="s">
        <v>39</v>
      </c>
      <c r="F309" s="8" t="s">
        <v>40</v>
      </c>
      <c r="G309" s="8" t="s">
        <v>7</v>
      </c>
      <c r="H309" s="8" t="s">
        <v>38</v>
      </c>
      <c r="I309" s="9">
        <v>4413.0862999999999</v>
      </c>
      <c r="J309">
        <v>5016.5311846900004</v>
      </c>
      <c r="K309">
        <v>4621.8197050199997</v>
      </c>
      <c r="L309">
        <v>3779.7492809169999</v>
      </c>
    </row>
    <row r="310" spans="1:12" x14ac:dyDescent="0.2">
      <c r="A310" s="8" t="s">
        <v>110</v>
      </c>
      <c r="B310" s="8" t="s">
        <v>89</v>
      </c>
      <c r="C310" s="8" t="s">
        <v>132</v>
      </c>
      <c r="D310" s="8" t="s">
        <v>133</v>
      </c>
      <c r="E310" s="8" t="s">
        <v>41</v>
      </c>
      <c r="F310" s="8" t="s">
        <v>42</v>
      </c>
      <c r="G310" s="8" t="s">
        <v>7</v>
      </c>
      <c r="H310" s="8" t="s">
        <v>38</v>
      </c>
      <c r="I310" s="9">
        <v>11.594814</v>
      </c>
      <c r="J310">
        <v>15.143189400000001</v>
      </c>
      <c r="K310">
        <v>23.822487150000001</v>
      </c>
      <c r="L310">
        <v>17.413314379153</v>
      </c>
    </row>
    <row r="311" spans="1:12" x14ac:dyDescent="0.2">
      <c r="A311" s="8" t="s">
        <v>110</v>
      </c>
      <c r="B311" s="8" t="s">
        <v>89</v>
      </c>
      <c r="C311" s="8" t="s">
        <v>132</v>
      </c>
      <c r="D311" s="8" t="s">
        <v>133</v>
      </c>
      <c r="E311" s="8" t="s">
        <v>43</v>
      </c>
      <c r="F311" s="8" t="s">
        <v>44</v>
      </c>
      <c r="G311" s="8" t="s">
        <v>7</v>
      </c>
      <c r="H311" s="8" t="s">
        <v>38</v>
      </c>
      <c r="I311" s="9">
        <v>8811.5874000000003</v>
      </c>
      <c r="J311">
        <v>9439.8739154300001</v>
      </c>
      <c r="K311">
        <v>9376.2759420000002</v>
      </c>
      <c r="L311">
        <v>9582.1211931598991</v>
      </c>
    </row>
    <row r="312" spans="1:12" x14ac:dyDescent="0.2">
      <c r="A312" s="8" t="s">
        <v>110</v>
      </c>
      <c r="B312" s="8" t="s">
        <v>89</v>
      </c>
      <c r="C312" s="8" t="s">
        <v>132</v>
      </c>
      <c r="D312" s="8" t="s">
        <v>133</v>
      </c>
      <c r="E312" s="8" t="s">
        <v>66</v>
      </c>
      <c r="F312" s="8" t="s">
        <v>67</v>
      </c>
      <c r="G312" s="8" t="s">
        <v>7</v>
      </c>
      <c r="H312" s="8" t="s">
        <v>38</v>
      </c>
      <c r="I312" s="9">
        <v>29.614139000000002</v>
      </c>
      <c r="J312">
        <v>32.077771439999999</v>
      </c>
      <c r="K312">
        <v>32.478911789999998</v>
      </c>
      <c r="L312">
        <v>29.827243894973002</v>
      </c>
    </row>
    <row r="313" spans="1:12" x14ac:dyDescent="0.2">
      <c r="A313" s="8" t="s">
        <v>110</v>
      </c>
      <c r="B313" s="8" t="s">
        <v>89</v>
      </c>
      <c r="C313" s="8" t="s">
        <v>132</v>
      </c>
      <c r="D313" s="8" t="s">
        <v>133</v>
      </c>
      <c r="E313" s="8" t="s">
        <v>45</v>
      </c>
      <c r="F313" s="8" t="s">
        <v>46</v>
      </c>
      <c r="G313" s="8" t="s">
        <v>7</v>
      </c>
      <c r="H313" s="8" t="s">
        <v>38</v>
      </c>
      <c r="I313" s="9"/>
      <c r="J313">
        <v>0.36981087000000001</v>
      </c>
      <c r="K313">
        <v>0.49514361000000001</v>
      </c>
      <c r="L313">
        <v>0.4576484488716</v>
      </c>
    </row>
    <row r="314" spans="1:12" x14ac:dyDescent="0.2">
      <c r="A314" s="8" t="s">
        <v>110</v>
      </c>
      <c r="B314" s="8" t="s">
        <v>89</v>
      </c>
      <c r="C314" s="8" t="s">
        <v>132</v>
      </c>
      <c r="D314" s="8" t="s">
        <v>133</v>
      </c>
      <c r="E314" s="8" t="s">
        <v>47</v>
      </c>
      <c r="F314" s="8" t="s">
        <v>48</v>
      </c>
      <c r="G314" s="8" t="s">
        <v>7</v>
      </c>
      <c r="H314" s="8" t="s">
        <v>38</v>
      </c>
      <c r="I314" s="9">
        <v>82.915744000000004</v>
      </c>
      <c r="J314">
        <v>126.99369903</v>
      </c>
      <c r="K314">
        <v>195.57592098000001</v>
      </c>
      <c r="L314">
        <v>222.71154552326001</v>
      </c>
    </row>
    <row r="315" spans="1:12" x14ac:dyDescent="0.2">
      <c r="A315" s="8" t="s">
        <v>110</v>
      </c>
      <c r="B315" s="8" t="s">
        <v>89</v>
      </c>
      <c r="C315" s="8" t="s">
        <v>132</v>
      </c>
      <c r="D315" s="8" t="s">
        <v>133</v>
      </c>
      <c r="E315" s="8" t="s">
        <v>49</v>
      </c>
      <c r="F315" s="8" t="s">
        <v>50</v>
      </c>
      <c r="G315" s="8" t="s">
        <v>7</v>
      </c>
      <c r="H315" s="8" t="s">
        <v>38</v>
      </c>
      <c r="I315" s="9">
        <v>1392.6233999999999</v>
      </c>
      <c r="J315">
        <v>1676.10270913</v>
      </c>
      <c r="K315">
        <v>1236.20240618</v>
      </c>
      <c r="L315">
        <v>1022.5197199715</v>
      </c>
    </row>
    <row r="316" spans="1:12" x14ac:dyDescent="0.2">
      <c r="A316" s="8" t="s">
        <v>110</v>
      </c>
      <c r="B316" s="8" t="s">
        <v>89</v>
      </c>
      <c r="C316" s="8" t="s">
        <v>132</v>
      </c>
      <c r="D316" s="8" t="s">
        <v>133</v>
      </c>
      <c r="E316" s="8" t="s">
        <v>51</v>
      </c>
      <c r="F316" s="8" t="s">
        <v>52</v>
      </c>
      <c r="G316" s="8" t="s">
        <v>7</v>
      </c>
      <c r="H316" s="8" t="s">
        <v>38</v>
      </c>
      <c r="I316" s="9">
        <v>18.96611</v>
      </c>
      <c r="J316">
        <v>27.47168138</v>
      </c>
      <c r="K316">
        <v>31.788044209999999</v>
      </c>
      <c r="L316">
        <v>31.652852440705001</v>
      </c>
    </row>
    <row r="317" spans="1:12" x14ac:dyDescent="0.2">
      <c r="A317" s="8" t="s">
        <v>110</v>
      </c>
      <c r="B317" s="8" t="s">
        <v>89</v>
      </c>
      <c r="C317" s="8" t="s">
        <v>132</v>
      </c>
      <c r="D317" s="8" t="s">
        <v>133</v>
      </c>
      <c r="E317" s="8" t="s">
        <v>68</v>
      </c>
      <c r="F317" s="8" t="s">
        <v>69</v>
      </c>
      <c r="G317" s="8" t="s">
        <v>7</v>
      </c>
      <c r="H317" s="8" t="s">
        <v>38</v>
      </c>
      <c r="I317" s="9">
        <v>1069.3648000000001</v>
      </c>
      <c r="J317">
        <v>1568.3507302546</v>
      </c>
      <c r="K317">
        <v>1170.4759382699999</v>
      </c>
      <c r="L317">
        <v>1099.7291242423</v>
      </c>
    </row>
    <row r="318" spans="1:12" x14ac:dyDescent="0.2">
      <c r="A318" s="8" t="s">
        <v>110</v>
      </c>
      <c r="B318" s="8" t="s">
        <v>89</v>
      </c>
      <c r="C318" s="8" t="s">
        <v>132</v>
      </c>
      <c r="D318" s="8" t="s">
        <v>133</v>
      </c>
      <c r="E318" s="8" t="s">
        <v>53</v>
      </c>
      <c r="F318" s="8" t="s">
        <v>54</v>
      </c>
      <c r="G318" s="8" t="s">
        <v>7</v>
      </c>
      <c r="H318" s="8" t="s">
        <v>38</v>
      </c>
      <c r="I318" s="9">
        <v>39.160772000000001</v>
      </c>
      <c r="J318">
        <v>49.771777000100997</v>
      </c>
      <c r="K318">
        <v>104.02990753340001</v>
      </c>
      <c r="L318">
        <v>47.932786316281003</v>
      </c>
    </row>
    <row r="319" spans="1:12" x14ac:dyDescent="0.2">
      <c r="A319" s="8" t="s">
        <v>110</v>
      </c>
      <c r="B319" s="8" t="s">
        <v>89</v>
      </c>
      <c r="C319" s="8" t="s">
        <v>132</v>
      </c>
      <c r="D319" s="8" t="s">
        <v>133</v>
      </c>
      <c r="E319" s="8" t="s">
        <v>70</v>
      </c>
      <c r="F319" s="8" t="s">
        <v>71</v>
      </c>
      <c r="G319" s="8" t="s">
        <v>7</v>
      </c>
      <c r="H319" s="8" t="s">
        <v>38</v>
      </c>
      <c r="I319" s="9">
        <v>1039.9358</v>
      </c>
      <c r="J319">
        <v>1042.0601642939</v>
      </c>
      <c r="K319">
        <v>1022.6754352447</v>
      </c>
      <c r="L319">
        <v>1021.5217166001</v>
      </c>
    </row>
    <row r="320" spans="1:12" x14ac:dyDescent="0.2">
      <c r="A320" s="8" t="s">
        <v>110</v>
      </c>
      <c r="B320" s="8" t="s">
        <v>89</v>
      </c>
      <c r="C320" s="8" t="s">
        <v>132</v>
      </c>
      <c r="D320" s="8" t="s">
        <v>133</v>
      </c>
      <c r="E320" s="8" t="s">
        <v>83</v>
      </c>
      <c r="F320" s="8" t="s">
        <v>84</v>
      </c>
      <c r="G320" s="8" t="s">
        <v>7</v>
      </c>
      <c r="H320" s="8" t="s">
        <v>38</v>
      </c>
      <c r="I320" s="9">
        <v>958.5</v>
      </c>
      <c r="J320">
        <v>1140.75</v>
      </c>
      <c r="K320">
        <v>1062</v>
      </c>
      <c r="L320">
        <v>981</v>
      </c>
    </row>
    <row r="321" spans="1:12" x14ac:dyDescent="0.2">
      <c r="A321" s="8" t="s">
        <v>110</v>
      </c>
      <c r="B321" s="8" t="s">
        <v>89</v>
      </c>
      <c r="C321" s="8" t="s">
        <v>132</v>
      </c>
      <c r="D321" s="8" t="s">
        <v>133</v>
      </c>
      <c r="E321" s="8" t="s">
        <v>55</v>
      </c>
      <c r="F321" s="8" t="s">
        <v>56</v>
      </c>
      <c r="G321" s="8" t="s">
        <v>7</v>
      </c>
      <c r="H321" s="8" t="s">
        <v>38</v>
      </c>
      <c r="I321" s="9">
        <v>88.955783999999994</v>
      </c>
      <c r="J321">
        <v>87.817296013226994</v>
      </c>
      <c r="K321">
        <v>87.817296013226994</v>
      </c>
      <c r="L321">
        <v>87.817296013226994</v>
      </c>
    </row>
    <row r="322" spans="1:12" x14ac:dyDescent="0.2">
      <c r="A322" s="8" t="s">
        <v>110</v>
      </c>
      <c r="B322" s="8" t="s">
        <v>89</v>
      </c>
      <c r="C322" s="8" t="s">
        <v>132</v>
      </c>
      <c r="D322" s="8" t="s">
        <v>133</v>
      </c>
      <c r="E322" s="8" t="s">
        <v>57</v>
      </c>
      <c r="F322" s="8" t="s">
        <v>58</v>
      </c>
      <c r="G322" s="8" t="s">
        <v>7</v>
      </c>
      <c r="H322" s="8" t="s">
        <v>38</v>
      </c>
      <c r="I322" s="9">
        <v>762.12815999999998</v>
      </c>
      <c r="J322">
        <v>752.37416900231995</v>
      </c>
      <c r="K322">
        <v>752.37416900231995</v>
      </c>
      <c r="L322">
        <v>752.37416900231995</v>
      </c>
    </row>
    <row r="323" spans="1:12" x14ac:dyDescent="0.2">
      <c r="A323" s="8" t="s">
        <v>110</v>
      </c>
      <c r="B323" s="8" t="s">
        <v>89</v>
      </c>
      <c r="C323" s="8" t="s">
        <v>132</v>
      </c>
      <c r="D323" s="8" t="s">
        <v>133</v>
      </c>
      <c r="E323" s="8" t="s">
        <v>72</v>
      </c>
      <c r="F323" s="8" t="s">
        <v>73</v>
      </c>
      <c r="G323" s="8" t="s">
        <v>7</v>
      </c>
      <c r="H323" s="8" t="s">
        <v>38</v>
      </c>
      <c r="I323" s="9">
        <v>1374.04</v>
      </c>
      <c r="J323">
        <v>1603.0677949646999</v>
      </c>
      <c r="K323">
        <v>1473.0315394053</v>
      </c>
      <c r="L323">
        <v>1207.8030034123999</v>
      </c>
    </row>
    <row r="324" spans="1:12" x14ac:dyDescent="0.2">
      <c r="A324" s="8" t="s">
        <v>110</v>
      </c>
      <c r="B324" s="8" t="s">
        <v>89</v>
      </c>
      <c r="C324" s="8" t="s">
        <v>132</v>
      </c>
      <c r="D324" s="8" t="s">
        <v>133</v>
      </c>
      <c r="E324" s="8" t="s">
        <v>74</v>
      </c>
      <c r="F324" s="8" t="s">
        <v>75</v>
      </c>
      <c r="G324" s="8" t="s">
        <v>7</v>
      </c>
      <c r="H324" s="8" t="s">
        <v>38</v>
      </c>
      <c r="I324" s="9">
        <v>19.71874</v>
      </c>
      <c r="J324">
        <v>22.257792720000001</v>
      </c>
      <c r="K324">
        <v>19.617058</v>
      </c>
      <c r="L324">
        <v>19.908181981420999</v>
      </c>
    </row>
    <row r="325" spans="1:12" x14ac:dyDescent="0.2">
      <c r="A325" s="8" t="s">
        <v>110</v>
      </c>
      <c r="B325" s="8" t="s">
        <v>89</v>
      </c>
      <c r="C325" s="8" t="s">
        <v>132</v>
      </c>
      <c r="D325" s="8" t="s">
        <v>133</v>
      </c>
      <c r="E325" s="8" t="s">
        <v>59</v>
      </c>
      <c r="F325" s="8" t="s">
        <v>60</v>
      </c>
      <c r="G325" s="8" t="s">
        <v>7</v>
      </c>
      <c r="H325" s="8" t="s">
        <v>38</v>
      </c>
      <c r="I325" s="9">
        <v>68.458201000000003</v>
      </c>
      <c r="J325">
        <v>71.920658141980994</v>
      </c>
      <c r="K325">
        <v>71.293867003729005</v>
      </c>
      <c r="L325">
        <v>66.735431320694005</v>
      </c>
    </row>
    <row r="326" spans="1:12" x14ac:dyDescent="0.2">
      <c r="A326" s="8" t="s">
        <v>110</v>
      </c>
      <c r="B326" s="8" t="s">
        <v>89</v>
      </c>
      <c r="C326" s="8" t="s">
        <v>132</v>
      </c>
      <c r="D326" s="8" t="s">
        <v>133</v>
      </c>
      <c r="E326" s="8" t="s">
        <v>76</v>
      </c>
      <c r="F326" s="8" t="s">
        <v>77</v>
      </c>
      <c r="G326" s="8" t="s">
        <v>7</v>
      </c>
      <c r="H326" s="8" t="s">
        <v>38</v>
      </c>
      <c r="I326" s="9">
        <v>707.24761999999998</v>
      </c>
      <c r="J326">
        <v>691.74285716249994</v>
      </c>
      <c r="K326">
        <v>692.37142859107996</v>
      </c>
      <c r="L326">
        <v>639.56343827480998</v>
      </c>
    </row>
    <row r="327" spans="1:12" x14ac:dyDescent="0.2">
      <c r="A327" s="8" t="s">
        <v>110</v>
      </c>
      <c r="B327" s="8" t="s">
        <v>89</v>
      </c>
      <c r="C327" s="8" t="s">
        <v>132</v>
      </c>
      <c r="D327" s="8" t="s">
        <v>133</v>
      </c>
      <c r="E327" s="8" t="s">
        <v>78</v>
      </c>
      <c r="F327" s="8" t="s">
        <v>79</v>
      </c>
      <c r="G327" s="8" t="s">
        <v>7</v>
      </c>
      <c r="H327" s="8" t="s">
        <v>38</v>
      </c>
      <c r="I327" s="9">
        <v>164.84282999999999</v>
      </c>
      <c r="J327">
        <v>153.99997200000001</v>
      </c>
      <c r="K327">
        <v>154.15711482857</v>
      </c>
      <c r="L327">
        <v>153.74854347428999</v>
      </c>
    </row>
    <row r="328" spans="1:12" x14ac:dyDescent="0.2">
      <c r="A328" s="8" t="s">
        <v>110</v>
      </c>
      <c r="B328" s="8" t="s">
        <v>89</v>
      </c>
      <c r="C328" s="8" t="s">
        <v>132</v>
      </c>
      <c r="D328" s="8" t="s">
        <v>133</v>
      </c>
      <c r="E328" s="8" t="s">
        <v>92</v>
      </c>
      <c r="F328" s="8" t="s">
        <v>93</v>
      </c>
      <c r="G328" s="8" t="s">
        <v>7</v>
      </c>
      <c r="H328" s="8" t="s">
        <v>38</v>
      </c>
      <c r="I328" s="9">
        <v>71.800439999999995</v>
      </c>
      <c r="J328">
        <v>2.4628194310799998</v>
      </c>
      <c r="K328">
        <v>2.165520732159</v>
      </c>
      <c r="L328">
        <v>0.92037586845719999</v>
      </c>
    </row>
    <row r="329" spans="1:12" x14ac:dyDescent="0.2">
      <c r="A329" s="8" t="s">
        <v>32</v>
      </c>
      <c r="B329" s="8" t="s">
        <v>96</v>
      </c>
      <c r="C329" s="8" t="s">
        <v>134</v>
      </c>
      <c r="D329" s="8" t="s">
        <v>135</v>
      </c>
      <c r="E329" s="8" t="s">
        <v>36</v>
      </c>
      <c r="F329" s="8" t="s">
        <v>37</v>
      </c>
      <c r="G329" s="8" t="s">
        <v>7</v>
      </c>
      <c r="H329" s="8" t="s">
        <v>38</v>
      </c>
      <c r="I329" s="9">
        <v>23311.804</v>
      </c>
      <c r="J329">
        <v>23721.044668890001</v>
      </c>
      <c r="K329">
        <v>24881.15246763</v>
      </c>
      <c r="L329">
        <v>24640.103267607999</v>
      </c>
    </row>
    <row r="330" spans="1:12" x14ac:dyDescent="0.2">
      <c r="A330" s="8" t="s">
        <v>32</v>
      </c>
      <c r="B330" s="8" t="s">
        <v>96</v>
      </c>
      <c r="C330" s="8" t="s">
        <v>134</v>
      </c>
      <c r="D330" s="8" t="s">
        <v>135</v>
      </c>
      <c r="E330" s="8" t="s">
        <v>64</v>
      </c>
      <c r="F330" s="8" t="s">
        <v>65</v>
      </c>
      <c r="G330" s="8" t="s">
        <v>7</v>
      </c>
      <c r="H330" s="8" t="s">
        <v>38</v>
      </c>
      <c r="I330" s="9">
        <v>3152.2278000000001</v>
      </c>
      <c r="J330">
        <v>3070.3171666799999</v>
      </c>
      <c r="K330">
        <v>3235.6832065799999</v>
      </c>
      <c r="L330">
        <v>3200.3081635113999</v>
      </c>
    </row>
    <row r="331" spans="1:12" x14ac:dyDescent="0.2">
      <c r="A331" s="8" t="s">
        <v>32</v>
      </c>
      <c r="B331" s="8" t="s">
        <v>96</v>
      </c>
      <c r="C331" s="8" t="s">
        <v>134</v>
      </c>
      <c r="D331" s="8" t="s">
        <v>135</v>
      </c>
      <c r="E331" s="8" t="s">
        <v>39</v>
      </c>
      <c r="F331" s="8" t="s">
        <v>40</v>
      </c>
      <c r="G331" s="8" t="s">
        <v>7</v>
      </c>
      <c r="H331" s="8" t="s">
        <v>38</v>
      </c>
      <c r="I331" s="9">
        <v>2116.5598</v>
      </c>
      <c r="J331">
        <v>2278.7868582599999</v>
      </c>
      <c r="K331">
        <v>2239.9154768100002</v>
      </c>
      <c r="L331">
        <v>2218.2102156248998</v>
      </c>
    </row>
    <row r="332" spans="1:12" x14ac:dyDescent="0.2">
      <c r="A332" s="8" t="s">
        <v>32</v>
      </c>
      <c r="B332" s="8" t="s">
        <v>96</v>
      </c>
      <c r="C332" s="8" t="s">
        <v>134</v>
      </c>
      <c r="D332" s="8" t="s">
        <v>135</v>
      </c>
      <c r="E332" s="8" t="s">
        <v>41</v>
      </c>
      <c r="F332" s="8" t="s">
        <v>42</v>
      </c>
      <c r="G332" s="8" t="s">
        <v>7</v>
      </c>
      <c r="H332" s="8" t="s">
        <v>38</v>
      </c>
      <c r="I332" s="9">
        <v>83.224018999999998</v>
      </c>
      <c r="J332">
        <v>79.221921350000002</v>
      </c>
      <c r="K332">
        <v>73.220433</v>
      </c>
      <c r="L332">
        <v>80.746599074735997</v>
      </c>
    </row>
    <row r="333" spans="1:12" x14ac:dyDescent="0.2">
      <c r="A333" s="8" t="s">
        <v>32</v>
      </c>
      <c r="B333" s="8" t="s">
        <v>96</v>
      </c>
      <c r="C333" s="8" t="s">
        <v>134</v>
      </c>
      <c r="D333" s="8" t="s">
        <v>135</v>
      </c>
      <c r="E333" s="8" t="s">
        <v>43</v>
      </c>
      <c r="F333" s="8" t="s">
        <v>44</v>
      </c>
      <c r="G333" s="8" t="s">
        <v>7</v>
      </c>
      <c r="H333" s="8" t="s">
        <v>38</v>
      </c>
      <c r="I333" s="9">
        <v>3210.8427000000001</v>
      </c>
      <c r="J333">
        <v>3423.44646444</v>
      </c>
      <c r="K333">
        <v>3722.22718515</v>
      </c>
      <c r="L333">
        <v>3764.4303458981999</v>
      </c>
    </row>
    <row r="334" spans="1:12" x14ac:dyDescent="0.2">
      <c r="A334" s="8" t="s">
        <v>32</v>
      </c>
      <c r="B334" s="8" t="s">
        <v>96</v>
      </c>
      <c r="C334" s="8" t="s">
        <v>134</v>
      </c>
      <c r="D334" s="8" t="s">
        <v>135</v>
      </c>
      <c r="E334" s="8" t="s">
        <v>49</v>
      </c>
      <c r="F334" s="8" t="s">
        <v>50</v>
      </c>
      <c r="G334" s="8" t="s">
        <v>7</v>
      </c>
      <c r="H334" s="8" t="s">
        <v>38</v>
      </c>
      <c r="I334" s="9">
        <v>248.59073000000001</v>
      </c>
      <c r="J334">
        <v>244.14655562999999</v>
      </c>
      <c r="K334">
        <v>259.58876463000001</v>
      </c>
      <c r="L334">
        <v>262.53202032536001</v>
      </c>
    </row>
    <row r="335" spans="1:12" x14ac:dyDescent="0.2">
      <c r="A335" s="8" t="s">
        <v>32</v>
      </c>
      <c r="B335" s="8" t="s">
        <v>96</v>
      </c>
      <c r="C335" s="8" t="s">
        <v>134</v>
      </c>
      <c r="D335" s="8" t="s">
        <v>135</v>
      </c>
      <c r="E335" s="8" t="s">
        <v>53</v>
      </c>
      <c r="F335" s="8" t="s">
        <v>54</v>
      </c>
      <c r="G335" s="8" t="s">
        <v>7</v>
      </c>
      <c r="H335" s="8" t="s">
        <v>38</v>
      </c>
      <c r="I335" s="9">
        <v>896.84191999999996</v>
      </c>
      <c r="J335">
        <v>660.79854802177999</v>
      </c>
      <c r="K335">
        <v>504.94642954901002</v>
      </c>
      <c r="L335">
        <v>499.94360315211998</v>
      </c>
    </row>
    <row r="336" spans="1:12" x14ac:dyDescent="0.2">
      <c r="A336" s="8" t="s">
        <v>32</v>
      </c>
      <c r="B336" s="8" t="s">
        <v>96</v>
      </c>
      <c r="C336" s="8" t="s">
        <v>134</v>
      </c>
      <c r="D336" s="8" t="s">
        <v>135</v>
      </c>
      <c r="E336" s="8" t="s">
        <v>70</v>
      </c>
      <c r="F336" s="8" t="s">
        <v>71</v>
      </c>
      <c r="G336" s="8" t="s">
        <v>7</v>
      </c>
      <c r="H336" s="8" t="s">
        <v>38</v>
      </c>
      <c r="I336" s="9">
        <v>271.61196999999999</v>
      </c>
      <c r="J336">
        <v>315.24798745200002</v>
      </c>
      <c r="K336">
        <v>356.21241520000001</v>
      </c>
      <c r="L336">
        <v>355.81055856914998</v>
      </c>
    </row>
    <row r="337" spans="1:12" x14ac:dyDescent="0.2">
      <c r="A337" s="8" t="s">
        <v>32</v>
      </c>
      <c r="B337" s="8" t="s">
        <v>96</v>
      </c>
      <c r="C337" s="8" t="s">
        <v>134</v>
      </c>
      <c r="D337" s="8" t="s">
        <v>135</v>
      </c>
      <c r="E337" s="8" t="s">
        <v>55</v>
      </c>
      <c r="F337" s="8" t="s">
        <v>56</v>
      </c>
      <c r="G337" s="8" t="s">
        <v>7</v>
      </c>
      <c r="H337" s="8" t="s">
        <v>38</v>
      </c>
      <c r="I337" s="9">
        <v>6.6256099999999998E-2</v>
      </c>
      <c r="J337">
        <v>7.4208565347350999E-2</v>
      </c>
      <c r="K337">
        <v>7.4208565347350999E-2</v>
      </c>
      <c r="L337">
        <v>7.4208565347350999E-2</v>
      </c>
    </row>
    <row r="338" spans="1:12" x14ac:dyDescent="0.2">
      <c r="A338" s="8" t="s">
        <v>32</v>
      </c>
      <c r="B338" s="8" t="s">
        <v>96</v>
      </c>
      <c r="C338" s="8" t="s">
        <v>134</v>
      </c>
      <c r="D338" s="8" t="s">
        <v>135</v>
      </c>
      <c r="E338" s="8" t="s">
        <v>57</v>
      </c>
      <c r="F338" s="8" t="s">
        <v>58</v>
      </c>
      <c r="G338" s="8" t="s">
        <v>7</v>
      </c>
      <c r="H338" s="8" t="s">
        <v>38</v>
      </c>
      <c r="I338" s="9"/>
    </row>
    <row r="339" spans="1:12" x14ac:dyDescent="0.2">
      <c r="A339" s="8" t="s">
        <v>32</v>
      </c>
      <c r="B339" s="8" t="s">
        <v>96</v>
      </c>
      <c r="C339" s="8" t="s">
        <v>134</v>
      </c>
      <c r="D339" s="8" t="s">
        <v>135</v>
      </c>
      <c r="E339" s="8" t="s">
        <v>72</v>
      </c>
      <c r="F339" s="8" t="s">
        <v>73</v>
      </c>
      <c r="G339" s="8" t="s">
        <v>7</v>
      </c>
      <c r="H339" s="8" t="s">
        <v>38</v>
      </c>
      <c r="I339" s="9">
        <v>1061.8362999999999</v>
      </c>
      <c r="J339">
        <v>1057.0169439056001</v>
      </c>
      <c r="K339">
        <v>987.64893834556005</v>
      </c>
      <c r="L339">
        <v>1064.9336174056</v>
      </c>
    </row>
    <row r="340" spans="1:12" x14ac:dyDescent="0.2">
      <c r="A340" s="8" t="s">
        <v>32</v>
      </c>
      <c r="B340" s="8" t="s">
        <v>96</v>
      </c>
      <c r="C340" s="8" t="s">
        <v>134</v>
      </c>
      <c r="D340" s="8" t="s">
        <v>135</v>
      </c>
      <c r="E340" s="8" t="s">
        <v>74</v>
      </c>
      <c r="F340" s="8" t="s">
        <v>75</v>
      </c>
      <c r="G340" s="8" t="s">
        <v>7</v>
      </c>
      <c r="H340" s="8" t="s">
        <v>38</v>
      </c>
      <c r="I340" s="9">
        <v>2476.8000000000002</v>
      </c>
      <c r="J340">
        <v>2497.9551999999999</v>
      </c>
      <c r="K340">
        <v>2560.1776</v>
      </c>
      <c r="L340">
        <v>2592</v>
      </c>
    </row>
    <row r="341" spans="1:12" x14ac:dyDescent="0.2">
      <c r="A341" s="8" t="s">
        <v>32</v>
      </c>
      <c r="B341" s="8" t="s">
        <v>96</v>
      </c>
      <c r="C341" s="8" t="s">
        <v>134</v>
      </c>
      <c r="D341" s="8" t="s">
        <v>135</v>
      </c>
      <c r="E341" s="8" t="s">
        <v>59</v>
      </c>
      <c r="F341" s="8" t="s">
        <v>60</v>
      </c>
      <c r="G341" s="8" t="s">
        <v>7</v>
      </c>
      <c r="H341" s="8" t="s">
        <v>38</v>
      </c>
      <c r="I341" s="9">
        <v>9.7512896999999992</v>
      </c>
      <c r="J341">
        <v>9.7915337480904991</v>
      </c>
      <c r="K341">
        <v>9.8362495447558995</v>
      </c>
      <c r="L341">
        <v>9.8701819450252994</v>
      </c>
    </row>
    <row r="342" spans="1:12" x14ac:dyDescent="0.2">
      <c r="A342" s="8" t="s">
        <v>32</v>
      </c>
      <c r="B342" s="8" t="s">
        <v>33</v>
      </c>
      <c r="C342" s="8" t="s">
        <v>136</v>
      </c>
      <c r="D342" s="8" t="s">
        <v>137</v>
      </c>
      <c r="E342" s="8" t="s">
        <v>36</v>
      </c>
      <c r="F342" s="8" t="s">
        <v>37</v>
      </c>
      <c r="G342" s="8" t="s">
        <v>7</v>
      </c>
      <c r="H342" s="8" t="s">
        <v>38</v>
      </c>
      <c r="I342" s="9">
        <v>603.16972999999996</v>
      </c>
      <c r="J342">
        <v>731.50103930215005</v>
      </c>
      <c r="K342">
        <v>711.35312335572996</v>
      </c>
      <c r="L342">
        <v>709.92505403850998</v>
      </c>
    </row>
    <row r="343" spans="1:12" x14ac:dyDescent="0.2">
      <c r="A343" s="8" t="s">
        <v>32</v>
      </c>
      <c r="B343" s="8" t="s">
        <v>33</v>
      </c>
      <c r="C343" s="8" t="s">
        <v>136</v>
      </c>
      <c r="D343" s="8" t="s">
        <v>137</v>
      </c>
      <c r="E343" s="8" t="s">
        <v>64</v>
      </c>
      <c r="F343" s="8" t="s">
        <v>65</v>
      </c>
      <c r="G343" s="8" t="s">
        <v>7</v>
      </c>
      <c r="H343" s="8" t="s">
        <v>38</v>
      </c>
      <c r="I343" s="9">
        <v>4.0243300000000003E-2</v>
      </c>
      <c r="J343">
        <v>4.9760824147641998E-2</v>
      </c>
      <c r="K343">
        <v>7.5338082374487997E-2</v>
      </c>
      <c r="L343">
        <v>8.5943755055699997E-2</v>
      </c>
    </row>
    <row r="344" spans="1:12" x14ac:dyDescent="0.2">
      <c r="A344" s="8" t="s">
        <v>32</v>
      </c>
      <c r="B344" s="8" t="s">
        <v>33</v>
      </c>
      <c r="C344" s="8" t="s">
        <v>136</v>
      </c>
      <c r="D344" s="8" t="s">
        <v>137</v>
      </c>
      <c r="E344" s="8" t="s">
        <v>39</v>
      </c>
      <c r="F344" s="8" t="s">
        <v>40</v>
      </c>
      <c r="G344" s="8" t="s">
        <v>7</v>
      </c>
      <c r="H344" s="8" t="s">
        <v>38</v>
      </c>
      <c r="I344" s="9">
        <v>68.784952000000004</v>
      </c>
      <c r="J344">
        <v>98.901904109490999</v>
      </c>
      <c r="K344">
        <v>96.178333882182002</v>
      </c>
      <c r="L344">
        <v>95.985017962732002</v>
      </c>
    </row>
    <row r="345" spans="1:12" x14ac:dyDescent="0.2">
      <c r="A345" s="8" t="s">
        <v>32</v>
      </c>
      <c r="B345" s="8" t="s">
        <v>33</v>
      </c>
      <c r="C345" s="8" t="s">
        <v>136</v>
      </c>
      <c r="D345" s="8" t="s">
        <v>137</v>
      </c>
      <c r="E345" s="8" t="s">
        <v>41</v>
      </c>
      <c r="F345" s="8" t="s">
        <v>42</v>
      </c>
      <c r="G345" s="8" t="s">
        <v>7</v>
      </c>
      <c r="H345" s="8" t="s">
        <v>38</v>
      </c>
      <c r="I345" s="9">
        <v>29.0443</v>
      </c>
      <c r="J345">
        <v>36.059439457307001</v>
      </c>
      <c r="K345">
        <v>35.065126598475999</v>
      </c>
      <c r="L345">
        <v>40.036289591585003</v>
      </c>
    </row>
    <row r="346" spans="1:12" x14ac:dyDescent="0.2">
      <c r="A346" s="8" t="s">
        <v>32</v>
      </c>
      <c r="B346" s="8" t="s">
        <v>33</v>
      </c>
      <c r="C346" s="8" t="s">
        <v>136</v>
      </c>
      <c r="D346" s="8" t="s">
        <v>137</v>
      </c>
      <c r="E346" s="8" t="s">
        <v>43</v>
      </c>
      <c r="F346" s="8" t="s">
        <v>44</v>
      </c>
      <c r="G346" s="8" t="s">
        <v>7</v>
      </c>
      <c r="H346" s="8" t="s">
        <v>38</v>
      </c>
      <c r="I346" s="9">
        <v>332.47041000000002</v>
      </c>
      <c r="J346">
        <v>413.71569924695001</v>
      </c>
      <c r="K346">
        <v>402.30843988729998</v>
      </c>
      <c r="L346">
        <v>401.49381072776998</v>
      </c>
    </row>
    <row r="347" spans="1:12" x14ac:dyDescent="0.2">
      <c r="A347" s="8" t="s">
        <v>32</v>
      </c>
      <c r="B347" s="8" t="s">
        <v>33</v>
      </c>
      <c r="C347" s="8" t="s">
        <v>136</v>
      </c>
      <c r="D347" s="8" t="s">
        <v>137</v>
      </c>
      <c r="E347" s="8" t="s">
        <v>45</v>
      </c>
      <c r="F347" s="8" t="s">
        <v>46</v>
      </c>
      <c r="G347" s="8" t="s">
        <v>7</v>
      </c>
      <c r="H347" s="8" t="s">
        <v>38</v>
      </c>
      <c r="I347" s="9">
        <v>25.547163999999999</v>
      </c>
      <c r="J347">
        <v>30.923890200856</v>
      </c>
      <c r="K347">
        <v>30.071471321497</v>
      </c>
      <c r="L347">
        <v>32.044819922137997</v>
      </c>
    </row>
    <row r="348" spans="1:12" x14ac:dyDescent="0.2">
      <c r="A348" s="8" t="s">
        <v>32</v>
      </c>
      <c r="B348" s="8" t="s">
        <v>33</v>
      </c>
      <c r="C348" s="8" t="s">
        <v>136</v>
      </c>
      <c r="D348" s="8" t="s">
        <v>137</v>
      </c>
      <c r="E348" s="8" t="s">
        <v>47</v>
      </c>
      <c r="F348" s="8" t="s">
        <v>48</v>
      </c>
      <c r="G348" s="8" t="s">
        <v>7</v>
      </c>
      <c r="H348" s="8" t="s">
        <v>38</v>
      </c>
      <c r="I348" s="9">
        <v>10.970476</v>
      </c>
      <c r="J348">
        <v>12.477956255836</v>
      </c>
      <c r="K348">
        <v>12.134120834429</v>
      </c>
      <c r="L348">
        <v>12.109550610001</v>
      </c>
    </row>
    <row r="349" spans="1:12" x14ac:dyDescent="0.2">
      <c r="A349" s="8" t="s">
        <v>32</v>
      </c>
      <c r="B349" s="8" t="s">
        <v>33</v>
      </c>
      <c r="C349" s="8" t="s">
        <v>136</v>
      </c>
      <c r="D349" s="8" t="s">
        <v>137</v>
      </c>
      <c r="E349" s="8" t="s">
        <v>49</v>
      </c>
      <c r="F349" s="8" t="s">
        <v>50</v>
      </c>
      <c r="G349" s="8" t="s">
        <v>7</v>
      </c>
      <c r="H349" s="8" t="s">
        <v>38</v>
      </c>
      <c r="I349" s="9">
        <v>91.510203000000004</v>
      </c>
      <c r="J349">
        <v>110.60773427293</v>
      </c>
      <c r="K349">
        <v>104.09368642642001</v>
      </c>
      <c r="L349">
        <v>103.90322056911999</v>
      </c>
    </row>
    <row r="350" spans="1:12" x14ac:dyDescent="0.2">
      <c r="A350" s="8" t="s">
        <v>32</v>
      </c>
      <c r="B350" s="8" t="s">
        <v>33</v>
      </c>
      <c r="C350" s="8" t="s">
        <v>136</v>
      </c>
      <c r="D350" s="8" t="s">
        <v>137</v>
      </c>
      <c r="E350" s="8" t="s">
        <v>51</v>
      </c>
      <c r="F350" s="8" t="s">
        <v>52</v>
      </c>
      <c r="G350" s="8" t="s">
        <v>7</v>
      </c>
      <c r="H350" s="8" t="s">
        <v>38</v>
      </c>
      <c r="I350" s="9">
        <v>7.0173448</v>
      </c>
      <c r="J350">
        <v>9.1939659417857005</v>
      </c>
      <c r="K350">
        <v>8.9403755817707005</v>
      </c>
      <c r="L350">
        <v>8.9222723308220004</v>
      </c>
    </row>
    <row r="351" spans="1:12" x14ac:dyDescent="0.2">
      <c r="A351" s="8" t="s">
        <v>32</v>
      </c>
      <c r="B351" s="8" t="s">
        <v>33</v>
      </c>
      <c r="C351" s="8" t="s">
        <v>136</v>
      </c>
      <c r="D351" s="8" t="s">
        <v>137</v>
      </c>
      <c r="E351" s="8" t="s">
        <v>53</v>
      </c>
      <c r="F351" s="8" t="s">
        <v>54</v>
      </c>
      <c r="G351" s="8" t="s">
        <v>7</v>
      </c>
      <c r="H351" s="8" t="s">
        <v>38</v>
      </c>
      <c r="I351" s="9"/>
    </row>
    <row r="352" spans="1:12" x14ac:dyDescent="0.2">
      <c r="A352" s="8" t="s">
        <v>32</v>
      </c>
      <c r="B352" s="8" t="s">
        <v>33</v>
      </c>
      <c r="C352" s="8" t="s">
        <v>136</v>
      </c>
      <c r="D352" s="8" t="s">
        <v>137</v>
      </c>
      <c r="E352" s="8" t="s">
        <v>70</v>
      </c>
      <c r="F352" s="8" t="s">
        <v>71</v>
      </c>
      <c r="G352" s="8" t="s">
        <v>7</v>
      </c>
      <c r="H352" s="8" t="s">
        <v>38</v>
      </c>
      <c r="I352" s="9"/>
    </row>
    <row r="353" spans="1:12" x14ac:dyDescent="0.2">
      <c r="A353" s="8" t="s">
        <v>32</v>
      </c>
      <c r="B353" s="8" t="s">
        <v>33</v>
      </c>
      <c r="C353" s="8" t="s">
        <v>136</v>
      </c>
      <c r="D353" s="8" t="s">
        <v>137</v>
      </c>
      <c r="E353" s="8" t="s">
        <v>83</v>
      </c>
      <c r="F353" s="8" t="s">
        <v>84</v>
      </c>
      <c r="G353" s="8" t="s">
        <v>7</v>
      </c>
      <c r="H353" s="8" t="s">
        <v>38</v>
      </c>
      <c r="I353" s="9"/>
    </row>
    <row r="354" spans="1:12" x14ac:dyDescent="0.2">
      <c r="A354" s="8" t="s">
        <v>32</v>
      </c>
      <c r="B354" s="8" t="s">
        <v>33</v>
      </c>
      <c r="C354" s="8" t="s">
        <v>136</v>
      </c>
      <c r="D354" s="8" t="s">
        <v>137</v>
      </c>
      <c r="E354" s="8" t="s">
        <v>55</v>
      </c>
      <c r="F354" s="8" t="s">
        <v>56</v>
      </c>
      <c r="G354" s="8" t="s">
        <v>7</v>
      </c>
      <c r="H354" s="8" t="s">
        <v>38</v>
      </c>
      <c r="I354" s="9">
        <v>2.0128099999999999E-2</v>
      </c>
      <c r="J354">
        <v>2.0128106868671999E-2</v>
      </c>
      <c r="K354">
        <v>2.0128106868671999E-2</v>
      </c>
      <c r="L354">
        <v>2.0128106868671999E-2</v>
      </c>
    </row>
    <row r="355" spans="1:12" x14ac:dyDescent="0.2">
      <c r="A355" s="8" t="s">
        <v>32</v>
      </c>
      <c r="B355" s="8" t="s">
        <v>33</v>
      </c>
      <c r="C355" s="8" t="s">
        <v>136</v>
      </c>
      <c r="D355" s="8" t="s">
        <v>137</v>
      </c>
      <c r="E355" s="8" t="s">
        <v>57</v>
      </c>
      <c r="F355" s="8" t="s">
        <v>58</v>
      </c>
      <c r="G355" s="8" t="s">
        <v>7</v>
      </c>
      <c r="H355" s="8" t="s">
        <v>38</v>
      </c>
      <c r="I355" s="9">
        <v>9.9310000000000002E-4</v>
      </c>
      <c r="J355">
        <v>9.9309500000000005E-4</v>
      </c>
      <c r="K355">
        <v>9.9309500000000005E-4</v>
      </c>
      <c r="L355">
        <v>9.9309500000000005E-4</v>
      </c>
    </row>
    <row r="356" spans="1:12" x14ac:dyDescent="0.2">
      <c r="A356" s="8" t="s">
        <v>32</v>
      </c>
      <c r="B356" s="8" t="s">
        <v>33</v>
      </c>
      <c r="C356" s="8" t="s">
        <v>136</v>
      </c>
      <c r="D356" s="8" t="s">
        <v>137</v>
      </c>
      <c r="E356" s="8" t="s">
        <v>59</v>
      </c>
      <c r="F356" s="8" t="s">
        <v>60</v>
      </c>
      <c r="G356" s="8" t="s">
        <v>7</v>
      </c>
      <c r="H356" s="8" t="s">
        <v>38</v>
      </c>
      <c r="I356" s="9">
        <v>3.8167833999999998</v>
      </c>
      <c r="J356">
        <v>4.4217055409362001</v>
      </c>
      <c r="K356">
        <v>4.3290643968667997</v>
      </c>
      <c r="L356">
        <v>4.3436884907120996</v>
      </c>
    </row>
    <row r="357" spans="1:12" x14ac:dyDescent="0.2">
      <c r="A357" s="8" t="s">
        <v>32</v>
      </c>
      <c r="B357" s="8" t="s">
        <v>33</v>
      </c>
      <c r="C357" s="8" t="s">
        <v>136</v>
      </c>
      <c r="D357" s="8" t="s">
        <v>137</v>
      </c>
      <c r="E357" s="8" t="s">
        <v>92</v>
      </c>
      <c r="F357" s="8" t="s">
        <v>93</v>
      </c>
      <c r="G357" s="8" t="s">
        <v>7</v>
      </c>
      <c r="H357" s="8" t="s">
        <v>38</v>
      </c>
      <c r="I357" s="9">
        <v>0.9357027</v>
      </c>
      <c r="J357">
        <v>0.94489194336165006</v>
      </c>
      <c r="K357">
        <v>0.95594331112025999</v>
      </c>
      <c r="L357">
        <v>0.96592516937183004</v>
      </c>
    </row>
    <row r="358" spans="1:12" x14ac:dyDescent="0.2">
      <c r="A358" s="8" t="s">
        <v>32</v>
      </c>
      <c r="B358" s="8" t="s">
        <v>89</v>
      </c>
      <c r="C358" s="8" t="s">
        <v>138</v>
      </c>
      <c r="D358" s="8" t="s">
        <v>139</v>
      </c>
      <c r="E358" s="8" t="s">
        <v>36</v>
      </c>
      <c r="F358" s="8" t="s">
        <v>37</v>
      </c>
      <c r="G358" s="8" t="s">
        <v>7</v>
      </c>
      <c r="H358" s="8" t="s">
        <v>38</v>
      </c>
      <c r="I358" s="9">
        <v>13823.04</v>
      </c>
      <c r="J358">
        <v>13114.407135670001</v>
      </c>
      <c r="K358">
        <v>13264.840244630001</v>
      </c>
      <c r="L358">
        <v>12126.116544932</v>
      </c>
    </row>
    <row r="359" spans="1:12" x14ac:dyDescent="0.2">
      <c r="A359" s="8" t="s">
        <v>32</v>
      </c>
      <c r="B359" s="8" t="s">
        <v>89</v>
      </c>
      <c r="C359" s="8" t="s">
        <v>138</v>
      </c>
      <c r="D359" s="8" t="s">
        <v>139</v>
      </c>
      <c r="E359" s="8" t="s">
        <v>64</v>
      </c>
      <c r="F359" s="8" t="s">
        <v>65</v>
      </c>
      <c r="G359" s="8" t="s">
        <v>7</v>
      </c>
      <c r="H359" s="8" t="s">
        <v>38</v>
      </c>
      <c r="I359" s="9">
        <v>746.78889000000004</v>
      </c>
      <c r="J359">
        <v>811.46520250000003</v>
      </c>
      <c r="K359">
        <v>812.88447517999998</v>
      </c>
      <c r="L359">
        <v>710.25942644650002</v>
      </c>
    </row>
    <row r="360" spans="1:12" x14ac:dyDescent="0.2">
      <c r="A360" s="8" t="s">
        <v>32</v>
      </c>
      <c r="B360" s="8" t="s">
        <v>89</v>
      </c>
      <c r="C360" s="8" t="s">
        <v>138</v>
      </c>
      <c r="D360" s="8" t="s">
        <v>139</v>
      </c>
      <c r="E360" s="8" t="s">
        <v>39</v>
      </c>
      <c r="F360" s="8" t="s">
        <v>40</v>
      </c>
      <c r="G360" s="8" t="s">
        <v>7</v>
      </c>
      <c r="H360" s="8" t="s">
        <v>38</v>
      </c>
      <c r="I360" s="9">
        <v>1408.2860000000001</v>
      </c>
      <c r="J360">
        <v>1649.21202563</v>
      </c>
      <c r="K360">
        <v>1601.1668589999999</v>
      </c>
      <c r="L360">
        <v>1228.4811763712</v>
      </c>
    </row>
    <row r="361" spans="1:12" x14ac:dyDescent="0.2">
      <c r="A361" s="8" t="s">
        <v>32</v>
      </c>
      <c r="B361" s="8" t="s">
        <v>89</v>
      </c>
      <c r="C361" s="8" t="s">
        <v>138</v>
      </c>
      <c r="D361" s="8" t="s">
        <v>139</v>
      </c>
      <c r="E361" s="8" t="s">
        <v>43</v>
      </c>
      <c r="F361" s="8" t="s">
        <v>44</v>
      </c>
      <c r="G361" s="8" t="s">
        <v>7</v>
      </c>
      <c r="H361" s="8" t="s">
        <v>38</v>
      </c>
      <c r="I361" s="9">
        <v>3636.2819</v>
      </c>
      <c r="J361">
        <v>4180.1605655100002</v>
      </c>
      <c r="K361">
        <v>4014.6210896100001</v>
      </c>
      <c r="L361">
        <v>4107.3597218554996</v>
      </c>
    </row>
    <row r="362" spans="1:12" x14ac:dyDescent="0.2">
      <c r="A362" s="8" t="s">
        <v>32</v>
      </c>
      <c r="B362" s="8" t="s">
        <v>89</v>
      </c>
      <c r="C362" s="8" t="s">
        <v>138</v>
      </c>
      <c r="D362" s="8" t="s">
        <v>139</v>
      </c>
      <c r="E362" s="8" t="s">
        <v>66</v>
      </c>
      <c r="F362" s="8" t="s">
        <v>67</v>
      </c>
      <c r="G362" s="8" t="s">
        <v>7</v>
      </c>
      <c r="H362" s="8" t="s">
        <v>38</v>
      </c>
      <c r="I362" s="9"/>
    </row>
    <row r="363" spans="1:12" x14ac:dyDescent="0.2">
      <c r="A363" s="8" t="s">
        <v>32</v>
      </c>
      <c r="B363" s="8" t="s">
        <v>89</v>
      </c>
      <c r="C363" s="8" t="s">
        <v>138</v>
      </c>
      <c r="D363" s="8" t="s">
        <v>139</v>
      </c>
      <c r="E363" s="8" t="s">
        <v>49</v>
      </c>
      <c r="F363" s="8" t="s">
        <v>50</v>
      </c>
      <c r="G363" s="8" t="s">
        <v>7</v>
      </c>
      <c r="H363" s="8" t="s">
        <v>38</v>
      </c>
      <c r="I363" s="9">
        <v>812.30354</v>
      </c>
      <c r="J363">
        <v>855.52262871999994</v>
      </c>
      <c r="K363">
        <v>798.36572825999997</v>
      </c>
      <c r="L363">
        <v>693.05804022114</v>
      </c>
    </row>
    <row r="364" spans="1:12" x14ac:dyDescent="0.2">
      <c r="A364" s="8" t="s">
        <v>32</v>
      </c>
      <c r="B364" s="8" t="s">
        <v>89</v>
      </c>
      <c r="C364" s="8" t="s">
        <v>138</v>
      </c>
      <c r="D364" s="8" t="s">
        <v>139</v>
      </c>
      <c r="E364" s="8" t="s">
        <v>51</v>
      </c>
      <c r="F364" s="8" t="s">
        <v>52</v>
      </c>
      <c r="G364" s="8" t="s">
        <v>7</v>
      </c>
      <c r="H364" s="8" t="s">
        <v>38</v>
      </c>
      <c r="I364" s="9">
        <v>89.374173999999996</v>
      </c>
      <c r="J364">
        <v>89.307780120000004</v>
      </c>
      <c r="K364">
        <v>108.86946134999999</v>
      </c>
      <c r="L364">
        <v>122.31691162638</v>
      </c>
    </row>
    <row r="365" spans="1:12" x14ac:dyDescent="0.2">
      <c r="A365" s="8" t="s">
        <v>32</v>
      </c>
      <c r="B365" s="8" t="s">
        <v>89</v>
      </c>
      <c r="C365" s="8" t="s">
        <v>138</v>
      </c>
      <c r="D365" s="8" t="s">
        <v>139</v>
      </c>
      <c r="E365" s="8" t="s">
        <v>68</v>
      </c>
      <c r="F365" s="8" t="s">
        <v>69</v>
      </c>
      <c r="G365" s="8" t="s">
        <v>7</v>
      </c>
      <c r="H365" s="8" t="s">
        <v>38</v>
      </c>
      <c r="I365" s="9">
        <v>424.49412000000001</v>
      </c>
      <c r="J365">
        <v>629.69083348949005</v>
      </c>
      <c r="K365">
        <v>505.52570510148001</v>
      </c>
      <c r="L365">
        <v>446.69229860588001</v>
      </c>
    </row>
    <row r="366" spans="1:12" x14ac:dyDescent="0.2">
      <c r="A366" s="8" t="s">
        <v>32</v>
      </c>
      <c r="B366" s="8" t="s">
        <v>89</v>
      </c>
      <c r="C366" s="8" t="s">
        <v>138</v>
      </c>
      <c r="D366" s="8" t="s">
        <v>139</v>
      </c>
      <c r="E366" s="8" t="s">
        <v>53</v>
      </c>
      <c r="F366" s="8" t="s">
        <v>54</v>
      </c>
      <c r="G366" s="8" t="s">
        <v>7</v>
      </c>
      <c r="H366" s="8" t="s">
        <v>38</v>
      </c>
      <c r="I366" s="9">
        <v>4.0745811999999999</v>
      </c>
      <c r="J366">
        <v>1.7098448100000001</v>
      </c>
      <c r="K366">
        <v>4.5093361500000002</v>
      </c>
      <c r="L366">
        <v>4.3578637460958998</v>
      </c>
    </row>
    <row r="367" spans="1:12" x14ac:dyDescent="0.2">
      <c r="A367" s="8" t="s">
        <v>32</v>
      </c>
      <c r="B367" s="8" t="s">
        <v>89</v>
      </c>
      <c r="C367" s="8" t="s">
        <v>138</v>
      </c>
      <c r="D367" s="8" t="s">
        <v>139</v>
      </c>
      <c r="E367" s="8" t="s">
        <v>70</v>
      </c>
      <c r="F367" s="8" t="s">
        <v>71</v>
      </c>
      <c r="G367" s="8" t="s">
        <v>7</v>
      </c>
      <c r="H367" s="8" t="s">
        <v>38</v>
      </c>
      <c r="I367" s="9">
        <v>448.60969</v>
      </c>
      <c r="J367">
        <v>437.05580181300002</v>
      </c>
      <c r="K367">
        <v>398.41002900000001</v>
      </c>
      <c r="L367">
        <v>397.960567653</v>
      </c>
    </row>
    <row r="368" spans="1:12" x14ac:dyDescent="0.2">
      <c r="A368" s="8" t="s">
        <v>32</v>
      </c>
      <c r="B368" s="8" t="s">
        <v>89</v>
      </c>
      <c r="C368" s="8" t="s">
        <v>138</v>
      </c>
      <c r="D368" s="8" t="s">
        <v>139</v>
      </c>
      <c r="E368" s="8" t="s">
        <v>83</v>
      </c>
      <c r="F368" s="8" t="s">
        <v>84</v>
      </c>
      <c r="G368" s="8" t="s">
        <v>7</v>
      </c>
      <c r="H368" s="8" t="s">
        <v>38</v>
      </c>
      <c r="I368" s="9">
        <v>375.75</v>
      </c>
      <c r="J368">
        <v>430.5</v>
      </c>
      <c r="K368">
        <v>472.5</v>
      </c>
      <c r="L368">
        <v>472.5</v>
      </c>
    </row>
    <row r="369" spans="1:12" x14ac:dyDescent="0.2">
      <c r="A369" s="8" t="s">
        <v>32</v>
      </c>
      <c r="B369" s="8" t="s">
        <v>89</v>
      </c>
      <c r="C369" s="8" t="s">
        <v>138</v>
      </c>
      <c r="D369" s="8" t="s">
        <v>139</v>
      </c>
      <c r="E369" s="8" t="s">
        <v>55</v>
      </c>
      <c r="F369" s="8" t="s">
        <v>56</v>
      </c>
      <c r="G369" s="8" t="s">
        <v>7</v>
      </c>
      <c r="H369" s="8" t="s">
        <v>38</v>
      </c>
      <c r="I369" s="9">
        <v>0.22440979999999999</v>
      </c>
      <c r="J369">
        <v>0.25134478727694998</v>
      </c>
      <c r="K369">
        <v>0.25134478727694998</v>
      </c>
      <c r="L369">
        <v>0.25134478727694998</v>
      </c>
    </row>
    <row r="370" spans="1:12" x14ac:dyDescent="0.2">
      <c r="A370" s="8" t="s">
        <v>32</v>
      </c>
      <c r="B370" s="8" t="s">
        <v>89</v>
      </c>
      <c r="C370" s="8" t="s">
        <v>138</v>
      </c>
      <c r="D370" s="8" t="s">
        <v>139</v>
      </c>
      <c r="E370" s="8" t="s">
        <v>57</v>
      </c>
      <c r="F370" s="8" t="s">
        <v>58</v>
      </c>
      <c r="G370" s="8" t="s">
        <v>7</v>
      </c>
      <c r="H370" s="8" t="s">
        <v>38</v>
      </c>
      <c r="I370" s="9">
        <v>31.480837999999999</v>
      </c>
      <c r="J370">
        <v>35.259354577658002</v>
      </c>
      <c r="K370">
        <v>35.259354577658002</v>
      </c>
      <c r="L370">
        <v>35.259354577658002</v>
      </c>
    </row>
    <row r="371" spans="1:12" x14ac:dyDescent="0.2">
      <c r="A371" s="8" t="s">
        <v>32</v>
      </c>
      <c r="B371" s="8" t="s">
        <v>89</v>
      </c>
      <c r="C371" s="8" t="s">
        <v>138</v>
      </c>
      <c r="D371" s="8" t="s">
        <v>139</v>
      </c>
      <c r="E371" s="8" t="s">
        <v>72</v>
      </c>
      <c r="F371" s="8" t="s">
        <v>73</v>
      </c>
      <c r="G371" s="8" t="s">
        <v>7</v>
      </c>
      <c r="H371" s="8" t="s">
        <v>38</v>
      </c>
      <c r="I371" s="9">
        <v>0.40434439999999999</v>
      </c>
      <c r="J371">
        <v>0.40808355355787002</v>
      </c>
      <c r="K371">
        <v>0.41990411575241998</v>
      </c>
      <c r="L371">
        <v>0.43745573953094002</v>
      </c>
    </row>
    <row r="372" spans="1:12" x14ac:dyDescent="0.2">
      <c r="A372" s="8" t="s">
        <v>32</v>
      </c>
      <c r="B372" s="8" t="s">
        <v>89</v>
      </c>
      <c r="C372" s="8" t="s">
        <v>138</v>
      </c>
      <c r="D372" s="8" t="s">
        <v>139</v>
      </c>
      <c r="E372" s="8" t="s">
        <v>74</v>
      </c>
      <c r="F372" s="8" t="s">
        <v>75</v>
      </c>
      <c r="G372" s="8" t="s">
        <v>7</v>
      </c>
      <c r="H372" s="8" t="s">
        <v>38</v>
      </c>
      <c r="I372" s="9">
        <v>673.39067</v>
      </c>
      <c r="J372">
        <v>726.22922882</v>
      </c>
      <c r="K372">
        <v>323.59266606</v>
      </c>
      <c r="L372">
        <v>429.11962253772998</v>
      </c>
    </row>
    <row r="373" spans="1:12" x14ac:dyDescent="0.2">
      <c r="A373" s="8" t="s">
        <v>32</v>
      </c>
      <c r="B373" s="8" t="s">
        <v>89</v>
      </c>
      <c r="C373" s="8" t="s">
        <v>138</v>
      </c>
      <c r="D373" s="8" t="s">
        <v>139</v>
      </c>
      <c r="E373" s="8" t="s">
        <v>59</v>
      </c>
      <c r="F373" s="8" t="s">
        <v>60</v>
      </c>
      <c r="G373" s="8" t="s">
        <v>7</v>
      </c>
      <c r="H373" s="8" t="s">
        <v>38</v>
      </c>
      <c r="I373" s="9">
        <v>35.547941999999999</v>
      </c>
      <c r="J373">
        <v>36.847040098760999</v>
      </c>
      <c r="K373">
        <v>38.925551694428002</v>
      </c>
      <c r="L373">
        <v>38.565959553098999</v>
      </c>
    </row>
    <row r="374" spans="1:12" x14ac:dyDescent="0.2">
      <c r="A374" s="8" t="s">
        <v>32</v>
      </c>
      <c r="B374" s="8" t="s">
        <v>89</v>
      </c>
      <c r="C374" s="8" t="s">
        <v>138</v>
      </c>
      <c r="D374" s="8" t="s">
        <v>139</v>
      </c>
      <c r="E374" s="8" t="s">
        <v>76</v>
      </c>
      <c r="F374" s="8" t="s">
        <v>77</v>
      </c>
      <c r="G374" s="8" t="s">
        <v>7</v>
      </c>
      <c r="H374" s="8" t="s">
        <v>38</v>
      </c>
      <c r="I374" s="9">
        <v>9.8476189999999999</v>
      </c>
      <c r="J374">
        <v>4.7142857154359996</v>
      </c>
      <c r="K374">
        <v>7.2285714299480004</v>
      </c>
      <c r="L374">
        <v>7.2285714299480004</v>
      </c>
    </row>
    <row r="375" spans="1:12" x14ac:dyDescent="0.2">
      <c r="A375" s="8" t="s">
        <v>32</v>
      </c>
      <c r="B375" s="8" t="s">
        <v>89</v>
      </c>
      <c r="C375" s="8" t="s">
        <v>138</v>
      </c>
      <c r="D375" s="8" t="s">
        <v>139</v>
      </c>
      <c r="E375" s="8" t="s">
        <v>78</v>
      </c>
      <c r="F375" s="8" t="s">
        <v>79</v>
      </c>
      <c r="G375" s="8" t="s">
        <v>7</v>
      </c>
      <c r="H375" s="8" t="s">
        <v>38</v>
      </c>
      <c r="I375" s="9">
        <v>12.728569</v>
      </c>
      <c r="J375">
        <v>3.1428565714286001</v>
      </c>
      <c r="K375">
        <v>7.3857129428570998</v>
      </c>
      <c r="L375">
        <v>5.0599990799999999</v>
      </c>
    </row>
    <row r="376" spans="1:12" x14ac:dyDescent="0.2">
      <c r="A376" s="8" t="s">
        <v>32</v>
      </c>
      <c r="B376" s="8" t="s">
        <v>89</v>
      </c>
      <c r="C376" s="8" t="s">
        <v>138</v>
      </c>
      <c r="D376" s="8" t="s">
        <v>139</v>
      </c>
      <c r="E376" s="8" t="s">
        <v>92</v>
      </c>
      <c r="F376" s="8" t="s">
        <v>93</v>
      </c>
      <c r="G376" s="8" t="s">
        <v>7</v>
      </c>
      <c r="H376" s="8" t="s">
        <v>38</v>
      </c>
      <c r="I376" s="9">
        <v>3.7634688999999999</v>
      </c>
      <c r="J376">
        <v>3.7822676900359999</v>
      </c>
      <c r="K376">
        <v>3.8011603358300001</v>
      </c>
      <c r="L376">
        <v>3.8238575490720002</v>
      </c>
    </row>
    <row r="377" spans="1:12" x14ac:dyDescent="0.2">
      <c r="A377" s="8" t="s">
        <v>110</v>
      </c>
      <c r="B377" s="8" t="s">
        <v>140</v>
      </c>
      <c r="C377" s="8" t="s">
        <v>141</v>
      </c>
      <c r="D377" s="8" t="s">
        <v>142</v>
      </c>
      <c r="E377" s="8" t="s">
        <v>36</v>
      </c>
      <c r="F377" s="8" t="s">
        <v>37</v>
      </c>
      <c r="G377" s="8" t="s">
        <v>7</v>
      </c>
      <c r="H377" s="8" t="s">
        <v>38</v>
      </c>
      <c r="I377" s="9">
        <v>27786.720000000001</v>
      </c>
      <c r="J377">
        <v>27957.973345530001</v>
      </c>
      <c r="K377">
        <v>26132.564764800001</v>
      </c>
      <c r="L377">
        <v>23944.140592078002</v>
      </c>
    </row>
    <row r="378" spans="1:12" x14ac:dyDescent="0.2">
      <c r="A378" s="8" t="s">
        <v>110</v>
      </c>
      <c r="B378" s="8" t="s">
        <v>140</v>
      </c>
      <c r="C378" s="8" t="s">
        <v>141</v>
      </c>
      <c r="D378" s="8" t="s">
        <v>142</v>
      </c>
      <c r="E378" s="8" t="s">
        <v>64</v>
      </c>
      <c r="F378" s="8" t="s">
        <v>65</v>
      </c>
      <c r="G378" s="8" t="s">
        <v>7</v>
      </c>
      <c r="H378" s="8" t="s">
        <v>38</v>
      </c>
      <c r="I378" s="9">
        <v>2735.9110999999998</v>
      </c>
      <c r="J378">
        <v>2737.5288460400002</v>
      </c>
      <c r="K378">
        <v>2497.04089075</v>
      </c>
      <c r="L378">
        <v>2746.4187937113002</v>
      </c>
    </row>
    <row r="379" spans="1:12" x14ac:dyDescent="0.2">
      <c r="A379" s="8" t="s">
        <v>110</v>
      </c>
      <c r="B379" s="8" t="s">
        <v>140</v>
      </c>
      <c r="C379" s="8" t="s">
        <v>141</v>
      </c>
      <c r="D379" s="8" t="s">
        <v>142</v>
      </c>
      <c r="E379" s="8" t="s">
        <v>39</v>
      </c>
      <c r="F379" s="8" t="s">
        <v>40</v>
      </c>
      <c r="G379" s="8" t="s">
        <v>7</v>
      </c>
      <c r="H379" s="8" t="s">
        <v>38</v>
      </c>
      <c r="I379" s="9">
        <v>4700.3468000000003</v>
      </c>
      <c r="J379">
        <v>4590.3992032599999</v>
      </c>
      <c r="K379">
        <v>4341.4976173900004</v>
      </c>
      <c r="L379">
        <v>4234.6287112749997</v>
      </c>
    </row>
    <row r="380" spans="1:12" x14ac:dyDescent="0.2">
      <c r="A380" s="8" t="s">
        <v>110</v>
      </c>
      <c r="B380" s="8" t="s">
        <v>140</v>
      </c>
      <c r="C380" s="8" t="s">
        <v>141</v>
      </c>
      <c r="D380" s="8" t="s">
        <v>142</v>
      </c>
      <c r="E380" s="8" t="s">
        <v>41</v>
      </c>
      <c r="F380" s="8" t="s">
        <v>42</v>
      </c>
      <c r="G380" s="8" t="s">
        <v>7</v>
      </c>
      <c r="H380" s="8" t="s">
        <v>38</v>
      </c>
      <c r="I380" s="9">
        <v>46.203235999999997</v>
      </c>
      <c r="J380">
        <v>46.203235649999002</v>
      </c>
      <c r="K380">
        <v>43.123158650000001</v>
      </c>
      <c r="L380">
        <v>46.455222443582997</v>
      </c>
    </row>
    <row r="381" spans="1:12" x14ac:dyDescent="0.2">
      <c r="A381" s="8" t="s">
        <v>110</v>
      </c>
      <c r="B381" s="8" t="s">
        <v>140</v>
      </c>
      <c r="C381" s="8" t="s">
        <v>141</v>
      </c>
      <c r="D381" s="8" t="s">
        <v>142</v>
      </c>
      <c r="E381" s="8" t="s">
        <v>43</v>
      </c>
      <c r="F381" s="8" t="s">
        <v>44</v>
      </c>
      <c r="G381" s="8" t="s">
        <v>7</v>
      </c>
      <c r="H381" s="8" t="s">
        <v>38</v>
      </c>
      <c r="I381" s="9">
        <v>9376.9364999999998</v>
      </c>
      <c r="J381">
        <v>9220.0432162898996</v>
      </c>
      <c r="K381">
        <v>8887.4560569099995</v>
      </c>
      <c r="L381">
        <v>8817.3618614445004</v>
      </c>
    </row>
    <row r="382" spans="1:12" x14ac:dyDescent="0.2">
      <c r="A382" s="8" t="s">
        <v>110</v>
      </c>
      <c r="B382" s="8" t="s">
        <v>140</v>
      </c>
      <c r="C382" s="8" t="s">
        <v>141</v>
      </c>
      <c r="D382" s="8" t="s">
        <v>142</v>
      </c>
      <c r="E382" s="8" t="s">
        <v>66</v>
      </c>
      <c r="F382" s="8" t="s">
        <v>67</v>
      </c>
      <c r="G382" s="8" t="s">
        <v>7</v>
      </c>
      <c r="H382" s="8" t="s">
        <v>38</v>
      </c>
      <c r="I382" s="9">
        <v>478.02983999999998</v>
      </c>
      <c r="J382">
        <v>478.02984119000001</v>
      </c>
      <c r="K382">
        <v>462.28351708999998</v>
      </c>
      <c r="L382">
        <v>459.32590615778997</v>
      </c>
    </row>
    <row r="383" spans="1:12" x14ac:dyDescent="0.2">
      <c r="A383" s="8" t="s">
        <v>110</v>
      </c>
      <c r="B383" s="8" t="s">
        <v>140</v>
      </c>
      <c r="C383" s="8" t="s">
        <v>141</v>
      </c>
      <c r="D383" s="8" t="s">
        <v>142</v>
      </c>
      <c r="E383" s="8" t="s">
        <v>45</v>
      </c>
      <c r="F383" s="8" t="s">
        <v>46</v>
      </c>
      <c r="G383" s="8" t="s">
        <v>7</v>
      </c>
      <c r="H383" s="8" t="s">
        <v>38</v>
      </c>
      <c r="I383" s="9">
        <v>3.1492648000000001</v>
      </c>
      <c r="J383">
        <v>3.14926482</v>
      </c>
      <c r="K383">
        <v>3.14926482</v>
      </c>
      <c r="L383">
        <v>3.0705866971976001</v>
      </c>
    </row>
    <row r="384" spans="1:12" x14ac:dyDescent="0.2">
      <c r="A384" s="8" t="s">
        <v>110</v>
      </c>
      <c r="B384" s="8" t="s">
        <v>140</v>
      </c>
      <c r="C384" s="8" t="s">
        <v>141</v>
      </c>
      <c r="D384" s="8" t="s">
        <v>142</v>
      </c>
      <c r="E384" s="8" t="s">
        <v>47</v>
      </c>
      <c r="F384" s="8" t="s">
        <v>48</v>
      </c>
      <c r="G384" s="8" t="s">
        <v>7</v>
      </c>
      <c r="H384" s="8" t="s">
        <v>38</v>
      </c>
      <c r="I384" s="9">
        <v>709.68741</v>
      </c>
      <c r="J384">
        <v>642.08134122000001</v>
      </c>
      <c r="K384">
        <v>617.52093513</v>
      </c>
      <c r="L384">
        <v>561.38520218702001</v>
      </c>
    </row>
    <row r="385" spans="1:12" x14ac:dyDescent="0.2">
      <c r="A385" s="8" t="s">
        <v>110</v>
      </c>
      <c r="B385" s="8" t="s">
        <v>140</v>
      </c>
      <c r="C385" s="8" t="s">
        <v>141</v>
      </c>
      <c r="D385" s="8" t="s">
        <v>142</v>
      </c>
      <c r="E385" s="8" t="s">
        <v>49</v>
      </c>
      <c r="F385" s="8" t="s">
        <v>50</v>
      </c>
      <c r="G385" s="8" t="s">
        <v>7</v>
      </c>
      <c r="H385" s="8" t="s">
        <v>38</v>
      </c>
      <c r="I385" s="9">
        <v>6662.5264999999999</v>
      </c>
      <c r="J385">
        <v>7472.7882060100001</v>
      </c>
      <c r="K385">
        <v>7560.7350079500002</v>
      </c>
      <c r="L385">
        <v>7180.3652155010996</v>
      </c>
    </row>
    <row r="386" spans="1:12" x14ac:dyDescent="0.2">
      <c r="A386" s="8" t="s">
        <v>110</v>
      </c>
      <c r="B386" s="8" t="s">
        <v>140</v>
      </c>
      <c r="C386" s="8" t="s">
        <v>141</v>
      </c>
      <c r="D386" s="8" t="s">
        <v>142</v>
      </c>
      <c r="E386" s="8" t="s">
        <v>51</v>
      </c>
      <c r="F386" s="8" t="s">
        <v>52</v>
      </c>
      <c r="G386" s="8" t="s">
        <v>7</v>
      </c>
      <c r="H386" s="8" t="s">
        <v>38</v>
      </c>
      <c r="I386" s="9"/>
    </row>
    <row r="387" spans="1:12" x14ac:dyDescent="0.2">
      <c r="A387" s="8" t="s">
        <v>110</v>
      </c>
      <c r="B387" s="8" t="s">
        <v>140</v>
      </c>
      <c r="C387" s="8" t="s">
        <v>141</v>
      </c>
      <c r="D387" s="8" t="s">
        <v>142</v>
      </c>
      <c r="E387" s="8" t="s">
        <v>68</v>
      </c>
      <c r="F387" s="8" t="s">
        <v>69</v>
      </c>
      <c r="G387" s="8" t="s">
        <v>7</v>
      </c>
      <c r="H387" s="8" t="s">
        <v>38</v>
      </c>
      <c r="I387" s="9">
        <v>199.12606</v>
      </c>
      <c r="J387">
        <v>200.83510799999999</v>
      </c>
      <c r="K387">
        <v>268.23851895000001</v>
      </c>
      <c r="L387">
        <v>296.78360130999999</v>
      </c>
    </row>
    <row r="388" spans="1:12" x14ac:dyDescent="0.2">
      <c r="A388" s="8" t="s">
        <v>110</v>
      </c>
      <c r="B388" s="8" t="s">
        <v>140</v>
      </c>
      <c r="C388" s="8" t="s">
        <v>141</v>
      </c>
      <c r="D388" s="8" t="s">
        <v>142</v>
      </c>
      <c r="E388" s="8" t="s">
        <v>53</v>
      </c>
      <c r="F388" s="8" t="s">
        <v>54</v>
      </c>
      <c r="G388" s="8" t="s">
        <v>7</v>
      </c>
      <c r="H388" s="8" t="s">
        <v>38</v>
      </c>
      <c r="I388" s="9">
        <v>81.440618999999998</v>
      </c>
      <c r="J388">
        <v>81.858327108620003</v>
      </c>
      <c r="K388">
        <v>70.586518640194001</v>
      </c>
      <c r="L388">
        <v>62.684459865995002</v>
      </c>
    </row>
    <row r="389" spans="1:12" x14ac:dyDescent="0.2">
      <c r="A389" s="8" t="s">
        <v>110</v>
      </c>
      <c r="B389" s="8" t="s">
        <v>140</v>
      </c>
      <c r="C389" s="8" t="s">
        <v>141</v>
      </c>
      <c r="D389" s="8" t="s">
        <v>142</v>
      </c>
      <c r="E389" s="8" t="s">
        <v>70</v>
      </c>
      <c r="F389" s="8" t="s">
        <v>71</v>
      </c>
      <c r="G389" s="8" t="s">
        <v>7</v>
      </c>
      <c r="H389" s="8" t="s">
        <v>38</v>
      </c>
      <c r="I389" s="9">
        <v>2287.5855999999999</v>
      </c>
      <c r="J389">
        <v>2089.0537535623998</v>
      </c>
      <c r="K389">
        <v>2095.3397728811001</v>
      </c>
      <c r="L389">
        <v>2092.9759412297999</v>
      </c>
    </row>
    <row r="390" spans="1:12" x14ac:dyDescent="0.2">
      <c r="A390" s="8" t="s">
        <v>110</v>
      </c>
      <c r="B390" s="8" t="s">
        <v>140</v>
      </c>
      <c r="C390" s="8" t="s">
        <v>141</v>
      </c>
      <c r="D390" s="8" t="s">
        <v>142</v>
      </c>
      <c r="E390" s="8" t="s">
        <v>83</v>
      </c>
      <c r="F390" s="8" t="s">
        <v>84</v>
      </c>
      <c r="G390" s="8" t="s">
        <v>7</v>
      </c>
      <c r="H390" s="8" t="s">
        <v>38</v>
      </c>
      <c r="I390" s="9">
        <v>363</v>
      </c>
      <c r="J390">
        <v>350.25</v>
      </c>
      <c r="K390">
        <v>352.5</v>
      </c>
      <c r="L390">
        <v>352.5</v>
      </c>
    </row>
    <row r="391" spans="1:12" x14ac:dyDescent="0.2">
      <c r="A391" s="8" t="s">
        <v>110</v>
      </c>
      <c r="B391" s="8" t="s">
        <v>140</v>
      </c>
      <c r="C391" s="8" t="s">
        <v>141</v>
      </c>
      <c r="D391" s="8" t="s">
        <v>142</v>
      </c>
      <c r="E391" s="8" t="s">
        <v>55</v>
      </c>
      <c r="F391" s="8" t="s">
        <v>56</v>
      </c>
      <c r="G391" s="8" t="s">
        <v>7</v>
      </c>
      <c r="H391" s="8" t="s">
        <v>38</v>
      </c>
      <c r="I391" s="9">
        <v>100.6026</v>
      </c>
      <c r="J391">
        <v>112.67752081601</v>
      </c>
      <c r="K391">
        <v>112.67752081601</v>
      </c>
      <c r="L391">
        <v>112.67752081601</v>
      </c>
    </row>
    <row r="392" spans="1:12" x14ac:dyDescent="0.2">
      <c r="A392" s="8" t="s">
        <v>110</v>
      </c>
      <c r="B392" s="8" t="s">
        <v>140</v>
      </c>
      <c r="C392" s="8" t="s">
        <v>141</v>
      </c>
      <c r="D392" s="8" t="s">
        <v>142</v>
      </c>
      <c r="E392" s="8" t="s">
        <v>57</v>
      </c>
      <c r="F392" s="8" t="s">
        <v>58</v>
      </c>
      <c r="G392" s="8" t="s">
        <v>7</v>
      </c>
      <c r="H392" s="8" t="s">
        <v>38</v>
      </c>
      <c r="I392" s="9">
        <v>70.831532999999993</v>
      </c>
      <c r="J392">
        <v>79.333153443721002</v>
      </c>
      <c r="K392">
        <v>79.333153443721002</v>
      </c>
      <c r="L392">
        <v>79.333153443721002</v>
      </c>
    </row>
    <row r="393" spans="1:12" x14ac:dyDescent="0.2">
      <c r="A393" s="8" t="s">
        <v>110</v>
      </c>
      <c r="B393" s="8" t="s">
        <v>140</v>
      </c>
      <c r="C393" s="8" t="s">
        <v>141</v>
      </c>
      <c r="D393" s="8" t="s">
        <v>142</v>
      </c>
      <c r="E393" s="8" t="s">
        <v>72</v>
      </c>
      <c r="F393" s="8" t="s">
        <v>73</v>
      </c>
      <c r="G393" s="8" t="s">
        <v>7</v>
      </c>
      <c r="H393" s="8" t="s">
        <v>38</v>
      </c>
      <c r="I393" s="9">
        <v>1849.5578</v>
      </c>
      <c r="J393">
        <v>1941.1975060100001</v>
      </c>
      <c r="K393">
        <v>1632.7504097588001</v>
      </c>
      <c r="L393">
        <v>2050.7425928194998</v>
      </c>
    </row>
    <row r="394" spans="1:12" x14ac:dyDescent="0.2">
      <c r="A394" s="8" t="s">
        <v>110</v>
      </c>
      <c r="B394" s="8" t="s">
        <v>140</v>
      </c>
      <c r="C394" s="8" t="s">
        <v>141</v>
      </c>
      <c r="D394" s="8" t="s">
        <v>142</v>
      </c>
      <c r="E394" s="8" t="s">
        <v>74</v>
      </c>
      <c r="F394" s="8" t="s">
        <v>75</v>
      </c>
      <c r="G394" s="8" t="s">
        <v>7</v>
      </c>
      <c r="H394" s="8" t="s">
        <v>38</v>
      </c>
      <c r="I394" s="9">
        <v>99.28</v>
      </c>
      <c r="J394">
        <v>99.254159999999999</v>
      </c>
      <c r="K394">
        <v>80.86</v>
      </c>
      <c r="L394">
        <v>91.36</v>
      </c>
    </row>
    <row r="395" spans="1:12" x14ac:dyDescent="0.2">
      <c r="A395" s="8" t="s">
        <v>110</v>
      </c>
      <c r="B395" s="8" t="s">
        <v>140</v>
      </c>
      <c r="C395" s="8" t="s">
        <v>141</v>
      </c>
      <c r="D395" s="8" t="s">
        <v>142</v>
      </c>
      <c r="E395" s="8" t="s">
        <v>59</v>
      </c>
      <c r="F395" s="8" t="s">
        <v>60</v>
      </c>
      <c r="G395" s="8" t="s">
        <v>7</v>
      </c>
      <c r="H395" s="8" t="s">
        <v>38</v>
      </c>
      <c r="I395" s="9">
        <v>47.863390000000003</v>
      </c>
      <c r="J395">
        <v>48.420545075768999</v>
      </c>
      <c r="K395">
        <v>48.204461866895997</v>
      </c>
      <c r="L395">
        <v>46.412796705845999</v>
      </c>
    </row>
    <row r="396" spans="1:12" x14ac:dyDescent="0.2">
      <c r="A396" s="8" t="s">
        <v>110</v>
      </c>
      <c r="B396" s="8" t="s">
        <v>140</v>
      </c>
      <c r="C396" s="8" t="s">
        <v>141</v>
      </c>
      <c r="D396" s="8" t="s">
        <v>142</v>
      </c>
      <c r="E396" s="8" t="s">
        <v>76</v>
      </c>
      <c r="F396" s="8" t="s">
        <v>77</v>
      </c>
      <c r="G396" s="8" t="s">
        <v>7</v>
      </c>
      <c r="H396" s="8" t="s">
        <v>38</v>
      </c>
      <c r="I396" s="9">
        <v>318.89524</v>
      </c>
      <c r="J396">
        <v>329.16190484610001</v>
      </c>
      <c r="K396">
        <v>190.87619053227999</v>
      </c>
      <c r="L396">
        <v>190.87619053227999</v>
      </c>
    </row>
    <row r="397" spans="1:12" x14ac:dyDescent="0.2">
      <c r="A397" s="8" t="s">
        <v>110</v>
      </c>
      <c r="B397" s="8" t="s">
        <v>140</v>
      </c>
      <c r="C397" s="8" t="s">
        <v>141</v>
      </c>
      <c r="D397" s="8" t="s">
        <v>142</v>
      </c>
      <c r="E397" s="8" t="s">
        <v>78</v>
      </c>
      <c r="F397" s="8" t="s">
        <v>79</v>
      </c>
      <c r="G397" s="8" t="s">
        <v>7</v>
      </c>
      <c r="H397" s="8" t="s">
        <v>38</v>
      </c>
      <c r="I397" s="9">
        <v>229.74281999999999</v>
      </c>
      <c r="J397">
        <v>148.02854451428999</v>
      </c>
      <c r="K397">
        <v>406.52849751429</v>
      </c>
      <c r="L397">
        <v>441.79134824571003</v>
      </c>
    </row>
    <row r="398" spans="1:12" x14ac:dyDescent="0.2">
      <c r="A398" s="8" t="s">
        <v>110</v>
      </c>
      <c r="B398" s="8" t="s">
        <v>140</v>
      </c>
      <c r="C398" s="8" t="s">
        <v>141</v>
      </c>
      <c r="D398" s="8" t="s">
        <v>142</v>
      </c>
      <c r="E398" s="8" t="s">
        <v>92</v>
      </c>
      <c r="F398" s="8" t="s">
        <v>93</v>
      </c>
      <c r="G398" s="8" t="s">
        <v>7</v>
      </c>
      <c r="H398" s="8" t="s">
        <v>38</v>
      </c>
      <c r="I398" s="9">
        <v>12.614369999999999</v>
      </c>
      <c r="J398">
        <v>14.013691485000001</v>
      </c>
      <c r="K398">
        <v>11.230263300000001</v>
      </c>
      <c r="L398">
        <v>9.0659592599999996</v>
      </c>
    </row>
    <row r="399" spans="1:12" x14ac:dyDescent="0.2">
      <c r="A399" s="8" t="s">
        <v>32</v>
      </c>
      <c r="B399" s="8" t="s">
        <v>33</v>
      </c>
      <c r="C399" s="8" t="s">
        <v>143</v>
      </c>
      <c r="D399" s="8" t="s">
        <v>144</v>
      </c>
      <c r="E399" s="8" t="s">
        <v>36</v>
      </c>
      <c r="F399" s="8" t="s">
        <v>37</v>
      </c>
      <c r="G399" s="8" t="s">
        <v>7</v>
      </c>
      <c r="H399" s="8" t="s">
        <v>38</v>
      </c>
      <c r="I399" s="9">
        <v>162.12948</v>
      </c>
      <c r="J399">
        <v>166.41673597498999</v>
      </c>
      <c r="K399">
        <v>175.60188563593999</v>
      </c>
      <c r="L399">
        <v>186.1573504596</v>
      </c>
    </row>
    <row r="400" spans="1:12" x14ac:dyDescent="0.2">
      <c r="A400" s="8" t="s">
        <v>32</v>
      </c>
      <c r="B400" s="8" t="s">
        <v>33</v>
      </c>
      <c r="C400" s="8" t="s">
        <v>143</v>
      </c>
      <c r="D400" s="8" t="s">
        <v>144</v>
      </c>
      <c r="E400" s="8" t="s">
        <v>39</v>
      </c>
      <c r="F400" s="8" t="s">
        <v>40</v>
      </c>
      <c r="G400" s="8" t="s">
        <v>7</v>
      </c>
      <c r="H400" s="8" t="s">
        <v>38</v>
      </c>
      <c r="I400" s="9">
        <v>18.489170999999999</v>
      </c>
      <c r="J400">
        <v>22.500552749686999</v>
      </c>
      <c r="K400">
        <v>23.742616980007998</v>
      </c>
      <c r="L400">
        <v>25.169790483564999</v>
      </c>
    </row>
    <row r="401" spans="1:12" x14ac:dyDescent="0.2">
      <c r="A401" s="8" t="s">
        <v>32</v>
      </c>
      <c r="B401" s="8" t="s">
        <v>33</v>
      </c>
      <c r="C401" s="8" t="s">
        <v>143</v>
      </c>
      <c r="D401" s="8" t="s">
        <v>144</v>
      </c>
      <c r="E401" s="8" t="s">
        <v>41</v>
      </c>
      <c r="F401" s="8" t="s">
        <v>42</v>
      </c>
      <c r="G401" s="8" t="s">
        <v>7</v>
      </c>
      <c r="H401" s="8" t="s">
        <v>38</v>
      </c>
      <c r="I401" s="9">
        <v>7.8075833000000001</v>
      </c>
      <c r="J401">
        <v>8.2042075936088992</v>
      </c>
      <c r="K401">
        <v>8.6570934704653002</v>
      </c>
      <c r="L401">
        <v>9.8844046728763999</v>
      </c>
    </row>
    <row r="402" spans="1:12" x14ac:dyDescent="0.2">
      <c r="A402" s="8" t="s">
        <v>32</v>
      </c>
      <c r="B402" s="8" t="s">
        <v>33</v>
      </c>
      <c r="C402" s="8" t="s">
        <v>143</v>
      </c>
      <c r="D402" s="8" t="s">
        <v>144</v>
      </c>
      <c r="E402" s="8" t="s">
        <v>43</v>
      </c>
      <c r="F402" s="8" t="s">
        <v>44</v>
      </c>
      <c r="G402" s="8" t="s">
        <v>7</v>
      </c>
      <c r="H402" s="8" t="s">
        <v>38</v>
      </c>
      <c r="I402" s="9">
        <v>89.373486</v>
      </c>
      <c r="J402">
        <v>94.128182036094998</v>
      </c>
      <c r="K402">
        <v>99.324374554315</v>
      </c>
      <c r="L402">
        <v>105.29478277598</v>
      </c>
    </row>
    <row r="403" spans="1:12" x14ac:dyDescent="0.2">
      <c r="A403" s="8" t="s">
        <v>32</v>
      </c>
      <c r="B403" s="8" t="s">
        <v>33</v>
      </c>
      <c r="C403" s="8" t="s">
        <v>143</v>
      </c>
      <c r="D403" s="8" t="s">
        <v>144</v>
      </c>
      <c r="E403" s="8" t="s">
        <v>45</v>
      </c>
      <c r="F403" s="8" t="s">
        <v>46</v>
      </c>
      <c r="G403" s="8" t="s">
        <v>7</v>
      </c>
      <c r="H403" s="8" t="s">
        <v>38</v>
      </c>
      <c r="I403" s="9">
        <v>6.8674957000000001</v>
      </c>
      <c r="J403">
        <v>7.0357725640788997</v>
      </c>
      <c r="K403">
        <v>7.4242292350924002</v>
      </c>
      <c r="L403">
        <v>7.9114216379939002</v>
      </c>
    </row>
    <row r="404" spans="1:12" x14ac:dyDescent="0.2">
      <c r="A404" s="8" t="s">
        <v>32</v>
      </c>
      <c r="B404" s="8" t="s">
        <v>33</v>
      </c>
      <c r="C404" s="8" t="s">
        <v>143</v>
      </c>
      <c r="D404" s="8" t="s">
        <v>144</v>
      </c>
      <c r="E404" s="8" t="s">
        <v>47</v>
      </c>
      <c r="F404" s="8" t="s">
        <v>48</v>
      </c>
      <c r="G404" s="8" t="s">
        <v>7</v>
      </c>
      <c r="H404" s="8" t="s">
        <v>38</v>
      </c>
      <c r="I404" s="9">
        <v>2.9490436</v>
      </c>
      <c r="J404">
        <v>2.8389721251228002</v>
      </c>
      <c r="K404">
        <v>2.9957461568135999</v>
      </c>
      <c r="L404">
        <v>3.1758210635515001</v>
      </c>
    </row>
    <row r="405" spans="1:12" x14ac:dyDescent="0.2">
      <c r="A405" s="8" t="s">
        <v>32</v>
      </c>
      <c r="B405" s="8" t="s">
        <v>33</v>
      </c>
      <c r="C405" s="8" t="s">
        <v>143</v>
      </c>
      <c r="D405" s="8" t="s">
        <v>144</v>
      </c>
      <c r="E405" s="8" t="s">
        <v>49</v>
      </c>
      <c r="F405" s="8" t="s">
        <v>50</v>
      </c>
      <c r="G405" s="8" t="s">
        <v>7</v>
      </c>
      <c r="H405" s="8" t="s">
        <v>38</v>
      </c>
      <c r="I405" s="9">
        <v>24.579456</v>
      </c>
      <c r="J405">
        <v>25.143661451593001</v>
      </c>
      <c r="K405">
        <v>25.664169937097999</v>
      </c>
      <c r="L405">
        <v>27.206848377130001</v>
      </c>
    </row>
    <row r="406" spans="1:12" x14ac:dyDescent="0.2">
      <c r="A406" s="8" t="s">
        <v>32</v>
      </c>
      <c r="B406" s="8" t="s">
        <v>33</v>
      </c>
      <c r="C406" s="8" t="s">
        <v>143</v>
      </c>
      <c r="D406" s="8" t="s">
        <v>144</v>
      </c>
      <c r="E406" s="8" t="s">
        <v>51</v>
      </c>
      <c r="F406" s="8" t="s">
        <v>52</v>
      </c>
      <c r="G406" s="8" t="s">
        <v>7</v>
      </c>
      <c r="H406" s="8" t="s">
        <v>38</v>
      </c>
      <c r="I406" s="9">
        <v>1.8863771</v>
      </c>
      <c r="J406">
        <v>2.0918019339786</v>
      </c>
      <c r="K406">
        <v>2.2072547451125</v>
      </c>
      <c r="L406">
        <v>2.3399332737884002</v>
      </c>
    </row>
    <row r="407" spans="1:12" x14ac:dyDescent="0.2">
      <c r="A407" s="8" t="s">
        <v>32</v>
      </c>
      <c r="B407" s="8" t="s">
        <v>33</v>
      </c>
      <c r="C407" s="8" t="s">
        <v>143</v>
      </c>
      <c r="D407" s="8" t="s">
        <v>144</v>
      </c>
      <c r="E407" s="8" t="s">
        <v>53</v>
      </c>
      <c r="F407" s="8" t="s">
        <v>54</v>
      </c>
      <c r="G407" s="8" t="s">
        <v>7</v>
      </c>
      <c r="H407" s="8" t="s">
        <v>38</v>
      </c>
      <c r="I407" s="9">
        <v>1.5902712000000001</v>
      </c>
      <c r="J407">
        <v>4.9706058129004003</v>
      </c>
      <c r="K407">
        <v>5.8188604747985</v>
      </c>
      <c r="L407">
        <v>5.3257549386354004</v>
      </c>
    </row>
    <row r="408" spans="1:12" x14ac:dyDescent="0.2">
      <c r="A408" s="8" t="s">
        <v>32</v>
      </c>
      <c r="B408" s="8" t="s">
        <v>33</v>
      </c>
      <c r="C408" s="8" t="s">
        <v>143</v>
      </c>
      <c r="D408" s="8" t="s">
        <v>144</v>
      </c>
      <c r="E408" s="8" t="s">
        <v>83</v>
      </c>
      <c r="F408" s="8" t="s">
        <v>84</v>
      </c>
      <c r="G408" s="8" t="s">
        <v>7</v>
      </c>
      <c r="H408" s="8" t="s">
        <v>38</v>
      </c>
      <c r="I408" s="9"/>
    </row>
    <row r="409" spans="1:12" x14ac:dyDescent="0.2">
      <c r="A409" s="8" t="s">
        <v>32</v>
      </c>
      <c r="B409" s="8" t="s">
        <v>33</v>
      </c>
      <c r="C409" s="8" t="s">
        <v>143</v>
      </c>
      <c r="D409" s="8" t="s">
        <v>144</v>
      </c>
      <c r="E409" s="8" t="s">
        <v>55</v>
      </c>
      <c r="F409" s="8" t="s">
        <v>56</v>
      </c>
      <c r="G409" s="8" t="s">
        <v>7</v>
      </c>
      <c r="H409" s="8" t="s">
        <v>38</v>
      </c>
      <c r="I409" s="9">
        <v>1.91915E-2</v>
      </c>
      <c r="J409">
        <v>1.9525891067594E-2</v>
      </c>
      <c r="K409">
        <v>1.9866091439415999E-2</v>
      </c>
      <c r="L409">
        <v>2.0196790286579999E-2</v>
      </c>
    </row>
    <row r="410" spans="1:12" x14ac:dyDescent="0.2">
      <c r="A410" s="8" t="s">
        <v>32</v>
      </c>
      <c r="B410" s="8" t="s">
        <v>33</v>
      </c>
      <c r="C410" s="8" t="s">
        <v>143</v>
      </c>
      <c r="D410" s="8" t="s">
        <v>144</v>
      </c>
      <c r="E410" s="8" t="s">
        <v>57</v>
      </c>
      <c r="F410" s="8" t="s">
        <v>58</v>
      </c>
      <c r="G410" s="8" t="s">
        <v>7</v>
      </c>
      <c r="H410" s="8" t="s">
        <v>38</v>
      </c>
      <c r="I410" s="9">
        <v>3.7349999999999998E-6</v>
      </c>
      <c r="J410">
        <v>3.7349999999999998E-6</v>
      </c>
      <c r="K410">
        <v>3.7349999999999998E-6</v>
      </c>
      <c r="L410">
        <v>4.0670000000000002E-6</v>
      </c>
    </row>
    <row r="411" spans="1:12" x14ac:dyDescent="0.2">
      <c r="A411" s="8" t="s">
        <v>32</v>
      </c>
      <c r="B411" s="8" t="s">
        <v>33</v>
      </c>
      <c r="C411" s="8" t="s">
        <v>143</v>
      </c>
      <c r="D411" s="8" t="s">
        <v>144</v>
      </c>
      <c r="E411" s="8" t="s">
        <v>59</v>
      </c>
      <c r="F411" s="8" t="s">
        <v>60</v>
      </c>
      <c r="G411" s="8" t="s">
        <v>7</v>
      </c>
      <c r="H411" s="8" t="s">
        <v>38</v>
      </c>
      <c r="I411" s="9">
        <v>2.9435693000000001</v>
      </c>
      <c r="J411">
        <v>2.7487548855743</v>
      </c>
      <c r="K411">
        <v>3.0715091169333002</v>
      </c>
      <c r="L411">
        <v>3.1451585378489</v>
      </c>
    </row>
    <row r="412" spans="1:12" x14ac:dyDescent="0.2">
      <c r="A412" s="8" t="s">
        <v>32</v>
      </c>
      <c r="B412" s="8" t="s">
        <v>33</v>
      </c>
      <c r="C412" s="8" t="s">
        <v>145</v>
      </c>
      <c r="D412" s="8" t="s">
        <v>146</v>
      </c>
      <c r="E412" s="8" t="s">
        <v>36</v>
      </c>
      <c r="F412" s="8" t="s">
        <v>37</v>
      </c>
      <c r="G412" s="8" t="s">
        <v>7</v>
      </c>
      <c r="H412" s="8" t="s">
        <v>38</v>
      </c>
      <c r="I412" s="9">
        <v>110.17465</v>
      </c>
      <c r="J412">
        <v>123.5852772409</v>
      </c>
      <c r="K412">
        <v>130.39090272433</v>
      </c>
      <c r="L412">
        <v>130.12687587088999</v>
      </c>
    </row>
    <row r="413" spans="1:12" x14ac:dyDescent="0.2">
      <c r="A413" s="8" t="s">
        <v>32</v>
      </c>
      <c r="B413" s="8" t="s">
        <v>33</v>
      </c>
      <c r="C413" s="8" t="s">
        <v>145</v>
      </c>
      <c r="D413" s="8" t="s">
        <v>146</v>
      </c>
      <c r="E413" s="8" t="s">
        <v>39</v>
      </c>
      <c r="F413" s="8" t="s">
        <v>40</v>
      </c>
      <c r="G413" s="8" t="s">
        <v>7</v>
      </c>
      <c r="H413" s="8" t="s">
        <v>38</v>
      </c>
      <c r="I413" s="9">
        <v>12.564266</v>
      </c>
      <c r="J413">
        <v>16.709479568578001</v>
      </c>
      <c r="K413">
        <v>17.629772310530001</v>
      </c>
      <c r="L413">
        <v>17.594074012467001</v>
      </c>
    </row>
    <row r="414" spans="1:12" x14ac:dyDescent="0.2">
      <c r="A414" s="8" t="s">
        <v>32</v>
      </c>
      <c r="B414" s="8" t="s">
        <v>33</v>
      </c>
      <c r="C414" s="8" t="s">
        <v>145</v>
      </c>
      <c r="D414" s="8" t="s">
        <v>146</v>
      </c>
      <c r="E414" s="8" t="s">
        <v>41</v>
      </c>
      <c r="F414" s="8" t="s">
        <v>42</v>
      </c>
      <c r="G414" s="8" t="s">
        <v>7</v>
      </c>
      <c r="H414" s="8" t="s">
        <v>38</v>
      </c>
      <c r="I414" s="9">
        <v>5.3056220999999999</v>
      </c>
      <c r="J414">
        <v>6.0926520644561997</v>
      </c>
      <c r="K414">
        <v>6.4282124790115001</v>
      </c>
      <c r="L414">
        <v>7.3395364948471</v>
      </c>
    </row>
    <row r="415" spans="1:12" x14ac:dyDescent="0.2">
      <c r="A415" s="8" t="s">
        <v>32</v>
      </c>
      <c r="B415" s="8" t="s">
        <v>33</v>
      </c>
      <c r="C415" s="8" t="s">
        <v>145</v>
      </c>
      <c r="D415" s="8" t="s">
        <v>146</v>
      </c>
      <c r="E415" s="8" t="s">
        <v>43</v>
      </c>
      <c r="F415" s="8" t="s">
        <v>44</v>
      </c>
      <c r="G415" s="8" t="s">
        <v>7</v>
      </c>
      <c r="H415" s="8" t="s">
        <v>38</v>
      </c>
      <c r="I415" s="9">
        <v>60.733511</v>
      </c>
      <c r="J415">
        <v>69.901968723029995</v>
      </c>
      <c r="K415">
        <v>73.752026145760993</v>
      </c>
      <c r="L415">
        <v>73.602686621366004</v>
      </c>
    </row>
    <row r="416" spans="1:12" x14ac:dyDescent="0.2">
      <c r="A416" s="8" t="s">
        <v>32</v>
      </c>
      <c r="B416" s="8" t="s">
        <v>33</v>
      </c>
      <c r="C416" s="8" t="s">
        <v>145</v>
      </c>
      <c r="D416" s="8" t="s">
        <v>146</v>
      </c>
      <c r="E416" s="8" t="s">
        <v>45</v>
      </c>
      <c r="F416" s="8" t="s">
        <v>46</v>
      </c>
      <c r="G416" s="8" t="s">
        <v>7</v>
      </c>
      <c r="H416" s="8" t="s">
        <v>38</v>
      </c>
      <c r="I416" s="9">
        <v>4.6667880999999998</v>
      </c>
      <c r="J416">
        <v>5.2249426588096997</v>
      </c>
      <c r="K416">
        <v>5.5127651305696004</v>
      </c>
      <c r="L416">
        <v>5.8745235307412003</v>
      </c>
    </row>
    <row r="417" spans="1:12" x14ac:dyDescent="0.2">
      <c r="A417" s="8" t="s">
        <v>32</v>
      </c>
      <c r="B417" s="8" t="s">
        <v>33</v>
      </c>
      <c r="C417" s="8" t="s">
        <v>145</v>
      </c>
      <c r="D417" s="8" t="s">
        <v>146</v>
      </c>
      <c r="E417" s="8" t="s">
        <v>47</v>
      </c>
      <c r="F417" s="8" t="s">
        <v>48</v>
      </c>
      <c r="G417" s="8" t="s">
        <v>7</v>
      </c>
      <c r="H417" s="8" t="s">
        <v>38</v>
      </c>
      <c r="I417" s="9">
        <v>2.0040146000000001</v>
      </c>
      <c r="J417">
        <v>2.1082925049990999</v>
      </c>
      <c r="K417">
        <v>2.2244524556514</v>
      </c>
      <c r="L417">
        <v>2.2199481906281</v>
      </c>
    </row>
    <row r="418" spans="1:12" x14ac:dyDescent="0.2">
      <c r="A418" s="8" t="s">
        <v>32</v>
      </c>
      <c r="B418" s="8" t="s">
        <v>33</v>
      </c>
      <c r="C418" s="8" t="s">
        <v>145</v>
      </c>
      <c r="D418" s="8" t="s">
        <v>146</v>
      </c>
      <c r="E418" s="8" t="s">
        <v>49</v>
      </c>
      <c r="F418" s="8" t="s">
        <v>50</v>
      </c>
      <c r="G418" s="8" t="s">
        <v>7</v>
      </c>
      <c r="H418" s="8" t="s">
        <v>38</v>
      </c>
      <c r="I418" s="9">
        <v>16.702902999999999</v>
      </c>
      <c r="J418">
        <v>18.672318941608999</v>
      </c>
      <c r="K418">
        <v>19.056596537389002</v>
      </c>
      <c r="L418">
        <v>19.018009081393998</v>
      </c>
    </row>
    <row r="419" spans="1:12" x14ac:dyDescent="0.2">
      <c r="A419" s="8" t="s">
        <v>32</v>
      </c>
      <c r="B419" s="8" t="s">
        <v>33</v>
      </c>
      <c r="C419" s="8" t="s">
        <v>145</v>
      </c>
      <c r="D419" s="8" t="s">
        <v>146</v>
      </c>
      <c r="E419" s="8" t="s">
        <v>51</v>
      </c>
      <c r="F419" s="8" t="s">
        <v>52</v>
      </c>
      <c r="G419" s="8" t="s">
        <v>7</v>
      </c>
      <c r="H419" s="8" t="s">
        <v>38</v>
      </c>
      <c r="I419" s="9">
        <v>1.2818825</v>
      </c>
      <c r="J419">
        <v>1.5534250232058</v>
      </c>
      <c r="K419">
        <v>1.6389683841691001</v>
      </c>
      <c r="L419">
        <v>1.6356496582739</v>
      </c>
    </row>
    <row r="420" spans="1:12" x14ac:dyDescent="0.2">
      <c r="A420" s="8" t="s">
        <v>32</v>
      </c>
      <c r="B420" s="8" t="s">
        <v>33</v>
      </c>
      <c r="C420" s="8" t="s">
        <v>145</v>
      </c>
      <c r="D420" s="8" t="s">
        <v>146</v>
      </c>
      <c r="E420" s="8" t="s">
        <v>53</v>
      </c>
      <c r="F420" s="8" t="s">
        <v>54</v>
      </c>
      <c r="G420" s="8" t="s">
        <v>7</v>
      </c>
      <c r="H420" s="8" t="s">
        <v>38</v>
      </c>
      <c r="I420" s="9"/>
    </row>
    <row r="421" spans="1:12" x14ac:dyDescent="0.2">
      <c r="A421" s="8" t="s">
        <v>32</v>
      </c>
      <c r="B421" s="8" t="s">
        <v>33</v>
      </c>
      <c r="C421" s="8" t="s">
        <v>145</v>
      </c>
      <c r="D421" s="8" t="s">
        <v>146</v>
      </c>
      <c r="E421" s="8" t="s">
        <v>55</v>
      </c>
      <c r="F421" s="8" t="s">
        <v>56</v>
      </c>
      <c r="G421" s="8" t="s">
        <v>7</v>
      </c>
      <c r="H421" s="8" t="s">
        <v>38</v>
      </c>
      <c r="I421" s="9">
        <v>3.0355E-3</v>
      </c>
      <c r="J421">
        <v>3.0183844518482999E-3</v>
      </c>
      <c r="K421">
        <v>3.0013165051068001E-3</v>
      </c>
      <c r="L421">
        <v>2.9842890269511E-3</v>
      </c>
    </row>
    <row r="422" spans="1:12" x14ac:dyDescent="0.2">
      <c r="A422" s="8" t="s">
        <v>32</v>
      </c>
      <c r="B422" s="8" t="s">
        <v>33</v>
      </c>
      <c r="C422" s="8" t="s">
        <v>145</v>
      </c>
      <c r="D422" s="8" t="s">
        <v>146</v>
      </c>
      <c r="E422" s="8" t="s">
        <v>57</v>
      </c>
      <c r="F422" s="8" t="s">
        <v>58</v>
      </c>
      <c r="G422" s="8" t="s">
        <v>7</v>
      </c>
      <c r="H422" s="8" t="s">
        <v>38</v>
      </c>
      <c r="I422" s="9">
        <v>8.9709999999999996E-4</v>
      </c>
      <c r="J422">
        <v>3.8665873228314998E-4</v>
      </c>
      <c r="K422">
        <v>1.6666032217412999E-4</v>
      </c>
      <c r="L422">
        <v>1.6666032217412999E-4</v>
      </c>
    </row>
    <row r="423" spans="1:12" x14ac:dyDescent="0.2">
      <c r="A423" s="8" t="s">
        <v>32</v>
      </c>
      <c r="B423" s="8" t="s">
        <v>33</v>
      </c>
      <c r="C423" s="8" t="s">
        <v>145</v>
      </c>
      <c r="D423" s="8" t="s">
        <v>146</v>
      </c>
      <c r="E423" s="8" t="s">
        <v>59</v>
      </c>
      <c r="F423" s="8" t="s">
        <v>60</v>
      </c>
      <c r="G423" s="8" t="s">
        <v>7</v>
      </c>
      <c r="H423" s="8" t="s">
        <v>38</v>
      </c>
      <c r="I423" s="9">
        <v>0.80576349999999997</v>
      </c>
      <c r="J423">
        <v>0.86114866628596998</v>
      </c>
      <c r="K423">
        <v>0.89244449168383</v>
      </c>
      <c r="L423">
        <v>0.87556237073953003</v>
      </c>
    </row>
    <row r="424" spans="1:12" x14ac:dyDescent="0.2">
      <c r="A424" s="8" t="s">
        <v>32</v>
      </c>
      <c r="B424" s="8" t="s">
        <v>99</v>
      </c>
      <c r="C424" s="8" t="s">
        <v>147</v>
      </c>
      <c r="D424" s="8" t="s">
        <v>148</v>
      </c>
      <c r="E424" s="8" t="s">
        <v>36</v>
      </c>
      <c r="F424" s="8" t="s">
        <v>37</v>
      </c>
      <c r="G424" s="8" t="s">
        <v>7</v>
      </c>
      <c r="H424" s="8" t="s">
        <v>38</v>
      </c>
      <c r="I424" s="9">
        <v>3174.8838999999998</v>
      </c>
      <c r="J424">
        <v>3235.7682306000002</v>
      </c>
      <c r="K424">
        <v>3345.4178932200002</v>
      </c>
      <c r="L424">
        <v>3693.1358723928001</v>
      </c>
    </row>
    <row r="425" spans="1:12" x14ac:dyDescent="0.2">
      <c r="A425" s="8" t="s">
        <v>32</v>
      </c>
      <c r="B425" s="8" t="s">
        <v>99</v>
      </c>
      <c r="C425" s="8" t="s">
        <v>147</v>
      </c>
      <c r="D425" s="8" t="s">
        <v>148</v>
      </c>
      <c r="E425" s="8" t="s">
        <v>64</v>
      </c>
      <c r="F425" s="8" t="s">
        <v>65</v>
      </c>
      <c r="G425" s="8" t="s">
        <v>7</v>
      </c>
      <c r="H425" s="8" t="s">
        <v>38</v>
      </c>
      <c r="I425" s="9">
        <v>904.89049</v>
      </c>
      <c r="J425">
        <v>952.45130481000001</v>
      </c>
      <c r="K425">
        <v>872.09328621999998</v>
      </c>
      <c r="L425">
        <v>888.86656067179001</v>
      </c>
    </row>
    <row r="426" spans="1:12" x14ac:dyDescent="0.2">
      <c r="A426" s="8" t="s">
        <v>32</v>
      </c>
      <c r="B426" s="8" t="s">
        <v>99</v>
      </c>
      <c r="C426" s="8" t="s">
        <v>147</v>
      </c>
      <c r="D426" s="8" t="s">
        <v>148</v>
      </c>
      <c r="E426" s="8" t="s">
        <v>39</v>
      </c>
      <c r="F426" s="8" t="s">
        <v>40</v>
      </c>
      <c r="G426" s="8" t="s">
        <v>7</v>
      </c>
      <c r="H426" s="8" t="s">
        <v>38</v>
      </c>
      <c r="I426" s="9">
        <v>1841.1251999999999</v>
      </c>
      <c r="J426">
        <v>2091.1932566099999</v>
      </c>
      <c r="K426">
        <v>2133.9235942700002</v>
      </c>
      <c r="L426">
        <v>2341.8849924452002</v>
      </c>
    </row>
    <row r="427" spans="1:12" x14ac:dyDescent="0.2">
      <c r="A427" s="8" t="s">
        <v>32</v>
      </c>
      <c r="B427" s="8" t="s">
        <v>99</v>
      </c>
      <c r="C427" s="8" t="s">
        <v>147</v>
      </c>
      <c r="D427" s="8" t="s">
        <v>148</v>
      </c>
      <c r="E427" s="8" t="s">
        <v>41</v>
      </c>
      <c r="F427" s="8" t="s">
        <v>42</v>
      </c>
      <c r="G427" s="8" t="s">
        <v>7</v>
      </c>
      <c r="H427" s="8" t="s">
        <v>38</v>
      </c>
      <c r="I427" s="9">
        <v>173.07612</v>
      </c>
      <c r="J427">
        <v>277.78140300000001</v>
      </c>
      <c r="K427">
        <v>304.95855434998998</v>
      </c>
      <c r="L427">
        <v>348.19235462045998</v>
      </c>
    </row>
    <row r="428" spans="1:12" x14ac:dyDescent="0.2">
      <c r="A428" s="8" t="s">
        <v>32</v>
      </c>
      <c r="B428" s="8" t="s">
        <v>99</v>
      </c>
      <c r="C428" s="8" t="s">
        <v>147</v>
      </c>
      <c r="D428" s="8" t="s">
        <v>148</v>
      </c>
      <c r="E428" s="8" t="s">
        <v>43</v>
      </c>
      <c r="F428" s="8" t="s">
        <v>44</v>
      </c>
      <c r="G428" s="8" t="s">
        <v>7</v>
      </c>
      <c r="H428" s="8" t="s">
        <v>38</v>
      </c>
      <c r="I428" s="9">
        <v>8573.8320999999996</v>
      </c>
      <c r="J428">
        <v>10897.656994229999</v>
      </c>
      <c r="K428">
        <v>12018.94904139</v>
      </c>
      <c r="L428">
        <v>12351.353433369</v>
      </c>
    </row>
    <row r="429" spans="1:12" x14ac:dyDescent="0.2">
      <c r="A429" s="8" t="s">
        <v>32</v>
      </c>
      <c r="B429" s="8" t="s">
        <v>99</v>
      </c>
      <c r="C429" s="8" t="s">
        <v>147</v>
      </c>
      <c r="D429" s="8" t="s">
        <v>148</v>
      </c>
      <c r="E429" s="8" t="s">
        <v>66</v>
      </c>
      <c r="F429" s="8" t="s">
        <v>67</v>
      </c>
      <c r="G429" s="8" t="s">
        <v>7</v>
      </c>
      <c r="H429" s="8" t="s">
        <v>38</v>
      </c>
      <c r="I429" s="9"/>
    </row>
    <row r="430" spans="1:12" x14ac:dyDescent="0.2">
      <c r="A430" s="8" t="s">
        <v>32</v>
      </c>
      <c r="B430" s="8" t="s">
        <v>99</v>
      </c>
      <c r="C430" s="8" t="s">
        <v>147</v>
      </c>
      <c r="D430" s="8" t="s">
        <v>148</v>
      </c>
      <c r="E430" s="8" t="s">
        <v>49</v>
      </c>
      <c r="F430" s="8" t="s">
        <v>50</v>
      </c>
      <c r="G430" s="8" t="s">
        <v>7</v>
      </c>
      <c r="H430" s="8" t="s">
        <v>38</v>
      </c>
      <c r="I430" s="9">
        <v>2377.8233</v>
      </c>
      <c r="J430">
        <v>2751.2300811199998</v>
      </c>
      <c r="K430">
        <v>2919.43762849</v>
      </c>
      <c r="L430">
        <v>3017.4611960495999</v>
      </c>
    </row>
    <row r="431" spans="1:12" x14ac:dyDescent="0.2">
      <c r="A431" s="8" t="s">
        <v>32</v>
      </c>
      <c r="B431" s="8" t="s">
        <v>99</v>
      </c>
      <c r="C431" s="8" t="s">
        <v>147</v>
      </c>
      <c r="D431" s="8" t="s">
        <v>148</v>
      </c>
      <c r="E431" s="8" t="s">
        <v>51</v>
      </c>
      <c r="F431" s="8" t="s">
        <v>52</v>
      </c>
      <c r="G431" s="8" t="s">
        <v>7</v>
      </c>
      <c r="H431" s="8" t="s">
        <v>38</v>
      </c>
      <c r="I431" s="9"/>
    </row>
    <row r="432" spans="1:12" x14ac:dyDescent="0.2">
      <c r="A432" s="8" t="s">
        <v>32</v>
      </c>
      <c r="B432" s="8" t="s">
        <v>99</v>
      </c>
      <c r="C432" s="8" t="s">
        <v>147</v>
      </c>
      <c r="D432" s="8" t="s">
        <v>148</v>
      </c>
      <c r="E432" s="8" t="s">
        <v>53</v>
      </c>
      <c r="F432" s="8" t="s">
        <v>54</v>
      </c>
      <c r="G432" s="8" t="s">
        <v>7</v>
      </c>
      <c r="H432" s="8" t="s">
        <v>38</v>
      </c>
      <c r="I432" s="9">
        <v>204.09674999999999</v>
      </c>
      <c r="J432">
        <v>194.73343401066001</v>
      </c>
      <c r="K432">
        <v>202.70188602821</v>
      </c>
      <c r="L432">
        <v>200.19867731688001</v>
      </c>
    </row>
    <row r="433" spans="1:12" x14ac:dyDescent="0.2">
      <c r="A433" s="8" t="s">
        <v>32</v>
      </c>
      <c r="B433" s="8" t="s">
        <v>99</v>
      </c>
      <c r="C433" s="8" t="s">
        <v>147</v>
      </c>
      <c r="D433" s="8" t="s">
        <v>148</v>
      </c>
      <c r="E433" s="8" t="s">
        <v>70</v>
      </c>
      <c r="F433" s="8" t="s">
        <v>71</v>
      </c>
      <c r="G433" s="8" t="s">
        <v>7</v>
      </c>
      <c r="H433" s="8" t="s">
        <v>38</v>
      </c>
      <c r="I433" s="9">
        <v>1229.9349999999999</v>
      </c>
      <c r="J433">
        <v>1379.3663916</v>
      </c>
      <c r="K433">
        <v>1494.3135909</v>
      </c>
      <c r="L433">
        <v>1492.6277995029</v>
      </c>
    </row>
    <row r="434" spans="1:12" x14ac:dyDescent="0.2">
      <c r="A434" s="8" t="s">
        <v>32</v>
      </c>
      <c r="B434" s="8" t="s">
        <v>99</v>
      </c>
      <c r="C434" s="8" t="s">
        <v>147</v>
      </c>
      <c r="D434" s="8" t="s">
        <v>148</v>
      </c>
      <c r="E434" s="8" t="s">
        <v>83</v>
      </c>
      <c r="F434" s="8" t="s">
        <v>84</v>
      </c>
      <c r="G434" s="8" t="s">
        <v>7</v>
      </c>
      <c r="H434" s="8" t="s">
        <v>38</v>
      </c>
      <c r="I434" s="9">
        <v>15</v>
      </c>
      <c r="J434">
        <v>15</v>
      </c>
      <c r="K434">
        <v>15</v>
      </c>
      <c r="L434">
        <v>15</v>
      </c>
    </row>
    <row r="435" spans="1:12" x14ac:dyDescent="0.2">
      <c r="A435" s="8" t="s">
        <v>32</v>
      </c>
      <c r="B435" s="8" t="s">
        <v>99</v>
      </c>
      <c r="C435" s="8" t="s">
        <v>147</v>
      </c>
      <c r="D435" s="8" t="s">
        <v>148</v>
      </c>
      <c r="E435" s="8" t="s">
        <v>55</v>
      </c>
      <c r="F435" s="8" t="s">
        <v>56</v>
      </c>
      <c r="G435" s="8" t="s">
        <v>7</v>
      </c>
      <c r="H435" s="8" t="s">
        <v>38</v>
      </c>
      <c r="I435" s="9">
        <v>0.45691670000000001</v>
      </c>
      <c r="J435">
        <v>0.51175849795664996</v>
      </c>
      <c r="K435">
        <v>0.51175849795664996</v>
      </c>
      <c r="L435">
        <v>0.51175849795664996</v>
      </c>
    </row>
    <row r="436" spans="1:12" x14ac:dyDescent="0.2">
      <c r="A436" s="8" t="s">
        <v>32</v>
      </c>
      <c r="B436" s="8" t="s">
        <v>99</v>
      </c>
      <c r="C436" s="8" t="s">
        <v>147</v>
      </c>
      <c r="D436" s="8" t="s">
        <v>148</v>
      </c>
      <c r="E436" s="8" t="s">
        <v>57</v>
      </c>
      <c r="F436" s="8" t="s">
        <v>58</v>
      </c>
      <c r="G436" s="8" t="s">
        <v>7</v>
      </c>
      <c r="H436" s="8" t="s">
        <v>38</v>
      </c>
      <c r="I436" s="9">
        <v>3.9794917000000001</v>
      </c>
      <c r="J436">
        <v>4.4571339339198</v>
      </c>
      <c r="K436">
        <v>4.4571339339198</v>
      </c>
      <c r="L436">
        <v>4.4571339339198</v>
      </c>
    </row>
    <row r="437" spans="1:12" x14ac:dyDescent="0.2">
      <c r="A437" s="8" t="s">
        <v>32</v>
      </c>
      <c r="B437" s="8" t="s">
        <v>99</v>
      </c>
      <c r="C437" s="8" t="s">
        <v>147</v>
      </c>
      <c r="D437" s="8" t="s">
        <v>148</v>
      </c>
      <c r="E437" s="8" t="s">
        <v>72</v>
      </c>
      <c r="F437" s="8" t="s">
        <v>73</v>
      </c>
      <c r="G437" s="8" t="s">
        <v>7</v>
      </c>
      <c r="H437" s="8" t="s">
        <v>38</v>
      </c>
      <c r="I437" s="9"/>
    </row>
    <row r="438" spans="1:12" x14ac:dyDescent="0.2">
      <c r="A438" s="8" t="s">
        <v>32</v>
      </c>
      <c r="B438" s="8" t="s">
        <v>99</v>
      </c>
      <c r="C438" s="8" t="s">
        <v>147</v>
      </c>
      <c r="D438" s="8" t="s">
        <v>148</v>
      </c>
      <c r="E438" s="8" t="s">
        <v>74</v>
      </c>
      <c r="F438" s="8" t="s">
        <v>75</v>
      </c>
      <c r="G438" s="8" t="s">
        <v>7</v>
      </c>
      <c r="H438" s="8" t="s">
        <v>38</v>
      </c>
      <c r="I438" s="9">
        <v>1.6639999999999999</v>
      </c>
      <c r="J438">
        <v>2.08</v>
      </c>
      <c r="K438">
        <v>2.08</v>
      </c>
      <c r="L438">
        <v>2.3111111111110998</v>
      </c>
    </row>
    <row r="439" spans="1:12" x14ac:dyDescent="0.2">
      <c r="A439" s="8" t="s">
        <v>32</v>
      </c>
      <c r="B439" s="8" t="s">
        <v>99</v>
      </c>
      <c r="C439" s="8" t="s">
        <v>147</v>
      </c>
      <c r="D439" s="8" t="s">
        <v>148</v>
      </c>
      <c r="E439" s="8" t="s">
        <v>59</v>
      </c>
      <c r="F439" s="8" t="s">
        <v>60</v>
      </c>
      <c r="G439" s="8" t="s">
        <v>7</v>
      </c>
      <c r="H439" s="8" t="s">
        <v>38</v>
      </c>
      <c r="I439" s="9">
        <v>62.638396999999998</v>
      </c>
      <c r="J439">
        <v>64.844836415657994</v>
      </c>
      <c r="K439">
        <v>65.873771594640004</v>
      </c>
      <c r="L439">
        <v>65.497391799351007</v>
      </c>
    </row>
    <row r="440" spans="1:12" x14ac:dyDescent="0.2">
      <c r="A440" s="8" t="s">
        <v>32</v>
      </c>
      <c r="B440" s="8" t="s">
        <v>99</v>
      </c>
      <c r="C440" s="8" t="s">
        <v>147</v>
      </c>
      <c r="D440" s="8" t="s">
        <v>148</v>
      </c>
      <c r="E440" s="8" t="s">
        <v>92</v>
      </c>
      <c r="F440" s="8" t="s">
        <v>93</v>
      </c>
      <c r="G440" s="8" t="s">
        <v>7</v>
      </c>
      <c r="H440" s="8" t="s">
        <v>38</v>
      </c>
      <c r="I440" s="9">
        <v>2.4664913999999998</v>
      </c>
      <c r="J440">
        <v>2.5140315976008001</v>
      </c>
      <c r="K440">
        <v>2.5621732764787</v>
      </c>
      <c r="L440">
        <v>2.6093386413787001</v>
      </c>
    </row>
    <row r="441" spans="1:12" x14ac:dyDescent="0.2">
      <c r="A441" s="8" t="s">
        <v>32</v>
      </c>
      <c r="B441" s="8" t="s">
        <v>149</v>
      </c>
      <c r="C441" s="8" t="s">
        <v>150</v>
      </c>
      <c r="D441" s="8" t="s">
        <v>149</v>
      </c>
      <c r="E441" s="8" t="s">
        <v>36</v>
      </c>
      <c r="F441" s="8" t="s">
        <v>37</v>
      </c>
      <c r="G441" s="8" t="s">
        <v>7</v>
      </c>
      <c r="H441" s="8" t="s">
        <v>38</v>
      </c>
      <c r="I441" s="9">
        <v>62457.648999999998</v>
      </c>
      <c r="J441">
        <v>87868.772900349999</v>
      </c>
      <c r="K441">
        <v>50414.0775832</v>
      </c>
      <c r="L441">
        <v>46211.962484778</v>
      </c>
    </row>
    <row r="442" spans="1:12" x14ac:dyDescent="0.2">
      <c r="A442" s="8" t="s">
        <v>32</v>
      </c>
      <c r="B442" s="8" t="s">
        <v>149</v>
      </c>
      <c r="C442" s="8" t="s">
        <v>150</v>
      </c>
      <c r="D442" s="8" t="s">
        <v>149</v>
      </c>
      <c r="E442" s="8" t="s">
        <v>64</v>
      </c>
      <c r="F442" s="8" t="s">
        <v>65</v>
      </c>
      <c r="G442" s="8" t="s">
        <v>7</v>
      </c>
      <c r="H442" s="8" t="s">
        <v>38</v>
      </c>
      <c r="I442" s="9">
        <v>22119.206999999999</v>
      </c>
      <c r="J442">
        <v>22424.11061924</v>
      </c>
      <c r="K442">
        <v>21082.351503590002</v>
      </c>
      <c r="L442">
        <v>21848.365290672002</v>
      </c>
    </row>
    <row r="443" spans="1:12" x14ac:dyDescent="0.2">
      <c r="A443" s="8" t="s">
        <v>32</v>
      </c>
      <c r="B443" s="8" t="s">
        <v>149</v>
      </c>
      <c r="C443" s="8" t="s">
        <v>150</v>
      </c>
      <c r="D443" s="8" t="s">
        <v>149</v>
      </c>
      <c r="E443" s="8" t="s">
        <v>39</v>
      </c>
      <c r="F443" s="8" t="s">
        <v>40</v>
      </c>
      <c r="G443" s="8" t="s">
        <v>7</v>
      </c>
      <c r="H443" s="8" t="s">
        <v>38</v>
      </c>
      <c r="I443" s="9">
        <v>78542.376999999993</v>
      </c>
      <c r="J443">
        <v>88564.409156149995</v>
      </c>
      <c r="K443">
        <v>89223.951122400002</v>
      </c>
      <c r="L443">
        <v>85491.017907026006</v>
      </c>
    </row>
    <row r="444" spans="1:12" x14ac:dyDescent="0.2">
      <c r="A444" s="8" t="s">
        <v>32</v>
      </c>
      <c r="B444" s="8" t="s">
        <v>149</v>
      </c>
      <c r="C444" s="8" t="s">
        <v>150</v>
      </c>
      <c r="D444" s="8" t="s">
        <v>149</v>
      </c>
      <c r="E444" s="8" t="s">
        <v>41</v>
      </c>
      <c r="F444" s="8" t="s">
        <v>42</v>
      </c>
      <c r="G444" s="8" t="s">
        <v>7</v>
      </c>
      <c r="H444" s="8" t="s">
        <v>38</v>
      </c>
      <c r="I444" s="9">
        <v>5759.06</v>
      </c>
      <c r="J444">
        <v>7638.0583082000003</v>
      </c>
      <c r="K444">
        <v>9460.9462596499998</v>
      </c>
      <c r="L444">
        <v>9946.3560880829009</v>
      </c>
    </row>
    <row r="445" spans="1:12" x14ac:dyDescent="0.2">
      <c r="A445" s="8" t="s">
        <v>32</v>
      </c>
      <c r="B445" s="8" t="s">
        <v>149</v>
      </c>
      <c r="C445" s="8" t="s">
        <v>150</v>
      </c>
      <c r="D445" s="8" t="s">
        <v>149</v>
      </c>
      <c r="E445" s="8" t="s">
        <v>43</v>
      </c>
      <c r="F445" s="8" t="s">
        <v>44</v>
      </c>
      <c r="G445" s="8" t="s">
        <v>7</v>
      </c>
      <c r="H445" s="8" t="s">
        <v>38</v>
      </c>
      <c r="I445" s="9">
        <v>167637.60999999999</v>
      </c>
      <c r="J445">
        <v>183772.91548490999</v>
      </c>
      <c r="K445">
        <v>194611.20980079001</v>
      </c>
      <c r="L445">
        <v>200638.78747548</v>
      </c>
    </row>
    <row r="446" spans="1:12" x14ac:dyDescent="0.2">
      <c r="A446" s="8" t="s">
        <v>32</v>
      </c>
      <c r="B446" s="8" t="s">
        <v>149</v>
      </c>
      <c r="C446" s="8" t="s">
        <v>150</v>
      </c>
      <c r="D446" s="8" t="s">
        <v>149</v>
      </c>
      <c r="E446" s="8" t="s">
        <v>66</v>
      </c>
      <c r="F446" s="8" t="s">
        <v>67</v>
      </c>
      <c r="G446" s="8" t="s">
        <v>7</v>
      </c>
      <c r="H446" s="8" t="s">
        <v>38</v>
      </c>
      <c r="I446" s="9">
        <v>2917.3703999999998</v>
      </c>
      <c r="J446">
        <v>2896.5953425500002</v>
      </c>
      <c r="K446">
        <v>2961.2168632799999</v>
      </c>
      <c r="L446">
        <v>3079.7931338802</v>
      </c>
    </row>
    <row r="447" spans="1:12" x14ac:dyDescent="0.2">
      <c r="A447" s="8" t="s">
        <v>32</v>
      </c>
      <c r="B447" s="8" t="s">
        <v>149</v>
      </c>
      <c r="C447" s="8" t="s">
        <v>150</v>
      </c>
      <c r="D447" s="8" t="s">
        <v>149</v>
      </c>
      <c r="E447" s="8" t="s">
        <v>45</v>
      </c>
      <c r="F447" s="8" t="s">
        <v>46</v>
      </c>
      <c r="G447" s="8" t="s">
        <v>7</v>
      </c>
      <c r="H447" s="8" t="s">
        <v>38</v>
      </c>
      <c r="I447" s="9">
        <v>3651.4283</v>
      </c>
      <c r="J447">
        <v>3616.3160906100002</v>
      </c>
      <c r="K447">
        <v>3519.9159884999999</v>
      </c>
      <c r="L447">
        <v>3484.3368880804001</v>
      </c>
    </row>
    <row r="448" spans="1:12" x14ac:dyDescent="0.2">
      <c r="A448" s="8" t="s">
        <v>32</v>
      </c>
      <c r="B448" s="8" t="s">
        <v>149</v>
      </c>
      <c r="C448" s="8" t="s">
        <v>150</v>
      </c>
      <c r="D448" s="8" t="s">
        <v>149</v>
      </c>
      <c r="E448" s="8" t="s">
        <v>47</v>
      </c>
      <c r="F448" s="8" t="s">
        <v>48</v>
      </c>
      <c r="G448" s="8" t="s">
        <v>7</v>
      </c>
      <c r="H448" s="8" t="s">
        <v>38</v>
      </c>
      <c r="I448" s="9">
        <v>2641.8589000000002</v>
      </c>
      <c r="J448">
        <v>2241.9868795500001</v>
      </c>
      <c r="K448">
        <v>2023.6631154300001</v>
      </c>
      <c r="L448">
        <v>1022.4473047033</v>
      </c>
    </row>
    <row r="449" spans="1:12" x14ac:dyDescent="0.2">
      <c r="A449" s="8" t="s">
        <v>32</v>
      </c>
      <c r="B449" s="8" t="s">
        <v>149</v>
      </c>
      <c r="C449" s="8" t="s">
        <v>150</v>
      </c>
      <c r="D449" s="8" t="s">
        <v>149</v>
      </c>
      <c r="E449" s="8" t="s">
        <v>49</v>
      </c>
      <c r="F449" s="8" t="s">
        <v>50</v>
      </c>
      <c r="G449" s="8" t="s">
        <v>7</v>
      </c>
      <c r="H449" s="8" t="s">
        <v>38</v>
      </c>
      <c r="I449" s="9">
        <v>40278.860999999997</v>
      </c>
      <c r="J449">
        <v>40110.032644029998</v>
      </c>
      <c r="K449">
        <v>40638.154816230002</v>
      </c>
      <c r="L449">
        <v>42180.095794629997</v>
      </c>
    </row>
    <row r="450" spans="1:12" x14ac:dyDescent="0.2">
      <c r="A450" s="8" t="s">
        <v>32</v>
      </c>
      <c r="B450" s="8" t="s">
        <v>149</v>
      </c>
      <c r="C450" s="8" t="s">
        <v>150</v>
      </c>
      <c r="D450" s="8" t="s">
        <v>149</v>
      </c>
      <c r="E450" s="8" t="s">
        <v>51</v>
      </c>
      <c r="F450" s="8" t="s">
        <v>52</v>
      </c>
      <c r="G450" s="8" t="s">
        <v>7</v>
      </c>
      <c r="H450" s="8" t="s">
        <v>38</v>
      </c>
      <c r="I450" s="9"/>
    </row>
    <row r="451" spans="1:12" x14ac:dyDescent="0.2">
      <c r="A451" s="8" t="s">
        <v>32</v>
      </c>
      <c r="B451" s="8" t="s">
        <v>149</v>
      </c>
      <c r="C451" s="8" t="s">
        <v>150</v>
      </c>
      <c r="D451" s="8" t="s">
        <v>149</v>
      </c>
      <c r="E451" s="8" t="s">
        <v>68</v>
      </c>
      <c r="F451" s="8" t="s">
        <v>69</v>
      </c>
      <c r="G451" s="8" t="s">
        <v>7</v>
      </c>
      <c r="H451" s="8" t="s">
        <v>38</v>
      </c>
      <c r="I451" s="9">
        <v>1312.0201</v>
      </c>
      <c r="J451">
        <v>1564.5680707172</v>
      </c>
      <c r="K451">
        <v>1469.4253917676001</v>
      </c>
      <c r="L451">
        <v>1392.5953129648999</v>
      </c>
    </row>
    <row r="452" spans="1:12" x14ac:dyDescent="0.2">
      <c r="A452" s="8" t="s">
        <v>32</v>
      </c>
      <c r="B452" s="8" t="s">
        <v>149</v>
      </c>
      <c r="C452" s="8" t="s">
        <v>150</v>
      </c>
      <c r="D452" s="8" t="s">
        <v>149</v>
      </c>
      <c r="E452" s="8" t="s">
        <v>53</v>
      </c>
      <c r="F452" s="8" t="s">
        <v>54</v>
      </c>
      <c r="G452" s="8" t="s">
        <v>7</v>
      </c>
      <c r="H452" s="8" t="s">
        <v>38</v>
      </c>
      <c r="I452" s="9">
        <v>4465.1592000000001</v>
      </c>
      <c r="J452">
        <v>3962.5983762828</v>
      </c>
      <c r="K452">
        <v>3619.3438422878999</v>
      </c>
      <c r="L452">
        <v>4348.3241420447002</v>
      </c>
    </row>
    <row r="453" spans="1:12" x14ac:dyDescent="0.2">
      <c r="A453" s="8" t="s">
        <v>32</v>
      </c>
      <c r="B453" s="8" t="s">
        <v>149</v>
      </c>
      <c r="C453" s="8" t="s">
        <v>150</v>
      </c>
      <c r="D453" s="8" t="s">
        <v>149</v>
      </c>
      <c r="E453" s="8" t="s">
        <v>70</v>
      </c>
      <c r="F453" s="8" t="s">
        <v>71</v>
      </c>
      <c r="G453" s="8" t="s">
        <v>7</v>
      </c>
      <c r="H453" s="8" t="s">
        <v>38</v>
      </c>
      <c r="I453" s="9">
        <v>21587.987000000001</v>
      </c>
      <c r="J453">
        <v>23296.582399999999</v>
      </c>
      <c r="K453">
        <v>22469.865600000001</v>
      </c>
      <c r="L453">
        <v>23691.200000000001</v>
      </c>
    </row>
    <row r="454" spans="1:12" x14ac:dyDescent="0.2">
      <c r="A454" s="8" t="s">
        <v>32</v>
      </c>
      <c r="B454" s="8" t="s">
        <v>149</v>
      </c>
      <c r="C454" s="8" t="s">
        <v>150</v>
      </c>
      <c r="D454" s="8" t="s">
        <v>149</v>
      </c>
      <c r="E454" s="8" t="s">
        <v>83</v>
      </c>
      <c r="F454" s="8" t="s">
        <v>84</v>
      </c>
      <c r="G454" s="8" t="s">
        <v>7</v>
      </c>
      <c r="H454" s="8" t="s">
        <v>38</v>
      </c>
      <c r="I454" s="9">
        <v>6000</v>
      </c>
      <c r="J454">
        <v>6300</v>
      </c>
      <c r="K454">
        <v>6225</v>
      </c>
      <c r="L454">
        <v>6075</v>
      </c>
    </row>
    <row r="455" spans="1:12" x14ac:dyDescent="0.2">
      <c r="A455" s="8" t="s">
        <v>32</v>
      </c>
      <c r="B455" s="8" t="s">
        <v>149</v>
      </c>
      <c r="C455" s="8" t="s">
        <v>150</v>
      </c>
      <c r="D455" s="8" t="s">
        <v>149</v>
      </c>
      <c r="E455" s="8" t="s">
        <v>55</v>
      </c>
      <c r="F455" s="8" t="s">
        <v>56</v>
      </c>
      <c r="G455" s="8" t="s">
        <v>7</v>
      </c>
      <c r="H455" s="8" t="s">
        <v>38</v>
      </c>
      <c r="I455" s="9">
        <v>11.4544</v>
      </c>
      <c r="J455">
        <v>12.382729874646</v>
      </c>
      <c r="K455">
        <v>12.195112755333</v>
      </c>
      <c r="L455">
        <v>12.004564118531</v>
      </c>
    </row>
    <row r="456" spans="1:12" x14ac:dyDescent="0.2">
      <c r="A456" s="8" t="s">
        <v>32</v>
      </c>
      <c r="B456" s="8" t="s">
        <v>149</v>
      </c>
      <c r="C456" s="8" t="s">
        <v>150</v>
      </c>
      <c r="D456" s="8" t="s">
        <v>149</v>
      </c>
      <c r="E456" s="8" t="s">
        <v>57</v>
      </c>
      <c r="F456" s="8" t="s">
        <v>58</v>
      </c>
      <c r="G456" s="8" t="s">
        <v>7</v>
      </c>
      <c r="H456" s="8" t="s">
        <v>38</v>
      </c>
      <c r="I456" s="9">
        <v>742.17249000000004</v>
      </c>
      <c r="J456">
        <v>802.32235672651996</v>
      </c>
      <c r="K456">
        <v>790.16595738216995</v>
      </c>
      <c r="L456">
        <v>777.81961429807996</v>
      </c>
    </row>
    <row r="457" spans="1:12" x14ac:dyDescent="0.2">
      <c r="A457" s="8" t="s">
        <v>32</v>
      </c>
      <c r="B457" s="8" t="s">
        <v>149</v>
      </c>
      <c r="C457" s="8" t="s">
        <v>150</v>
      </c>
      <c r="D457" s="8" t="s">
        <v>149</v>
      </c>
      <c r="E457" s="8" t="s">
        <v>72</v>
      </c>
      <c r="F457" s="8" t="s">
        <v>73</v>
      </c>
      <c r="G457" s="8" t="s">
        <v>7</v>
      </c>
      <c r="H457" s="8" t="s">
        <v>38</v>
      </c>
      <c r="I457" s="9">
        <v>4502.5712999999996</v>
      </c>
      <c r="J457">
        <v>5558.0283500349997</v>
      </c>
      <c r="K457">
        <v>5604.9198470527999</v>
      </c>
      <c r="L457">
        <v>4884.6132148728002</v>
      </c>
    </row>
    <row r="458" spans="1:12" x14ac:dyDescent="0.2">
      <c r="A458" s="8" t="s">
        <v>32</v>
      </c>
      <c r="B458" s="8" t="s">
        <v>149</v>
      </c>
      <c r="C458" s="8" t="s">
        <v>150</v>
      </c>
      <c r="D458" s="8" t="s">
        <v>149</v>
      </c>
      <c r="E458" s="8" t="s">
        <v>74</v>
      </c>
      <c r="F458" s="8" t="s">
        <v>75</v>
      </c>
      <c r="G458" s="8" t="s">
        <v>7</v>
      </c>
      <c r="H458" s="8" t="s">
        <v>38</v>
      </c>
      <c r="I458" s="9">
        <v>8728.8150000000005</v>
      </c>
      <c r="J458">
        <v>9547.1885417711001</v>
      </c>
      <c r="K458">
        <v>9036.9168508738003</v>
      </c>
      <c r="L458">
        <v>8999.7417589315992</v>
      </c>
    </row>
    <row r="459" spans="1:12" x14ac:dyDescent="0.2">
      <c r="A459" s="8" t="s">
        <v>32</v>
      </c>
      <c r="B459" s="8" t="s">
        <v>149</v>
      </c>
      <c r="C459" s="8" t="s">
        <v>150</v>
      </c>
      <c r="D459" s="8" t="s">
        <v>149</v>
      </c>
      <c r="E459" s="8" t="s">
        <v>59</v>
      </c>
      <c r="F459" s="8" t="s">
        <v>60</v>
      </c>
      <c r="G459" s="8" t="s">
        <v>7</v>
      </c>
      <c r="H459" s="8" t="s">
        <v>38</v>
      </c>
      <c r="I459" s="9">
        <v>2748.6709999999998</v>
      </c>
      <c r="J459">
        <v>2927.9819729516998</v>
      </c>
      <c r="K459">
        <v>2916.0803603933</v>
      </c>
      <c r="L459">
        <v>2905.2880028379</v>
      </c>
    </row>
    <row r="460" spans="1:12" x14ac:dyDescent="0.2">
      <c r="A460" s="8" t="s">
        <v>32</v>
      </c>
      <c r="B460" s="8" t="s">
        <v>149</v>
      </c>
      <c r="C460" s="8" t="s">
        <v>150</v>
      </c>
      <c r="D460" s="8" t="s">
        <v>149</v>
      </c>
      <c r="E460" s="8" t="s">
        <v>76</v>
      </c>
      <c r="F460" s="8" t="s">
        <v>77</v>
      </c>
      <c r="G460" s="8" t="s">
        <v>7</v>
      </c>
      <c r="H460" s="8" t="s">
        <v>38</v>
      </c>
      <c r="I460" s="9">
        <v>6839.8</v>
      </c>
      <c r="J460">
        <v>7594.0857156750999</v>
      </c>
      <c r="K460">
        <v>7820.0571445812002</v>
      </c>
      <c r="L460">
        <v>7631.6220326636003</v>
      </c>
    </row>
    <row r="461" spans="1:12" x14ac:dyDescent="0.2">
      <c r="A461" s="8" t="s">
        <v>32</v>
      </c>
      <c r="B461" s="8" t="s">
        <v>149</v>
      </c>
      <c r="C461" s="8" t="s">
        <v>150</v>
      </c>
      <c r="D461" s="8" t="s">
        <v>149</v>
      </c>
      <c r="E461" s="8" t="s">
        <v>78</v>
      </c>
      <c r="F461" s="8" t="s">
        <v>79</v>
      </c>
      <c r="G461" s="8" t="s">
        <v>7</v>
      </c>
      <c r="H461" s="8" t="s">
        <v>38</v>
      </c>
      <c r="I461" s="9">
        <v>4683.1706000000004</v>
      </c>
      <c r="J461">
        <v>5237.8847619428998</v>
      </c>
      <c r="K461">
        <v>5067.6990785999997</v>
      </c>
      <c r="L461">
        <v>5311.4904628456998</v>
      </c>
    </row>
    <row r="462" spans="1:12" x14ac:dyDescent="0.2">
      <c r="A462" s="8" t="s">
        <v>32</v>
      </c>
      <c r="B462" s="8" t="s">
        <v>149</v>
      </c>
      <c r="C462" s="8" t="s">
        <v>150</v>
      </c>
      <c r="D462" s="8" t="s">
        <v>149</v>
      </c>
      <c r="E462" s="8" t="s">
        <v>92</v>
      </c>
      <c r="F462" s="8" t="s">
        <v>93</v>
      </c>
      <c r="G462" s="8" t="s">
        <v>7</v>
      </c>
      <c r="H462" s="8" t="s">
        <v>38</v>
      </c>
      <c r="I462" s="9">
        <v>293.78208000000001</v>
      </c>
      <c r="J462">
        <v>296.55386753834</v>
      </c>
      <c r="K462">
        <v>299.23899783590002</v>
      </c>
      <c r="L462">
        <v>302.10361039447002</v>
      </c>
    </row>
    <row r="463" spans="1:12" x14ac:dyDescent="0.2">
      <c r="A463" s="8" t="s">
        <v>32</v>
      </c>
      <c r="B463" s="8" t="s">
        <v>33</v>
      </c>
      <c r="C463" s="8" t="s">
        <v>151</v>
      </c>
      <c r="D463" s="8" t="s">
        <v>152</v>
      </c>
      <c r="E463" s="8" t="s">
        <v>36</v>
      </c>
      <c r="F463" s="8" t="s">
        <v>37</v>
      </c>
      <c r="G463" s="8" t="s">
        <v>7</v>
      </c>
      <c r="H463" s="8" t="s">
        <v>38</v>
      </c>
      <c r="I463" s="9">
        <v>311.01900999999998</v>
      </c>
      <c r="J463">
        <v>283.36639401114002</v>
      </c>
      <c r="K463">
        <v>302.95671173301997</v>
      </c>
      <c r="L463">
        <v>302.36698316854</v>
      </c>
    </row>
    <row r="464" spans="1:12" x14ac:dyDescent="0.2">
      <c r="A464" s="8" t="s">
        <v>32</v>
      </c>
      <c r="B464" s="8" t="s">
        <v>33</v>
      </c>
      <c r="C464" s="8" t="s">
        <v>151</v>
      </c>
      <c r="D464" s="8" t="s">
        <v>152</v>
      </c>
      <c r="E464" s="8" t="s">
        <v>64</v>
      </c>
      <c r="F464" s="8" t="s">
        <v>65</v>
      </c>
      <c r="G464" s="8" t="s">
        <v>7</v>
      </c>
      <c r="H464" s="8" t="s">
        <v>38</v>
      </c>
      <c r="I464" s="9">
        <v>0.1214374</v>
      </c>
      <c r="J464">
        <v>8.0389577938708004E-2</v>
      </c>
      <c r="K464">
        <v>0.14483803733399001</v>
      </c>
      <c r="L464">
        <v>0.16522752386376</v>
      </c>
    </row>
    <row r="465" spans="1:12" x14ac:dyDescent="0.2">
      <c r="A465" s="8" t="s">
        <v>32</v>
      </c>
      <c r="B465" s="8" t="s">
        <v>33</v>
      </c>
      <c r="C465" s="8" t="s">
        <v>151</v>
      </c>
      <c r="D465" s="8" t="s">
        <v>152</v>
      </c>
      <c r="E465" s="8" t="s">
        <v>39</v>
      </c>
      <c r="F465" s="8" t="s">
        <v>40</v>
      </c>
      <c r="G465" s="8" t="s">
        <v>7</v>
      </c>
      <c r="H465" s="8" t="s">
        <v>38</v>
      </c>
      <c r="I465" s="9">
        <v>35.467722000000002</v>
      </c>
      <c r="J465">
        <v>38.310471563264002</v>
      </c>
      <c r="K465">
        <v>40.958737658552003</v>
      </c>
      <c r="L465">
        <v>40.878558380439003</v>
      </c>
    </row>
    <row r="466" spans="1:12" x14ac:dyDescent="0.2">
      <c r="A466" s="8" t="s">
        <v>32</v>
      </c>
      <c r="B466" s="8" t="s">
        <v>33</v>
      </c>
      <c r="C466" s="8" t="s">
        <v>151</v>
      </c>
      <c r="D466" s="8" t="s">
        <v>152</v>
      </c>
      <c r="E466" s="8" t="s">
        <v>41</v>
      </c>
      <c r="F466" s="8" t="s">
        <v>42</v>
      </c>
      <c r="G466" s="8" t="s">
        <v>7</v>
      </c>
      <c r="H466" s="8" t="s">
        <v>38</v>
      </c>
      <c r="I466" s="9">
        <v>14.970865</v>
      </c>
      <c r="J466">
        <v>13.964951328303</v>
      </c>
      <c r="K466">
        <v>14.92743815631</v>
      </c>
      <c r="L466">
        <v>17.043692547582999</v>
      </c>
    </row>
    <row r="467" spans="1:12" x14ac:dyDescent="0.2">
      <c r="A467" s="8" t="s">
        <v>32</v>
      </c>
      <c r="B467" s="8" t="s">
        <v>33</v>
      </c>
      <c r="C467" s="8" t="s">
        <v>151</v>
      </c>
      <c r="D467" s="8" t="s">
        <v>152</v>
      </c>
      <c r="E467" s="8" t="s">
        <v>43</v>
      </c>
      <c r="F467" s="8" t="s">
        <v>44</v>
      </c>
      <c r="G467" s="8" t="s">
        <v>7</v>
      </c>
      <c r="H467" s="8" t="s">
        <v>38</v>
      </c>
      <c r="I467" s="9">
        <v>171.37164000000001</v>
      </c>
      <c r="J467">
        <v>160.22211356277001</v>
      </c>
      <c r="K467">
        <v>171.26515540487</v>
      </c>
      <c r="L467">
        <v>170.91836280552999</v>
      </c>
    </row>
    <row r="468" spans="1:12" x14ac:dyDescent="0.2">
      <c r="A468" s="8" t="s">
        <v>32</v>
      </c>
      <c r="B468" s="8" t="s">
        <v>33</v>
      </c>
      <c r="C468" s="8" t="s">
        <v>151</v>
      </c>
      <c r="D468" s="8" t="s">
        <v>152</v>
      </c>
      <c r="E468" s="8" t="s">
        <v>45</v>
      </c>
      <c r="F468" s="8" t="s">
        <v>46</v>
      </c>
      <c r="G468" s="8" t="s">
        <v>7</v>
      </c>
      <c r="H468" s="8" t="s">
        <v>38</v>
      </c>
      <c r="I468" s="9">
        <v>13.168267999999999</v>
      </c>
      <c r="J468">
        <v>11.976076945068</v>
      </c>
      <c r="K468">
        <v>12.801608662675999</v>
      </c>
      <c r="L468">
        <v>13.641675191858001</v>
      </c>
    </row>
    <row r="469" spans="1:12" x14ac:dyDescent="0.2">
      <c r="A469" s="8" t="s">
        <v>32</v>
      </c>
      <c r="B469" s="8" t="s">
        <v>33</v>
      </c>
      <c r="C469" s="8" t="s">
        <v>151</v>
      </c>
      <c r="D469" s="8" t="s">
        <v>152</v>
      </c>
      <c r="E469" s="8" t="s">
        <v>47</v>
      </c>
      <c r="F469" s="8" t="s">
        <v>48</v>
      </c>
      <c r="G469" s="8" t="s">
        <v>7</v>
      </c>
      <c r="H469" s="8" t="s">
        <v>38</v>
      </c>
      <c r="I469" s="9">
        <v>5.6547245000000004</v>
      </c>
      <c r="J469">
        <v>4.8324115519254001</v>
      </c>
      <c r="K469">
        <v>5.1655692110061997</v>
      </c>
      <c r="L469">
        <v>5.1551095166831002</v>
      </c>
    </row>
    <row r="470" spans="1:12" x14ac:dyDescent="0.2">
      <c r="A470" s="8" t="s">
        <v>32</v>
      </c>
      <c r="B470" s="8" t="s">
        <v>33</v>
      </c>
      <c r="C470" s="8" t="s">
        <v>151</v>
      </c>
      <c r="D470" s="8" t="s">
        <v>152</v>
      </c>
      <c r="E470" s="8" t="s">
        <v>49</v>
      </c>
      <c r="F470" s="8" t="s">
        <v>50</v>
      </c>
      <c r="G470" s="8" t="s">
        <v>7</v>
      </c>
      <c r="H470" s="8" t="s">
        <v>38</v>
      </c>
      <c r="I470" s="9">
        <v>47.354882000000003</v>
      </c>
      <c r="J470">
        <v>42.952851798559998</v>
      </c>
      <c r="K470">
        <v>44.526225429226002</v>
      </c>
      <c r="L470">
        <v>44.475115023264998</v>
      </c>
    </row>
    <row r="471" spans="1:12" x14ac:dyDescent="0.2">
      <c r="A471" s="8" t="s">
        <v>32</v>
      </c>
      <c r="B471" s="8" t="s">
        <v>33</v>
      </c>
      <c r="C471" s="8" t="s">
        <v>151</v>
      </c>
      <c r="D471" s="8" t="s">
        <v>152</v>
      </c>
      <c r="E471" s="8" t="s">
        <v>51</v>
      </c>
      <c r="F471" s="8" t="s">
        <v>52</v>
      </c>
      <c r="G471" s="8" t="s">
        <v>7</v>
      </c>
      <c r="H471" s="8" t="s">
        <v>38</v>
      </c>
      <c r="I471" s="9">
        <v>3.6170855</v>
      </c>
      <c r="J471">
        <v>3.5606012967319001</v>
      </c>
      <c r="K471">
        <v>3.8059723873025999</v>
      </c>
      <c r="L471">
        <v>3.7982657230129999</v>
      </c>
    </row>
    <row r="472" spans="1:12" x14ac:dyDescent="0.2">
      <c r="A472" s="8" t="s">
        <v>32</v>
      </c>
      <c r="B472" s="8" t="s">
        <v>33</v>
      </c>
      <c r="C472" s="8" t="s">
        <v>151</v>
      </c>
      <c r="D472" s="8" t="s">
        <v>152</v>
      </c>
      <c r="E472" s="8" t="s">
        <v>68</v>
      </c>
      <c r="F472" s="8" t="s">
        <v>69</v>
      </c>
      <c r="G472" s="8" t="s">
        <v>7</v>
      </c>
      <c r="H472" s="8" t="s">
        <v>38</v>
      </c>
      <c r="I472" s="9"/>
    </row>
    <row r="473" spans="1:12" x14ac:dyDescent="0.2">
      <c r="A473" s="8" t="s">
        <v>32</v>
      </c>
      <c r="B473" s="8" t="s">
        <v>33</v>
      </c>
      <c r="C473" s="8" t="s">
        <v>151</v>
      </c>
      <c r="D473" s="8" t="s">
        <v>152</v>
      </c>
      <c r="E473" s="8" t="s">
        <v>53</v>
      </c>
      <c r="F473" s="8" t="s">
        <v>54</v>
      </c>
      <c r="G473" s="8" t="s">
        <v>7</v>
      </c>
      <c r="H473" s="8" t="s">
        <v>38</v>
      </c>
      <c r="I473" s="9">
        <v>0.56432510000000002</v>
      </c>
      <c r="J473">
        <v>0.65990344280837998</v>
      </c>
      <c r="K473">
        <v>0.68873124280838005</v>
      </c>
      <c r="L473">
        <v>0.65609565846536999</v>
      </c>
    </row>
    <row r="474" spans="1:12" x14ac:dyDescent="0.2">
      <c r="A474" s="8" t="s">
        <v>32</v>
      </c>
      <c r="B474" s="8" t="s">
        <v>33</v>
      </c>
      <c r="C474" s="8" t="s">
        <v>151</v>
      </c>
      <c r="D474" s="8" t="s">
        <v>152</v>
      </c>
      <c r="E474" s="8" t="s">
        <v>70</v>
      </c>
      <c r="F474" s="8" t="s">
        <v>71</v>
      </c>
      <c r="G474" s="8" t="s">
        <v>7</v>
      </c>
      <c r="H474" s="8" t="s">
        <v>38</v>
      </c>
      <c r="I474" s="9">
        <v>67.19932</v>
      </c>
      <c r="J474">
        <v>89.599093199999999</v>
      </c>
      <c r="K474">
        <v>89.599093199999999</v>
      </c>
      <c r="L474">
        <v>89.498013091096993</v>
      </c>
    </row>
    <row r="475" spans="1:12" x14ac:dyDescent="0.2">
      <c r="A475" s="8" t="s">
        <v>32</v>
      </c>
      <c r="B475" s="8" t="s">
        <v>33</v>
      </c>
      <c r="C475" s="8" t="s">
        <v>151</v>
      </c>
      <c r="D475" s="8" t="s">
        <v>152</v>
      </c>
      <c r="E475" s="8" t="s">
        <v>55</v>
      </c>
      <c r="F475" s="8" t="s">
        <v>56</v>
      </c>
      <c r="G475" s="8" t="s">
        <v>7</v>
      </c>
      <c r="H475" s="8" t="s">
        <v>38</v>
      </c>
      <c r="I475" s="9">
        <v>1.4334100000000001E-2</v>
      </c>
      <c r="J475">
        <v>1.6054516655170999E-2</v>
      </c>
      <c r="K475">
        <v>1.6054516655170999E-2</v>
      </c>
      <c r="L475">
        <v>1.6054516655170999E-2</v>
      </c>
    </row>
    <row r="476" spans="1:12" x14ac:dyDescent="0.2">
      <c r="A476" s="8" t="s">
        <v>32</v>
      </c>
      <c r="B476" s="8" t="s">
        <v>33</v>
      </c>
      <c r="C476" s="8" t="s">
        <v>151</v>
      </c>
      <c r="D476" s="8" t="s">
        <v>152</v>
      </c>
      <c r="E476" s="8" t="s">
        <v>57</v>
      </c>
      <c r="F476" s="8" t="s">
        <v>58</v>
      </c>
      <c r="G476" s="8" t="s">
        <v>7</v>
      </c>
      <c r="H476" s="8" t="s">
        <v>38</v>
      </c>
      <c r="I476" s="9">
        <v>1.2305E-3</v>
      </c>
      <c r="J476">
        <v>1.3781639085479001E-3</v>
      </c>
      <c r="K476">
        <v>1.3781639085479001E-3</v>
      </c>
      <c r="L476">
        <v>1.3781639085479001E-3</v>
      </c>
    </row>
    <row r="477" spans="1:12" x14ac:dyDescent="0.2">
      <c r="A477" s="8" t="s">
        <v>32</v>
      </c>
      <c r="B477" s="8" t="s">
        <v>33</v>
      </c>
      <c r="C477" s="8" t="s">
        <v>151</v>
      </c>
      <c r="D477" s="8" t="s">
        <v>152</v>
      </c>
      <c r="E477" s="8" t="s">
        <v>59</v>
      </c>
      <c r="F477" s="8" t="s">
        <v>60</v>
      </c>
      <c r="G477" s="8" t="s">
        <v>7</v>
      </c>
      <c r="H477" s="8" t="s">
        <v>38</v>
      </c>
      <c r="I477" s="9">
        <v>2.0724037000000002</v>
      </c>
      <c r="J477">
        <v>1.917531169603</v>
      </c>
      <c r="K477">
        <v>2.0139021810174</v>
      </c>
      <c r="L477">
        <v>2.0141851964959998</v>
      </c>
    </row>
    <row r="478" spans="1:12" x14ac:dyDescent="0.2">
      <c r="A478" s="8" t="s">
        <v>32</v>
      </c>
      <c r="B478" s="8" t="s">
        <v>153</v>
      </c>
      <c r="C478" s="8" t="s">
        <v>154</v>
      </c>
      <c r="D478" s="8" t="s">
        <v>155</v>
      </c>
      <c r="E478" s="8" t="s">
        <v>36</v>
      </c>
      <c r="F478" s="8" t="s">
        <v>37</v>
      </c>
      <c r="G478" s="8" t="s">
        <v>7</v>
      </c>
      <c r="H478" s="8" t="s">
        <v>38</v>
      </c>
      <c r="I478" s="9">
        <v>4471.8234000000002</v>
      </c>
      <c r="J478">
        <v>4553.4669051800001</v>
      </c>
      <c r="K478">
        <v>4286.4269143498996</v>
      </c>
      <c r="L478">
        <v>4438.3109612479002</v>
      </c>
    </row>
    <row r="479" spans="1:12" x14ac:dyDescent="0.2">
      <c r="A479" s="8" t="s">
        <v>32</v>
      </c>
      <c r="B479" s="8" t="s">
        <v>153</v>
      </c>
      <c r="C479" s="8" t="s">
        <v>154</v>
      </c>
      <c r="D479" s="8" t="s">
        <v>155</v>
      </c>
      <c r="E479" s="8" t="s">
        <v>64</v>
      </c>
      <c r="F479" s="8" t="s">
        <v>65</v>
      </c>
      <c r="G479" s="8" t="s">
        <v>7</v>
      </c>
      <c r="H479" s="8" t="s">
        <v>38</v>
      </c>
      <c r="I479" s="9">
        <v>3086.7181999999998</v>
      </c>
      <c r="J479">
        <v>3014.0178539799999</v>
      </c>
      <c r="K479">
        <v>3000.8710648299998</v>
      </c>
      <c r="L479">
        <v>3047.6218304949998</v>
      </c>
    </row>
    <row r="480" spans="1:12" x14ac:dyDescent="0.2">
      <c r="A480" s="8" t="s">
        <v>32</v>
      </c>
      <c r="B480" s="8" t="s">
        <v>153</v>
      </c>
      <c r="C480" s="8" t="s">
        <v>154</v>
      </c>
      <c r="D480" s="8" t="s">
        <v>155</v>
      </c>
      <c r="E480" s="8" t="s">
        <v>39</v>
      </c>
      <c r="F480" s="8" t="s">
        <v>40</v>
      </c>
      <c r="G480" s="8" t="s">
        <v>7</v>
      </c>
      <c r="H480" s="8" t="s">
        <v>38</v>
      </c>
      <c r="I480" s="9">
        <v>512.69682</v>
      </c>
      <c r="J480">
        <v>533.90405963000001</v>
      </c>
      <c r="K480">
        <v>555.71762952999995</v>
      </c>
      <c r="L480">
        <v>553.09108745665003</v>
      </c>
    </row>
    <row r="481" spans="1:12" x14ac:dyDescent="0.2">
      <c r="A481" s="8" t="s">
        <v>32</v>
      </c>
      <c r="B481" s="8" t="s">
        <v>153</v>
      </c>
      <c r="C481" s="8" t="s">
        <v>154</v>
      </c>
      <c r="D481" s="8" t="s">
        <v>155</v>
      </c>
      <c r="E481" s="8" t="s">
        <v>41</v>
      </c>
      <c r="F481" s="8" t="s">
        <v>42</v>
      </c>
      <c r="G481" s="8" t="s">
        <v>7</v>
      </c>
      <c r="H481" s="8" t="s">
        <v>38</v>
      </c>
      <c r="I481" s="9"/>
      <c r="K481">
        <v>10.274499949999999</v>
      </c>
      <c r="L481">
        <v>13.683344390348999</v>
      </c>
    </row>
    <row r="482" spans="1:12" x14ac:dyDescent="0.2">
      <c r="A482" s="8" t="s">
        <v>32</v>
      </c>
      <c r="B482" s="8" t="s">
        <v>153</v>
      </c>
      <c r="C482" s="8" t="s">
        <v>154</v>
      </c>
      <c r="D482" s="8" t="s">
        <v>155</v>
      </c>
      <c r="E482" s="8" t="s">
        <v>43</v>
      </c>
      <c r="F482" s="8" t="s">
        <v>44</v>
      </c>
      <c r="G482" s="8" t="s">
        <v>7</v>
      </c>
      <c r="H482" s="8" t="s">
        <v>38</v>
      </c>
      <c r="I482" s="9">
        <v>1203.1944000000001</v>
      </c>
      <c r="J482">
        <v>1152.18073824</v>
      </c>
      <c r="K482">
        <v>1195.0342359000001</v>
      </c>
      <c r="L482">
        <v>1189.3860298095001</v>
      </c>
    </row>
    <row r="483" spans="1:12" x14ac:dyDescent="0.2">
      <c r="A483" s="8" t="s">
        <v>32</v>
      </c>
      <c r="B483" s="8" t="s">
        <v>153</v>
      </c>
      <c r="C483" s="8" t="s">
        <v>154</v>
      </c>
      <c r="D483" s="8" t="s">
        <v>155</v>
      </c>
      <c r="E483" s="8" t="s">
        <v>49</v>
      </c>
      <c r="F483" s="8" t="s">
        <v>50</v>
      </c>
      <c r="G483" s="8" t="s">
        <v>7</v>
      </c>
      <c r="H483" s="8" t="s">
        <v>38</v>
      </c>
      <c r="I483" s="9">
        <v>91.379619000000005</v>
      </c>
      <c r="J483">
        <v>89.542434569999998</v>
      </c>
      <c r="K483">
        <v>81.711771260000006</v>
      </c>
      <c r="L483">
        <v>81.176803808280994</v>
      </c>
    </row>
    <row r="484" spans="1:12" x14ac:dyDescent="0.2">
      <c r="A484" s="8" t="s">
        <v>32</v>
      </c>
      <c r="B484" s="8" t="s">
        <v>153</v>
      </c>
      <c r="C484" s="8" t="s">
        <v>154</v>
      </c>
      <c r="D484" s="8" t="s">
        <v>155</v>
      </c>
      <c r="E484" s="8" t="s">
        <v>51</v>
      </c>
      <c r="F484" s="8" t="s">
        <v>52</v>
      </c>
      <c r="G484" s="8" t="s">
        <v>7</v>
      </c>
      <c r="H484" s="8" t="s">
        <v>38</v>
      </c>
      <c r="I484" s="9">
        <v>50.056283999999998</v>
      </c>
    </row>
    <row r="485" spans="1:12" x14ac:dyDescent="0.2">
      <c r="A485" s="8" t="s">
        <v>32</v>
      </c>
      <c r="B485" s="8" t="s">
        <v>153</v>
      </c>
      <c r="C485" s="8" t="s">
        <v>154</v>
      </c>
      <c r="D485" s="8" t="s">
        <v>155</v>
      </c>
      <c r="E485" s="8" t="s">
        <v>53</v>
      </c>
      <c r="F485" s="8" t="s">
        <v>54</v>
      </c>
      <c r="G485" s="8" t="s">
        <v>7</v>
      </c>
      <c r="H485" s="8" t="s">
        <v>38</v>
      </c>
      <c r="I485" s="9">
        <v>604.49370999999996</v>
      </c>
      <c r="J485">
        <v>531.60642075707005</v>
      </c>
      <c r="K485">
        <v>275.01057333892999</v>
      </c>
      <c r="L485">
        <v>248.39857579495001</v>
      </c>
    </row>
    <row r="486" spans="1:12" x14ac:dyDescent="0.2">
      <c r="A486" s="8" t="s">
        <v>32</v>
      </c>
      <c r="B486" s="8" t="s">
        <v>153</v>
      </c>
      <c r="C486" s="8" t="s">
        <v>154</v>
      </c>
      <c r="D486" s="8" t="s">
        <v>155</v>
      </c>
      <c r="E486" s="8" t="s">
        <v>70</v>
      </c>
      <c r="F486" s="8" t="s">
        <v>71</v>
      </c>
      <c r="G486" s="8" t="s">
        <v>7</v>
      </c>
      <c r="H486" s="8" t="s">
        <v>38</v>
      </c>
      <c r="I486" s="9">
        <v>102.15273000000001</v>
      </c>
      <c r="J486">
        <v>106.23883738000001</v>
      </c>
      <c r="K486">
        <v>126.66938303000001</v>
      </c>
      <c r="L486">
        <v>126.52648253208</v>
      </c>
    </row>
    <row r="487" spans="1:12" x14ac:dyDescent="0.2">
      <c r="A487" s="8" t="s">
        <v>32</v>
      </c>
      <c r="B487" s="8" t="s">
        <v>153</v>
      </c>
      <c r="C487" s="8" t="s">
        <v>154</v>
      </c>
      <c r="D487" s="8" t="s">
        <v>155</v>
      </c>
      <c r="E487" s="8" t="s">
        <v>55</v>
      </c>
      <c r="F487" s="8" t="s">
        <v>56</v>
      </c>
      <c r="G487" s="8" t="s">
        <v>7</v>
      </c>
      <c r="H487" s="8" t="s">
        <v>38</v>
      </c>
      <c r="I487" s="9">
        <v>1.6613200000000002E-2</v>
      </c>
      <c r="J487">
        <v>1.8607167541259999E-2</v>
      </c>
      <c r="K487">
        <v>1.8607167541259999E-2</v>
      </c>
      <c r="L487">
        <v>1.8607167541259999E-2</v>
      </c>
    </row>
    <row r="488" spans="1:12" x14ac:dyDescent="0.2">
      <c r="A488" s="8" t="s">
        <v>32</v>
      </c>
      <c r="B488" s="8" t="s">
        <v>153</v>
      </c>
      <c r="C488" s="8" t="s">
        <v>154</v>
      </c>
      <c r="D488" s="8" t="s">
        <v>155</v>
      </c>
      <c r="E488" s="8" t="s">
        <v>57</v>
      </c>
      <c r="F488" s="8" t="s">
        <v>58</v>
      </c>
      <c r="G488" s="8" t="s">
        <v>7</v>
      </c>
      <c r="H488" s="8" t="s">
        <v>38</v>
      </c>
      <c r="I488" s="9">
        <v>2.5792599999999999E-2</v>
      </c>
      <c r="J488">
        <v>2.8888341456967E-2</v>
      </c>
      <c r="K488">
        <v>2.8888341456967E-2</v>
      </c>
      <c r="L488">
        <v>2.8888341456967E-2</v>
      </c>
    </row>
    <row r="489" spans="1:12" x14ac:dyDescent="0.2">
      <c r="A489" s="8" t="s">
        <v>32</v>
      </c>
      <c r="B489" s="8" t="s">
        <v>153</v>
      </c>
      <c r="C489" s="8" t="s">
        <v>154</v>
      </c>
      <c r="D489" s="8" t="s">
        <v>155</v>
      </c>
      <c r="E489" s="8" t="s">
        <v>72</v>
      </c>
      <c r="F489" s="8" t="s">
        <v>73</v>
      </c>
      <c r="G489" s="8" t="s">
        <v>7</v>
      </c>
      <c r="H489" s="8" t="s">
        <v>38</v>
      </c>
      <c r="I489" s="9"/>
    </row>
    <row r="490" spans="1:12" x14ac:dyDescent="0.2">
      <c r="A490" s="8" t="s">
        <v>32</v>
      </c>
      <c r="B490" s="8" t="s">
        <v>153</v>
      </c>
      <c r="C490" s="8" t="s">
        <v>154</v>
      </c>
      <c r="D490" s="8" t="s">
        <v>155</v>
      </c>
      <c r="E490" s="8" t="s">
        <v>59</v>
      </c>
      <c r="F490" s="8" t="s">
        <v>60</v>
      </c>
      <c r="G490" s="8" t="s">
        <v>7</v>
      </c>
      <c r="H490" s="8" t="s">
        <v>38</v>
      </c>
      <c r="I490" s="9">
        <v>3.6078633</v>
      </c>
      <c r="J490">
        <v>3.4195258145398002</v>
      </c>
      <c r="K490">
        <v>3.5559029373778999</v>
      </c>
      <c r="L490">
        <v>3.4934154898031</v>
      </c>
    </row>
    <row r="491" spans="1:12" x14ac:dyDescent="0.2">
      <c r="A491" s="8" t="s">
        <v>32</v>
      </c>
      <c r="B491" s="8" t="s">
        <v>153</v>
      </c>
      <c r="C491" s="8" t="s">
        <v>154</v>
      </c>
      <c r="D491" s="8" t="s">
        <v>155</v>
      </c>
      <c r="E491" s="8" t="s">
        <v>92</v>
      </c>
      <c r="F491" s="8" t="s">
        <v>93</v>
      </c>
      <c r="G491" s="8" t="s">
        <v>7</v>
      </c>
      <c r="H491" s="8" t="s">
        <v>38</v>
      </c>
      <c r="I491" s="9">
        <v>1.7626440999999999</v>
      </c>
      <c r="J491">
        <v>1.7849998208060001</v>
      </c>
      <c r="K491">
        <v>1.8076390620281</v>
      </c>
      <c r="L491">
        <v>1.8333228944297</v>
      </c>
    </row>
    <row r="492" spans="1:12" x14ac:dyDescent="0.2">
      <c r="A492" s="8" t="s">
        <v>32</v>
      </c>
      <c r="B492" s="8" t="s">
        <v>61</v>
      </c>
      <c r="C492" s="8" t="s">
        <v>156</v>
      </c>
      <c r="D492" s="8" t="s">
        <v>157</v>
      </c>
      <c r="E492" s="8" t="s">
        <v>36</v>
      </c>
      <c r="F492" s="8" t="s">
        <v>37</v>
      </c>
      <c r="G492" s="8" t="s">
        <v>7</v>
      </c>
      <c r="H492" s="8" t="s">
        <v>38</v>
      </c>
      <c r="I492" s="9">
        <v>231.74696</v>
      </c>
      <c r="J492">
        <v>216.40363595836999</v>
      </c>
      <c r="K492">
        <v>228.53336765322999</v>
      </c>
      <c r="L492">
        <v>240.04375488548001</v>
      </c>
    </row>
    <row r="493" spans="1:12" x14ac:dyDescent="0.2">
      <c r="A493" s="8" t="s">
        <v>32</v>
      </c>
      <c r="B493" s="8" t="s">
        <v>61</v>
      </c>
      <c r="C493" s="8" t="s">
        <v>156</v>
      </c>
      <c r="D493" s="8" t="s">
        <v>157</v>
      </c>
      <c r="E493" s="8" t="s">
        <v>39</v>
      </c>
      <c r="F493" s="8" t="s">
        <v>40</v>
      </c>
      <c r="G493" s="8" t="s">
        <v>7</v>
      </c>
      <c r="H493" s="8" t="s">
        <v>38</v>
      </c>
      <c r="I493" s="9">
        <v>303.24198999999999</v>
      </c>
      <c r="J493">
        <v>321.02037451242001</v>
      </c>
      <c r="K493">
        <v>348.4628025728</v>
      </c>
      <c r="L493">
        <v>379.33536527511001</v>
      </c>
    </row>
    <row r="494" spans="1:12" x14ac:dyDescent="0.2">
      <c r="A494" s="8" t="s">
        <v>32</v>
      </c>
      <c r="B494" s="8" t="s">
        <v>61</v>
      </c>
      <c r="C494" s="8" t="s">
        <v>156</v>
      </c>
      <c r="D494" s="8" t="s">
        <v>157</v>
      </c>
      <c r="E494" s="8" t="s">
        <v>41</v>
      </c>
      <c r="F494" s="8" t="s">
        <v>42</v>
      </c>
      <c r="G494" s="8" t="s">
        <v>7</v>
      </c>
      <c r="H494" s="8" t="s">
        <v>38</v>
      </c>
      <c r="I494" s="9">
        <v>11.272650000000001</v>
      </c>
      <c r="J494">
        <v>12.503744355905001</v>
      </c>
      <c r="K494">
        <v>12.603630573134</v>
      </c>
      <c r="L494">
        <v>16.785227362905999</v>
      </c>
    </row>
    <row r="495" spans="1:12" x14ac:dyDescent="0.2">
      <c r="A495" s="8" t="s">
        <v>32</v>
      </c>
      <c r="B495" s="8" t="s">
        <v>61</v>
      </c>
      <c r="C495" s="8" t="s">
        <v>156</v>
      </c>
      <c r="D495" s="8" t="s">
        <v>157</v>
      </c>
      <c r="E495" s="8" t="s">
        <v>43</v>
      </c>
      <c r="F495" s="8" t="s">
        <v>44</v>
      </c>
      <c r="G495" s="8" t="s">
        <v>7</v>
      </c>
      <c r="H495" s="8" t="s">
        <v>38</v>
      </c>
      <c r="I495" s="9">
        <v>190.16571999999999</v>
      </c>
      <c r="J495">
        <v>205.32896950841001</v>
      </c>
      <c r="K495">
        <v>206.96925085389</v>
      </c>
      <c r="L495">
        <v>205.99103203128999</v>
      </c>
    </row>
    <row r="496" spans="1:12" x14ac:dyDescent="0.2">
      <c r="A496" s="8" t="s">
        <v>32</v>
      </c>
      <c r="B496" s="8" t="s">
        <v>61</v>
      </c>
      <c r="C496" s="8" t="s">
        <v>156</v>
      </c>
      <c r="D496" s="8" t="s">
        <v>157</v>
      </c>
      <c r="E496" s="8" t="s">
        <v>66</v>
      </c>
      <c r="F496" s="8" t="s">
        <v>67</v>
      </c>
      <c r="G496" s="8" t="s">
        <v>7</v>
      </c>
      <c r="H496" s="8" t="s">
        <v>38</v>
      </c>
      <c r="I496" s="9"/>
    </row>
    <row r="497" spans="1:12" x14ac:dyDescent="0.2">
      <c r="A497" s="8" t="s">
        <v>32</v>
      </c>
      <c r="B497" s="8" t="s">
        <v>61</v>
      </c>
      <c r="C497" s="8" t="s">
        <v>156</v>
      </c>
      <c r="D497" s="8" t="s">
        <v>157</v>
      </c>
      <c r="E497" s="8" t="s">
        <v>45</v>
      </c>
      <c r="F497" s="8" t="s">
        <v>46</v>
      </c>
      <c r="G497" s="8" t="s">
        <v>7</v>
      </c>
      <c r="H497" s="8" t="s">
        <v>38</v>
      </c>
      <c r="I497" s="9">
        <v>13.091265999999999</v>
      </c>
      <c r="J497">
        <v>16.941254519840999</v>
      </c>
      <c r="K497">
        <v>17.076591732383001</v>
      </c>
      <c r="L497">
        <v>16.481797915484002</v>
      </c>
    </row>
    <row r="498" spans="1:12" x14ac:dyDescent="0.2">
      <c r="A498" s="8" t="s">
        <v>32</v>
      </c>
      <c r="B498" s="8" t="s">
        <v>61</v>
      </c>
      <c r="C498" s="8" t="s">
        <v>156</v>
      </c>
      <c r="D498" s="8" t="s">
        <v>157</v>
      </c>
      <c r="E498" s="8" t="s">
        <v>47</v>
      </c>
      <c r="F498" s="8" t="s">
        <v>48</v>
      </c>
      <c r="G498" s="8" t="s">
        <v>7</v>
      </c>
      <c r="H498" s="8" t="s">
        <v>38</v>
      </c>
      <c r="I498" s="9">
        <v>13.730375</v>
      </c>
      <c r="J498">
        <v>14.464685574084999</v>
      </c>
      <c r="K498">
        <v>14.580147069064999</v>
      </c>
      <c r="L498">
        <v>14.511235507368999</v>
      </c>
    </row>
    <row r="499" spans="1:12" x14ac:dyDescent="0.2">
      <c r="A499" s="8" t="s">
        <v>32</v>
      </c>
      <c r="B499" s="8" t="s">
        <v>61</v>
      </c>
      <c r="C499" s="8" t="s">
        <v>156</v>
      </c>
      <c r="D499" s="8" t="s">
        <v>157</v>
      </c>
      <c r="E499" s="8" t="s">
        <v>49</v>
      </c>
      <c r="F499" s="8" t="s">
        <v>50</v>
      </c>
      <c r="G499" s="8" t="s">
        <v>7</v>
      </c>
      <c r="H499" s="8" t="s">
        <v>38</v>
      </c>
      <c r="I499" s="9">
        <v>61.930531000000002</v>
      </c>
      <c r="J499">
        <v>64.345281714953998</v>
      </c>
      <c r="K499">
        <v>64.859335045652003</v>
      </c>
      <c r="L499">
        <v>64.552784086504005</v>
      </c>
    </row>
    <row r="500" spans="1:12" x14ac:dyDescent="0.2">
      <c r="A500" s="8" t="s">
        <v>32</v>
      </c>
      <c r="B500" s="8" t="s">
        <v>61</v>
      </c>
      <c r="C500" s="8" t="s">
        <v>156</v>
      </c>
      <c r="D500" s="8" t="s">
        <v>157</v>
      </c>
      <c r="E500" s="8" t="s">
        <v>51</v>
      </c>
      <c r="F500" s="8" t="s">
        <v>52</v>
      </c>
      <c r="G500" s="8" t="s">
        <v>7</v>
      </c>
      <c r="H500" s="8" t="s">
        <v>38</v>
      </c>
      <c r="I500" s="9">
        <v>2.8632081999999999</v>
      </c>
      <c r="J500">
        <v>3.2598228281265</v>
      </c>
      <c r="K500">
        <v>3.2858074663357999</v>
      </c>
      <c r="L500">
        <v>3.2702774361609999</v>
      </c>
    </row>
    <row r="501" spans="1:12" x14ac:dyDescent="0.2">
      <c r="A501" s="8" t="s">
        <v>32</v>
      </c>
      <c r="B501" s="8" t="s">
        <v>61</v>
      </c>
      <c r="C501" s="8" t="s">
        <v>156</v>
      </c>
      <c r="D501" s="8" t="s">
        <v>157</v>
      </c>
      <c r="E501" s="8" t="s">
        <v>68</v>
      </c>
      <c r="F501" s="8" t="s">
        <v>69</v>
      </c>
      <c r="G501" s="8" t="s">
        <v>7</v>
      </c>
      <c r="H501" s="8" t="s">
        <v>38</v>
      </c>
      <c r="I501" s="9">
        <v>2.526478</v>
      </c>
      <c r="J501">
        <v>2.1439244416265999</v>
      </c>
      <c r="K501">
        <v>1.3599031553995</v>
      </c>
      <c r="L501">
        <v>0.66638816862771999</v>
      </c>
    </row>
    <row r="502" spans="1:12" x14ac:dyDescent="0.2">
      <c r="A502" s="8" t="s">
        <v>32</v>
      </c>
      <c r="B502" s="8" t="s">
        <v>61</v>
      </c>
      <c r="C502" s="8" t="s">
        <v>156</v>
      </c>
      <c r="D502" s="8" t="s">
        <v>157</v>
      </c>
      <c r="E502" s="8" t="s">
        <v>53</v>
      </c>
      <c r="F502" s="8" t="s">
        <v>54</v>
      </c>
      <c r="G502" s="8" t="s">
        <v>7</v>
      </c>
      <c r="H502" s="8" t="s">
        <v>38</v>
      </c>
      <c r="I502" s="9">
        <v>2.8320000000000002E-6</v>
      </c>
      <c r="J502">
        <v>9.0777006223153005E-7</v>
      </c>
      <c r="K502">
        <v>8.5329614182083001E-7</v>
      </c>
      <c r="L502">
        <v>1.0275419096294001E-7</v>
      </c>
    </row>
    <row r="503" spans="1:12" x14ac:dyDescent="0.2">
      <c r="A503" s="8" t="s">
        <v>32</v>
      </c>
      <c r="B503" s="8" t="s">
        <v>61</v>
      </c>
      <c r="C503" s="8" t="s">
        <v>156</v>
      </c>
      <c r="D503" s="8" t="s">
        <v>157</v>
      </c>
      <c r="E503" s="8" t="s">
        <v>70</v>
      </c>
      <c r="F503" s="8" t="s">
        <v>71</v>
      </c>
      <c r="G503" s="8" t="s">
        <v>7</v>
      </c>
      <c r="H503" s="8" t="s">
        <v>38</v>
      </c>
      <c r="I503" s="9">
        <v>217.68648999999999</v>
      </c>
      <c r="J503">
        <v>230.034997928</v>
      </c>
      <c r="K503">
        <v>211.68864840000001</v>
      </c>
      <c r="L503">
        <v>211.44983446930999</v>
      </c>
    </row>
    <row r="504" spans="1:12" x14ac:dyDescent="0.2">
      <c r="A504" s="8" t="s">
        <v>32</v>
      </c>
      <c r="B504" s="8" t="s">
        <v>61</v>
      </c>
      <c r="C504" s="8" t="s">
        <v>156</v>
      </c>
      <c r="D504" s="8" t="s">
        <v>157</v>
      </c>
      <c r="E504" s="8" t="s">
        <v>55</v>
      </c>
      <c r="F504" s="8" t="s">
        <v>56</v>
      </c>
      <c r="G504" s="8" t="s">
        <v>7</v>
      </c>
      <c r="H504" s="8" t="s">
        <v>38</v>
      </c>
      <c r="I504" s="9">
        <v>2.73791E-2</v>
      </c>
      <c r="J504">
        <v>3.0665286059390999E-2</v>
      </c>
      <c r="K504">
        <v>3.0665286059390999E-2</v>
      </c>
      <c r="L504">
        <v>3.0665286059390999E-2</v>
      </c>
    </row>
    <row r="505" spans="1:12" x14ac:dyDescent="0.2">
      <c r="A505" s="8" t="s">
        <v>32</v>
      </c>
      <c r="B505" s="8" t="s">
        <v>61</v>
      </c>
      <c r="C505" s="8" t="s">
        <v>156</v>
      </c>
      <c r="D505" s="8" t="s">
        <v>157</v>
      </c>
      <c r="E505" s="8" t="s">
        <v>57</v>
      </c>
      <c r="F505" s="8" t="s">
        <v>58</v>
      </c>
      <c r="G505" s="8" t="s">
        <v>7</v>
      </c>
      <c r="H505" s="8" t="s">
        <v>38</v>
      </c>
      <c r="I505" s="9"/>
    </row>
    <row r="506" spans="1:12" x14ac:dyDescent="0.2">
      <c r="A506" s="8" t="s">
        <v>32</v>
      </c>
      <c r="B506" s="8" t="s">
        <v>61</v>
      </c>
      <c r="C506" s="8" t="s">
        <v>156</v>
      </c>
      <c r="D506" s="8" t="s">
        <v>157</v>
      </c>
      <c r="E506" s="8" t="s">
        <v>74</v>
      </c>
      <c r="F506" s="8" t="s">
        <v>75</v>
      </c>
      <c r="G506" s="8" t="s">
        <v>7</v>
      </c>
      <c r="H506" s="8" t="s">
        <v>38</v>
      </c>
      <c r="I506" s="9">
        <v>362.20800000000003</v>
      </c>
      <c r="J506">
        <v>455.3605</v>
      </c>
      <c r="K506">
        <v>405.01299999999998</v>
      </c>
      <c r="L506">
        <v>405.01299999999998</v>
      </c>
    </row>
    <row r="507" spans="1:12" x14ac:dyDescent="0.2">
      <c r="A507" s="8" t="s">
        <v>32</v>
      </c>
      <c r="B507" s="8" t="s">
        <v>61</v>
      </c>
      <c r="C507" s="8" t="s">
        <v>156</v>
      </c>
      <c r="D507" s="8" t="s">
        <v>157</v>
      </c>
      <c r="E507" s="8" t="s">
        <v>59</v>
      </c>
      <c r="F507" s="8" t="s">
        <v>60</v>
      </c>
      <c r="G507" s="8" t="s">
        <v>7</v>
      </c>
      <c r="H507" s="8" t="s">
        <v>38</v>
      </c>
      <c r="I507" s="9">
        <v>2.6262637999999998</v>
      </c>
      <c r="J507">
        <v>2.6767363863533999</v>
      </c>
      <c r="K507">
        <v>2.7168453839461</v>
      </c>
      <c r="L507">
        <v>2.6048101483780002</v>
      </c>
    </row>
    <row r="508" spans="1:12" x14ac:dyDescent="0.2">
      <c r="A508" s="8" t="s">
        <v>32</v>
      </c>
      <c r="B508" s="8" t="s">
        <v>80</v>
      </c>
      <c r="C508" s="8" t="s">
        <v>158</v>
      </c>
      <c r="D508" s="8" t="s">
        <v>159</v>
      </c>
      <c r="E508" s="8" t="s">
        <v>36</v>
      </c>
      <c r="F508" s="8" t="s">
        <v>37</v>
      </c>
      <c r="G508" s="8" t="s">
        <v>7</v>
      </c>
      <c r="H508" s="8" t="s">
        <v>38</v>
      </c>
      <c r="I508" s="9">
        <v>2948.2914999999998</v>
      </c>
      <c r="J508">
        <v>3245.7129765200002</v>
      </c>
      <c r="K508">
        <v>3435.9510034899999</v>
      </c>
      <c r="L508">
        <v>3300.5093082191001</v>
      </c>
    </row>
    <row r="509" spans="1:12" x14ac:dyDescent="0.2">
      <c r="A509" s="8" t="s">
        <v>32</v>
      </c>
      <c r="B509" s="8" t="s">
        <v>80</v>
      </c>
      <c r="C509" s="8" t="s">
        <v>158</v>
      </c>
      <c r="D509" s="8" t="s">
        <v>159</v>
      </c>
      <c r="E509" s="8" t="s">
        <v>39</v>
      </c>
      <c r="F509" s="8" t="s">
        <v>40</v>
      </c>
      <c r="G509" s="8" t="s">
        <v>7</v>
      </c>
      <c r="H509" s="8" t="s">
        <v>38</v>
      </c>
      <c r="I509" s="9">
        <v>567.32435999999996</v>
      </c>
      <c r="J509">
        <v>599.03637963000006</v>
      </c>
      <c r="K509">
        <v>616.42377286999999</v>
      </c>
      <c r="L509">
        <v>613.54862669076999</v>
      </c>
    </row>
    <row r="510" spans="1:12" x14ac:dyDescent="0.2">
      <c r="A510" s="8" t="s">
        <v>32</v>
      </c>
      <c r="B510" s="8" t="s">
        <v>80</v>
      </c>
      <c r="C510" s="8" t="s">
        <v>158</v>
      </c>
      <c r="D510" s="8" t="s">
        <v>159</v>
      </c>
      <c r="E510" s="8" t="s">
        <v>41</v>
      </c>
      <c r="F510" s="8" t="s">
        <v>42</v>
      </c>
      <c r="G510" s="8" t="s">
        <v>7</v>
      </c>
      <c r="H510" s="8" t="s">
        <v>38</v>
      </c>
      <c r="I510" s="9">
        <v>3.9259208999999999</v>
      </c>
      <c r="J510">
        <v>4.2319227000000001</v>
      </c>
      <c r="K510">
        <v>1.9454814499999999</v>
      </c>
      <c r="L510">
        <v>2.1926441209414</v>
      </c>
    </row>
    <row r="511" spans="1:12" x14ac:dyDescent="0.2">
      <c r="A511" s="8" t="s">
        <v>32</v>
      </c>
      <c r="B511" s="8" t="s">
        <v>80</v>
      </c>
      <c r="C511" s="8" t="s">
        <v>158</v>
      </c>
      <c r="D511" s="8" t="s">
        <v>159</v>
      </c>
      <c r="E511" s="8" t="s">
        <v>43</v>
      </c>
      <c r="F511" s="8" t="s">
        <v>44</v>
      </c>
      <c r="G511" s="8" t="s">
        <v>7</v>
      </c>
      <c r="H511" s="8" t="s">
        <v>38</v>
      </c>
      <c r="I511" s="9">
        <v>2101.7809000000002</v>
      </c>
      <c r="J511">
        <v>2175.0081244500002</v>
      </c>
      <c r="K511">
        <v>2244.30502587</v>
      </c>
      <c r="L511">
        <v>2267.4908070862998</v>
      </c>
    </row>
    <row r="512" spans="1:12" x14ac:dyDescent="0.2">
      <c r="A512" s="8" t="s">
        <v>32</v>
      </c>
      <c r="B512" s="8" t="s">
        <v>80</v>
      </c>
      <c r="C512" s="8" t="s">
        <v>158</v>
      </c>
      <c r="D512" s="8" t="s">
        <v>159</v>
      </c>
      <c r="E512" s="8" t="s">
        <v>66</v>
      </c>
      <c r="F512" s="8" t="s">
        <v>67</v>
      </c>
      <c r="G512" s="8" t="s">
        <v>7</v>
      </c>
      <c r="H512" s="8" t="s">
        <v>38</v>
      </c>
      <c r="I512" s="9">
        <v>25.485443</v>
      </c>
      <c r="J512">
        <v>25.774277099999999</v>
      </c>
      <c r="K512">
        <v>26.066208870000001</v>
      </c>
      <c r="L512">
        <v>26.335497317440002</v>
      </c>
    </row>
    <row r="513" spans="1:12" x14ac:dyDescent="0.2">
      <c r="A513" s="8" t="s">
        <v>32</v>
      </c>
      <c r="B513" s="8" t="s">
        <v>80</v>
      </c>
      <c r="C513" s="8" t="s">
        <v>158</v>
      </c>
      <c r="D513" s="8" t="s">
        <v>159</v>
      </c>
      <c r="E513" s="8" t="s">
        <v>49</v>
      </c>
      <c r="F513" s="8" t="s">
        <v>50</v>
      </c>
      <c r="G513" s="8" t="s">
        <v>7</v>
      </c>
      <c r="H513" s="8" t="s">
        <v>38</v>
      </c>
      <c r="I513" s="9">
        <v>110.93292</v>
      </c>
      <c r="J513">
        <v>126.45142525999999</v>
      </c>
      <c r="K513">
        <v>134.23560513000001</v>
      </c>
      <c r="L513">
        <v>134.79463522779</v>
      </c>
    </row>
    <row r="514" spans="1:12" x14ac:dyDescent="0.2">
      <c r="A514" s="8" t="s">
        <v>32</v>
      </c>
      <c r="B514" s="8" t="s">
        <v>80</v>
      </c>
      <c r="C514" s="8" t="s">
        <v>158</v>
      </c>
      <c r="D514" s="8" t="s">
        <v>159</v>
      </c>
      <c r="E514" s="8" t="s">
        <v>51</v>
      </c>
      <c r="F514" s="8" t="s">
        <v>52</v>
      </c>
      <c r="G514" s="8" t="s">
        <v>7</v>
      </c>
      <c r="H514" s="8" t="s">
        <v>38</v>
      </c>
      <c r="I514" s="9">
        <v>2.833132</v>
      </c>
      <c r="J514">
        <v>2.8650839100000001</v>
      </c>
      <c r="K514">
        <v>2.89734705</v>
      </c>
      <c r="L514">
        <v>2.9272793693749</v>
      </c>
    </row>
    <row r="515" spans="1:12" x14ac:dyDescent="0.2">
      <c r="A515" s="8" t="s">
        <v>32</v>
      </c>
      <c r="B515" s="8" t="s">
        <v>80</v>
      </c>
      <c r="C515" s="8" t="s">
        <v>158</v>
      </c>
      <c r="D515" s="8" t="s">
        <v>159</v>
      </c>
      <c r="E515" s="8" t="s">
        <v>68</v>
      </c>
      <c r="F515" s="8" t="s">
        <v>69</v>
      </c>
      <c r="G515" s="8" t="s">
        <v>7</v>
      </c>
      <c r="H515" s="8" t="s">
        <v>38</v>
      </c>
      <c r="I515" s="9">
        <v>16.677406999999999</v>
      </c>
      <c r="J515">
        <v>17.854257360331001</v>
      </c>
      <c r="K515">
        <v>21.737868388054999</v>
      </c>
      <c r="L515">
        <v>18.235462468662</v>
      </c>
    </row>
    <row r="516" spans="1:12" x14ac:dyDescent="0.2">
      <c r="A516" s="8" t="s">
        <v>32</v>
      </c>
      <c r="B516" s="8" t="s">
        <v>80</v>
      </c>
      <c r="C516" s="8" t="s">
        <v>158</v>
      </c>
      <c r="D516" s="8" t="s">
        <v>159</v>
      </c>
      <c r="E516" s="8" t="s">
        <v>70</v>
      </c>
      <c r="F516" s="8" t="s">
        <v>71</v>
      </c>
      <c r="G516" s="8" t="s">
        <v>7</v>
      </c>
      <c r="H516" s="8" t="s">
        <v>38</v>
      </c>
      <c r="I516" s="9"/>
      <c r="K516">
        <v>4.2968393269999998</v>
      </c>
      <c r="L516">
        <v>4.2919919008532004</v>
      </c>
    </row>
    <row r="517" spans="1:12" x14ac:dyDescent="0.2">
      <c r="A517" s="8" t="s">
        <v>32</v>
      </c>
      <c r="B517" s="8" t="s">
        <v>80</v>
      </c>
      <c r="C517" s="8" t="s">
        <v>158</v>
      </c>
      <c r="D517" s="8" t="s">
        <v>159</v>
      </c>
      <c r="E517" s="8" t="s">
        <v>55</v>
      </c>
      <c r="F517" s="8" t="s">
        <v>56</v>
      </c>
      <c r="G517" s="8" t="s">
        <v>7</v>
      </c>
      <c r="H517" s="8" t="s">
        <v>38</v>
      </c>
      <c r="I517" s="9">
        <v>1.0653811</v>
      </c>
      <c r="J517">
        <v>1.1932545042525999</v>
      </c>
      <c r="K517">
        <v>1.1932545042525999</v>
      </c>
      <c r="L517">
        <v>1.1932545042525999</v>
      </c>
    </row>
    <row r="518" spans="1:12" x14ac:dyDescent="0.2">
      <c r="A518" s="8" t="s">
        <v>32</v>
      </c>
      <c r="B518" s="8" t="s">
        <v>80</v>
      </c>
      <c r="C518" s="8" t="s">
        <v>158</v>
      </c>
      <c r="D518" s="8" t="s">
        <v>159</v>
      </c>
      <c r="E518" s="8" t="s">
        <v>57</v>
      </c>
      <c r="F518" s="8" t="s">
        <v>58</v>
      </c>
      <c r="G518" s="8" t="s">
        <v>7</v>
      </c>
      <c r="H518" s="8" t="s">
        <v>38</v>
      </c>
      <c r="I518" s="9">
        <v>294.35050000000001</v>
      </c>
      <c r="J518">
        <v>328.40536503884999</v>
      </c>
      <c r="K518">
        <v>327.90536503884999</v>
      </c>
      <c r="L518">
        <v>327.90536503884999</v>
      </c>
    </row>
    <row r="519" spans="1:12" x14ac:dyDescent="0.2">
      <c r="A519" s="8" t="s">
        <v>32</v>
      </c>
      <c r="B519" s="8" t="s">
        <v>80</v>
      </c>
      <c r="C519" s="8" t="s">
        <v>158</v>
      </c>
      <c r="D519" s="8" t="s">
        <v>159</v>
      </c>
      <c r="E519" s="8" t="s">
        <v>59</v>
      </c>
      <c r="F519" s="8" t="s">
        <v>60</v>
      </c>
      <c r="G519" s="8" t="s">
        <v>7</v>
      </c>
      <c r="H519" s="8" t="s">
        <v>38</v>
      </c>
      <c r="I519" s="9">
        <v>19.248896999999999</v>
      </c>
      <c r="J519">
        <v>19.893070189031999</v>
      </c>
      <c r="K519">
        <v>20.726235591477</v>
      </c>
      <c r="L519">
        <v>21.243706690191999</v>
      </c>
    </row>
    <row r="520" spans="1:12" x14ac:dyDescent="0.2">
      <c r="A520" s="8" t="s">
        <v>32</v>
      </c>
      <c r="B520" s="8" t="s">
        <v>125</v>
      </c>
      <c r="C520" s="8" t="s">
        <v>160</v>
      </c>
      <c r="D520" s="8" t="s">
        <v>161</v>
      </c>
      <c r="E520" s="8" t="s">
        <v>36</v>
      </c>
      <c r="F520" s="8" t="s">
        <v>37</v>
      </c>
      <c r="G520" s="8" t="s">
        <v>7</v>
      </c>
      <c r="H520" s="8" t="s">
        <v>38</v>
      </c>
      <c r="I520" s="9">
        <v>64.827669</v>
      </c>
      <c r="J520">
        <v>59.669187383172002</v>
      </c>
      <c r="K520">
        <v>58.601391339346002</v>
      </c>
      <c r="L520">
        <v>60.448023485120999</v>
      </c>
    </row>
    <row r="521" spans="1:12" x14ac:dyDescent="0.2">
      <c r="A521" s="8" t="s">
        <v>32</v>
      </c>
      <c r="B521" s="8" t="s">
        <v>125</v>
      </c>
      <c r="C521" s="8" t="s">
        <v>160</v>
      </c>
      <c r="D521" s="8" t="s">
        <v>161</v>
      </c>
      <c r="E521" s="8" t="s">
        <v>64</v>
      </c>
      <c r="F521" s="8" t="s">
        <v>65</v>
      </c>
      <c r="G521" s="8" t="s">
        <v>7</v>
      </c>
      <c r="H521" s="8" t="s">
        <v>38</v>
      </c>
      <c r="I521" s="9"/>
    </row>
    <row r="522" spans="1:12" x14ac:dyDescent="0.2">
      <c r="A522" s="8" t="s">
        <v>32</v>
      </c>
      <c r="B522" s="8" t="s">
        <v>125</v>
      </c>
      <c r="C522" s="8" t="s">
        <v>160</v>
      </c>
      <c r="D522" s="8" t="s">
        <v>161</v>
      </c>
      <c r="E522" s="8" t="s">
        <v>39</v>
      </c>
      <c r="F522" s="8" t="s">
        <v>40</v>
      </c>
      <c r="G522" s="8" t="s">
        <v>7</v>
      </c>
      <c r="H522" s="8" t="s">
        <v>38</v>
      </c>
      <c r="I522" s="9">
        <v>38.968404999999997</v>
      </c>
      <c r="J522">
        <v>38.451470592136999</v>
      </c>
      <c r="K522">
        <v>37.863680407404999</v>
      </c>
      <c r="L522">
        <v>39.056831078397003</v>
      </c>
    </row>
    <row r="523" spans="1:12" x14ac:dyDescent="0.2">
      <c r="A523" s="8" t="s">
        <v>32</v>
      </c>
      <c r="B523" s="8" t="s">
        <v>125</v>
      </c>
      <c r="C523" s="8" t="s">
        <v>160</v>
      </c>
      <c r="D523" s="8" t="s">
        <v>161</v>
      </c>
      <c r="E523" s="8" t="s">
        <v>41</v>
      </c>
      <c r="F523" s="8" t="s">
        <v>42</v>
      </c>
      <c r="G523" s="8" t="s">
        <v>7</v>
      </c>
      <c r="H523" s="8" t="s">
        <v>38</v>
      </c>
      <c r="I523" s="9">
        <v>1.3797383999999999</v>
      </c>
      <c r="J523">
        <v>1.5186991249032</v>
      </c>
      <c r="K523">
        <v>1.4560532175887999</v>
      </c>
      <c r="L523">
        <v>1.6410367353151001</v>
      </c>
    </row>
    <row r="524" spans="1:12" x14ac:dyDescent="0.2">
      <c r="A524" s="8" t="s">
        <v>32</v>
      </c>
      <c r="B524" s="8" t="s">
        <v>125</v>
      </c>
      <c r="C524" s="8" t="s">
        <v>160</v>
      </c>
      <c r="D524" s="8" t="s">
        <v>161</v>
      </c>
      <c r="E524" s="8" t="s">
        <v>43</v>
      </c>
      <c r="F524" s="8" t="s">
        <v>44</v>
      </c>
      <c r="G524" s="8" t="s">
        <v>7</v>
      </c>
      <c r="H524" s="8" t="s">
        <v>38</v>
      </c>
      <c r="I524" s="9">
        <v>160.93889999999999</v>
      </c>
      <c r="J524">
        <v>172.44792251947001</v>
      </c>
      <c r="K524">
        <v>170.64112635385999</v>
      </c>
      <c r="L524">
        <v>176.01832614578001</v>
      </c>
    </row>
    <row r="525" spans="1:12" x14ac:dyDescent="0.2">
      <c r="A525" s="8" t="s">
        <v>32</v>
      </c>
      <c r="B525" s="8" t="s">
        <v>125</v>
      </c>
      <c r="C525" s="8" t="s">
        <v>160</v>
      </c>
      <c r="D525" s="8" t="s">
        <v>161</v>
      </c>
      <c r="E525" s="8" t="s">
        <v>66</v>
      </c>
      <c r="F525" s="8" t="s">
        <v>67</v>
      </c>
      <c r="G525" s="8" t="s">
        <v>7</v>
      </c>
      <c r="H525" s="8" t="s">
        <v>38</v>
      </c>
      <c r="I525" s="9">
        <v>7.8300150999999998</v>
      </c>
      <c r="J525">
        <v>7.7724437055050997</v>
      </c>
      <c r="K525">
        <v>7.2671434378209003</v>
      </c>
      <c r="L525">
        <v>7.4961438143225001</v>
      </c>
    </row>
    <row r="526" spans="1:12" x14ac:dyDescent="0.2">
      <c r="A526" s="8" t="s">
        <v>32</v>
      </c>
      <c r="B526" s="8" t="s">
        <v>125</v>
      </c>
      <c r="C526" s="8" t="s">
        <v>160</v>
      </c>
      <c r="D526" s="8" t="s">
        <v>161</v>
      </c>
      <c r="E526" s="8" t="s">
        <v>45</v>
      </c>
      <c r="F526" s="8" t="s">
        <v>46</v>
      </c>
      <c r="G526" s="8" t="s">
        <v>7</v>
      </c>
      <c r="H526" s="8" t="s">
        <v>38</v>
      </c>
      <c r="I526" s="9">
        <v>1.6911708000000001</v>
      </c>
      <c r="J526">
        <v>1.6843314053348</v>
      </c>
      <c r="K526">
        <v>1.6037135906590001</v>
      </c>
      <c r="L526">
        <v>1.5023874391362999</v>
      </c>
    </row>
    <row r="527" spans="1:12" x14ac:dyDescent="0.2">
      <c r="A527" s="8" t="s">
        <v>32</v>
      </c>
      <c r="B527" s="8" t="s">
        <v>125</v>
      </c>
      <c r="C527" s="8" t="s">
        <v>160</v>
      </c>
      <c r="D527" s="8" t="s">
        <v>161</v>
      </c>
      <c r="E527" s="8" t="s">
        <v>47</v>
      </c>
      <c r="F527" s="8" t="s">
        <v>48</v>
      </c>
      <c r="G527" s="8" t="s">
        <v>7</v>
      </c>
      <c r="H527" s="8" t="s">
        <v>38</v>
      </c>
      <c r="I527" s="9">
        <v>1.9346262000000001</v>
      </c>
      <c r="J527">
        <v>2.1341610460748002</v>
      </c>
      <c r="K527">
        <v>2.1726157281232998</v>
      </c>
      <c r="L527">
        <v>2.2410786426082998</v>
      </c>
    </row>
    <row r="528" spans="1:12" x14ac:dyDescent="0.2">
      <c r="A528" s="8" t="s">
        <v>32</v>
      </c>
      <c r="B528" s="8" t="s">
        <v>125</v>
      </c>
      <c r="C528" s="8" t="s">
        <v>160</v>
      </c>
      <c r="D528" s="8" t="s">
        <v>161</v>
      </c>
      <c r="E528" s="8" t="s">
        <v>49</v>
      </c>
      <c r="F528" s="8" t="s">
        <v>50</v>
      </c>
      <c r="G528" s="8" t="s">
        <v>7</v>
      </c>
      <c r="H528" s="8" t="s">
        <v>38</v>
      </c>
      <c r="I528" s="9">
        <v>17.386489000000001</v>
      </c>
      <c r="J528">
        <v>17.821826719449</v>
      </c>
      <c r="K528">
        <v>18.665149479284999</v>
      </c>
      <c r="L528">
        <v>19.253320924474</v>
      </c>
    </row>
    <row r="529" spans="1:12" x14ac:dyDescent="0.2">
      <c r="A529" s="8" t="s">
        <v>32</v>
      </c>
      <c r="B529" s="8" t="s">
        <v>125</v>
      </c>
      <c r="C529" s="8" t="s">
        <v>160</v>
      </c>
      <c r="D529" s="8" t="s">
        <v>161</v>
      </c>
      <c r="E529" s="8" t="s">
        <v>51</v>
      </c>
      <c r="F529" s="8" t="s">
        <v>52</v>
      </c>
      <c r="G529" s="8" t="s">
        <v>7</v>
      </c>
      <c r="H529" s="8" t="s">
        <v>38</v>
      </c>
      <c r="I529" s="9">
        <v>13.396883000000001</v>
      </c>
      <c r="J529">
        <v>10.714766868004</v>
      </c>
      <c r="K529">
        <v>13.488081307190001</v>
      </c>
      <c r="L529">
        <v>13.913114296295999</v>
      </c>
    </row>
    <row r="530" spans="1:12" x14ac:dyDescent="0.2">
      <c r="A530" s="8" t="s">
        <v>32</v>
      </c>
      <c r="B530" s="8" t="s">
        <v>125</v>
      </c>
      <c r="C530" s="8" t="s">
        <v>160</v>
      </c>
      <c r="D530" s="8" t="s">
        <v>161</v>
      </c>
      <c r="E530" s="8" t="s">
        <v>53</v>
      </c>
      <c r="F530" s="8" t="s">
        <v>54</v>
      </c>
      <c r="G530" s="8" t="s">
        <v>7</v>
      </c>
      <c r="H530" s="8" t="s">
        <v>38</v>
      </c>
      <c r="I530" s="9"/>
    </row>
    <row r="531" spans="1:12" x14ac:dyDescent="0.2">
      <c r="A531" s="8" t="s">
        <v>32</v>
      </c>
      <c r="B531" s="8" t="s">
        <v>125</v>
      </c>
      <c r="C531" s="8" t="s">
        <v>160</v>
      </c>
      <c r="D531" s="8" t="s">
        <v>161</v>
      </c>
      <c r="E531" s="8" t="s">
        <v>55</v>
      </c>
      <c r="F531" s="8" t="s">
        <v>56</v>
      </c>
      <c r="G531" s="8" t="s">
        <v>7</v>
      </c>
      <c r="H531" s="8" t="s">
        <v>38</v>
      </c>
      <c r="I531" s="9">
        <v>0.2589921</v>
      </c>
      <c r="J531">
        <v>0.26296901836904002</v>
      </c>
      <c r="K531">
        <v>0.26700697714813998</v>
      </c>
      <c r="L531">
        <v>0.27093585309894003</v>
      </c>
    </row>
    <row r="532" spans="1:12" x14ac:dyDescent="0.2">
      <c r="A532" s="8" t="s">
        <v>32</v>
      </c>
      <c r="B532" s="8" t="s">
        <v>125</v>
      </c>
      <c r="C532" s="8" t="s">
        <v>160</v>
      </c>
      <c r="D532" s="8" t="s">
        <v>161</v>
      </c>
      <c r="E532" s="8" t="s">
        <v>57</v>
      </c>
      <c r="F532" s="8" t="s">
        <v>58</v>
      </c>
      <c r="G532" s="8" t="s">
        <v>7</v>
      </c>
      <c r="H532" s="8" t="s">
        <v>38</v>
      </c>
      <c r="I532" s="9">
        <v>5.1025000000000003E-3</v>
      </c>
      <c r="J532">
        <v>5.1021760216005E-3</v>
      </c>
      <c r="K532">
        <v>5.1018440648002003E-3</v>
      </c>
      <c r="L532">
        <v>5.3720588777602003E-3</v>
      </c>
    </row>
    <row r="533" spans="1:12" x14ac:dyDescent="0.2">
      <c r="A533" s="8" t="s">
        <v>32</v>
      </c>
      <c r="B533" s="8" t="s">
        <v>125</v>
      </c>
      <c r="C533" s="8" t="s">
        <v>160</v>
      </c>
      <c r="D533" s="8" t="s">
        <v>161</v>
      </c>
      <c r="E533" s="8" t="s">
        <v>59</v>
      </c>
      <c r="F533" s="8" t="s">
        <v>60</v>
      </c>
      <c r="G533" s="8" t="s">
        <v>7</v>
      </c>
      <c r="H533" s="8" t="s">
        <v>38</v>
      </c>
      <c r="I533" s="9">
        <v>9.8135592000000003</v>
      </c>
      <c r="J533">
        <v>10.177196760078999</v>
      </c>
      <c r="K533">
        <v>10.42167069201</v>
      </c>
      <c r="L533">
        <v>10.68691079998</v>
      </c>
    </row>
    <row r="534" spans="1:12" x14ac:dyDescent="0.2">
      <c r="A534" s="8" t="s">
        <v>110</v>
      </c>
      <c r="B534" s="8" t="s">
        <v>162</v>
      </c>
      <c r="C534" s="8" t="s">
        <v>163</v>
      </c>
      <c r="D534" s="8" t="s">
        <v>162</v>
      </c>
      <c r="E534" s="8" t="s">
        <v>36</v>
      </c>
      <c r="F534" s="8" t="s">
        <v>37</v>
      </c>
      <c r="G534" s="8" t="s">
        <v>7</v>
      </c>
      <c r="H534" s="8" t="s">
        <v>38</v>
      </c>
      <c r="I534" s="9">
        <v>78408.441999999995</v>
      </c>
      <c r="J534">
        <v>76201.863029009997</v>
      </c>
      <c r="K534">
        <v>72775.804833450005</v>
      </c>
      <c r="L534">
        <v>74727.937243135995</v>
      </c>
    </row>
    <row r="535" spans="1:12" x14ac:dyDescent="0.2">
      <c r="A535" s="8" t="s">
        <v>110</v>
      </c>
      <c r="B535" s="8" t="s">
        <v>162</v>
      </c>
      <c r="C535" s="8" t="s">
        <v>163</v>
      </c>
      <c r="D535" s="8" t="s">
        <v>162</v>
      </c>
      <c r="E535" s="8" t="s">
        <v>64</v>
      </c>
      <c r="F535" s="8" t="s">
        <v>65</v>
      </c>
      <c r="G535" s="8" t="s">
        <v>7</v>
      </c>
      <c r="H535" s="8" t="s">
        <v>38</v>
      </c>
      <c r="I535" s="9">
        <v>121546.13</v>
      </c>
      <c r="J535">
        <v>122142.65143219</v>
      </c>
      <c r="K535">
        <v>127724.22198690999</v>
      </c>
      <c r="L535">
        <v>130156.83220783999</v>
      </c>
    </row>
    <row r="536" spans="1:12" x14ac:dyDescent="0.2">
      <c r="A536" s="8" t="s">
        <v>110</v>
      </c>
      <c r="B536" s="8" t="s">
        <v>162</v>
      </c>
      <c r="C536" s="8" t="s">
        <v>163</v>
      </c>
      <c r="D536" s="8" t="s">
        <v>162</v>
      </c>
      <c r="E536" s="8" t="s">
        <v>39</v>
      </c>
      <c r="F536" s="8" t="s">
        <v>40</v>
      </c>
      <c r="G536" s="8" t="s">
        <v>7</v>
      </c>
      <c r="H536" s="8" t="s">
        <v>38</v>
      </c>
      <c r="I536" s="9">
        <v>62562.432999999997</v>
      </c>
      <c r="J536">
        <v>65407.203451300004</v>
      </c>
      <c r="K536">
        <v>66757.127160549993</v>
      </c>
      <c r="L536">
        <v>66513.788969204994</v>
      </c>
    </row>
    <row r="537" spans="1:12" x14ac:dyDescent="0.2">
      <c r="A537" s="8" t="s">
        <v>110</v>
      </c>
      <c r="B537" s="8" t="s">
        <v>162</v>
      </c>
      <c r="C537" s="8" t="s">
        <v>163</v>
      </c>
      <c r="D537" s="8" t="s">
        <v>162</v>
      </c>
      <c r="E537" s="8" t="s">
        <v>41</v>
      </c>
      <c r="F537" s="8" t="s">
        <v>42</v>
      </c>
      <c r="G537" s="8" t="s">
        <v>7</v>
      </c>
      <c r="H537" s="8" t="s">
        <v>38</v>
      </c>
      <c r="I537" s="9">
        <v>4513.3951999999999</v>
      </c>
      <c r="J537">
        <v>5344.5903633500002</v>
      </c>
      <c r="K537">
        <v>7414.2310071399997</v>
      </c>
      <c r="L537">
        <v>8115.892586678</v>
      </c>
    </row>
    <row r="538" spans="1:12" x14ac:dyDescent="0.2">
      <c r="A538" s="8" t="s">
        <v>110</v>
      </c>
      <c r="B538" s="8" t="s">
        <v>162</v>
      </c>
      <c r="C538" s="8" t="s">
        <v>163</v>
      </c>
      <c r="D538" s="8" t="s">
        <v>162</v>
      </c>
      <c r="E538" s="8" t="s">
        <v>43</v>
      </c>
      <c r="F538" s="8" t="s">
        <v>44</v>
      </c>
      <c r="G538" s="8" t="s">
        <v>7</v>
      </c>
      <c r="H538" s="8" t="s">
        <v>38</v>
      </c>
      <c r="I538" s="9">
        <v>126252.69</v>
      </c>
      <c r="J538">
        <v>132335.40009909999</v>
      </c>
      <c r="K538">
        <v>136164.00577168999</v>
      </c>
      <c r="L538">
        <v>136803.05396352999</v>
      </c>
    </row>
    <row r="539" spans="1:12" x14ac:dyDescent="0.2">
      <c r="A539" s="8" t="s">
        <v>110</v>
      </c>
      <c r="B539" s="8" t="s">
        <v>162</v>
      </c>
      <c r="C539" s="8" t="s">
        <v>163</v>
      </c>
      <c r="D539" s="8" t="s">
        <v>162</v>
      </c>
      <c r="E539" s="8" t="s">
        <v>66</v>
      </c>
      <c r="F539" s="8" t="s">
        <v>67</v>
      </c>
      <c r="G539" s="8" t="s">
        <v>7</v>
      </c>
      <c r="H539" s="8" t="s">
        <v>38</v>
      </c>
      <c r="I539" s="9">
        <v>6485.8001000000004</v>
      </c>
      <c r="J539">
        <v>6385.2884751900001</v>
      </c>
      <c r="K539">
        <v>6381.7895448899999</v>
      </c>
      <c r="L539">
        <v>6247.5806990121</v>
      </c>
    </row>
    <row r="540" spans="1:12" x14ac:dyDescent="0.2">
      <c r="A540" s="8" t="s">
        <v>110</v>
      </c>
      <c r="B540" s="8" t="s">
        <v>162</v>
      </c>
      <c r="C540" s="8" t="s">
        <v>163</v>
      </c>
      <c r="D540" s="8" t="s">
        <v>162</v>
      </c>
      <c r="E540" s="8" t="s">
        <v>45</v>
      </c>
      <c r="F540" s="8" t="s">
        <v>46</v>
      </c>
      <c r="G540" s="8" t="s">
        <v>7</v>
      </c>
      <c r="H540" s="8" t="s">
        <v>38</v>
      </c>
      <c r="I540" s="9">
        <v>3454.3919999999998</v>
      </c>
      <c r="J540">
        <v>3546.0856416000001</v>
      </c>
      <c r="K540">
        <v>3585.03789336</v>
      </c>
      <c r="L540">
        <v>3557.2294096455998</v>
      </c>
    </row>
    <row r="541" spans="1:12" x14ac:dyDescent="0.2">
      <c r="A541" s="8" t="s">
        <v>110</v>
      </c>
      <c r="B541" s="8" t="s">
        <v>162</v>
      </c>
      <c r="C541" s="8" t="s">
        <v>163</v>
      </c>
      <c r="D541" s="8" t="s">
        <v>162</v>
      </c>
      <c r="E541" s="8" t="s">
        <v>47</v>
      </c>
      <c r="F541" s="8" t="s">
        <v>48</v>
      </c>
      <c r="G541" s="8" t="s">
        <v>7</v>
      </c>
      <c r="H541" s="8" t="s">
        <v>38</v>
      </c>
      <c r="I541" s="9">
        <v>8019.3513999999996</v>
      </c>
      <c r="J541">
        <v>9047.6832730900005</v>
      </c>
      <c r="K541">
        <v>10437.128983799999</v>
      </c>
      <c r="L541">
        <v>9990.9677819241006</v>
      </c>
    </row>
    <row r="542" spans="1:12" x14ac:dyDescent="0.2">
      <c r="A542" s="8" t="s">
        <v>110</v>
      </c>
      <c r="B542" s="8" t="s">
        <v>162</v>
      </c>
      <c r="C542" s="8" t="s">
        <v>163</v>
      </c>
      <c r="D542" s="8" t="s">
        <v>162</v>
      </c>
      <c r="E542" s="8" t="s">
        <v>49</v>
      </c>
      <c r="F542" s="8" t="s">
        <v>50</v>
      </c>
      <c r="G542" s="8" t="s">
        <v>7</v>
      </c>
      <c r="H542" s="8" t="s">
        <v>38</v>
      </c>
      <c r="I542" s="9">
        <v>90992.399000000005</v>
      </c>
      <c r="J542">
        <v>88315.614049209005</v>
      </c>
      <c r="K542">
        <v>92093.957017118999</v>
      </c>
      <c r="L542">
        <v>86749.154689098999</v>
      </c>
    </row>
    <row r="543" spans="1:12" x14ac:dyDescent="0.2">
      <c r="A543" s="8" t="s">
        <v>110</v>
      </c>
      <c r="B543" s="8" t="s">
        <v>162</v>
      </c>
      <c r="C543" s="8" t="s">
        <v>163</v>
      </c>
      <c r="D543" s="8" t="s">
        <v>162</v>
      </c>
      <c r="E543" s="8" t="s">
        <v>51</v>
      </c>
      <c r="F543" s="8" t="s">
        <v>52</v>
      </c>
      <c r="G543" s="8" t="s">
        <v>7</v>
      </c>
      <c r="H543" s="8" t="s">
        <v>38</v>
      </c>
      <c r="I543" s="9"/>
    </row>
    <row r="544" spans="1:12" x14ac:dyDescent="0.2">
      <c r="A544" s="8" t="s">
        <v>110</v>
      </c>
      <c r="B544" s="8" t="s">
        <v>162</v>
      </c>
      <c r="C544" s="8" t="s">
        <v>163</v>
      </c>
      <c r="D544" s="8" t="s">
        <v>162</v>
      </c>
      <c r="E544" s="8" t="s">
        <v>68</v>
      </c>
      <c r="F544" s="8" t="s">
        <v>69</v>
      </c>
      <c r="G544" s="8" t="s">
        <v>7</v>
      </c>
      <c r="H544" s="8" t="s">
        <v>38</v>
      </c>
      <c r="I544" s="9">
        <v>637.24519999999995</v>
      </c>
      <c r="J544">
        <v>488.97039771802997</v>
      </c>
      <c r="K544">
        <v>931.18208879098995</v>
      </c>
      <c r="L544">
        <v>475.74246441616998</v>
      </c>
    </row>
    <row r="545" spans="1:12" x14ac:dyDescent="0.2">
      <c r="A545" s="8" t="s">
        <v>110</v>
      </c>
      <c r="B545" s="8" t="s">
        <v>162</v>
      </c>
      <c r="C545" s="8" t="s">
        <v>163</v>
      </c>
      <c r="D545" s="8" t="s">
        <v>162</v>
      </c>
      <c r="E545" s="8" t="s">
        <v>53</v>
      </c>
      <c r="F545" s="8" t="s">
        <v>54</v>
      </c>
      <c r="G545" s="8" t="s">
        <v>7</v>
      </c>
      <c r="H545" s="8" t="s">
        <v>38</v>
      </c>
      <c r="I545" s="9">
        <v>11102.254999999999</v>
      </c>
      <c r="J545">
        <v>18117.412873968002</v>
      </c>
      <c r="K545">
        <v>17507.852212376001</v>
      </c>
      <c r="L545">
        <v>7834.8496947328003</v>
      </c>
    </row>
    <row r="546" spans="1:12" x14ac:dyDescent="0.2">
      <c r="A546" s="8" t="s">
        <v>110</v>
      </c>
      <c r="B546" s="8" t="s">
        <v>162</v>
      </c>
      <c r="C546" s="8" t="s">
        <v>163</v>
      </c>
      <c r="D546" s="8" t="s">
        <v>162</v>
      </c>
      <c r="E546" s="8" t="s">
        <v>70</v>
      </c>
      <c r="F546" s="8" t="s">
        <v>71</v>
      </c>
      <c r="G546" s="8" t="s">
        <v>7</v>
      </c>
      <c r="H546" s="8" t="s">
        <v>38</v>
      </c>
      <c r="I546" s="9">
        <v>7060.5002999999997</v>
      </c>
      <c r="J546">
        <v>6900.7655217825004</v>
      </c>
      <c r="K546">
        <v>7393.6773447670002</v>
      </c>
      <c r="L546">
        <v>7385.3362591096002</v>
      </c>
    </row>
    <row r="547" spans="1:12" x14ac:dyDescent="0.2">
      <c r="A547" s="8" t="s">
        <v>110</v>
      </c>
      <c r="B547" s="8" t="s">
        <v>162</v>
      </c>
      <c r="C547" s="8" t="s">
        <v>163</v>
      </c>
      <c r="D547" s="8" t="s">
        <v>162</v>
      </c>
      <c r="E547" s="8" t="s">
        <v>83</v>
      </c>
      <c r="F547" s="8" t="s">
        <v>84</v>
      </c>
      <c r="G547" s="8" t="s">
        <v>7</v>
      </c>
      <c r="H547" s="8" t="s">
        <v>38</v>
      </c>
      <c r="I547" s="9">
        <v>1201.5</v>
      </c>
      <c r="J547">
        <v>1443.75</v>
      </c>
      <c r="K547">
        <v>918.75</v>
      </c>
      <c r="L547">
        <v>1440</v>
      </c>
    </row>
    <row r="548" spans="1:12" x14ac:dyDescent="0.2">
      <c r="A548" s="8" t="s">
        <v>110</v>
      </c>
      <c r="B548" s="8" t="s">
        <v>162</v>
      </c>
      <c r="C548" s="8" t="s">
        <v>163</v>
      </c>
      <c r="D548" s="8" t="s">
        <v>162</v>
      </c>
      <c r="E548" s="8" t="s">
        <v>55</v>
      </c>
      <c r="F548" s="8" t="s">
        <v>56</v>
      </c>
      <c r="G548" s="8" t="s">
        <v>7</v>
      </c>
      <c r="H548" s="8" t="s">
        <v>38</v>
      </c>
      <c r="I548" s="9">
        <v>10.335407999999999</v>
      </c>
      <c r="J548">
        <v>11.575924976710001</v>
      </c>
      <c r="K548">
        <v>11.575924976710001</v>
      </c>
      <c r="L548">
        <v>11.575924976710001</v>
      </c>
    </row>
    <row r="549" spans="1:12" x14ac:dyDescent="0.2">
      <c r="A549" s="8" t="s">
        <v>110</v>
      </c>
      <c r="B549" s="8" t="s">
        <v>162</v>
      </c>
      <c r="C549" s="8" t="s">
        <v>163</v>
      </c>
      <c r="D549" s="8" t="s">
        <v>162</v>
      </c>
      <c r="E549" s="8" t="s">
        <v>57</v>
      </c>
      <c r="F549" s="8" t="s">
        <v>58</v>
      </c>
      <c r="G549" s="8" t="s">
        <v>7</v>
      </c>
      <c r="H549" s="8" t="s">
        <v>38</v>
      </c>
      <c r="I549" s="9">
        <v>200.84842</v>
      </c>
      <c r="J549">
        <v>224.9554366907</v>
      </c>
      <c r="K549">
        <v>224.9554366907</v>
      </c>
      <c r="L549">
        <v>224.9554366907</v>
      </c>
    </row>
    <row r="550" spans="1:12" x14ac:dyDescent="0.2">
      <c r="A550" s="8" t="s">
        <v>110</v>
      </c>
      <c r="B550" s="8" t="s">
        <v>162</v>
      </c>
      <c r="C550" s="8" t="s">
        <v>163</v>
      </c>
      <c r="D550" s="8" t="s">
        <v>162</v>
      </c>
      <c r="E550" s="8" t="s">
        <v>72</v>
      </c>
      <c r="F550" s="8" t="s">
        <v>73</v>
      </c>
      <c r="G550" s="8" t="s">
        <v>7</v>
      </c>
      <c r="H550" s="8" t="s">
        <v>38</v>
      </c>
      <c r="I550" s="9">
        <v>14078.726000000001</v>
      </c>
      <c r="J550">
        <v>14113.88379568</v>
      </c>
      <c r="K550">
        <v>13877.056282464</v>
      </c>
      <c r="L550">
        <v>14342.548257042001</v>
      </c>
    </row>
    <row r="551" spans="1:12" x14ac:dyDescent="0.2">
      <c r="A551" s="8" t="s">
        <v>110</v>
      </c>
      <c r="B551" s="8" t="s">
        <v>162</v>
      </c>
      <c r="C551" s="8" t="s">
        <v>163</v>
      </c>
      <c r="D551" s="8" t="s">
        <v>162</v>
      </c>
      <c r="E551" s="8" t="s">
        <v>74</v>
      </c>
      <c r="F551" s="8" t="s">
        <v>75</v>
      </c>
      <c r="G551" s="8" t="s">
        <v>7</v>
      </c>
      <c r="H551" s="8" t="s">
        <v>38</v>
      </c>
      <c r="I551" s="9">
        <v>6550.6688999999997</v>
      </c>
      <c r="J551">
        <v>6711.9851525512004</v>
      </c>
      <c r="K551">
        <v>6398.3002947168998</v>
      </c>
      <c r="L551">
        <v>6374.3898102562998</v>
      </c>
    </row>
    <row r="552" spans="1:12" x14ac:dyDescent="0.2">
      <c r="A552" s="8" t="s">
        <v>110</v>
      </c>
      <c r="B552" s="8" t="s">
        <v>162</v>
      </c>
      <c r="C552" s="8" t="s">
        <v>163</v>
      </c>
      <c r="D552" s="8" t="s">
        <v>162</v>
      </c>
      <c r="E552" s="8" t="s">
        <v>59</v>
      </c>
      <c r="F552" s="8" t="s">
        <v>60</v>
      </c>
      <c r="G552" s="8" t="s">
        <v>7</v>
      </c>
      <c r="H552" s="8" t="s">
        <v>38</v>
      </c>
      <c r="I552" s="9">
        <v>1115.1047000000001</v>
      </c>
      <c r="J552">
        <v>1140.1765357549</v>
      </c>
      <c r="K552">
        <v>1193.0023599317999</v>
      </c>
      <c r="L552">
        <v>1191.590144235</v>
      </c>
    </row>
    <row r="553" spans="1:12" x14ac:dyDescent="0.2">
      <c r="A553" s="8" t="s">
        <v>110</v>
      </c>
      <c r="B553" s="8" t="s">
        <v>162</v>
      </c>
      <c r="C553" s="8" t="s">
        <v>163</v>
      </c>
      <c r="D553" s="8" t="s">
        <v>162</v>
      </c>
      <c r="E553" s="8" t="s">
        <v>76</v>
      </c>
      <c r="F553" s="8" t="s">
        <v>77</v>
      </c>
      <c r="G553" s="8" t="s">
        <v>7</v>
      </c>
      <c r="H553" s="8" t="s">
        <v>38</v>
      </c>
      <c r="I553" s="9">
        <v>1576.8761999999999</v>
      </c>
      <c r="J553">
        <v>1425.8095241203</v>
      </c>
      <c r="K553">
        <v>1497.0476193745001</v>
      </c>
      <c r="L553">
        <v>2346.3930034277</v>
      </c>
    </row>
    <row r="554" spans="1:12" x14ac:dyDescent="0.2">
      <c r="A554" s="8" t="s">
        <v>110</v>
      </c>
      <c r="B554" s="8" t="s">
        <v>162</v>
      </c>
      <c r="C554" s="8" t="s">
        <v>163</v>
      </c>
      <c r="D554" s="8" t="s">
        <v>162</v>
      </c>
      <c r="E554" s="8" t="s">
        <v>78</v>
      </c>
      <c r="F554" s="8" t="s">
        <v>79</v>
      </c>
      <c r="G554" s="8" t="s">
        <v>7</v>
      </c>
      <c r="H554" s="8" t="s">
        <v>38</v>
      </c>
      <c r="I554" s="9">
        <v>2550.2710000000002</v>
      </c>
      <c r="J554">
        <v>2315.3424361714001</v>
      </c>
      <c r="K554">
        <v>2435.0852715429</v>
      </c>
      <c r="L554">
        <v>2499.2309741657</v>
      </c>
    </row>
    <row r="555" spans="1:12" x14ac:dyDescent="0.2">
      <c r="A555" s="8" t="s">
        <v>110</v>
      </c>
      <c r="B555" s="8" t="s">
        <v>162</v>
      </c>
      <c r="C555" s="8" t="s">
        <v>163</v>
      </c>
      <c r="D555" s="8" t="s">
        <v>162</v>
      </c>
      <c r="E555" s="8" t="s">
        <v>92</v>
      </c>
      <c r="F555" s="8" t="s">
        <v>93</v>
      </c>
      <c r="G555" s="8" t="s">
        <v>7</v>
      </c>
      <c r="H555" s="8" t="s">
        <v>38</v>
      </c>
      <c r="I555" s="9">
        <v>126.02582</v>
      </c>
      <c r="J555">
        <v>113.39564778138001</v>
      </c>
      <c r="K555">
        <v>113.39515778194</v>
      </c>
      <c r="L555">
        <v>107.84497522885</v>
      </c>
    </row>
    <row r="556" spans="1:12" x14ac:dyDescent="0.2">
      <c r="A556" s="8" t="s">
        <v>110</v>
      </c>
      <c r="B556" s="8" t="s">
        <v>115</v>
      </c>
      <c r="C556" s="8" t="s">
        <v>164</v>
      </c>
      <c r="D556" s="8" t="s">
        <v>165</v>
      </c>
      <c r="E556" s="8" t="s">
        <v>36</v>
      </c>
      <c r="F556" s="8" t="s">
        <v>37</v>
      </c>
      <c r="G556" s="8" t="s">
        <v>7</v>
      </c>
      <c r="H556" s="8" t="s">
        <v>38</v>
      </c>
      <c r="I556" s="9">
        <v>2736.4960999999998</v>
      </c>
      <c r="J556">
        <v>2687.704952</v>
      </c>
      <c r="K556">
        <v>2553.0243730000002</v>
      </c>
      <c r="L556">
        <v>2600.4471293728998</v>
      </c>
    </row>
    <row r="557" spans="1:12" x14ac:dyDescent="0.2">
      <c r="A557" s="8" t="s">
        <v>110</v>
      </c>
      <c r="B557" s="8" t="s">
        <v>115</v>
      </c>
      <c r="C557" s="8" t="s">
        <v>164</v>
      </c>
      <c r="D557" s="8" t="s">
        <v>165</v>
      </c>
      <c r="E557" s="8" t="s">
        <v>64</v>
      </c>
      <c r="F557" s="8" t="s">
        <v>65</v>
      </c>
      <c r="G557" s="8" t="s">
        <v>7</v>
      </c>
      <c r="H557" s="8" t="s">
        <v>38</v>
      </c>
      <c r="I557" s="9">
        <v>352.95308999999997</v>
      </c>
      <c r="J557">
        <v>304.75426800000002</v>
      </c>
      <c r="K557">
        <v>376.96787999999998</v>
      </c>
      <c r="L557">
        <v>358.71826228270999</v>
      </c>
    </row>
    <row r="558" spans="1:12" x14ac:dyDescent="0.2">
      <c r="A558" s="8" t="s">
        <v>110</v>
      </c>
      <c r="B558" s="8" t="s">
        <v>115</v>
      </c>
      <c r="C558" s="8" t="s">
        <v>164</v>
      </c>
      <c r="D558" s="8" t="s">
        <v>165</v>
      </c>
      <c r="E558" s="8" t="s">
        <v>39</v>
      </c>
      <c r="F558" s="8" t="s">
        <v>40</v>
      </c>
      <c r="G558" s="8" t="s">
        <v>7</v>
      </c>
      <c r="H558" s="8" t="s">
        <v>38</v>
      </c>
      <c r="I558" s="9">
        <v>4711.1058999999996</v>
      </c>
      <c r="J558">
        <v>4870.2365</v>
      </c>
      <c r="K558">
        <v>4474.3396720000001</v>
      </c>
      <c r="L558">
        <v>4001.6114950820001</v>
      </c>
    </row>
    <row r="559" spans="1:12" x14ac:dyDescent="0.2">
      <c r="A559" s="8" t="s">
        <v>110</v>
      </c>
      <c r="B559" s="8" t="s">
        <v>115</v>
      </c>
      <c r="C559" s="8" t="s">
        <v>164</v>
      </c>
      <c r="D559" s="8" t="s">
        <v>165</v>
      </c>
      <c r="E559" s="8" t="s">
        <v>41</v>
      </c>
      <c r="F559" s="8" t="s">
        <v>42</v>
      </c>
      <c r="G559" s="8" t="s">
        <v>7</v>
      </c>
      <c r="H559" s="8" t="s">
        <v>38</v>
      </c>
      <c r="I559" s="9">
        <v>136.26582999999999</v>
      </c>
      <c r="J559">
        <v>111.166845</v>
      </c>
      <c r="K559">
        <v>140.68513999999999</v>
      </c>
      <c r="L559">
        <v>119.03648331127</v>
      </c>
    </row>
    <row r="560" spans="1:12" x14ac:dyDescent="0.2">
      <c r="A560" s="8" t="s">
        <v>110</v>
      </c>
      <c r="B560" s="8" t="s">
        <v>115</v>
      </c>
      <c r="C560" s="8" t="s">
        <v>164</v>
      </c>
      <c r="D560" s="8" t="s">
        <v>165</v>
      </c>
      <c r="E560" s="8" t="s">
        <v>43</v>
      </c>
      <c r="F560" s="8" t="s">
        <v>44</v>
      </c>
      <c r="G560" s="8" t="s">
        <v>7</v>
      </c>
      <c r="H560" s="8" t="s">
        <v>38</v>
      </c>
      <c r="I560" s="9">
        <v>14143.776</v>
      </c>
      <c r="J560">
        <v>14368.855702999999</v>
      </c>
      <c r="K560">
        <v>14161.456886</v>
      </c>
      <c r="L560">
        <v>14219.222143453</v>
      </c>
    </row>
    <row r="561" spans="1:12" x14ac:dyDescent="0.2">
      <c r="A561" s="8" t="s">
        <v>110</v>
      </c>
      <c r="B561" s="8" t="s">
        <v>115</v>
      </c>
      <c r="C561" s="8" t="s">
        <v>164</v>
      </c>
      <c r="D561" s="8" t="s">
        <v>165</v>
      </c>
      <c r="E561" s="8" t="s">
        <v>66</v>
      </c>
      <c r="F561" s="8" t="s">
        <v>67</v>
      </c>
      <c r="G561" s="8" t="s">
        <v>7</v>
      </c>
      <c r="H561" s="8" t="s">
        <v>38</v>
      </c>
      <c r="I561" s="9">
        <v>28.043886000000001</v>
      </c>
      <c r="J561">
        <v>27.895686000000001</v>
      </c>
      <c r="K561">
        <v>27.823067999999999</v>
      </c>
      <c r="L561">
        <v>27.639715906669</v>
      </c>
    </row>
    <row r="562" spans="1:12" x14ac:dyDescent="0.2">
      <c r="A562" s="8" t="s">
        <v>110</v>
      </c>
      <c r="B562" s="8" t="s">
        <v>115</v>
      </c>
      <c r="C562" s="8" t="s">
        <v>164</v>
      </c>
      <c r="D562" s="8" t="s">
        <v>165</v>
      </c>
      <c r="E562" s="8" t="s">
        <v>45</v>
      </c>
      <c r="F562" s="8" t="s">
        <v>46</v>
      </c>
      <c r="G562" s="8" t="s">
        <v>7</v>
      </c>
      <c r="H562" s="8" t="s">
        <v>38</v>
      </c>
      <c r="I562" s="9">
        <v>109.43351</v>
      </c>
      <c r="J562">
        <v>108.993993</v>
      </c>
      <c r="K562">
        <v>108.703875</v>
      </c>
      <c r="L562">
        <v>108.40898452737</v>
      </c>
    </row>
    <row r="563" spans="1:12" x14ac:dyDescent="0.2">
      <c r="A563" s="8" t="s">
        <v>110</v>
      </c>
      <c r="B563" s="8" t="s">
        <v>115</v>
      </c>
      <c r="C563" s="8" t="s">
        <v>164</v>
      </c>
      <c r="D563" s="8" t="s">
        <v>165</v>
      </c>
      <c r="E563" s="8" t="s">
        <v>47</v>
      </c>
      <c r="F563" s="8" t="s">
        <v>48</v>
      </c>
      <c r="G563" s="8" t="s">
        <v>7</v>
      </c>
      <c r="H563" s="8" t="s">
        <v>38</v>
      </c>
      <c r="I563" s="9">
        <v>30.343368000000002</v>
      </c>
      <c r="J563">
        <v>6.8453220000000004</v>
      </c>
      <c r="K563">
        <v>22.725549000000001</v>
      </c>
      <c r="L563">
        <v>9.5134393615193993</v>
      </c>
    </row>
    <row r="564" spans="1:12" x14ac:dyDescent="0.2">
      <c r="A564" s="8" t="s">
        <v>110</v>
      </c>
      <c r="B564" s="8" t="s">
        <v>115</v>
      </c>
      <c r="C564" s="8" t="s">
        <v>164</v>
      </c>
      <c r="D564" s="8" t="s">
        <v>165</v>
      </c>
      <c r="E564" s="8" t="s">
        <v>49</v>
      </c>
      <c r="F564" s="8" t="s">
        <v>50</v>
      </c>
      <c r="G564" s="8" t="s">
        <v>7</v>
      </c>
      <c r="H564" s="8" t="s">
        <v>38</v>
      </c>
      <c r="I564" s="9">
        <v>10590.897999999999</v>
      </c>
      <c r="J564">
        <v>11793.255628999999</v>
      </c>
      <c r="K564">
        <v>9488.2842639999999</v>
      </c>
      <c r="L564">
        <v>9092.2443572348002</v>
      </c>
    </row>
    <row r="565" spans="1:12" x14ac:dyDescent="0.2">
      <c r="A565" s="8" t="s">
        <v>110</v>
      </c>
      <c r="B565" s="8" t="s">
        <v>115</v>
      </c>
      <c r="C565" s="8" t="s">
        <v>164</v>
      </c>
      <c r="D565" s="8" t="s">
        <v>165</v>
      </c>
      <c r="E565" s="8" t="s">
        <v>51</v>
      </c>
      <c r="F565" s="8" t="s">
        <v>52</v>
      </c>
      <c r="G565" s="8" t="s">
        <v>7</v>
      </c>
      <c r="H565" s="8" t="s">
        <v>38</v>
      </c>
      <c r="I565" s="9">
        <v>468.87191000000001</v>
      </c>
      <c r="J565">
        <v>616.02963899999997</v>
      </c>
      <c r="K565">
        <v>490.21853099999998</v>
      </c>
      <c r="L565">
        <v>525.59361124870998</v>
      </c>
    </row>
    <row r="566" spans="1:12" x14ac:dyDescent="0.2">
      <c r="A566" s="8" t="s">
        <v>110</v>
      </c>
      <c r="B566" s="8" t="s">
        <v>115</v>
      </c>
      <c r="C566" s="8" t="s">
        <v>164</v>
      </c>
      <c r="D566" s="8" t="s">
        <v>165</v>
      </c>
      <c r="E566" s="8" t="s">
        <v>68</v>
      </c>
      <c r="F566" s="8" t="s">
        <v>69</v>
      </c>
      <c r="G566" s="8" t="s">
        <v>7</v>
      </c>
      <c r="H566" s="8" t="s">
        <v>38</v>
      </c>
      <c r="I566" s="9"/>
    </row>
    <row r="567" spans="1:12" x14ac:dyDescent="0.2">
      <c r="A567" s="8" t="s">
        <v>110</v>
      </c>
      <c r="B567" s="8" t="s">
        <v>115</v>
      </c>
      <c r="C567" s="8" t="s">
        <v>164</v>
      </c>
      <c r="D567" s="8" t="s">
        <v>165</v>
      </c>
      <c r="E567" s="8" t="s">
        <v>53</v>
      </c>
      <c r="F567" s="8" t="s">
        <v>54</v>
      </c>
      <c r="G567" s="8" t="s">
        <v>7</v>
      </c>
      <c r="H567" s="8" t="s">
        <v>38</v>
      </c>
      <c r="I567" s="9">
        <v>11.336963000000001</v>
      </c>
      <c r="J567">
        <v>11.074000856790001</v>
      </c>
      <c r="K567">
        <v>11.05521516358</v>
      </c>
      <c r="L567">
        <v>10.972635038524</v>
      </c>
    </row>
    <row r="568" spans="1:12" x14ac:dyDescent="0.2">
      <c r="A568" s="8" t="s">
        <v>110</v>
      </c>
      <c r="B568" s="8" t="s">
        <v>115</v>
      </c>
      <c r="C568" s="8" t="s">
        <v>164</v>
      </c>
      <c r="D568" s="8" t="s">
        <v>165</v>
      </c>
      <c r="E568" s="8" t="s">
        <v>70</v>
      </c>
      <c r="F568" s="8" t="s">
        <v>71</v>
      </c>
      <c r="G568" s="8" t="s">
        <v>7</v>
      </c>
      <c r="H568" s="8" t="s">
        <v>38</v>
      </c>
      <c r="I568" s="9">
        <v>1626.8371999999999</v>
      </c>
      <c r="J568">
        <v>1690.3118245783</v>
      </c>
      <c r="K568">
        <v>1678.1804</v>
      </c>
      <c r="L568">
        <v>1676.2871815361</v>
      </c>
    </row>
    <row r="569" spans="1:12" x14ac:dyDescent="0.2">
      <c r="A569" s="8" t="s">
        <v>110</v>
      </c>
      <c r="B569" s="8" t="s">
        <v>115</v>
      </c>
      <c r="C569" s="8" t="s">
        <v>164</v>
      </c>
      <c r="D569" s="8" t="s">
        <v>165</v>
      </c>
      <c r="E569" s="8" t="s">
        <v>83</v>
      </c>
      <c r="F569" s="8" t="s">
        <v>84</v>
      </c>
      <c r="G569" s="8" t="s">
        <v>7</v>
      </c>
      <c r="H569" s="8" t="s">
        <v>38</v>
      </c>
      <c r="I569" s="9">
        <v>30</v>
      </c>
      <c r="J569">
        <v>30</v>
      </c>
      <c r="K569">
        <v>30</v>
      </c>
      <c r="L569">
        <v>30</v>
      </c>
    </row>
    <row r="570" spans="1:12" x14ac:dyDescent="0.2">
      <c r="A570" s="8" t="s">
        <v>110</v>
      </c>
      <c r="B570" s="8" t="s">
        <v>115</v>
      </c>
      <c r="C570" s="8" t="s">
        <v>164</v>
      </c>
      <c r="D570" s="8" t="s">
        <v>165</v>
      </c>
      <c r="E570" s="8" t="s">
        <v>55</v>
      </c>
      <c r="F570" s="8" t="s">
        <v>56</v>
      </c>
      <c r="G570" s="8" t="s">
        <v>7</v>
      </c>
      <c r="H570" s="8" t="s">
        <v>38</v>
      </c>
      <c r="I570" s="9">
        <v>7.9442500000000003</v>
      </c>
      <c r="J570">
        <v>7.9442500000000003</v>
      </c>
      <c r="K570">
        <v>7.9442500000000003</v>
      </c>
      <c r="L570">
        <v>7.9442500000000003</v>
      </c>
    </row>
    <row r="571" spans="1:12" x14ac:dyDescent="0.2">
      <c r="A571" s="8" t="s">
        <v>110</v>
      </c>
      <c r="B571" s="8" t="s">
        <v>115</v>
      </c>
      <c r="C571" s="8" t="s">
        <v>164</v>
      </c>
      <c r="D571" s="8" t="s">
        <v>165</v>
      </c>
      <c r="E571" s="8" t="s">
        <v>57</v>
      </c>
      <c r="F571" s="8" t="s">
        <v>58</v>
      </c>
      <c r="G571" s="8" t="s">
        <v>7</v>
      </c>
      <c r="H571" s="8" t="s">
        <v>38</v>
      </c>
      <c r="I571" s="9">
        <v>328.75761999999997</v>
      </c>
      <c r="J571">
        <v>328.75762019413003</v>
      </c>
      <c r="K571">
        <v>328.75762019413003</v>
      </c>
      <c r="L571">
        <v>328.75762019413003</v>
      </c>
    </row>
    <row r="572" spans="1:12" x14ac:dyDescent="0.2">
      <c r="A572" s="8" t="s">
        <v>110</v>
      </c>
      <c r="B572" s="8" t="s">
        <v>115</v>
      </c>
      <c r="C572" s="8" t="s">
        <v>164</v>
      </c>
      <c r="D572" s="8" t="s">
        <v>165</v>
      </c>
      <c r="E572" s="8" t="s">
        <v>72</v>
      </c>
      <c r="F572" s="8" t="s">
        <v>73</v>
      </c>
      <c r="G572" s="8" t="s">
        <v>7</v>
      </c>
      <c r="H572" s="8" t="s">
        <v>38</v>
      </c>
      <c r="I572" s="9">
        <v>92.308902000000003</v>
      </c>
      <c r="J572">
        <v>110.30222103865999</v>
      </c>
      <c r="K572">
        <v>94.991611310666002</v>
      </c>
      <c r="L572">
        <v>85.796900415893006</v>
      </c>
    </row>
    <row r="573" spans="1:12" x14ac:dyDescent="0.2">
      <c r="A573" s="8" t="s">
        <v>110</v>
      </c>
      <c r="B573" s="8" t="s">
        <v>115</v>
      </c>
      <c r="C573" s="8" t="s">
        <v>164</v>
      </c>
      <c r="D573" s="8" t="s">
        <v>165</v>
      </c>
      <c r="E573" s="8" t="s">
        <v>74</v>
      </c>
      <c r="F573" s="8" t="s">
        <v>75</v>
      </c>
      <c r="G573" s="8" t="s">
        <v>7</v>
      </c>
      <c r="H573" s="8" t="s">
        <v>38</v>
      </c>
      <c r="I573" s="9">
        <v>47</v>
      </c>
      <c r="J573">
        <v>51.643999999999998</v>
      </c>
      <c r="K573">
        <v>48.235999999999997</v>
      </c>
      <c r="L573">
        <v>48</v>
      </c>
    </row>
    <row r="574" spans="1:12" x14ac:dyDescent="0.2">
      <c r="A574" s="8" t="s">
        <v>110</v>
      </c>
      <c r="B574" s="8" t="s">
        <v>115</v>
      </c>
      <c r="C574" s="8" t="s">
        <v>164</v>
      </c>
      <c r="D574" s="8" t="s">
        <v>165</v>
      </c>
      <c r="E574" s="8" t="s">
        <v>59</v>
      </c>
      <c r="F574" s="8" t="s">
        <v>60</v>
      </c>
      <c r="G574" s="8" t="s">
        <v>7</v>
      </c>
      <c r="H574" s="8" t="s">
        <v>38</v>
      </c>
      <c r="I574" s="9">
        <v>443.38269000000003</v>
      </c>
      <c r="J574">
        <v>460.20424874564998</v>
      </c>
      <c r="K574">
        <v>399.66804030873999</v>
      </c>
      <c r="L574">
        <v>373.8508730053</v>
      </c>
    </row>
    <row r="575" spans="1:12" x14ac:dyDescent="0.2">
      <c r="A575" s="8" t="s">
        <v>110</v>
      </c>
      <c r="B575" s="8" t="s">
        <v>115</v>
      </c>
      <c r="C575" s="8" t="s">
        <v>164</v>
      </c>
      <c r="D575" s="8" t="s">
        <v>165</v>
      </c>
      <c r="E575" s="8" t="s">
        <v>76</v>
      </c>
      <c r="F575" s="8" t="s">
        <v>77</v>
      </c>
      <c r="G575" s="8" t="s">
        <v>7</v>
      </c>
      <c r="H575" s="8" t="s">
        <v>38</v>
      </c>
      <c r="I575" s="9">
        <v>15.92381</v>
      </c>
      <c r="J575">
        <v>14.457142860776001</v>
      </c>
      <c r="K575">
        <v>12.15238095544</v>
      </c>
      <c r="L575">
        <v>12.15238095544</v>
      </c>
    </row>
    <row r="576" spans="1:12" x14ac:dyDescent="0.2">
      <c r="A576" s="8" t="s">
        <v>110</v>
      </c>
      <c r="B576" s="8" t="s">
        <v>115</v>
      </c>
      <c r="C576" s="8" t="s">
        <v>164</v>
      </c>
      <c r="D576" s="8" t="s">
        <v>165</v>
      </c>
      <c r="E576" s="8" t="s">
        <v>78</v>
      </c>
      <c r="F576" s="8" t="s">
        <v>79</v>
      </c>
      <c r="G576" s="8" t="s">
        <v>7</v>
      </c>
      <c r="H576" s="8" t="s">
        <v>38</v>
      </c>
      <c r="I576" s="9">
        <v>26.871424000000001</v>
      </c>
      <c r="J576">
        <v>28.128566314286001</v>
      </c>
      <c r="K576">
        <v>23.885709942857002</v>
      </c>
      <c r="L576">
        <v>28.505709102857001</v>
      </c>
    </row>
    <row r="577" spans="1:12" x14ac:dyDescent="0.2">
      <c r="A577" s="8" t="s">
        <v>110</v>
      </c>
      <c r="B577" s="8" t="s">
        <v>115</v>
      </c>
      <c r="C577" s="8" t="s">
        <v>164</v>
      </c>
      <c r="D577" s="8" t="s">
        <v>165</v>
      </c>
      <c r="E577" s="8" t="s">
        <v>92</v>
      </c>
      <c r="F577" s="8" t="s">
        <v>93</v>
      </c>
      <c r="G577" s="8" t="s">
        <v>7</v>
      </c>
      <c r="H577" s="8" t="s">
        <v>38</v>
      </c>
      <c r="I577" s="9">
        <v>1.5654585999999999</v>
      </c>
      <c r="J577">
        <v>1.5394216077139</v>
      </c>
      <c r="K577">
        <v>1.4403467180412</v>
      </c>
      <c r="L577">
        <v>1.3907086807579001</v>
      </c>
    </row>
    <row r="578" spans="1:12" x14ac:dyDescent="0.2">
      <c r="A578" s="8" t="s">
        <v>32</v>
      </c>
      <c r="B578" s="8" t="s">
        <v>99</v>
      </c>
      <c r="C578" s="8" t="s">
        <v>166</v>
      </c>
      <c r="D578" s="8" t="s">
        <v>167</v>
      </c>
      <c r="E578" s="8" t="s">
        <v>36</v>
      </c>
      <c r="F578" s="8" t="s">
        <v>37</v>
      </c>
      <c r="G578" s="8" t="s">
        <v>7</v>
      </c>
      <c r="H578" s="8" t="s">
        <v>38</v>
      </c>
      <c r="I578" s="9">
        <v>35120.137000000002</v>
      </c>
      <c r="J578">
        <v>32807.464140559998</v>
      </c>
      <c r="K578">
        <v>29351.542699279998</v>
      </c>
      <c r="L578">
        <v>19961.675930960999</v>
      </c>
    </row>
    <row r="579" spans="1:12" x14ac:dyDescent="0.2">
      <c r="A579" s="8" t="s">
        <v>32</v>
      </c>
      <c r="B579" s="8" t="s">
        <v>99</v>
      </c>
      <c r="C579" s="8" t="s">
        <v>166</v>
      </c>
      <c r="D579" s="8" t="s">
        <v>167</v>
      </c>
      <c r="E579" s="8" t="s">
        <v>64</v>
      </c>
      <c r="F579" s="8" t="s">
        <v>65</v>
      </c>
      <c r="G579" s="8" t="s">
        <v>7</v>
      </c>
      <c r="H579" s="8" t="s">
        <v>38</v>
      </c>
      <c r="I579" s="9">
        <v>2007.3633</v>
      </c>
      <c r="J579">
        <v>2369.7191210699998</v>
      </c>
      <c r="K579">
        <v>1856.45251912</v>
      </c>
      <c r="L579">
        <v>1951.8590952008999</v>
      </c>
    </row>
    <row r="580" spans="1:12" x14ac:dyDescent="0.2">
      <c r="A580" s="8" t="s">
        <v>32</v>
      </c>
      <c r="B580" s="8" t="s">
        <v>99</v>
      </c>
      <c r="C580" s="8" t="s">
        <v>166</v>
      </c>
      <c r="D580" s="8" t="s">
        <v>167</v>
      </c>
      <c r="E580" s="8" t="s">
        <v>39</v>
      </c>
      <c r="F580" s="8" t="s">
        <v>40</v>
      </c>
      <c r="G580" s="8" t="s">
        <v>7</v>
      </c>
      <c r="H580" s="8" t="s">
        <v>38</v>
      </c>
      <c r="I580" s="9">
        <v>13962.822</v>
      </c>
      <c r="J580">
        <v>14290.153008249999</v>
      </c>
      <c r="K580">
        <v>15992.587264129999</v>
      </c>
      <c r="L580">
        <v>15031.090686371001</v>
      </c>
    </row>
    <row r="581" spans="1:12" x14ac:dyDescent="0.2">
      <c r="A581" s="8" t="s">
        <v>32</v>
      </c>
      <c r="B581" s="8" t="s">
        <v>99</v>
      </c>
      <c r="C581" s="8" t="s">
        <v>166</v>
      </c>
      <c r="D581" s="8" t="s">
        <v>167</v>
      </c>
      <c r="E581" s="8" t="s">
        <v>41</v>
      </c>
      <c r="F581" s="8" t="s">
        <v>42</v>
      </c>
      <c r="G581" s="8" t="s">
        <v>7</v>
      </c>
      <c r="H581" s="8" t="s">
        <v>38</v>
      </c>
      <c r="I581" s="9">
        <v>1007.3920000000001</v>
      </c>
      <c r="J581">
        <v>1108.7236333599999</v>
      </c>
      <c r="K581">
        <v>1511.55725753</v>
      </c>
      <c r="L581">
        <v>1697.0031762292001</v>
      </c>
    </row>
    <row r="582" spans="1:12" x14ac:dyDescent="0.2">
      <c r="A582" s="8" t="s">
        <v>32</v>
      </c>
      <c r="B582" s="8" t="s">
        <v>99</v>
      </c>
      <c r="C582" s="8" t="s">
        <v>166</v>
      </c>
      <c r="D582" s="8" t="s">
        <v>167</v>
      </c>
      <c r="E582" s="8" t="s">
        <v>43</v>
      </c>
      <c r="F582" s="8" t="s">
        <v>44</v>
      </c>
      <c r="G582" s="8" t="s">
        <v>7</v>
      </c>
      <c r="H582" s="8" t="s">
        <v>38</v>
      </c>
      <c r="I582" s="9">
        <v>23289.987000000001</v>
      </c>
      <c r="J582">
        <v>25560.229534170001</v>
      </c>
      <c r="K582">
        <v>28580.823715409999</v>
      </c>
      <c r="L582">
        <v>25706.090319456001</v>
      </c>
    </row>
    <row r="583" spans="1:12" x14ac:dyDescent="0.2">
      <c r="A583" s="8" t="s">
        <v>32</v>
      </c>
      <c r="B583" s="8" t="s">
        <v>99</v>
      </c>
      <c r="C583" s="8" t="s">
        <v>166</v>
      </c>
      <c r="D583" s="8" t="s">
        <v>167</v>
      </c>
      <c r="E583" s="8" t="s">
        <v>66</v>
      </c>
      <c r="F583" s="8" t="s">
        <v>67</v>
      </c>
      <c r="G583" s="8" t="s">
        <v>7</v>
      </c>
      <c r="H583" s="8" t="s">
        <v>38</v>
      </c>
      <c r="I583" s="9">
        <v>128.11004</v>
      </c>
      <c r="J583">
        <v>133.08663068999999</v>
      </c>
      <c r="K583">
        <v>159.42744089000001</v>
      </c>
      <c r="L583">
        <v>142.5534085944</v>
      </c>
    </row>
    <row r="584" spans="1:12" x14ac:dyDescent="0.2">
      <c r="A584" s="8" t="s">
        <v>32</v>
      </c>
      <c r="B584" s="8" t="s">
        <v>99</v>
      </c>
      <c r="C584" s="8" t="s">
        <v>166</v>
      </c>
      <c r="D584" s="8" t="s">
        <v>167</v>
      </c>
      <c r="E584" s="8" t="s">
        <v>45</v>
      </c>
      <c r="F584" s="8" t="s">
        <v>46</v>
      </c>
      <c r="G584" s="8" t="s">
        <v>7</v>
      </c>
      <c r="H584" s="8" t="s">
        <v>38</v>
      </c>
      <c r="I584" s="9">
        <v>1040.2229</v>
      </c>
      <c r="J584">
        <v>1011.8516208</v>
      </c>
      <c r="K584">
        <v>936.75848549</v>
      </c>
      <c r="L584">
        <v>852.12564167569997</v>
      </c>
    </row>
    <row r="585" spans="1:12" x14ac:dyDescent="0.2">
      <c r="A585" s="8" t="s">
        <v>32</v>
      </c>
      <c r="B585" s="8" t="s">
        <v>99</v>
      </c>
      <c r="C585" s="8" t="s">
        <v>166</v>
      </c>
      <c r="D585" s="8" t="s">
        <v>167</v>
      </c>
      <c r="E585" s="8" t="s">
        <v>47</v>
      </c>
      <c r="F585" s="8" t="s">
        <v>48</v>
      </c>
      <c r="G585" s="8" t="s">
        <v>7</v>
      </c>
      <c r="H585" s="8" t="s">
        <v>38</v>
      </c>
      <c r="I585" s="9">
        <v>0.25969439999999999</v>
      </c>
      <c r="J585">
        <v>0.28347043999999999</v>
      </c>
      <c r="K585">
        <v>0.22693915000000001</v>
      </c>
      <c r="L585">
        <v>0.27162016173525999</v>
      </c>
    </row>
    <row r="586" spans="1:12" x14ac:dyDescent="0.2">
      <c r="A586" s="8" t="s">
        <v>32</v>
      </c>
      <c r="B586" s="8" t="s">
        <v>99</v>
      </c>
      <c r="C586" s="8" t="s">
        <v>166</v>
      </c>
      <c r="D586" s="8" t="s">
        <v>167</v>
      </c>
      <c r="E586" s="8" t="s">
        <v>49</v>
      </c>
      <c r="F586" s="8" t="s">
        <v>50</v>
      </c>
      <c r="G586" s="8" t="s">
        <v>7</v>
      </c>
      <c r="H586" s="8" t="s">
        <v>38</v>
      </c>
      <c r="I586" s="9">
        <v>7304.5920999999998</v>
      </c>
      <c r="J586">
        <v>7682.2809340200001</v>
      </c>
      <c r="K586">
        <v>8064.4596456400004</v>
      </c>
      <c r="L586">
        <v>7806.6711012696996</v>
      </c>
    </row>
    <row r="587" spans="1:12" x14ac:dyDescent="0.2">
      <c r="A587" s="8" t="s">
        <v>32</v>
      </c>
      <c r="B587" s="8" t="s">
        <v>99</v>
      </c>
      <c r="C587" s="8" t="s">
        <v>166</v>
      </c>
      <c r="D587" s="8" t="s">
        <v>167</v>
      </c>
      <c r="E587" s="8" t="s">
        <v>51</v>
      </c>
      <c r="F587" s="8" t="s">
        <v>52</v>
      </c>
      <c r="G587" s="8" t="s">
        <v>7</v>
      </c>
      <c r="H587" s="8" t="s">
        <v>38</v>
      </c>
      <c r="I587" s="9"/>
      <c r="K587">
        <v>133.01931084</v>
      </c>
      <c r="L587">
        <v>131.51858181402</v>
      </c>
    </row>
    <row r="588" spans="1:12" x14ac:dyDescent="0.2">
      <c r="A588" s="8" t="s">
        <v>32</v>
      </c>
      <c r="B588" s="8" t="s">
        <v>99</v>
      </c>
      <c r="C588" s="8" t="s">
        <v>166</v>
      </c>
      <c r="D588" s="8" t="s">
        <v>167</v>
      </c>
      <c r="E588" s="8" t="s">
        <v>68</v>
      </c>
      <c r="F588" s="8" t="s">
        <v>69</v>
      </c>
      <c r="G588" s="8" t="s">
        <v>7</v>
      </c>
      <c r="H588" s="8" t="s">
        <v>38</v>
      </c>
      <c r="I588" s="9">
        <v>13.886805000000001</v>
      </c>
      <c r="J588">
        <v>162.77003606647</v>
      </c>
      <c r="K588">
        <v>38.641013378620997</v>
      </c>
      <c r="L588">
        <v>9.9003620671758998</v>
      </c>
    </row>
    <row r="589" spans="1:12" x14ac:dyDescent="0.2">
      <c r="A589" s="8" t="s">
        <v>32</v>
      </c>
      <c r="B589" s="8" t="s">
        <v>99</v>
      </c>
      <c r="C589" s="8" t="s">
        <v>166</v>
      </c>
      <c r="D589" s="8" t="s">
        <v>167</v>
      </c>
      <c r="E589" s="8" t="s">
        <v>53</v>
      </c>
      <c r="F589" s="8" t="s">
        <v>54</v>
      </c>
      <c r="G589" s="8" t="s">
        <v>7</v>
      </c>
      <c r="H589" s="8" t="s">
        <v>38</v>
      </c>
      <c r="I589" s="9">
        <v>312.92061999999999</v>
      </c>
      <c r="J589">
        <v>358.99117551454998</v>
      </c>
      <c r="K589">
        <v>379.18487809718999</v>
      </c>
      <c r="L589">
        <v>349.22406575099001</v>
      </c>
    </row>
    <row r="590" spans="1:12" x14ac:dyDescent="0.2">
      <c r="A590" s="8" t="s">
        <v>32</v>
      </c>
      <c r="B590" s="8" t="s">
        <v>99</v>
      </c>
      <c r="C590" s="8" t="s">
        <v>166</v>
      </c>
      <c r="D590" s="8" t="s">
        <v>167</v>
      </c>
      <c r="E590" s="8" t="s">
        <v>70</v>
      </c>
      <c r="F590" s="8" t="s">
        <v>71</v>
      </c>
      <c r="G590" s="8" t="s">
        <v>7</v>
      </c>
      <c r="H590" s="8" t="s">
        <v>38</v>
      </c>
      <c r="I590" s="9">
        <v>1639.9133999999999</v>
      </c>
      <c r="J590">
        <v>1819.99732225</v>
      </c>
      <c r="K590">
        <v>1724.2079894999999</v>
      </c>
      <c r="L590">
        <v>1722.2628455803001</v>
      </c>
    </row>
    <row r="591" spans="1:12" x14ac:dyDescent="0.2">
      <c r="A591" s="8" t="s">
        <v>32</v>
      </c>
      <c r="B591" s="8" t="s">
        <v>99</v>
      </c>
      <c r="C591" s="8" t="s">
        <v>166</v>
      </c>
      <c r="D591" s="8" t="s">
        <v>167</v>
      </c>
      <c r="E591" s="8" t="s">
        <v>83</v>
      </c>
      <c r="F591" s="8" t="s">
        <v>84</v>
      </c>
      <c r="G591" s="8" t="s">
        <v>7</v>
      </c>
      <c r="H591" s="8" t="s">
        <v>38</v>
      </c>
      <c r="I591" s="9">
        <v>697.5</v>
      </c>
      <c r="J591">
        <v>720</v>
      </c>
      <c r="K591">
        <v>690</v>
      </c>
      <c r="L591">
        <v>690</v>
      </c>
    </row>
    <row r="592" spans="1:12" x14ac:dyDescent="0.2">
      <c r="A592" s="8" t="s">
        <v>32</v>
      </c>
      <c r="B592" s="8" t="s">
        <v>99</v>
      </c>
      <c r="C592" s="8" t="s">
        <v>166</v>
      </c>
      <c r="D592" s="8" t="s">
        <v>167</v>
      </c>
      <c r="E592" s="8" t="s">
        <v>55</v>
      </c>
      <c r="F592" s="8" t="s">
        <v>56</v>
      </c>
      <c r="G592" s="8" t="s">
        <v>7</v>
      </c>
      <c r="H592" s="8" t="s">
        <v>38</v>
      </c>
      <c r="I592" s="9">
        <v>0.78237199999999996</v>
      </c>
      <c r="J592">
        <v>0.87627693942004004</v>
      </c>
      <c r="K592">
        <v>0.87627693942004004</v>
      </c>
      <c r="L592">
        <v>0.87627693942004004</v>
      </c>
    </row>
    <row r="593" spans="1:12" x14ac:dyDescent="0.2">
      <c r="A593" s="8" t="s">
        <v>32</v>
      </c>
      <c r="B593" s="8" t="s">
        <v>99</v>
      </c>
      <c r="C593" s="8" t="s">
        <v>166</v>
      </c>
      <c r="D593" s="8" t="s">
        <v>167</v>
      </c>
      <c r="E593" s="8" t="s">
        <v>57</v>
      </c>
      <c r="F593" s="8" t="s">
        <v>58</v>
      </c>
      <c r="G593" s="8" t="s">
        <v>7</v>
      </c>
      <c r="H593" s="8" t="s">
        <v>38</v>
      </c>
      <c r="I593" s="9">
        <v>167.25252</v>
      </c>
      <c r="J593">
        <v>187.32716413150999</v>
      </c>
      <c r="K593">
        <v>187.32716413150999</v>
      </c>
      <c r="L593">
        <v>187.32716413150999</v>
      </c>
    </row>
    <row r="594" spans="1:12" x14ac:dyDescent="0.2">
      <c r="A594" s="8" t="s">
        <v>32</v>
      </c>
      <c r="B594" s="8" t="s">
        <v>99</v>
      </c>
      <c r="C594" s="8" t="s">
        <v>166</v>
      </c>
      <c r="D594" s="8" t="s">
        <v>167</v>
      </c>
      <c r="E594" s="8" t="s">
        <v>72</v>
      </c>
      <c r="F594" s="8" t="s">
        <v>73</v>
      </c>
      <c r="G594" s="8" t="s">
        <v>7</v>
      </c>
      <c r="H594" s="8" t="s">
        <v>38</v>
      </c>
      <c r="I594" s="9">
        <v>267.84240999999997</v>
      </c>
      <c r="J594">
        <v>304.36628429743001</v>
      </c>
      <c r="K594">
        <v>328.71550605346999</v>
      </c>
      <c r="L594">
        <v>282.77058721676002</v>
      </c>
    </row>
    <row r="595" spans="1:12" x14ac:dyDescent="0.2">
      <c r="A595" s="8" t="s">
        <v>32</v>
      </c>
      <c r="B595" s="8" t="s">
        <v>99</v>
      </c>
      <c r="C595" s="8" t="s">
        <v>166</v>
      </c>
      <c r="D595" s="8" t="s">
        <v>167</v>
      </c>
      <c r="E595" s="8" t="s">
        <v>74</v>
      </c>
      <c r="F595" s="8" t="s">
        <v>75</v>
      </c>
      <c r="G595" s="8" t="s">
        <v>7</v>
      </c>
      <c r="H595" s="8" t="s">
        <v>38</v>
      </c>
      <c r="I595" s="9">
        <v>122.34936</v>
      </c>
      <c r="J595">
        <v>135.55387142596999</v>
      </c>
      <c r="K595">
        <v>121.67186050943</v>
      </c>
      <c r="L595">
        <v>110.8855313</v>
      </c>
    </row>
    <row r="596" spans="1:12" x14ac:dyDescent="0.2">
      <c r="A596" s="8" t="s">
        <v>32</v>
      </c>
      <c r="B596" s="8" t="s">
        <v>99</v>
      </c>
      <c r="C596" s="8" t="s">
        <v>166</v>
      </c>
      <c r="D596" s="8" t="s">
        <v>167</v>
      </c>
      <c r="E596" s="8" t="s">
        <v>59</v>
      </c>
      <c r="F596" s="8" t="s">
        <v>60</v>
      </c>
      <c r="G596" s="8" t="s">
        <v>7</v>
      </c>
      <c r="H596" s="8" t="s">
        <v>38</v>
      </c>
      <c r="I596" s="9">
        <v>72.700697000000005</v>
      </c>
      <c r="J596">
        <v>77.249465294716003</v>
      </c>
      <c r="K596">
        <v>84.367290087732002</v>
      </c>
      <c r="L596">
        <v>80.456628012810995</v>
      </c>
    </row>
    <row r="597" spans="1:12" x14ac:dyDescent="0.2">
      <c r="A597" s="8" t="s">
        <v>32</v>
      </c>
      <c r="B597" s="8" t="s">
        <v>99</v>
      </c>
      <c r="C597" s="8" t="s">
        <v>166</v>
      </c>
      <c r="D597" s="8" t="s">
        <v>167</v>
      </c>
      <c r="E597" s="8" t="s">
        <v>76</v>
      </c>
      <c r="F597" s="8" t="s">
        <v>77</v>
      </c>
      <c r="G597" s="8" t="s">
        <v>7</v>
      </c>
      <c r="H597" s="8" t="s">
        <v>38</v>
      </c>
      <c r="I597" s="9">
        <v>42.952381000000003</v>
      </c>
      <c r="J597">
        <v>51.123809525360002</v>
      </c>
      <c r="K597">
        <v>13.200000000792</v>
      </c>
      <c r="L597">
        <v>13.200000000792</v>
      </c>
    </row>
    <row r="598" spans="1:12" x14ac:dyDescent="0.2">
      <c r="A598" s="8" t="s">
        <v>32</v>
      </c>
      <c r="B598" s="8" t="s">
        <v>99</v>
      </c>
      <c r="C598" s="8" t="s">
        <v>166</v>
      </c>
      <c r="D598" s="8" t="s">
        <v>167</v>
      </c>
      <c r="E598" s="8" t="s">
        <v>78</v>
      </c>
      <c r="F598" s="8" t="s">
        <v>79</v>
      </c>
      <c r="G598" s="8" t="s">
        <v>7</v>
      </c>
      <c r="H598" s="8" t="s">
        <v>38</v>
      </c>
      <c r="I598" s="9">
        <v>303.59994</v>
      </c>
      <c r="J598">
        <v>318.05708502856999</v>
      </c>
      <c r="K598">
        <v>264.47138048570997</v>
      </c>
      <c r="L598">
        <v>271.07137928571001</v>
      </c>
    </row>
    <row r="599" spans="1:12" x14ac:dyDescent="0.2">
      <c r="A599" s="8" t="s">
        <v>32</v>
      </c>
      <c r="B599" s="8" t="s">
        <v>99</v>
      </c>
      <c r="C599" s="8" t="s">
        <v>166</v>
      </c>
      <c r="D599" s="8" t="s">
        <v>167</v>
      </c>
      <c r="E599" s="8" t="s">
        <v>92</v>
      </c>
      <c r="F599" s="8" t="s">
        <v>93</v>
      </c>
      <c r="G599" s="8" t="s">
        <v>7</v>
      </c>
      <c r="H599" s="8" t="s">
        <v>38</v>
      </c>
      <c r="I599" s="9">
        <v>8.2578008000000001</v>
      </c>
      <c r="J599">
        <v>8.3252805025644996</v>
      </c>
      <c r="K599">
        <v>8.3920335779616</v>
      </c>
      <c r="L599">
        <v>8.5865626054405002</v>
      </c>
    </row>
    <row r="600" spans="1:12" x14ac:dyDescent="0.2">
      <c r="A600" s="8" t="s">
        <v>32</v>
      </c>
      <c r="B600" s="8" t="s">
        <v>168</v>
      </c>
      <c r="C600" s="8" t="s">
        <v>169</v>
      </c>
      <c r="D600" s="8" t="s">
        <v>170</v>
      </c>
      <c r="E600" s="8" t="s">
        <v>36</v>
      </c>
      <c r="F600" s="8" t="s">
        <v>37</v>
      </c>
      <c r="G600" s="8" t="s">
        <v>7</v>
      </c>
      <c r="H600" s="8" t="s">
        <v>38</v>
      </c>
      <c r="I600" s="9">
        <v>5376577.9000000004</v>
      </c>
      <c r="J600">
        <v>5943080.8105097003</v>
      </c>
      <c r="K600">
        <v>6071904.7480336996</v>
      </c>
      <c r="L600">
        <v>6486129.7432124997</v>
      </c>
    </row>
    <row r="601" spans="1:12" x14ac:dyDescent="0.2">
      <c r="A601" s="8" t="s">
        <v>32</v>
      </c>
      <c r="B601" s="8" t="s">
        <v>168</v>
      </c>
      <c r="C601" s="8" t="s">
        <v>169</v>
      </c>
      <c r="D601" s="8" t="s">
        <v>170</v>
      </c>
      <c r="E601" s="8" t="s">
        <v>64</v>
      </c>
      <c r="F601" s="8" t="s">
        <v>65</v>
      </c>
      <c r="G601" s="8" t="s">
        <v>7</v>
      </c>
      <c r="H601" s="8" t="s">
        <v>38</v>
      </c>
      <c r="I601" s="9">
        <v>304009.99</v>
      </c>
      <c r="J601">
        <v>306165.22964347998</v>
      </c>
      <c r="K601">
        <v>370015.76592867001</v>
      </c>
      <c r="L601">
        <v>382767.10928857001</v>
      </c>
    </row>
    <row r="602" spans="1:12" x14ac:dyDescent="0.2">
      <c r="A602" s="8" t="s">
        <v>32</v>
      </c>
      <c r="B602" s="8" t="s">
        <v>168</v>
      </c>
      <c r="C602" s="8" t="s">
        <v>169</v>
      </c>
      <c r="D602" s="8" t="s">
        <v>170</v>
      </c>
      <c r="E602" s="8" t="s">
        <v>39</v>
      </c>
      <c r="F602" s="8" t="s">
        <v>40</v>
      </c>
      <c r="G602" s="8" t="s">
        <v>7</v>
      </c>
      <c r="H602" s="8" t="s">
        <v>38</v>
      </c>
      <c r="I602" s="9">
        <v>2804114.8</v>
      </c>
      <c r="J602">
        <v>2758948.3450445998</v>
      </c>
      <c r="K602">
        <v>2710320.5788416001</v>
      </c>
      <c r="L602">
        <v>2739315.7005534</v>
      </c>
    </row>
    <row r="603" spans="1:12" x14ac:dyDescent="0.2">
      <c r="A603" s="8" t="s">
        <v>32</v>
      </c>
      <c r="B603" s="8" t="s">
        <v>168</v>
      </c>
      <c r="C603" s="8" t="s">
        <v>169</v>
      </c>
      <c r="D603" s="8" t="s">
        <v>170</v>
      </c>
      <c r="E603" s="8" t="s">
        <v>41</v>
      </c>
      <c r="F603" s="8" t="s">
        <v>42</v>
      </c>
      <c r="G603" s="8" t="s">
        <v>7</v>
      </c>
      <c r="H603" s="8" t="s">
        <v>38</v>
      </c>
      <c r="I603" s="9">
        <v>81205.376999999993</v>
      </c>
      <c r="J603">
        <v>86594.175846749</v>
      </c>
      <c r="K603">
        <v>43897.067800299999</v>
      </c>
      <c r="L603">
        <v>88147.840809715999</v>
      </c>
    </row>
    <row r="604" spans="1:12" x14ac:dyDescent="0.2">
      <c r="A604" s="8" t="s">
        <v>32</v>
      </c>
      <c r="B604" s="8" t="s">
        <v>168</v>
      </c>
      <c r="C604" s="8" t="s">
        <v>169</v>
      </c>
      <c r="D604" s="8" t="s">
        <v>170</v>
      </c>
      <c r="E604" s="8" t="s">
        <v>43</v>
      </c>
      <c r="F604" s="8" t="s">
        <v>44</v>
      </c>
      <c r="G604" s="8" t="s">
        <v>7</v>
      </c>
      <c r="H604" s="8" t="s">
        <v>38</v>
      </c>
      <c r="I604" s="9">
        <v>732370.62</v>
      </c>
      <c r="J604">
        <v>787644.88716208003</v>
      </c>
      <c r="K604">
        <v>747249.47143183998</v>
      </c>
      <c r="L604">
        <v>752987.04861887998</v>
      </c>
    </row>
    <row r="605" spans="1:12" x14ac:dyDescent="0.2">
      <c r="A605" s="8" t="s">
        <v>32</v>
      </c>
      <c r="B605" s="8" t="s">
        <v>168</v>
      </c>
      <c r="C605" s="8" t="s">
        <v>169</v>
      </c>
      <c r="D605" s="8" t="s">
        <v>170</v>
      </c>
      <c r="E605" s="8" t="s">
        <v>66</v>
      </c>
      <c r="F605" s="8" t="s">
        <v>67</v>
      </c>
      <c r="G605" s="8" t="s">
        <v>7</v>
      </c>
      <c r="H605" s="8" t="s">
        <v>38</v>
      </c>
      <c r="I605" s="9">
        <v>8168.7816000000003</v>
      </c>
      <c r="J605">
        <v>8556.1819047900008</v>
      </c>
      <c r="K605">
        <v>8619.7079607600008</v>
      </c>
      <c r="L605">
        <v>8539.9705071341996</v>
      </c>
    </row>
    <row r="606" spans="1:12" x14ac:dyDescent="0.2">
      <c r="A606" s="8" t="s">
        <v>32</v>
      </c>
      <c r="B606" s="8" t="s">
        <v>168</v>
      </c>
      <c r="C606" s="8" t="s">
        <v>169</v>
      </c>
      <c r="D606" s="8" t="s">
        <v>170</v>
      </c>
      <c r="E606" s="8" t="s">
        <v>45</v>
      </c>
      <c r="F606" s="8" t="s">
        <v>46</v>
      </c>
      <c r="G606" s="8" t="s">
        <v>7</v>
      </c>
      <c r="H606" s="8" t="s">
        <v>38</v>
      </c>
      <c r="I606" s="9">
        <v>73643.978000000003</v>
      </c>
      <c r="J606">
        <v>79768.513933080001</v>
      </c>
      <c r="K606">
        <v>78865.320930839996</v>
      </c>
      <c r="L606">
        <v>83041.515563503999</v>
      </c>
    </row>
    <row r="607" spans="1:12" x14ac:dyDescent="0.2">
      <c r="A607" s="8" t="s">
        <v>32</v>
      </c>
      <c r="B607" s="8" t="s">
        <v>168</v>
      </c>
      <c r="C607" s="8" t="s">
        <v>169</v>
      </c>
      <c r="D607" s="8" t="s">
        <v>170</v>
      </c>
      <c r="E607" s="8" t="s">
        <v>47</v>
      </c>
      <c r="F607" s="8" t="s">
        <v>48</v>
      </c>
      <c r="G607" s="8" t="s">
        <v>7</v>
      </c>
      <c r="H607" s="8" t="s">
        <v>38</v>
      </c>
      <c r="I607" s="9">
        <v>6572.7353999999996</v>
      </c>
      <c r="J607">
        <v>6884.0948955200001</v>
      </c>
      <c r="K607">
        <v>6802.4012142900001</v>
      </c>
      <c r="L607">
        <v>7111.4197823144004</v>
      </c>
    </row>
    <row r="608" spans="1:12" x14ac:dyDescent="0.2">
      <c r="A608" s="8" t="s">
        <v>32</v>
      </c>
      <c r="B608" s="8" t="s">
        <v>168</v>
      </c>
      <c r="C608" s="8" t="s">
        <v>169</v>
      </c>
      <c r="D608" s="8" t="s">
        <v>170</v>
      </c>
      <c r="E608" s="8" t="s">
        <v>49</v>
      </c>
      <c r="F608" s="8" t="s">
        <v>50</v>
      </c>
      <c r="G608" s="8" t="s">
        <v>7</v>
      </c>
      <c r="H608" s="8" t="s">
        <v>38</v>
      </c>
      <c r="I608" s="9">
        <v>557182.94999999995</v>
      </c>
      <c r="J608">
        <v>544290.49536293</v>
      </c>
      <c r="K608">
        <v>529407.83213412995</v>
      </c>
      <c r="L608">
        <v>528378.65468226001</v>
      </c>
    </row>
    <row r="609" spans="1:12" x14ac:dyDescent="0.2">
      <c r="A609" s="8" t="s">
        <v>32</v>
      </c>
      <c r="B609" s="8" t="s">
        <v>168</v>
      </c>
      <c r="C609" s="8" t="s">
        <v>169</v>
      </c>
      <c r="D609" s="8" t="s">
        <v>170</v>
      </c>
      <c r="E609" s="8" t="s">
        <v>51</v>
      </c>
      <c r="F609" s="8" t="s">
        <v>52</v>
      </c>
      <c r="G609" s="8" t="s">
        <v>7</v>
      </c>
      <c r="H609" s="8" t="s">
        <v>38</v>
      </c>
      <c r="I609" s="9">
        <v>60975.644</v>
      </c>
      <c r="J609">
        <v>53233.205490469998</v>
      </c>
      <c r="K609">
        <v>46088.107744109999</v>
      </c>
      <c r="L609">
        <v>46170.755751277997</v>
      </c>
    </row>
    <row r="610" spans="1:12" x14ac:dyDescent="0.2">
      <c r="A610" s="8" t="s">
        <v>32</v>
      </c>
      <c r="B610" s="8" t="s">
        <v>168</v>
      </c>
      <c r="C610" s="8" t="s">
        <v>169</v>
      </c>
      <c r="D610" s="8" t="s">
        <v>170</v>
      </c>
      <c r="E610" s="8" t="s">
        <v>68</v>
      </c>
      <c r="F610" s="8" t="s">
        <v>69</v>
      </c>
      <c r="G610" s="8" t="s">
        <v>7</v>
      </c>
      <c r="H610" s="8" t="s">
        <v>38</v>
      </c>
      <c r="I610" s="9">
        <v>346989.85</v>
      </c>
      <c r="J610">
        <v>360470.69464896998</v>
      </c>
      <c r="K610">
        <v>369821.41628576</v>
      </c>
      <c r="L610">
        <v>383976.07757919998</v>
      </c>
    </row>
    <row r="611" spans="1:12" x14ac:dyDescent="0.2">
      <c r="A611" s="8" t="s">
        <v>32</v>
      </c>
      <c r="B611" s="8" t="s">
        <v>168</v>
      </c>
      <c r="C611" s="8" t="s">
        <v>169</v>
      </c>
      <c r="D611" s="8" t="s">
        <v>170</v>
      </c>
      <c r="E611" s="8" t="s">
        <v>53</v>
      </c>
      <c r="F611" s="8" t="s">
        <v>54</v>
      </c>
      <c r="G611" s="8" t="s">
        <v>7</v>
      </c>
      <c r="H611" s="8" t="s">
        <v>38</v>
      </c>
      <c r="I611" s="9">
        <v>11143.325000000001</v>
      </c>
      <c r="J611">
        <v>10766.451664923999</v>
      </c>
      <c r="K611">
        <v>9763.3391065623</v>
      </c>
      <c r="L611">
        <v>9944.2697809798992</v>
      </c>
    </row>
    <row r="612" spans="1:12" x14ac:dyDescent="0.2">
      <c r="A612" s="8" t="s">
        <v>32</v>
      </c>
      <c r="B612" s="8" t="s">
        <v>168</v>
      </c>
      <c r="C612" s="8" t="s">
        <v>169</v>
      </c>
      <c r="D612" s="8" t="s">
        <v>170</v>
      </c>
      <c r="E612" s="8" t="s">
        <v>70</v>
      </c>
      <c r="F612" s="8" t="s">
        <v>71</v>
      </c>
      <c r="G612" s="8" t="s">
        <v>7</v>
      </c>
      <c r="H612" s="8" t="s">
        <v>38</v>
      </c>
      <c r="I612" s="9">
        <v>814896.94</v>
      </c>
      <c r="J612">
        <v>810032.93159735005</v>
      </c>
      <c r="K612">
        <v>729969.32397565001</v>
      </c>
      <c r="L612">
        <v>692302.94967060001</v>
      </c>
    </row>
    <row r="613" spans="1:12" x14ac:dyDescent="0.2">
      <c r="A613" s="8" t="s">
        <v>32</v>
      </c>
      <c r="B613" s="8" t="s">
        <v>168</v>
      </c>
      <c r="C613" s="8" t="s">
        <v>169</v>
      </c>
      <c r="D613" s="8" t="s">
        <v>170</v>
      </c>
      <c r="E613" s="8" t="s">
        <v>83</v>
      </c>
      <c r="F613" s="8" t="s">
        <v>84</v>
      </c>
      <c r="G613" s="8" t="s">
        <v>7</v>
      </c>
      <c r="H613" s="8" t="s">
        <v>38</v>
      </c>
      <c r="I613" s="9">
        <v>232500</v>
      </c>
      <c r="J613">
        <v>232500</v>
      </c>
      <c r="K613">
        <v>232500</v>
      </c>
      <c r="L613">
        <v>232500</v>
      </c>
    </row>
    <row r="614" spans="1:12" x14ac:dyDescent="0.2">
      <c r="A614" s="8" t="s">
        <v>32</v>
      </c>
      <c r="B614" s="8" t="s">
        <v>168</v>
      </c>
      <c r="C614" s="8" t="s">
        <v>169</v>
      </c>
      <c r="D614" s="8" t="s">
        <v>170</v>
      </c>
      <c r="E614" s="8" t="s">
        <v>55</v>
      </c>
      <c r="F614" s="8" t="s">
        <v>56</v>
      </c>
      <c r="G614" s="8" t="s">
        <v>7</v>
      </c>
      <c r="H614" s="8" t="s">
        <v>38</v>
      </c>
      <c r="I614" s="9">
        <v>1423.7344000000001</v>
      </c>
      <c r="J614">
        <v>1413.3518012531999</v>
      </c>
      <c r="K614">
        <v>1266.3564181668</v>
      </c>
      <c r="L614">
        <v>1209.5430008004</v>
      </c>
    </row>
    <row r="615" spans="1:12" x14ac:dyDescent="0.2">
      <c r="A615" s="8" t="s">
        <v>32</v>
      </c>
      <c r="B615" s="8" t="s">
        <v>168</v>
      </c>
      <c r="C615" s="8" t="s">
        <v>169</v>
      </c>
      <c r="D615" s="8" t="s">
        <v>170</v>
      </c>
      <c r="E615" s="8" t="s">
        <v>57</v>
      </c>
      <c r="F615" s="8" t="s">
        <v>58</v>
      </c>
      <c r="G615" s="8" t="s">
        <v>7</v>
      </c>
      <c r="H615" s="8" t="s">
        <v>38</v>
      </c>
      <c r="I615" s="9">
        <v>35637.43</v>
      </c>
      <c r="J615">
        <v>35681.068159754002</v>
      </c>
      <c r="K615">
        <v>32744.808527185</v>
      </c>
      <c r="L615">
        <v>31275.755702285001</v>
      </c>
    </row>
    <row r="616" spans="1:12" x14ac:dyDescent="0.2">
      <c r="A616" s="8" t="s">
        <v>32</v>
      </c>
      <c r="B616" s="8" t="s">
        <v>168</v>
      </c>
      <c r="C616" s="8" t="s">
        <v>169</v>
      </c>
      <c r="D616" s="8" t="s">
        <v>170</v>
      </c>
      <c r="E616" s="8" t="s">
        <v>72</v>
      </c>
      <c r="F616" s="8" t="s">
        <v>73</v>
      </c>
      <c r="G616" s="8" t="s">
        <v>7</v>
      </c>
      <c r="H616" s="8" t="s">
        <v>38</v>
      </c>
      <c r="I616" s="9">
        <v>209236.21</v>
      </c>
      <c r="J616">
        <v>218159.62959930999</v>
      </c>
      <c r="K616">
        <v>221949.15353903</v>
      </c>
      <c r="L616">
        <v>234226.24270899</v>
      </c>
    </row>
    <row r="617" spans="1:12" x14ac:dyDescent="0.2">
      <c r="A617" s="8" t="s">
        <v>32</v>
      </c>
      <c r="B617" s="8" t="s">
        <v>168</v>
      </c>
      <c r="C617" s="8" t="s">
        <v>169</v>
      </c>
      <c r="D617" s="8" t="s">
        <v>170</v>
      </c>
      <c r="E617" s="8" t="s">
        <v>74</v>
      </c>
      <c r="F617" s="8" t="s">
        <v>75</v>
      </c>
      <c r="G617" s="8" t="s">
        <v>7</v>
      </c>
      <c r="H617" s="8" t="s">
        <v>38</v>
      </c>
      <c r="I617" s="9">
        <v>237319.82</v>
      </c>
      <c r="J617">
        <v>237805.22794573</v>
      </c>
      <c r="K617">
        <v>237243.39425009</v>
      </c>
      <c r="L617">
        <v>240895.79596073</v>
      </c>
    </row>
    <row r="618" spans="1:12" x14ac:dyDescent="0.2">
      <c r="A618" s="8" t="s">
        <v>32</v>
      </c>
      <c r="B618" s="8" t="s">
        <v>168</v>
      </c>
      <c r="C618" s="8" t="s">
        <v>169</v>
      </c>
      <c r="D618" s="8" t="s">
        <v>170</v>
      </c>
      <c r="E618" s="8" t="s">
        <v>59</v>
      </c>
      <c r="F618" s="8" t="s">
        <v>60</v>
      </c>
      <c r="G618" s="8" t="s">
        <v>7</v>
      </c>
      <c r="H618" s="8" t="s">
        <v>38</v>
      </c>
      <c r="I618" s="9">
        <v>22084.924999999999</v>
      </c>
      <c r="J618">
        <v>22091.714304656001</v>
      </c>
      <c r="K618">
        <v>22012.824170995998</v>
      </c>
      <c r="L618">
        <v>23681.730331637002</v>
      </c>
    </row>
    <row r="619" spans="1:12" x14ac:dyDescent="0.2">
      <c r="A619" s="8" t="s">
        <v>32</v>
      </c>
      <c r="B619" s="8" t="s">
        <v>168</v>
      </c>
      <c r="C619" s="8" t="s">
        <v>169</v>
      </c>
      <c r="D619" s="8" t="s">
        <v>170</v>
      </c>
      <c r="E619" s="8" t="s">
        <v>76</v>
      </c>
      <c r="F619" s="8" t="s">
        <v>77</v>
      </c>
      <c r="G619" s="8" t="s">
        <v>7</v>
      </c>
      <c r="H619" s="8" t="s">
        <v>38</v>
      </c>
      <c r="I619" s="9">
        <v>3581.181</v>
      </c>
      <c r="J619">
        <v>3537.1809524620999</v>
      </c>
      <c r="K619">
        <v>3688.4571429827001</v>
      </c>
      <c r="L619">
        <v>3688.4571429827001</v>
      </c>
    </row>
    <row r="620" spans="1:12" x14ac:dyDescent="0.2">
      <c r="A620" s="8" t="s">
        <v>32</v>
      </c>
      <c r="B620" s="8" t="s">
        <v>168</v>
      </c>
      <c r="C620" s="8" t="s">
        <v>169</v>
      </c>
      <c r="D620" s="8" t="s">
        <v>170</v>
      </c>
      <c r="E620" s="8" t="s">
        <v>78</v>
      </c>
      <c r="F620" s="8" t="s">
        <v>79</v>
      </c>
      <c r="G620" s="8" t="s">
        <v>7</v>
      </c>
      <c r="H620" s="8" t="s">
        <v>38</v>
      </c>
      <c r="I620" s="9">
        <v>12699.968999999999</v>
      </c>
      <c r="J620">
        <v>12378.140606571</v>
      </c>
      <c r="K620">
        <v>12625.483418743001</v>
      </c>
      <c r="L620">
        <v>12948.914788509001</v>
      </c>
    </row>
    <row r="621" spans="1:12" x14ac:dyDescent="0.2">
      <c r="A621" s="8" t="s">
        <v>32</v>
      </c>
      <c r="B621" s="8" t="s">
        <v>168</v>
      </c>
      <c r="C621" s="8" t="s">
        <v>169</v>
      </c>
      <c r="D621" s="8" t="s">
        <v>170</v>
      </c>
      <c r="E621" s="8" t="s">
        <v>92</v>
      </c>
      <c r="F621" s="8" t="s">
        <v>93</v>
      </c>
      <c r="G621" s="8" t="s">
        <v>7</v>
      </c>
      <c r="H621" s="8" t="s">
        <v>38</v>
      </c>
      <c r="I621" s="9">
        <v>3412.3791999999999</v>
      </c>
      <c r="J621">
        <v>3482.1848882988002</v>
      </c>
      <c r="K621">
        <v>3548.8823400020001</v>
      </c>
      <c r="L621">
        <v>3622.4834010883001</v>
      </c>
    </row>
    <row r="622" spans="1:12" x14ac:dyDescent="0.2">
      <c r="A622" s="8" t="s">
        <v>32</v>
      </c>
      <c r="B622" s="8" t="s">
        <v>168</v>
      </c>
      <c r="C622" s="8" t="s">
        <v>169</v>
      </c>
      <c r="D622" s="8" t="s">
        <v>170</v>
      </c>
      <c r="E622" s="8" t="s">
        <v>113</v>
      </c>
      <c r="F622" s="8" t="s">
        <v>114</v>
      </c>
      <c r="G622" s="8" t="s">
        <v>7</v>
      </c>
      <c r="H622" s="8" t="s">
        <v>38</v>
      </c>
      <c r="I622" s="9">
        <v>28380</v>
      </c>
      <c r="J622">
        <v>28380</v>
      </c>
      <c r="K622">
        <v>28380</v>
      </c>
      <c r="L622">
        <v>28380</v>
      </c>
    </row>
    <row r="623" spans="1:12" x14ac:dyDescent="0.2">
      <c r="A623" s="8" t="s">
        <v>32</v>
      </c>
      <c r="B623" s="8" t="s">
        <v>125</v>
      </c>
      <c r="C623" s="8" t="s">
        <v>171</v>
      </c>
      <c r="D623" s="8" t="s">
        <v>172</v>
      </c>
      <c r="E623" s="8" t="s">
        <v>36</v>
      </c>
      <c r="F623" s="8" t="s">
        <v>37</v>
      </c>
      <c r="G623" s="8" t="s">
        <v>7</v>
      </c>
      <c r="H623" s="8" t="s">
        <v>38</v>
      </c>
      <c r="I623" s="9">
        <v>3589.8157000000001</v>
      </c>
      <c r="J623">
        <v>3994.2925974599998</v>
      </c>
      <c r="K623">
        <v>4293.7060527900003</v>
      </c>
      <c r="L623">
        <v>4234.4705379132001</v>
      </c>
    </row>
    <row r="624" spans="1:12" x14ac:dyDescent="0.2">
      <c r="A624" s="8" t="s">
        <v>32</v>
      </c>
      <c r="B624" s="8" t="s">
        <v>125</v>
      </c>
      <c r="C624" s="8" t="s">
        <v>171</v>
      </c>
      <c r="D624" s="8" t="s">
        <v>172</v>
      </c>
      <c r="E624" s="8" t="s">
        <v>64</v>
      </c>
      <c r="F624" s="8" t="s">
        <v>65</v>
      </c>
      <c r="G624" s="8" t="s">
        <v>7</v>
      </c>
      <c r="H624" s="8" t="s">
        <v>38</v>
      </c>
      <c r="I624" s="9">
        <v>304.40994999999998</v>
      </c>
      <c r="J624">
        <v>414.06833988</v>
      </c>
      <c r="K624">
        <v>414.23269899000002</v>
      </c>
      <c r="L624">
        <v>444.6535356517</v>
      </c>
    </row>
    <row r="625" spans="1:12" x14ac:dyDescent="0.2">
      <c r="A625" s="8" t="s">
        <v>32</v>
      </c>
      <c r="B625" s="8" t="s">
        <v>125</v>
      </c>
      <c r="C625" s="8" t="s">
        <v>171</v>
      </c>
      <c r="D625" s="8" t="s">
        <v>172</v>
      </c>
      <c r="E625" s="8" t="s">
        <v>39</v>
      </c>
      <c r="F625" s="8" t="s">
        <v>40</v>
      </c>
      <c r="G625" s="8" t="s">
        <v>7</v>
      </c>
      <c r="H625" s="8" t="s">
        <v>38</v>
      </c>
      <c r="I625" s="9">
        <v>1289.3668</v>
      </c>
      <c r="J625">
        <v>1801.1668849</v>
      </c>
      <c r="K625">
        <v>1815.0830676600001</v>
      </c>
      <c r="L625">
        <v>1760.8984405281999</v>
      </c>
    </row>
    <row r="626" spans="1:12" x14ac:dyDescent="0.2">
      <c r="A626" s="8" t="s">
        <v>32</v>
      </c>
      <c r="B626" s="8" t="s">
        <v>125</v>
      </c>
      <c r="C626" s="8" t="s">
        <v>171</v>
      </c>
      <c r="D626" s="8" t="s">
        <v>172</v>
      </c>
      <c r="E626" s="8" t="s">
        <v>41</v>
      </c>
      <c r="F626" s="8" t="s">
        <v>42</v>
      </c>
      <c r="G626" s="8" t="s">
        <v>7</v>
      </c>
      <c r="H626" s="8" t="s">
        <v>38</v>
      </c>
      <c r="I626" s="9">
        <v>24.994748000000001</v>
      </c>
      <c r="J626">
        <v>39.851797699999999</v>
      </c>
      <c r="K626">
        <v>33.9903993</v>
      </c>
      <c r="L626">
        <v>38.308691760385997</v>
      </c>
    </row>
    <row r="627" spans="1:12" x14ac:dyDescent="0.2">
      <c r="A627" s="8" t="s">
        <v>32</v>
      </c>
      <c r="B627" s="8" t="s">
        <v>125</v>
      </c>
      <c r="C627" s="8" t="s">
        <v>171</v>
      </c>
      <c r="D627" s="8" t="s">
        <v>172</v>
      </c>
      <c r="E627" s="8" t="s">
        <v>43</v>
      </c>
      <c r="F627" s="8" t="s">
        <v>44</v>
      </c>
      <c r="G627" s="8" t="s">
        <v>7</v>
      </c>
      <c r="H627" s="8" t="s">
        <v>38</v>
      </c>
      <c r="I627" s="9">
        <v>3933.3735999999999</v>
      </c>
      <c r="J627">
        <v>6464.1904304998998</v>
      </c>
      <c r="K627">
        <v>7038.0345622799996</v>
      </c>
      <c r="L627">
        <v>6730.0212947912996</v>
      </c>
    </row>
    <row r="628" spans="1:12" x14ac:dyDescent="0.2">
      <c r="A628" s="8" t="s">
        <v>32</v>
      </c>
      <c r="B628" s="8" t="s">
        <v>125</v>
      </c>
      <c r="C628" s="8" t="s">
        <v>171</v>
      </c>
      <c r="D628" s="8" t="s">
        <v>172</v>
      </c>
      <c r="E628" s="8" t="s">
        <v>66</v>
      </c>
      <c r="F628" s="8" t="s">
        <v>67</v>
      </c>
      <c r="G628" s="8" t="s">
        <v>7</v>
      </c>
      <c r="H628" s="8" t="s">
        <v>38</v>
      </c>
      <c r="I628" s="9">
        <v>42.516164000000003</v>
      </c>
      <c r="J628">
        <v>92.796028680000006</v>
      </c>
      <c r="K628">
        <v>83.645130690000002</v>
      </c>
      <c r="L628">
        <v>79.984476598952</v>
      </c>
    </row>
    <row r="629" spans="1:12" x14ac:dyDescent="0.2">
      <c r="A629" s="8" t="s">
        <v>32</v>
      </c>
      <c r="B629" s="8" t="s">
        <v>125</v>
      </c>
      <c r="C629" s="8" t="s">
        <v>171</v>
      </c>
      <c r="D629" s="8" t="s">
        <v>172</v>
      </c>
      <c r="E629" s="8" t="s">
        <v>45</v>
      </c>
      <c r="F629" s="8" t="s">
        <v>46</v>
      </c>
      <c r="G629" s="8" t="s">
        <v>7</v>
      </c>
      <c r="H629" s="8" t="s">
        <v>38</v>
      </c>
      <c r="I629" s="9">
        <v>161.09061</v>
      </c>
      <c r="J629">
        <v>194.26043403</v>
      </c>
      <c r="K629">
        <v>259.62467387999999</v>
      </c>
      <c r="L629">
        <v>243.22101602124999</v>
      </c>
    </row>
    <row r="630" spans="1:12" x14ac:dyDescent="0.2">
      <c r="A630" s="8" t="s">
        <v>32</v>
      </c>
      <c r="B630" s="8" t="s">
        <v>125</v>
      </c>
      <c r="C630" s="8" t="s">
        <v>171</v>
      </c>
      <c r="D630" s="8" t="s">
        <v>172</v>
      </c>
      <c r="E630" s="8" t="s">
        <v>49</v>
      </c>
      <c r="F630" s="8" t="s">
        <v>50</v>
      </c>
      <c r="G630" s="8" t="s">
        <v>7</v>
      </c>
      <c r="H630" s="8" t="s">
        <v>38</v>
      </c>
      <c r="I630" s="9">
        <v>1514.144</v>
      </c>
      <c r="J630">
        <v>1770.3195469</v>
      </c>
      <c r="K630">
        <v>2056.6701712399999</v>
      </c>
      <c r="L630">
        <v>1966.6618466167999</v>
      </c>
    </row>
    <row r="631" spans="1:12" x14ac:dyDescent="0.2">
      <c r="A631" s="8" t="s">
        <v>32</v>
      </c>
      <c r="B631" s="8" t="s">
        <v>125</v>
      </c>
      <c r="C631" s="8" t="s">
        <v>171</v>
      </c>
      <c r="D631" s="8" t="s">
        <v>172</v>
      </c>
      <c r="E631" s="8" t="s">
        <v>51</v>
      </c>
      <c r="F631" s="8" t="s">
        <v>52</v>
      </c>
      <c r="G631" s="8" t="s">
        <v>7</v>
      </c>
      <c r="H631" s="8" t="s">
        <v>38</v>
      </c>
      <c r="I631" s="9"/>
    </row>
    <row r="632" spans="1:12" x14ac:dyDescent="0.2">
      <c r="A632" s="8" t="s">
        <v>32</v>
      </c>
      <c r="B632" s="8" t="s">
        <v>125</v>
      </c>
      <c r="C632" s="8" t="s">
        <v>171</v>
      </c>
      <c r="D632" s="8" t="s">
        <v>172</v>
      </c>
      <c r="E632" s="8" t="s">
        <v>53</v>
      </c>
      <c r="F632" s="8" t="s">
        <v>54</v>
      </c>
      <c r="G632" s="8" t="s">
        <v>7</v>
      </c>
      <c r="H632" s="8" t="s">
        <v>38</v>
      </c>
      <c r="I632" s="9">
        <v>89.089956999999998</v>
      </c>
      <c r="J632">
        <v>28.603243357554</v>
      </c>
      <c r="K632">
        <v>48.268959999777003</v>
      </c>
      <c r="L632">
        <v>67.439754375730004</v>
      </c>
    </row>
    <row r="633" spans="1:12" x14ac:dyDescent="0.2">
      <c r="A633" s="8" t="s">
        <v>32</v>
      </c>
      <c r="B633" s="8" t="s">
        <v>125</v>
      </c>
      <c r="C633" s="8" t="s">
        <v>171</v>
      </c>
      <c r="D633" s="8" t="s">
        <v>172</v>
      </c>
      <c r="E633" s="8" t="s">
        <v>70</v>
      </c>
      <c r="F633" s="8" t="s">
        <v>71</v>
      </c>
      <c r="G633" s="8" t="s">
        <v>7</v>
      </c>
      <c r="H633" s="8" t="s">
        <v>38</v>
      </c>
      <c r="I633" s="9">
        <v>1953.1088</v>
      </c>
      <c r="J633">
        <v>1953.1087849999999</v>
      </c>
      <c r="K633">
        <v>1953.1087849999999</v>
      </c>
      <c r="L633">
        <v>1950.9054094787</v>
      </c>
    </row>
    <row r="634" spans="1:12" x14ac:dyDescent="0.2">
      <c r="A634" s="8" t="s">
        <v>32</v>
      </c>
      <c r="B634" s="8" t="s">
        <v>125</v>
      </c>
      <c r="C634" s="8" t="s">
        <v>171</v>
      </c>
      <c r="D634" s="8" t="s">
        <v>172</v>
      </c>
      <c r="E634" s="8" t="s">
        <v>55</v>
      </c>
      <c r="F634" s="8" t="s">
        <v>56</v>
      </c>
      <c r="G634" s="8" t="s">
        <v>7</v>
      </c>
      <c r="H634" s="8" t="s">
        <v>38</v>
      </c>
      <c r="I634" s="9">
        <v>1.2165813999999999</v>
      </c>
      <c r="J634">
        <v>1.362602742615</v>
      </c>
      <c r="K634">
        <v>1.362602742615</v>
      </c>
      <c r="L634">
        <v>1.362602742615</v>
      </c>
    </row>
    <row r="635" spans="1:12" x14ac:dyDescent="0.2">
      <c r="A635" s="8" t="s">
        <v>32</v>
      </c>
      <c r="B635" s="8" t="s">
        <v>125</v>
      </c>
      <c r="C635" s="8" t="s">
        <v>171</v>
      </c>
      <c r="D635" s="8" t="s">
        <v>172</v>
      </c>
      <c r="E635" s="8" t="s">
        <v>57</v>
      </c>
      <c r="F635" s="8" t="s">
        <v>58</v>
      </c>
      <c r="G635" s="8" t="s">
        <v>7</v>
      </c>
      <c r="H635" s="8" t="s">
        <v>38</v>
      </c>
      <c r="I635" s="9">
        <v>1.6344318</v>
      </c>
      <c r="J635">
        <v>1.8306059610550001</v>
      </c>
      <c r="K635">
        <v>1.8306059610550001</v>
      </c>
      <c r="L635">
        <v>1.8306059610550001</v>
      </c>
    </row>
    <row r="636" spans="1:12" x14ac:dyDescent="0.2">
      <c r="A636" s="8" t="s">
        <v>32</v>
      </c>
      <c r="B636" s="8" t="s">
        <v>125</v>
      </c>
      <c r="C636" s="8" t="s">
        <v>171</v>
      </c>
      <c r="D636" s="8" t="s">
        <v>172</v>
      </c>
      <c r="E636" s="8" t="s">
        <v>59</v>
      </c>
      <c r="F636" s="8" t="s">
        <v>60</v>
      </c>
      <c r="G636" s="8" t="s">
        <v>7</v>
      </c>
      <c r="H636" s="8" t="s">
        <v>38</v>
      </c>
      <c r="I636" s="9">
        <v>300.60185999999999</v>
      </c>
      <c r="J636">
        <v>322.63725264355003</v>
      </c>
      <c r="K636">
        <v>336.85517941422</v>
      </c>
      <c r="L636">
        <v>329.81664313542001</v>
      </c>
    </row>
    <row r="637" spans="1:12" x14ac:dyDescent="0.2">
      <c r="A637" s="8" t="s">
        <v>32</v>
      </c>
      <c r="B637" s="8" t="s">
        <v>125</v>
      </c>
      <c r="C637" s="8" t="s">
        <v>171</v>
      </c>
      <c r="D637" s="8" t="s">
        <v>172</v>
      </c>
      <c r="E637" s="8" t="s">
        <v>76</v>
      </c>
      <c r="F637" s="8" t="s">
        <v>77</v>
      </c>
      <c r="G637" s="8" t="s">
        <v>7</v>
      </c>
      <c r="H637" s="8" t="s">
        <v>38</v>
      </c>
      <c r="I637" s="9">
        <v>32.476190000000003</v>
      </c>
      <c r="J637">
        <v>56.571428583471999</v>
      </c>
      <c r="K637">
        <v>26.400000005631998</v>
      </c>
      <c r="L637">
        <v>24.556190481363</v>
      </c>
    </row>
    <row r="638" spans="1:12" x14ac:dyDescent="0.2">
      <c r="A638" s="8" t="s">
        <v>32</v>
      </c>
      <c r="B638" s="8" t="s">
        <v>125</v>
      </c>
      <c r="C638" s="8" t="s">
        <v>171</v>
      </c>
      <c r="D638" s="8" t="s">
        <v>172</v>
      </c>
      <c r="E638" s="8" t="s">
        <v>78</v>
      </c>
      <c r="F638" s="8" t="s">
        <v>79</v>
      </c>
      <c r="G638" s="8" t="s">
        <v>7</v>
      </c>
      <c r="H638" s="8" t="s">
        <v>38</v>
      </c>
      <c r="I638" s="9">
        <v>50.285705</v>
      </c>
      <c r="J638">
        <v>65.528559514286002</v>
      </c>
      <c r="K638">
        <v>47.457134228571</v>
      </c>
      <c r="L638">
        <v>50.851419325713998</v>
      </c>
    </row>
    <row r="639" spans="1:12" x14ac:dyDescent="0.2">
      <c r="A639" s="8" t="s">
        <v>32</v>
      </c>
      <c r="B639" s="8" t="s">
        <v>125</v>
      </c>
      <c r="C639" s="8" t="s">
        <v>173</v>
      </c>
      <c r="D639" s="8" t="s">
        <v>174</v>
      </c>
      <c r="E639" s="8" t="s">
        <v>36</v>
      </c>
      <c r="F639" s="8" t="s">
        <v>37</v>
      </c>
      <c r="G639" s="8" t="s">
        <v>7</v>
      </c>
      <c r="H639" s="8" t="s">
        <v>38</v>
      </c>
      <c r="I639" s="9">
        <v>2544.7039</v>
      </c>
      <c r="J639">
        <v>2199.0746165999999</v>
      </c>
      <c r="K639">
        <v>2056.9173519599999</v>
      </c>
      <c r="L639">
        <v>1958.5208029957</v>
      </c>
    </row>
    <row r="640" spans="1:12" x14ac:dyDescent="0.2">
      <c r="A640" s="8" t="s">
        <v>32</v>
      </c>
      <c r="B640" s="8" t="s">
        <v>125</v>
      </c>
      <c r="C640" s="8" t="s">
        <v>173</v>
      </c>
      <c r="D640" s="8" t="s">
        <v>174</v>
      </c>
      <c r="E640" s="8" t="s">
        <v>64</v>
      </c>
      <c r="F640" s="8" t="s">
        <v>65</v>
      </c>
      <c r="G640" s="8" t="s">
        <v>7</v>
      </c>
      <c r="H640" s="8" t="s">
        <v>38</v>
      </c>
      <c r="I640" s="9"/>
    </row>
    <row r="641" spans="1:12" x14ac:dyDescent="0.2">
      <c r="A641" s="8" t="s">
        <v>32</v>
      </c>
      <c r="B641" s="8" t="s">
        <v>125</v>
      </c>
      <c r="C641" s="8" t="s">
        <v>173</v>
      </c>
      <c r="D641" s="8" t="s">
        <v>174</v>
      </c>
      <c r="E641" s="8" t="s">
        <v>39</v>
      </c>
      <c r="F641" s="8" t="s">
        <v>40</v>
      </c>
      <c r="G641" s="8" t="s">
        <v>7</v>
      </c>
      <c r="H641" s="8" t="s">
        <v>38</v>
      </c>
      <c r="I641" s="9">
        <v>257.51299</v>
      </c>
      <c r="J641">
        <v>266.90389934000001</v>
      </c>
      <c r="K641">
        <v>276.49614398</v>
      </c>
      <c r="L641">
        <v>285.20902017604999</v>
      </c>
    </row>
    <row r="642" spans="1:12" x14ac:dyDescent="0.2">
      <c r="A642" s="8" t="s">
        <v>32</v>
      </c>
      <c r="B642" s="8" t="s">
        <v>125</v>
      </c>
      <c r="C642" s="8" t="s">
        <v>173</v>
      </c>
      <c r="D642" s="8" t="s">
        <v>174</v>
      </c>
      <c r="E642" s="8" t="s">
        <v>41</v>
      </c>
      <c r="F642" s="8" t="s">
        <v>42</v>
      </c>
      <c r="G642" s="8" t="s">
        <v>7</v>
      </c>
      <c r="H642" s="8" t="s">
        <v>38</v>
      </c>
      <c r="I642" s="9">
        <v>10.304987000000001</v>
      </c>
      <c r="J642">
        <v>21.213358899999999</v>
      </c>
      <c r="K642">
        <v>19.359472799999999</v>
      </c>
      <c r="L642">
        <v>21.818986873119002</v>
      </c>
    </row>
    <row r="643" spans="1:12" x14ac:dyDescent="0.2">
      <c r="A643" s="8" t="s">
        <v>32</v>
      </c>
      <c r="B643" s="8" t="s">
        <v>125</v>
      </c>
      <c r="C643" s="8" t="s">
        <v>173</v>
      </c>
      <c r="D643" s="8" t="s">
        <v>174</v>
      </c>
      <c r="E643" s="8" t="s">
        <v>43</v>
      </c>
      <c r="F643" s="8" t="s">
        <v>44</v>
      </c>
      <c r="G643" s="8" t="s">
        <v>7</v>
      </c>
      <c r="H643" s="8" t="s">
        <v>38</v>
      </c>
      <c r="I643" s="9">
        <v>3413.5736999999999</v>
      </c>
      <c r="J643">
        <v>3538.1025037200002</v>
      </c>
      <c r="K643">
        <v>3665.2572098099999</v>
      </c>
      <c r="L643">
        <v>3780.7558631946999</v>
      </c>
    </row>
    <row r="644" spans="1:12" x14ac:dyDescent="0.2">
      <c r="A644" s="8" t="s">
        <v>32</v>
      </c>
      <c r="B644" s="8" t="s">
        <v>125</v>
      </c>
      <c r="C644" s="8" t="s">
        <v>173</v>
      </c>
      <c r="D644" s="8" t="s">
        <v>174</v>
      </c>
      <c r="E644" s="8" t="s">
        <v>66</v>
      </c>
      <c r="F644" s="8" t="s">
        <v>67</v>
      </c>
      <c r="G644" s="8" t="s">
        <v>7</v>
      </c>
      <c r="H644" s="8" t="s">
        <v>38</v>
      </c>
      <c r="I644" s="9"/>
    </row>
    <row r="645" spans="1:12" x14ac:dyDescent="0.2">
      <c r="A645" s="8" t="s">
        <v>32</v>
      </c>
      <c r="B645" s="8" t="s">
        <v>125</v>
      </c>
      <c r="C645" s="8" t="s">
        <v>173</v>
      </c>
      <c r="D645" s="8" t="s">
        <v>174</v>
      </c>
      <c r="E645" s="8" t="s">
        <v>45</v>
      </c>
      <c r="F645" s="8" t="s">
        <v>46</v>
      </c>
      <c r="G645" s="8" t="s">
        <v>7</v>
      </c>
      <c r="H645" s="8" t="s">
        <v>38</v>
      </c>
      <c r="I645" s="9"/>
    </row>
    <row r="646" spans="1:12" x14ac:dyDescent="0.2">
      <c r="A646" s="8" t="s">
        <v>32</v>
      </c>
      <c r="B646" s="8" t="s">
        <v>125</v>
      </c>
      <c r="C646" s="8" t="s">
        <v>173</v>
      </c>
      <c r="D646" s="8" t="s">
        <v>174</v>
      </c>
      <c r="E646" s="8" t="s">
        <v>49</v>
      </c>
      <c r="F646" s="8" t="s">
        <v>50</v>
      </c>
      <c r="G646" s="8" t="s">
        <v>7</v>
      </c>
      <c r="H646" s="8" t="s">
        <v>38</v>
      </c>
      <c r="I646" s="9">
        <v>569.24099999999999</v>
      </c>
      <c r="J646">
        <v>584.45221685000001</v>
      </c>
      <c r="K646">
        <v>599.83563156000002</v>
      </c>
      <c r="L646">
        <v>618.73749948673003</v>
      </c>
    </row>
    <row r="647" spans="1:12" x14ac:dyDescent="0.2">
      <c r="A647" s="8" t="s">
        <v>32</v>
      </c>
      <c r="B647" s="8" t="s">
        <v>125</v>
      </c>
      <c r="C647" s="8" t="s">
        <v>173</v>
      </c>
      <c r="D647" s="8" t="s">
        <v>174</v>
      </c>
      <c r="E647" s="8" t="s">
        <v>51</v>
      </c>
      <c r="F647" s="8" t="s">
        <v>52</v>
      </c>
      <c r="G647" s="8" t="s">
        <v>7</v>
      </c>
      <c r="H647" s="8" t="s">
        <v>38</v>
      </c>
      <c r="I647" s="9">
        <v>116.29704</v>
      </c>
      <c r="J647">
        <v>120.29786278</v>
      </c>
      <c r="K647">
        <v>124.37658678</v>
      </c>
      <c r="L647">
        <v>128.29591016261</v>
      </c>
    </row>
    <row r="648" spans="1:12" x14ac:dyDescent="0.2">
      <c r="A648" s="8" t="s">
        <v>32</v>
      </c>
      <c r="B648" s="8" t="s">
        <v>125</v>
      </c>
      <c r="C648" s="8" t="s">
        <v>173</v>
      </c>
      <c r="D648" s="8" t="s">
        <v>174</v>
      </c>
      <c r="E648" s="8" t="s">
        <v>53</v>
      </c>
      <c r="F648" s="8" t="s">
        <v>54</v>
      </c>
      <c r="G648" s="8" t="s">
        <v>7</v>
      </c>
      <c r="H648" s="8" t="s">
        <v>38</v>
      </c>
      <c r="I648" s="9">
        <v>1773.7265</v>
      </c>
      <c r="J648">
        <v>1538.0800853823</v>
      </c>
      <c r="K648">
        <v>1469.5163980514999</v>
      </c>
      <c r="L648">
        <v>1312.9212600087999</v>
      </c>
    </row>
    <row r="649" spans="1:12" x14ac:dyDescent="0.2">
      <c r="A649" s="8" t="s">
        <v>32</v>
      </c>
      <c r="B649" s="8" t="s">
        <v>125</v>
      </c>
      <c r="C649" s="8" t="s">
        <v>173</v>
      </c>
      <c r="D649" s="8" t="s">
        <v>174</v>
      </c>
      <c r="E649" s="8" t="s">
        <v>70</v>
      </c>
      <c r="F649" s="8" t="s">
        <v>71</v>
      </c>
      <c r="G649" s="8" t="s">
        <v>7</v>
      </c>
      <c r="H649" s="8" t="s">
        <v>38</v>
      </c>
      <c r="I649" s="9">
        <v>1343.7388000000001</v>
      </c>
      <c r="J649">
        <v>1757.7979065</v>
      </c>
      <c r="K649">
        <v>1835.9222579</v>
      </c>
      <c r="L649">
        <v>1833.8510849100001</v>
      </c>
    </row>
    <row r="650" spans="1:12" x14ac:dyDescent="0.2">
      <c r="A650" s="8" t="s">
        <v>32</v>
      </c>
      <c r="B650" s="8" t="s">
        <v>125</v>
      </c>
      <c r="C650" s="8" t="s">
        <v>173</v>
      </c>
      <c r="D650" s="8" t="s">
        <v>174</v>
      </c>
      <c r="E650" s="8" t="s">
        <v>55</v>
      </c>
      <c r="F650" s="8" t="s">
        <v>56</v>
      </c>
      <c r="G650" s="8" t="s">
        <v>7</v>
      </c>
      <c r="H650" s="8" t="s">
        <v>38</v>
      </c>
      <c r="I650" s="9">
        <v>1.5227286</v>
      </c>
      <c r="J650">
        <v>1.7054955253721999</v>
      </c>
      <c r="K650">
        <v>1.7054955253721999</v>
      </c>
      <c r="L650">
        <v>1.7054955253721999</v>
      </c>
    </row>
    <row r="651" spans="1:12" x14ac:dyDescent="0.2">
      <c r="A651" s="8" t="s">
        <v>32</v>
      </c>
      <c r="B651" s="8" t="s">
        <v>125</v>
      </c>
      <c r="C651" s="8" t="s">
        <v>173</v>
      </c>
      <c r="D651" s="8" t="s">
        <v>174</v>
      </c>
      <c r="E651" s="8" t="s">
        <v>57</v>
      </c>
      <c r="F651" s="8" t="s">
        <v>58</v>
      </c>
      <c r="G651" s="8" t="s">
        <v>7</v>
      </c>
      <c r="H651" s="8" t="s">
        <v>38</v>
      </c>
      <c r="I651" s="9">
        <v>1.0391387000000001</v>
      </c>
      <c r="J651">
        <v>1.1638623383758</v>
      </c>
      <c r="K651">
        <v>1.1638623383758</v>
      </c>
      <c r="L651">
        <v>1.1638623383758</v>
      </c>
    </row>
    <row r="652" spans="1:12" x14ac:dyDescent="0.2">
      <c r="A652" s="8" t="s">
        <v>32</v>
      </c>
      <c r="B652" s="8" t="s">
        <v>125</v>
      </c>
      <c r="C652" s="8" t="s">
        <v>173</v>
      </c>
      <c r="D652" s="8" t="s">
        <v>174</v>
      </c>
      <c r="E652" s="8" t="s">
        <v>74</v>
      </c>
      <c r="F652" s="8" t="s">
        <v>75</v>
      </c>
      <c r="G652" s="8" t="s">
        <v>7</v>
      </c>
      <c r="H652" s="8" t="s">
        <v>38</v>
      </c>
      <c r="I652" s="9">
        <v>101.45356</v>
      </c>
      <c r="J652">
        <v>77.775579199999996</v>
      </c>
      <c r="K652">
        <v>103.26229120000001</v>
      </c>
      <c r="L652">
        <v>103.26229120000001</v>
      </c>
    </row>
    <row r="653" spans="1:12" x14ac:dyDescent="0.2">
      <c r="A653" s="8" t="s">
        <v>32</v>
      </c>
      <c r="B653" s="8" t="s">
        <v>125</v>
      </c>
      <c r="C653" s="8" t="s">
        <v>173</v>
      </c>
      <c r="D653" s="8" t="s">
        <v>174</v>
      </c>
      <c r="E653" s="8" t="s">
        <v>59</v>
      </c>
      <c r="F653" s="8" t="s">
        <v>60</v>
      </c>
      <c r="G653" s="8" t="s">
        <v>7</v>
      </c>
      <c r="H653" s="8" t="s">
        <v>38</v>
      </c>
      <c r="I653" s="9">
        <v>173.31501</v>
      </c>
      <c r="J653">
        <v>174.68442386194999</v>
      </c>
      <c r="K653">
        <v>177.4434829962</v>
      </c>
      <c r="L653">
        <v>180.12061159523</v>
      </c>
    </row>
    <row r="654" spans="1:12" x14ac:dyDescent="0.2">
      <c r="A654" s="8" t="s">
        <v>32</v>
      </c>
      <c r="B654" s="8" t="s">
        <v>125</v>
      </c>
      <c r="C654" s="8" t="s">
        <v>173</v>
      </c>
      <c r="D654" s="8" t="s">
        <v>174</v>
      </c>
      <c r="E654" s="8" t="s">
        <v>76</v>
      </c>
      <c r="F654" s="8" t="s">
        <v>77</v>
      </c>
      <c r="G654" s="8" t="s">
        <v>7</v>
      </c>
      <c r="H654" s="8" t="s">
        <v>38</v>
      </c>
      <c r="I654" s="9">
        <v>44.209524000000002</v>
      </c>
      <c r="J654">
        <v>46.304761917127998</v>
      </c>
      <c r="K654">
        <v>44.628571440903997</v>
      </c>
      <c r="L654">
        <v>45.047619060171002</v>
      </c>
    </row>
    <row r="655" spans="1:12" x14ac:dyDescent="0.2">
      <c r="A655" s="8" t="s">
        <v>32</v>
      </c>
      <c r="B655" s="8" t="s">
        <v>125</v>
      </c>
      <c r="C655" s="8" t="s">
        <v>173</v>
      </c>
      <c r="D655" s="8" t="s">
        <v>174</v>
      </c>
      <c r="E655" s="8" t="s">
        <v>78</v>
      </c>
      <c r="F655" s="8" t="s">
        <v>79</v>
      </c>
      <c r="G655" s="8" t="s">
        <v>7</v>
      </c>
      <c r="H655" s="8" t="s">
        <v>38</v>
      </c>
      <c r="I655" s="9">
        <v>37.399993000000002</v>
      </c>
      <c r="J655">
        <v>21.528567514285999</v>
      </c>
      <c r="K655">
        <v>57.985703742856998</v>
      </c>
      <c r="L655">
        <v>61.442845971429001</v>
      </c>
    </row>
    <row r="656" spans="1:12" x14ac:dyDescent="0.2">
      <c r="A656" s="8" t="s">
        <v>32</v>
      </c>
      <c r="B656" s="8" t="s">
        <v>125</v>
      </c>
      <c r="C656" s="8" t="s">
        <v>175</v>
      </c>
      <c r="D656" s="8" t="s">
        <v>176</v>
      </c>
      <c r="E656" s="8" t="s">
        <v>36</v>
      </c>
      <c r="F656" s="8" t="s">
        <v>37</v>
      </c>
      <c r="G656" s="8" t="s">
        <v>7</v>
      </c>
      <c r="H656" s="8" t="s">
        <v>38</v>
      </c>
      <c r="I656" s="9">
        <v>4.7166058</v>
      </c>
      <c r="J656">
        <v>1.8127453499999999</v>
      </c>
      <c r="K656">
        <v>3.7377966599999999</v>
      </c>
      <c r="L656">
        <v>3.8555811580974999</v>
      </c>
    </row>
    <row r="657" spans="1:12" x14ac:dyDescent="0.2">
      <c r="A657" s="8" t="s">
        <v>32</v>
      </c>
      <c r="B657" s="8" t="s">
        <v>125</v>
      </c>
      <c r="C657" s="8" t="s">
        <v>175</v>
      </c>
      <c r="D657" s="8" t="s">
        <v>176</v>
      </c>
      <c r="E657" s="8" t="s">
        <v>64</v>
      </c>
      <c r="F657" s="8" t="s">
        <v>65</v>
      </c>
      <c r="G657" s="8" t="s">
        <v>7</v>
      </c>
      <c r="H657" s="8" t="s">
        <v>38</v>
      </c>
      <c r="I657" s="9"/>
    </row>
    <row r="658" spans="1:12" x14ac:dyDescent="0.2">
      <c r="A658" s="8" t="s">
        <v>32</v>
      </c>
      <c r="B658" s="8" t="s">
        <v>125</v>
      </c>
      <c r="C658" s="8" t="s">
        <v>175</v>
      </c>
      <c r="D658" s="8" t="s">
        <v>176</v>
      </c>
      <c r="E658" s="8" t="s">
        <v>39</v>
      </c>
      <c r="F658" s="8" t="s">
        <v>40</v>
      </c>
      <c r="G658" s="8" t="s">
        <v>7</v>
      </c>
      <c r="H658" s="8" t="s">
        <v>38</v>
      </c>
      <c r="I658" s="9">
        <v>3.6372271999999999</v>
      </c>
      <c r="J658">
        <v>2.1562866000000001</v>
      </c>
      <c r="K658">
        <v>9.3963599999999994E-3</v>
      </c>
      <c r="L658">
        <v>9.6924557075026996E-3</v>
      </c>
    </row>
    <row r="659" spans="1:12" x14ac:dyDescent="0.2">
      <c r="A659" s="8" t="s">
        <v>32</v>
      </c>
      <c r="B659" s="8" t="s">
        <v>125</v>
      </c>
      <c r="C659" s="8" t="s">
        <v>175</v>
      </c>
      <c r="D659" s="8" t="s">
        <v>176</v>
      </c>
      <c r="E659" s="8" t="s">
        <v>41</v>
      </c>
      <c r="F659" s="8" t="s">
        <v>42</v>
      </c>
      <c r="G659" s="8" t="s">
        <v>7</v>
      </c>
      <c r="H659" s="8" t="s">
        <v>38</v>
      </c>
      <c r="I659" s="9">
        <v>12.832205</v>
      </c>
      <c r="J659">
        <v>18.543317649999999</v>
      </c>
      <c r="K659">
        <v>4.8597477500000004</v>
      </c>
      <c r="L659">
        <v>5.4771518552882004</v>
      </c>
    </row>
    <row r="660" spans="1:12" x14ac:dyDescent="0.2">
      <c r="A660" s="8" t="s">
        <v>32</v>
      </c>
      <c r="B660" s="8" t="s">
        <v>125</v>
      </c>
      <c r="C660" s="8" t="s">
        <v>175</v>
      </c>
      <c r="D660" s="8" t="s">
        <v>176</v>
      </c>
      <c r="E660" s="8" t="s">
        <v>43</v>
      </c>
      <c r="F660" s="8" t="s">
        <v>44</v>
      </c>
      <c r="G660" s="8" t="s">
        <v>7</v>
      </c>
      <c r="H660" s="8" t="s">
        <v>38</v>
      </c>
      <c r="I660" s="9">
        <v>2871.8117999999999</v>
      </c>
      <c r="J660">
        <v>2753.6181444899998</v>
      </c>
      <c r="K660">
        <v>3860.24051328</v>
      </c>
      <c r="L660">
        <v>3981.8834309535</v>
      </c>
    </row>
    <row r="661" spans="1:12" x14ac:dyDescent="0.2">
      <c r="A661" s="8" t="s">
        <v>32</v>
      </c>
      <c r="B661" s="8" t="s">
        <v>125</v>
      </c>
      <c r="C661" s="8" t="s">
        <v>175</v>
      </c>
      <c r="D661" s="8" t="s">
        <v>176</v>
      </c>
      <c r="E661" s="8" t="s">
        <v>45</v>
      </c>
      <c r="F661" s="8" t="s">
        <v>46</v>
      </c>
      <c r="G661" s="8" t="s">
        <v>7</v>
      </c>
      <c r="H661" s="8" t="s">
        <v>38</v>
      </c>
      <c r="I661" s="9">
        <v>566.94718</v>
      </c>
      <c r="J661">
        <v>548.57527490999996</v>
      </c>
      <c r="K661">
        <v>901.38823476000005</v>
      </c>
      <c r="L661">
        <v>844.43654376727</v>
      </c>
    </row>
    <row r="662" spans="1:12" x14ac:dyDescent="0.2">
      <c r="A662" s="8" t="s">
        <v>32</v>
      </c>
      <c r="B662" s="8" t="s">
        <v>125</v>
      </c>
      <c r="C662" s="8" t="s">
        <v>175</v>
      </c>
      <c r="D662" s="8" t="s">
        <v>176</v>
      </c>
      <c r="E662" s="8" t="s">
        <v>49</v>
      </c>
      <c r="F662" s="8" t="s">
        <v>50</v>
      </c>
      <c r="G662" s="8" t="s">
        <v>7</v>
      </c>
      <c r="H662" s="8" t="s">
        <v>38</v>
      </c>
      <c r="I662" s="9">
        <v>42.136499000000001</v>
      </c>
      <c r="J662">
        <v>46.350335000000001</v>
      </c>
      <c r="K662">
        <v>62.11532313</v>
      </c>
      <c r="L662">
        <v>64.072685401021999</v>
      </c>
    </row>
    <row r="663" spans="1:12" x14ac:dyDescent="0.2">
      <c r="A663" s="8" t="s">
        <v>32</v>
      </c>
      <c r="B663" s="8" t="s">
        <v>125</v>
      </c>
      <c r="C663" s="8" t="s">
        <v>175</v>
      </c>
      <c r="D663" s="8" t="s">
        <v>176</v>
      </c>
      <c r="E663" s="8" t="s">
        <v>51</v>
      </c>
      <c r="F663" s="8" t="s">
        <v>52</v>
      </c>
      <c r="G663" s="8" t="s">
        <v>7</v>
      </c>
      <c r="H663" s="8" t="s">
        <v>38</v>
      </c>
      <c r="I663" s="9"/>
    </row>
    <row r="664" spans="1:12" x14ac:dyDescent="0.2">
      <c r="A664" s="8" t="s">
        <v>32</v>
      </c>
      <c r="B664" s="8" t="s">
        <v>125</v>
      </c>
      <c r="C664" s="8" t="s">
        <v>175</v>
      </c>
      <c r="D664" s="8" t="s">
        <v>176</v>
      </c>
      <c r="E664" s="8" t="s">
        <v>68</v>
      </c>
      <c r="F664" s="8" t="s">
        <v>69</v>
      </c>
      <c r="G664" s="8" t="s">
        <v>7</v>
      </c>
      <c r="H664" s="8" t="s">
        <v>38</v>
      </c>
      <c r="I664" s="9"/>
    </row>
    <row r="665" spans="1:12" x14ac:dyDescent="0.2">
      <c r="A665" s="8" t="s">
        <v>32</v>
      </c>
      <c r="B665" s="8" t="s">
        <v>125</v>
      </c>
      <c r="C665" s="8" t="s">
        <v>175</v>
      </c>
      <c r="D665" s="8" t="s">
        <v>176</v>
      </c>
      <c r="E665" s="8" t="s">
        <v>53</v>
      </c>
      <c r="F665" s="8" t="s">
        <v>54</v>
      </c>
      <c r="G665" s="8" t="s">
        <v>7</v>
      </c>
      <c r="H665" s="8" t="s">
        <v>38</v>
      </c>
      <c r="I665" s="9">
        <v>450.40879999999999</v>
      </c>
      <c r="J665">
        <v>437.98985440173999</v>
      </c>
      <c r="K665">
        <v>399.4326604762</v>
      </c>
      <c r="L665">
        <v>221.32128053367001</v>
      </c>
    </row>
    <row r="666" spans="1:12" x14ac:dyDescent="0.2">
      <c r="A666" s="8" t="s">
        <v>32</v>
      </c>
      <c r="B666" s="8" t="s">
        <v>125</v>
      </c>
      <c r="C666" s="8" t="s">
        <v>175</v>
      </c>
      <c r="D666" s="8" t="s">
        <v>176</v>
      </c>
      <c r="E666" s="8" t="s">
        <v>70</v>
      </c>
      <c r="F666" s="8" t="s">
        <v>71</v>
      </c>
      <c r="G666" s="8" t="s">
        <v>7</v>
      </c>
      <c r="H666" s="8" t="s">
        <v>38</v>
      </c>
      <c r="I666" s="9">
        <v>501.55833999999999</v>
      </c>
      <c r="J666">
        <v>636.32284215300001</v>
      </c>
      <c r="K666">
        <v>828.89936835399999</v>
      </c>
      <c r="L666">
        <v>827.96425578276001</v>
      </c>
    </row>
    <row r="667" spans="1:12" x14ac:dyDescent="0.2">
      <c r="A667" s="8" t="s">
        <v>32</v>
      </c>
      <c r="B667" s="8" t="s">
        <v>125</v>
      </c>
      <c r="C667" s="8" t="s">
        <v>175</v>
      </c>
      <c r="D667" s="8" t="s">
        <v>176</v>
      </c>
      <c r="E667" s="8" t="s">
        <v>83</v>
      </c>
      <c r="F667" s="8" t="s">
        <v>84</v>
      </c>
      <c r="G667" s="8" t="s">
        <v>7</v>
      </c>
      <c r="H667" s="8" t="s">
        <v>38</v>
      </c>
      <c r="I667" s="9">
        <v>30</v>
      </c>
      <c r="J667">
        <v>30</v>
      </c>
      <c r="K667">
        <v>30</v>
      </c>
      <c r="L667">
        <v>30</v>
      </c>
    </row>
    <row r="668" spans="1:12" x14ac:dyDescent="0.2">
      <c r="A668" s="8" t="s">
        <v>32</v>
      </c>
      <c r="B668" s="8" t="s">
        <v>125</v>
      </c>
      <c r="C668" s="8" t="s">
        <v>175</v>
      </c>
      <c r="D668" s="8" t="s">
        <v>176</v>
      </c>
      <c r="E668" s="8" t="s">
        <v>55</v>
      </c>
      <c r="F668" s="8" t="s">
        <v>56</v>
      </c>
      <c r="G668" s="8" t="s">
        <v>7</v>
      </c>
      <c r="H668" s="8" t="s">
        <v>38</v>
      </c>
      <c r="I668" s="9">
        <v>3.2176757</v>
      </c>
      <c r="J668">
        <v>3.6038802386348001</v>
      </c>
      <c r="K668">
        <v>3.6038802386348001</v>
      </c>
      <c r="L668">
        <v>3.6038802386348001</v>
      </c>
    </row>
    <row r="669" spans="1:12" x14ac:dyDescent="0.2">
      <c r="A669" s="8" t="s">
        <v>32</v>
      </c>
      <c r="B669" s="8" t="s">
        <v>125</v>
      </c>
      <c r="C669" s="8" t="s">
        <v>175</v>
      </c>
      <c r="D669" s="8" t="s">
        <v>176</v>
      </c>
      <c r="E669" s="8" t="s">
        <v>57</v>
      </c>
      <c r="F669" s="8" t="s">
        <v>58</v>
      </c>
      <c r="G669" s="8" t="s">
        <v>7</v>
      </c>
      <c r="H669" s="8" t="s">
        <v>38</v>
      </c>
      <c r="I669" s="9">
        <v>0.97424599999999995</v>
      </c>
      <c r="J669">
        <v>1.0911808052212999</v>
      </c>
      <c r="K669">
        <v>1.0911808052212999</v>
      </c>
      <c r="L669">
        <v>1.0911808052212999</v>
      </c>
    </row>
    <row r="670" spans="1:12" x14ac:dyDescent="0.2">
      <c r="A670" s="8" t="s">
        <v>32</v>
      </c>
      <c r="B670" s="8" t="s">
        <v>125</v>
      </c>
      <c r="C670" s="8" t="s">
        <v>175</v>
      </c>
      <c r="D670" s="8" t="s">
        <v>176</v>
      </c>
      <c r="E670" s="8" t="s">
        <v>74</v>
      </c>
      <c r="F670" s="8" t="s">
        <v>75</v>
      </c>
      <c r="G670" s="8" t="s">
        <v>7</v>
      </c>
      <c r="H670" s="8" t="s">
        <v>38</v>
      </c>
      <c r="I670" s="9">
        <v>1.2</v>
      </c>
      <c r="J670">
        <v>1.2</v>
      </c>
      <c r="K670">
        <v>1.2</v>
      </c>
      <c r="L670">
        <v>1.2</v>
      </c>
    </row>
    <row r="671" spans="1:12" x14ac:dyDescent="0.2">
      <c r="A671" s="8" t="s">
        <v>32</v>
      </c>
      <c r="B671" s="8" t="s">
        <v>125</v>
      </c>
      <c r="C671" s="8" t="s">
        <v>175</v>
      </c>
      <c r="D671" s="8" t="s">
        <v>176</v>
      </c>
      <c r="E671" s="8" t="s">
        <v>59</v>
      </c>
      <c r="F671" s="8" t="s">
        <v>60</v>
      </c>
      <c r="G671" s="8" t="s">
        <v>7</v>
      </c>
      <c r="H671" s="8" t="s">
        <v>38</v>
      </c>
      <c r="I671" s="9">
        <v>141.95096000000001</v>
      </c>
      <c r="J671">
        <v>146.38782119883999</v>
      </c>
      <c r="K671">
        <v>150.96060455520001</v>
      </c>
      <c r="L671">
        <v>155.53090761574001</v>
      </c>
    </row>
    <row r="672" spans="1:12" x14ac:dyDescent="0.2">
      <c r="A672" s="8" t="s">
        <v>32</v>
      </c>
      <c r="B672" s="8" t="s">
        <v>125</v>
      </c>
      <c r="C672" s="8" t="s">
        <v>177</v>
      </c>
      <c r="D672" s="8" t="s">
        <v>178</v>
      </c>
      <c r="E672" s="8" t="s">
        <v>36</v>
      </c>
      <c r="F672" s="8" t="s">
        <v>37</v>
      </c>
      <c r="G672" s="8" t="s">
        <v>7</v>
      </c>
      <c r="H672" s="8" t="s">
        <v>38</v>
      </c>
      <c r="I672" s="9">
        <v>2225.1273999999999</v>
      </c>
      <c r="J672">
        <v>2381.3479036799999</v>
      </c>
      <c r="K672">
        <v>2961.2036586600002</v>
      </c>
      <c r="L672">
        <v>2716.4513364047998</v>
      </c>
    </row>
    <row r="673" spans="1:12" x14ac:dyDescent="0.2">
      <c r="A673" s="8" t="s">
        <v>32</v>
      </c>
      <c r="B673" s="8" t="s">
        <v>125</v>
      </c>
      <c r="C673" s="8" t="s">
        <v>177</v>
      </c>
      <c r="D673" s="8" t="s">
        <v>178</v>
      </c>
      <c r="E673" s="8" t="s">
        <v>64</v>
      </c>
      <c r="F673" s="8" t="s">
        <v>65</v>
      </c>
      <c r="G673" s="8" t="s">
        <v>7</v>
      </c>
      <c r="H673" s="8" t="s">
        <v>38</v>
      </c>
      <c r="I673" s="9"/>
    </row>
    <row r="674" spans="1:12" x14ac:dyDescent="0.2">
      <c r="A674" s="8" t="s">
        <v>32</v>
      </c>
      <c r="B674" s="8" t="s">
        <v>125</v>
      </c>
      <c r="C674" s="8" t="s">
        <v>177</v>
      </c>
      <c r="D674" s="8" t="s">
        <v>178</v>
      </c>
      <c r="E674" s="8" t="s">
        <v>39</v>
      </c>
      <c r="F674" s="8" t="s">
        <v>40</v>
      </c>
      <c r="G674" s="8" t="s">
        <v>7</v>
      </c>
      <c r="H674" s="8" t="s">
        <v>38</v>
      </c>
      <c r="I674" s="9">
        <v>105.84815</v>
      </c>
      <c r="J674">
        <v>106.96321734</v>
      </c>
      <c r="K674">
        <v>108.84087501</v>
      </c>
      <c r="L674">
        <v>112.27064099291999</v>
      </c>
    </row>
    <row r="675" spans="1:12" x14ac:dyDescent="0.2">
      <c r="A675" s="8" t="s">
        <v>32</v>
      </c>
      <c r="B675" s="8" t="s">
        <v>125</v>
      </c>
      <c r="C675" s="8" t="s">
        <v>177</v>
      </c>
      <c r="D675" s="8" t="s">
        <v>178</v>
      </c>
      <c r="E675" s="8" t="s">
        <v>41</v>
      </c>
      <c r="F675" s="8" t="s">
        <v>42</v>
      </c>
      <c r="G675" s="8" t="s">
        <v>7</v>
      </c>
      <c r="H675" s="8" t="s">
        <v>38</v>
      </c>
      <c r="I675" s="9">
        <v>38.247545000000002</v>
      </c>
      <c r="J675">
        <v>39.440179349998999</v>
      </c>
      <c r="K675">
        <v>42.1604326</v>
      </c>
      <c r="L675">
        <v>47.516682658032998</v>
      </c>
    </row>
    <row r="676" spans="1:12" x14ac:dyDescent="0.2">
      <c r="A676" s="8" t="s">
        <v>32</v>
      </c>
      <c r="B676" s="8" t="s">
        <v>125</v>
      </c>
      <c r="C676" s="8" t="s">
        <v>177</v>
      </c>
      <c r="D676" s="8" t="s">
        <v>178</v>
      </c>
      <c r="E676" s="8" t="s">
        <v>43</v>
      </c>
      <c r="F676" s="8" t="s">
        <v>44</v>
      </c>
      <c r="G676" s="8" t="s">
        <v>7</v>
      </c>
      <c r="H676" s="8" t="s">
        <v>38</v>
      </c>
      <c r="I676" s="9">
        <v>1114.2514000000001</v>
      </c>
      <c r="J676">
        <v>1125.98476611</v>
      </c>
      <c r="K676">
        <v>1145.7318877800001</v>
      </c>
      <c r="L676">
        <v>1181.8358997507</v>
      </c>
    </row>
    <row r="677" spans="1:12" x14ac:dyDescent="0.2">
      <c r="A677" s="8" t="s">
        <v>32</v>
      </c>
      <c r="B677" s="8" t="s">
        <v>125</v>
      </c>
      <c r="C677" s="8" t="s">
        <v>177</v>
      </c>
      <c r="D677" s="8" t="s">
        <v>178</v>
      </c>
      <c r="E677" s="8" t="s">
        <v>66</v>
      </c>
      <c r="F677" s="8" t="s">
        <v>67</v>
      </c>
      <c r="G677" s="8" t="s">
        <v>7</v>
      </c>
      <c r="H677" s="8" t="s">
        <v>38</v>
      </c>
      <c r="I677" s="9">
        <v>43.462718000000002</v>
      </c>
      <c r="J677">
        <v>43.921559760000001</v>
      </c>
      <c r="K677">
        <v>44.691584730000002</v>
      </c>
      <c r="L677">
        <v>46.099894586162002</v>
      </c>
    </row>
    <row r="678" spans="1:12" x14ac:dyDescent="0.2">
      <c r="A678" s="8" t="s">
        <v>32</v>
      </c>
      <c r="B678" s="8" t="s">
        <v>125</v>
      </c>
      <c r="C678" s="8" t="s">
        <v>177</v>
      </c>
      <c r="D678" s="8" t="s">
        <v>178</v>
      </c>
      <c r="E678" s="8" t="s">
        <v>45</v>
      </c>
      <c r="F678" s="8" t="s">
        <v>46</v>
      </c>
      <c r="G678" s="8" t="s">
        <v>7</v>
      </c>
      <c r="H678" s="8" t="s">
        <v>38</v>
      </c>
      <c r="I678" s="9">
        <v>23.269359999999999</v>
      </c>
      <c r="J678">
        <v>23.514529499999998</v>
      </c>
      <c r="K678">
        <v>23.92740504</v>
      </c>
      <c r="L678">
        <v>22.415618968753002</v>
      </c>
    </row>
    <row r="679" spans="1:12" x14ac:dyDescent="0.2">
      <c r="A679" s="8" t="s">
        <v>32</v>
      </c>
      <c r="B679" s="8" t="s">
        <v>125</v>
      </c>
      <c r="C679" s="8" t="s">
        <v>177</v>
      </c>
      <c r="D679" s="8" t="s">
        <v>178</v>
      </c>
      <c r="E679" s="8" t="s">
        <v>49</v>
      </c>
      <c r="F679" s="8" t="s">
        <v>50</v>
      </c>
      <c r="G679" s="8" t="s">
        <v>7</v>
      </c>
      <c r="H679" s="8" t="s">
        <v>38</v>
      </c>
      <c r="I679" s="9">
        <v>71.942059</v>
      </c>
      <c r="J679">
        <v>74.487624940000003</v>
      </c>
      <c r="K679">
        <v>76.075036580000003</v>
      </c>
      <c r="L679">
        <v>78.472293792309003</v>
      </c>
    </row>
    <row r="680" spans="1:12" x14ac:dyDescent="0.2">
      <c r="A680" s="8" t="s">
        <v>32</v>
      </c>
      <c r="B680" s="8" t="s">
        <v>125</v>
      </c>
      <c r="C680" s="8" t="s">
        <v>177</v>
      </c>
      <c r="D680" s="8" t="s">
        <v>178</v>
      </c>
      <c r="E680" s="8" t="s">
        <v>53</v>
      </c>
      <c r="F680" s="8" t="s">
        <v>54</v>
      </c>
      <c r="G680" s="8" t="s">
        <v>7</v>
      </c>
      <c r="H680" s="8" t="s">
        <v>38</v>
      </c>
      <c r="I680" s="9">
        <v>3536.5659000000001</v>
      </c>
      <c r="J680">
        <v>3009.8494302918002</v>
      </c>
      <c r="K680">
        <v>3595.7661388892998</v>
      </c>
      <c r="L680">
        <v>3302.6113875912001</v>
      </c>
    </row>
    <row r="681" spans="1:12" x14ac:dyDescent="0.2">
      <c r="A681" s="8" t="s">
        <v>32</v>
      </c>
      <c r="B681" s="8" t="s">
        <v>125</v>
      </c>
      <c r="C681" s="8" t="s">
        <v>177</v>
      </c>
      <c r="D681" s="8" t="s">
        <v>178</v>
      </c>
      <c r="E681" s="8" t="s">
        <v>70</v>
      </c>
      <c r="F681" s="8" t="s">
        <v>71</v>
      </c>
      <c r="G681" s="8" t="s">
        <v>7</v>
      </c>
      <c r="H681" s="8" t="s">
        <v>38</v>
      </c>
      <c r="I681" s="9">
        <v>234.37305000000001</v>
      </c>
      <c r="J681">
        <v>292.18507423599999</v>
      </c>
      <c r="K681">
        <v>349.21585075799999</v>
      </c>
      <c r="L681">
        <v>348.82188721479002</v>
      </c>
    </row>
    <row r="682" spans="1:12" x14ac:dyDescent="0.2">
      <c r="A682" s="8" t="s">
        <v>32</v>
      </c>
      <c r="B682" s="8" t="s">
        <v>125</v>
      </c>
      <c r="C682" s="8" t="s">
        <v>177</v>
      </c>
      <c r="D682" s="8" t="s">
        <v>178</v>
      </c>
      <c r="E682" s="8" t="s">
        <v>83</v>
      </c>
      <c r="F682" s="8" t="s">
        <v>84</v>
      </c>
      <c r="G682" s="8" t="s">
        <v>7</v>
      </c>
      <c r="H682" s="8" t="s">
        <v>38</v>
      </c>
      <c r="I682" s="9"/>
    </row>
    <row r="683" spans="1:12" x14ac:dyDescent="0.2">
      <c r="A683" s="8" t="s">
        <v>32</v>
      </c>
      <c r="B683" s="8" t="s">
        <v>125</v>
      </c>
      <c r="C683" s="8" t="s">
        <v>177</v>
      </c>
      <c r="D683" s="8" t="s">
        <v>178</v>
      </c>
      <c r="E683" s="8" t="s">
        <v>55</v>
      </c>
      <c r="F683" s="8" t="s">
        <v>56</v>
      </c>
      <c r="G683" s="8" t="s">
        <v>7</v>
      </c>
      <c r="H683" s="8" t="s">
        <v>38</v>
      </c>
      <c r="I683" s="9">
        <v>0.20023540000000001</v>
      </c>
      <c r="J683">
        <v>0.22426879738444</v>
      </c>
      <c r="K683">
        <v>0.22426879738444</v>
      </c>
      <c r="L683">
        <v>0.22426879738444</v>
      </c>
    </row>
    <row r="684" spans="1:12" x14ac:dyDescent="0.2">
      <c r="A684" s="8" t="s">
        <v>32</v>
      </c>
      <c r="B684" s="8" t="s">
        <v>125</v>
      </c>
      <c r="C684" s="8" t="s">
        <v>177</v>
      </c>
      <c r="D684" s="8" t="s">
        <v>178</v>
      </c>
      <c r="E684" s="8" t="s">
        <v>57</v>
      </c>
      <c r="F684" s="8" t="s">
        <v>58</v>
      </c>
      <c r="G684" s="8" t="s">
        <v>7</v>
      </c>
      <c r="H684" s="8" t="s">
        <v>38</v>
      </c>
      <c r="I684" s="9">
        <v>4.8521599999999998E-2</v>
      </c>
      <c r="J684">
        <v>5.4345419571370998E-2</v>
      </c>
      <c r="K684">
        <v>5.4345419571370998E-2</v>
      </c>
      <c r="L684">
        <v>5.4345419571370998E-2</v>
      </c>
    </row>
    <row r="685" spans="1:12" x14ac:dyDescent="0.2">
      <c r="A685" s="8" t="s">
        <v>32</v>
      </c>
      <c r="B685" s="8" t="s">
        <v>125</v>
      </c>
      <c r="C685" s="8" t="s">
        <v>177</v>
      </c>
      <c r="D685" s="8" t="s">
        <v>178</v>
      </c>
      <c r="E685" s="8" t="s">
        <v>59</v>
      </c>
      <c r="F685" s="8" t="s">
        <v>60</v>
      </c>
      <c r="G685" s="8" t="s">
        <v>7</v>
      </c>
      <c r="H685" s="8" t="s">
        <v>38</v>
      </c>
      <c r="I685" s="9">
        <v>9.6699246999999993</v>
      </c>
      <c r="J685">
        <v>10.011130829838001</v>
      </c>
      <c r="K685">
        <v>10.298021739418999</v>
      </c>
      <c r="L685">
        <v>10.623913927553</v>
      </c>
    </row>
    <row r="686" spans="1:12" x14ac:dyDescent="0.2">
      <c r="A686" s="8" t="s">
        <v>32</v>
      </c>
      <c r="B686" s="8" t="s">
        <v>125</v>
      </c>
      <c r="C686" s="8" t="s">
        <v>177</v>
      </c>
      <c r="D686" s="8" t="s">
        <v>178</v>
      </c>
      <c r="E686" s="8" t="s">
        <v>92</v>
      </c>
      <c r="F686" s="8" t="s">
        <v>93</v>
      </c>
      <c r="G686" s="8" t="s">
        <v>7</v>
      </c>
      <c r="H686" s="8" t="s">
        <v>38</v>
      </c>
      <c r="I686" s="9">
        <v>5.7213000000000003E-3</v>
      </c>
      <c r="J686">
        <v>5.9091524954371002E-3</v>
      </c>
      <c r="K686">
        <v>6.1004880054550004E-3</v>
      </c>
      <c r="L686">
        <v>6.2834757205548998E-3</v>
      </c>
    </row>
    <row r="687" spans="1:12" x14ac:dyDescent="0.2">
      <c r="A687" s="8" t="s">
        <v>32</v>
      </c>
      <c r="B687" s="8" t="s">
        <v>105</v>
      </c>
      <c r="C687" s="8" t="s">
        <v>179</v>
      </c>
      <c r="D687" s="8" t="s">
        <v>180</v>
      </c>
      <c r="E687" s="8" t="s">
        <v>36</v>
      </c>
      <c r="F687" s="8" t="s">
        <v>37</v>
      </c>
      <c r="G687" s="8" t="s">
        <v>7</v>
      </c>
      <c r="H687" s="8" t="s">
        <v>38</v>
      </c>
      <c r="I687" s="9">
        <v>17.751221000000001</v>
      </c>
      <c r="J687">
        <v>19.896758765503002</v>
      </c>
      <c r="K687">
        <v>22.200936957161002</v>
      </c>
      <c r="L687">
        <v>22.096006517873999</v>
      </c>
    </row>
    <row r="688" spans="1:12" x14ac:dyDescent="0.2">
      <c r="A688" s="8" t="s">
        <v>32</v>
      </c>
      <c r="B688" s="8" t="s">
        <v>105</v>
      </c>
      <c r="C688" s="8" t="s">
        <v>179</v>
      </c>
      <c r="D688" s="8" t="s">
        <v>180</v>
      </c>
      <c r="E688" s="8" t="s">
        <v>39</v>
      </c>
      <c r="F688" s="8" t="s">
        <v>40</v>
      </c>
      <c r="G688" s="8" t="s">
        <v>7</v>
      </c>
      <c r="H688" s="8" t="s">
        <v>38</v>
      </c>
      <c r="I688" s="9">
        <v>9.5666825000000006</v>
      </c>
      <c r="J688">
        <v>10.553330237805</v>
      </c>
      <c r="K688">
        <v>11.775473330861001</v>
      </c>
      <c r="L688">
        <v>11.719817770386999</v>
      </c>
    </row>
    <row r="689" spans="1:12" x14ac:dyDescent="0.2">
      <c r="A689" s="8" t="s">
        <v>32</v>
      </c>
      <c r="B689" s="8" t="s">
        <v>105</v>
      </c>
      <c r="C689" s="8" t="s">
        <v>179</v>
      </c>
      <c r="D689" s="8" t="s">
        <v>180</v>
      </c>
      <c r="E689" s="8" t="s">
        <v>41</v>
      </c>
      <c r="F689" s="8" t="s">
        <v>42</v>
      </c>
      <c r="G689" s="8" t="s">
        <v>7</v>
      </c>
      <c r="H689" s="8" t="s">
        <v>38</v>
      </c>
      <c r="I689" s="9">
        <v>1.818584</v>
      </c>
      <c r="J689">
        <v>2.1691811645593999</v>
      </c>
      <c r="K689">
        <v>2.4203850411760999</v>
      </c>
      <c r="L689">
        <v>3.2234135224906999</v>
      </c>
    </row>
    <row r="690" spans="1:12" x14ac:dyDescent="0.2">
      <c r="A690" s="8" t="s">
        <v>32</v>
      </c>
      <c r="B690" s="8" t="s">
        <v>105</v>
      </c>
      <c r="C690" s="8" t="s">
        <v>179</v>
      </c>
      <c r="D690" s="8" t="s">
        <v>180</v>
      </c>
      <c r="E690" s="8" t="s">
        <v>43</v>
      </c>
      <c r="F690" s="8" t="s">
        <v>44</v>
      </c>
      <c r="G690" s="8" t="s">
        <v>7</v>
      </c>
      <c r="H690" s="8" t="s">
        <v>38</v>
      </c>
      <c r="I690" s="9">
        <v>30.678885999999999</v>
      </c>
      <c r="J690">
        <v>35.620988443008002</v>
      </c>
      <c r="K690">
        <v>39.746109332815003</v>
      </c>
      <c r="L690">
        <v>39.558253445459002</v>
      </c>
    </row>
    <row r="691" spans="1:12" x14ac:dyDescent="0.2">
      <c r="A691" s="8" t="s">
        <v>32</v>
      </c>
      <c r="B691" s="8" t="s">
        <v>105</v>
      </c>
      <c r="C691" s="8" t="s">
        <v>179</v>
      </c>
      <c r="D691" s="8" t="s">
        <v>180</v>
      </c>
      <c r="E691" s="8" t="s">
        <v>66</v>
      </c>
      <c r="F691" s="8" t="s">
        <v>67</v>
      </c>
      <c r="G691" s="8" t="s">
        <v>7</v>
      </c>
      <c r="H691" s="8" t="s">
        <v>38</v>
      </c>
      <c r="I691" s="9"/>
    </row>
    <row r="692" spans="1:12" x14ac:dyDescent="0.2">
      <c r="A692" s="8" t="s">
        <v>32</v>
      </c>
      <c r="B692" s="8" t="s">
        <v>105</v>
      </c>
      <c r="C692" s="8" t="s">
        <v>179</v>
      </c>
      <c r="D692" s="8" t="s">
        <v>180</v>
      </c>
      <c r="E692" s="8" t="s">
        <v>45</v>
      </c>
      <c r="F692" s="8" t="s">
        <v>46</v>
      </c>
      <c r="G692" s="8" t="s">
        <v>7</v>
      </c>
      <c r="H692" s="8" t="s">
        <v>38</v>
      </c>
      <c r="I692" s="9">
        <v>2.1119762</v>
      </c>
      <c r="J692">
        <v>2.9390116402283999</v>
      </c>
      <c r="K692">
        <v>3.2793667621006999</v>
      </c>
      <c r="L692">
        <v>3.1651433207950999</v>
      </c>
    </row>
    <row r="693" spans="1:12" x14ac:dyDescent="0.2">
      <c r="A693" s="8" t="s">
        <v>32</v>
      </c>
      <c r="B693" s="8" t="s">
        <v>105</v>
      </c>
      <c r="C693" s="8" t="s">
        <v>179</v>
      </c>
      <c r="D693" s="8" t="s">
        <v>180</v>
      </c>
      <c r="E693" s="8" t="s">
        <v>47</v>
      </c>
      <c r="F693" s="8" t="s">
        <v>48</v>
      </c>
      <c r="G693" s="8" t="s">
        <v>7</v>
      </c>
      <c r="H693" s="8" t="s">
        <v>38</v>
      </c>
      <c r="I693" s="9">
        <v>2.2150816999999998</v>
      </c>
      <c r="J693">
        <v>2.5093702018755999</v>
      </c>
      <c r="K693">
        <v>2.7999527326146998</v>
      </c>
      <c r="L693">
        <v>2.7867190447402002</v>
      </c>
    </row>
    <row r="694" spans="1:12" x14ac:dyDescent="0.2">
      <c r="A694" s="8" t="s">
        <v>32</v>
      </c>
      <c r="B694" s="8" t="s">
        <v>105</v>
      </c>
      <c r="C694" s="8" t="s">
        <v>179</v>
      </c>
      <c r="D694" s="8" t="s">
        <v>180</v>
      </c>
      <c r="E694" s="8" t="s">
        <v>49</v>
      </c>
      <c r="F694" s="8" t="s">
        <v>50</v>
      </c>
      <c r="G694" s="8" t="s">
        <v>7</v>
      </c>
      <c r="H694" s="8" t="s">
        <v>38</v>
      </c>
      <c r="I694" s="9">
        <v>9.9910736999999994</v>
      </c>
      <c r="J694">
        <v>11.162782055635001</v>
      </c>
      <c r="K694">
        <v>12.455503468957</v>
      </c>
      <c r="L694">
        <v>12.396633816155999</v>
      </c>
    </row>
    <row r="695" spans="1:12" x14ac:dyDescent="0.2">
      <c r="A695" s="8" t="s">
        <v>32</v>
      </c>
      <c r="B695" s="8" t="s">
        <v>105</v>
      </c>
      <c r="C695" s="8" t="s">
        <v>179</v>
      </c>
      <c r="D695" s="8" t="s">
        <v>180</v>
      </c>
      <c r="E695" s="8" t="s">
        <v>51</v>
      </c>
      <c r="F695" s="8" t="s">
        <v>52</v>
      </c>
      <c r="G695" s="8" t="s">
        <v>7</v>
      </c>
      <c r="H695" s="8" t="s">
        <v>38</v>
      </c>
      <c r="I695" s="9">
        <v>0.46191310000000002</v>
      </c>
      <c r="J695">
        <v>0.56552230094444</v>
      </c>
      <c r="K695">
        <v>0.63100224919768</v>
      </c>
      <c r="L695">
        <v>0.62801988213241</v>
      </c>
    </row>
    <row r="696" spans="1:12" x14ac:dyDescent="0.2">
      <c r="A696" s="8" t="s">
        <v>32</v>
      </c>
      <c r="B696" s="8" t="s">
        <v>105</v>
      </c>
      <c r="C696" s="8" t="s">
        <v>179</v>
      </c>
      <c r="D696" s="8" t="s">
        <v>180</v>
      </c>
      <c r="E696" s="8" t="s">
        <v>53</v>
      </c>
      <c r="F696" s="8" t="s">
        <v>54</v>
      </c>
      <c r="G696" s="8" t="s">
        <v>7</v>
      </c>
      <c r="H696" s="8" t="s">
        <v>38</v>
      </c>
      <c r="I696" s="9">
        <v>4.5680000000000001E-7</v>
      </c>
      <c r="J696">
        <v>1.5748224409382999E-7</v>
      </c>
      <c r="K696">
        <v>1.6386589605053E-7</v>
      </c>
      <c r="L696">
        <v>2.6374109513085E-8</v>
      </c>
    </row>
    <row r="697" spans="1:12" x14ac:dyDescent="0.2">
      <c r="A697" s="8" t="s">
        <v>32</v>
      </c>
      <c r="B697" s="8" t="s">
        <v>105</v>
      </c>
      <c r="C697" s="8" t="s">
        <v>179</v>
      </c>
      <c r="D697" s="8" t="s">
        <v>180</v>
      </c>
      <c r="E697" s="8" t="s">
        <v>55</v>
      </c>
      <c r="F697" s="8" t="s">
        <v>56</v>
      </c>
      <c r="G697" s="8" t="s">
        <v>7</v>
      </c>
      <c r="H697" s="8" t="s">
        <v>38</v>
      </c>
      <c r="I697" s="9">
        <v>1.0591000000000001E-3</v>
      </c>
      <c r="J697">
        <v>1.0637496402769E-3</v>
      </c>
      <c r="K697">
        <v>1.0683970297903E-3</v>
      </c>
      <c r="L697">
        <v>1.0730034880674E-3</v>
      </c>
    </row>
    <row r="698" spans="1:12" x14ac:dyDescent="0.2">
      <c r="A698" s="8" t="s">
        <v>32</v>
      </c>
      <c r="B698" s="8" t="s">
        <v>105</v>
      </c>
      <c r="C698" s="8" t="s">
        <v>179</v>
      </c>
      <c r="D698" s="8" t="s">
        <v>180</v>
      </c>
      <c r="E698" s="8" t="s">
        <v>59</v>
      </c>
      <c r="F698" s="8" t="s">
        <v>60</v>
      </c>
      <c r="G698" s="8" t="s">
        <v>7</v>
      </c>
      <c r="H698" s="8" t="s">
        <v>38</v>
      </c>
      <c r="I698" s="9">
        <v>0.19362080000000001</v>
      </c>
      <c r="J698">
        <v>0.20770768229014999</v>
      </c>
      <c r="K698">
        <v>0.22684598651061</v>
      </c>
      <c r="L698">
        <v>0.20399851573177</v>
      </c>
    </row>
    <row r="699" spans="1:12" x14ac:dyDescent="0.2">
      <c r="A699" s="8" t="s">
        <v>32</v>
      </c>
      <c r="B699" s="8" t="s">
        <v>99</v>
      </c>
      <c r="C699" s="8" t="s">
        <v>181</v>
      </c>
      <c r="D699" s="8" t="s">
        <v>182</v>
      </c>
      <c r="E699" s="8" t="s">
        <v>36</v>
      </c>
      <c r="F699" s="8" t="s">
        <v>37</v>
      </c>
      <c r="G699" s="8" t="s">
        <v>7</v>
      </c>
      <c r="H699" s="8" t="s">
        <v>38</v>
      </c>
      <c r="I699" s="9">
        <v>18288.874</v>
      </c>
      <c r="J699">
        <v>12824.49013858</v>
      </c>
      <c r="K699">
        <v>12865.830426209999</v>
      </c>
      <c r="L699">
        <v>18761.148362887001</v>
      </c>
    </row>
    <row r="700" spans="1:12" x14ac:dyDescent="0.2">
      <c r="A700" s="8" t="s">
        <v>32</v>
      </c>
      <c r="B700" s="8" t="s">
        <v>99</v>
      </c>
      <c r="C700" s="8" t="s">
        <v>181</v>
      </c>
      <c r="D700" s="8" t="s">
        <v>182</v>
      </c>
      <c r="E700" s="8" t="s">
        <v>64</v>
      </c>
      <c r="F700" s="8" t="s">
        <v>65</v>
      </c>
      <c r="G700" s="8" t="s">
        <v>7</v>
      </c>
      <c r="H700" s="8" t="s">
        <v>38</v>
      </c>
      <c r="I700" s="9">
        <v>3697.0711000000001</v>
      </c>
      <c r="J700">
        <v>5054.6655221700003</v>
      </c>
      <c r="K700">
        <v>3849.9304522500001</v>
      </c>
      <c r="L700">
        <v>3618.5618563434</v>
      </c>
    </row>
    <row r="701" spans="1:12" x14ac:dyDescent="0.2">
      <c r="A701" s="8" t="s">
        <v>32</v>
      </c>
      <c r="B701" s="8" t="s">
        <v>99</v>
      </c>
      <c r="C701" s="8" t="s">
        <v>181</v>
      </c>
      <c r="D701" s="8" t="s">
        <v>182</v>
      </c>
      <c r="E701" s="8" t="s">
        <v>39</v>
      </c>
      <c r="F701" s="8" t="s">
        <v>40</v>
      </c>
      <c r="G701" s="8" t="s">
        <v>7</v>
      </c>
      <c r="H701" s="8" t="s">
        <v>38</v>
      </c>
      <c r="I701" s="9">
        <v>13902.441000000001</v>
      </c>
      <c r="J701">
        <v>15737.17610828</v>
      </c>
      <c r="K701">
        <v>11918.8347524</v>
      </c>
      <c r="L701">
        <v>11935.463675360001</v>
      </c>
    </row>
    <row r="702" spans="1:12" x14ac:dyDescent="0.2">
      <c r="A702" s="8" t="s">
        <v>32</v>
      </c>
      <c r="B702" s="8" t="s">
        <v>99</v>
      </c>
      <c r="C702" s="8" t="s">
        <v>181</v>
      </c>
      <c r="D702" s="8" t="s">
        <v>182</v>
      </c>
      <c r="E702" s="8" t="s">
        <v>41</v>
      </c>
      <c r="F702" s="8" t="s">
        <v>42</v>
      </c>
      <c r="G702" s="8" t="s">
        <v>7</v>
      </c>
      <c r="H702" s="8" t="s">
        <v>38</v>
      </c>
      <c r="I702" s="9">
        <v>30.942961</v>
      </c>
      <c r="J702">
        <v>40.959422000000004</v>
      </c>
      <c r="K702">
        <v>40.959422000000004</v>
      </c>
      <c r="L702">
        <v>40.959422000000004</v>
      </c>
    </row>
    <row r="703" spans="1:12" x14ac:dyDescent="0.2">
      <c r="A703" s="8" t="s">
        <v>32</v>
      </c>
      <c r="B703" s="8" t="s">
        <v>99</v>
      </c>
      <c r="C703" s="8" t="s">
        <v>181</v>
      </c>
      <c r="D703" s="8" t="s">
        <v>182</v>
      </c>
      <c r="E703" s="8" t="s">
        <v>43</v>
      </c>
      <c r="F703" s="8" t="s">
        <v>44</v>
      </c>
      <c r="G703" s="8" t="s">
        <v>7</v>
      </c>
      <c r="H703" s="8" t="s">
        <v>38</v>
      </c>
      <c r="I703" s="9">
        <v>26445.31</v>
      </c>
      <c r="J703">
        <v>34261.101491549998</v>
      </c>
      <c r="K703">
        <v>35802.182721780002</v>
      </c>
      <c r="L703">
        <v>37085.652355512997</v>
      </c>
    </row>
    <row r="704" spans="1:12" x14ac:dyDescent="0.2">
      <c r="A704" s="8" t="s">
        <v>32</v>
      </c>
      <c r="B704" s="8" t="s">
        <v>99</v>
      </c>
      <c r="C704" s="8" t="s">
        <v>181</v>
      </c>
      <c r="D704" s="8" t="s">
        <v>182</v>
      </c>
      <c r="E704" s="8" t="s">
        <v>66</v>
      </c>
      <c r="F704" s="8" t="s">
        <v>67</v>
      </c>
      <c r="G704" s="8" t="s">
        <v>7</v>
      </c>
      <c r="H704" s="8" t="s">
        <v>38</v>
      </c>
      <c r="I704" s="9"/>
    </row>
    <row r="705" spans="1:12" x14ac:dyDescent="0.2">
      <c r="A705" s="8" t="s">
        <v>32</v>
      </c>
      <c r="B705" s="8" t="s">
        <v>99</v>
      </c>
      <c r="C705" s="8" t="s">
        <v>181</v>
      </c>
      <c r="D705" s="8" t="s">
        <v>182</v>
      </c>
      <c r="E705" s="8" t="s">
        <v>45</v>
      </c>
      <c r="F705" s="8" t="s">
        <v>46</v>
      </c>
      <c r="G705" s="8" t="s">
        <v>7</v>
      </c>
      <c r="H705" s="8" t="s">
        <v>38</v>
      </c>
      <c r="I705" s="9">
        <v>45.394154</v>
      </c>
      <c r="J705">
        <v>55.621605539999997</v>
      </c>
      <c r="K705">
        <v>60.013186859999998</v>
      </c>
      <c r="L705">
        <v>81.013478591180004</v>
      </c>
    </row>
    <row r="706" spans="1:12" x14ac:dyDescent="0.2">
      <c r="A706" s="8" t="s">
        <v>32</v>
      </c>
      <c r="B706" s="8" t="s">
        <v>99</v>
      </c>
      <c r="C706" s="8" t="s">
        <v>181</v>
      </c>
      <c r="D706" s="8" t="s">
        <v>182</v>
      </c>
      <c r="E706" s="8" t="s">
        <v>47</v>
      </c>
      <c r="F706" s="8" t="s">
        <v>48</v>
      </c>
      <c r="G706" s="8" t="s">
        <v>7</v>
      </c>
      <c r="H706" s="8" t="s">
        <v>38</v>
      </c>
      <c r="I706" s="9">
        <v>429.68124</v>
      </c>
      <c r="J706">
        <v>216.69041261999999</v>
      </c>
      <c r="K706">
        <v>191.441811</v>
      </c>
      <c r="L706">
        <v>184.84029960000001</v>
      </c>
    </row>
    <row r="707" spans="1:12" x14ac:dyDescent="0.2">
      <c r="A707" s="8" t="s">
        <v>32</v>
      </c>
      <c r="B707" s="8" t="s">
        <v>99</v>
      </c>
      <c r="C707" s="8" t="s">
        <v>181</v>
      </c>
      <c r="D707" s="8" t="s">
        <v>182</v>
      </c>
      <c r="E707" s="8" t="s">
        <v>49</v>
      </c>
      <c r="F707" s="8" t="s">
        <v>50</v>
      </c>
      <c r="G707" s="8" t="s">
        <v>7</v>
      </c>
      <c r="H707" s="8" t="s">
        <v>38</v>
      </c>
      <c r="I707" s="9">
        <v>5426.9938000000002</v>
      </c>
      <c r="J707">
        <v>5794.4189464600004</v>
      </c>
      <c r="K707">
        <v>6938.2265567900004</v>
      </c>
      <c r="L707">
        <v>6833.3833599817999</v>
      </c>
    </row>
    <row r="708" spans="1:12" x14ac:dyDescent="0.2">
      <c r="A708" s="8" t="s">
        <v>32</v>
      </c>
      <c r="B708" s="8" t="s">
        <v>99</v>
      </c>
      <c r="C708" s="8" t="s">
        <v>181</v>
      </c>
      <c r="D708" s="8" t="s">
        <v>182</v>
      </c>
      <c r="E708" s="8" t="s">
        <v>51</v>
      </c>
      <c r="F708" s="8" t="s">
        <v>52</v>
      </c>
      <c r="G708" s="8" t="s">
        <v>7</v>
      </c>
      <c r="H708" s="8" t="s">
        <v>38</v>
      </c>
      <c r="I708" s="9">
        <v>3029.1851000000001</v>
      </c>
      <c r="J708">
        <v>3509.8980455699998</v>
      </c>
      <c r="K708">
        <v>1626.5864496199999</v>
      </c>
      <c r="L708">
        <v>1132.0777957608</v>
      </c>
    </row>
    <row r="709" spans="1:12" x14ac:dyDescent="0.2">
      <c r="A709" s="8" t="s">
        <v>32</v>
      </c>
      <c r="B709" s="8" t="s">
        <v>99</v>
      </c>
      <c r="C709" s="8" t="s">
        <v>181</v>
      </c>
      <c r="D709" s="8" t="s">
        <v>182</v>
      </c>
      <c r="E709" s="8" t="s">
        <v>68</v>
      </c>
      <c r="F709" s="8" t="s">
        <v>69</v>
      </c>
      <c r="G709" s="8" t="s">
        <v>7</v>
      </c>
      <c r="H709" s="8" t="s">
        <v>38</v>
      </c>
      <c r="I709" s="9">
        <v>4676.3914000000004</v>
      </c>
      <c r="J709">
        <v>5602.4352729583998</v>
      </c>
      <c r="K709">
        <v>6005.2015606592004</v>
      </c>
      <c r="L709">
        <v>3964.5909380180001</v>
      </c>
    </row>
    <row r="710" spans="1:12" x14ac:dyDescent="0.2">
      <c r="A710" s="8" t="s">
        <v>32</v>
      </c>
      <c r="B710" s="8" t="s">
        <v>99</v>
      </c>
      <c r="C710" s="8" t="s">
        <v>181</v>
      </c>
      <c r="D710" s="8" t="s">
        <v>182</v>
      </c>
      <c r="E710" s="8" t="s">
        <v>53</v>
      </c>
      <c r="F710" s="8" t="s">
        <v>54</v>
      </c>
      <c r="G710" s="8" t="s">
        <v>7</v>
      </c>
      <c r="H710" s="8" t="s">
        <v>38</v>
      </c>
      <c r="I710" s="9">
        <v>2402.2363</v>
      </c>
      <c r="J710">
        <v>2211.4066879738002</v>
      </c>
      <c r="K710">
        <v>2055.2350702006001</v>
      </c>
      <c r="L710">
        <v>2177.5511958287002</v>
      </c>
    </row>
    <row r="711" spans="1:12" x14ac:dyDescent="0.2">
      <c r="A711" s="8" t="s">
        <v>32</v>
      </c>
      <c r="B711" s="8" t="s">
        <v>99</v>
      </c>
      <c r="C711" s="8" t="s">
        <v>181</v>
      </c>
      <c r="D711" s="8" t="s">
        <v>182</v>
      </c>
      <c r="E711" s="8" t="s">
        <v>70</v>
      </c>
      <c r="F711" s="8" t="s">
        <v>71</v>
      </c>
      <c r="G711" s="8" t="s">
        <v>7</v>
      </c>
      <c r="H711" s="8" t="s">
        <v>38</v>
      </c>
      <c r="I711" s="9">
        <v>4540.0312000000004</v>
      </c>
      <c r="J711">
        <v>5286.4216958070001</v>
      </c>
      <c r="K711">
        <v>5599.0780779030001</v>
      </c>
      <c r="L711">
        <v>5592.7615472143998</v>
      </c>
    </row>
    <row r="712" spans="1:12" x14ac:dyDescent="0.2">
      <c r="A712" s="8" t="s">
        <v>32</v>
      </c>
      <c r="B712" s="8" t="s">
        <v>99</v>
      </c>
      <c r="C712" s="8" t="s">
        <v>181</v>
      </c>
      <c r="D712" s="8" t="s">
        <v>182</v>
      </c>
      <c r="E712" s="8" t="s">
        <v>83</v>
      </c>
      <c r="F712" s="8" t="s">
        <v>84</v>
      </c>
      <c r="G712" s="8" t="s">
        <v>7</v>
      </c>
      <c r="H712" s="8" t="s">
        <v>38</v>
      </c>
      <c r="I712" s="9"/>
    </row>
    <row r="713" spans="1:12" x14ac:dyDescent="0.2">
      <c r="A713" s="8" t="s">
        <v>32</v>
      </c>
      <c r="B713" s="8" t="s">
        <v>99</v>
      </c>
      <c r="C713" s="8" t="s">
        <v>181</v>
      </c>
      <c r="D713" s="8" t="s">
        <v>182</v>
      </c>
      <c r="E713" s="8" t="s">
        <v>55</v>
      </c>
      <c r="F713" s="8" t="s">
        <v>56</v>
      </c>
      <c r="G713" s="8" t="s">
        <v>7</v>
      </c>
      <c r="H713" s="8" t="s">
        <v>38</v>
      </c>
      <c r="I713" s="9">
        <v>2.2488336000000002</v>
      </c>
      <c r="J713">
        <v>2.5187518973713998</v>
      </c>
      <c r="K713">
        <v>2.5187518973713998</v>
      </c>
      <c r="L713">
        <v>2.5187518973713998</v>
      </c>
    </row>
    <row r="714" spans="1:12" x14ac:dyDescent="0.2">
      <c r="A714" s="8" t="s">
        <v>32</v>
      </c>
      <c r="B714" s="8" t="s">
        <v>99</v>
      </c>
      <c r="C714" s="8" t="s">
        <v>181</v>
      </c>
      <c r="D714" s="8" t="s">
        <v>182</v>
      </c>
      <c r="E714" s="8" t="s">
        <v>57</v>
      </c>
      <c r="F714" s="8" t="s">
        <v>58</v>
      </c>
      <c r="G714" s="8" t="s">
        <v>7</v>
      </c>
      <c r="H714" s="8" t="s">
        <v>38</v>
      </c>
      <c r="I714" s="9"/>
    </row>
    <row r="715" spans="1:12" x14ac:dyDescent="0.2">
      <c r="A715" s="8" t="s">
        <v>32</v>
      </c>
      <c r="B715" s="8" t="s">
        <v>99</v>
      </c>
      <c r="C715" s="8" t="s">
        <v>181</v>
      </c>
      <c r="D715" s="8" t="s">
        <v>182</v>
      </c>
      <c r="E715" s="8" t="s">
        <v>72</v>
      </c>
      <c r="F715" s="8" t="s">
        <v>73</v>
      </c>
      <c r="G715" s="8" t="s">
        <v>7</v>
      </c>
      <c r="H715" s="8" t="s">
        <v>38</v>
      </c>
      <c r="I715" s="9">
        <v>146.77954</v>
      </c>
      <c r="J715">
        <v>156.37914830644999</v>
      </c>
      <c r="K715">
        <v>165.93585237994</v>
      </c>
      <c r="L715">
        <v>162.68047129649</v>
      </c>
    </row>
    <row r="716" spans="1:12" x14ac:dyDescent="0.2">
      <c r="A716" s="8" t="s">
        <v>32</v>
      </c>
      <c r="B716" s="8" t="s">
        <v>99</v>
      </c>
      <c r="C716" s="8" t="s">
        <v>181</v>
      </c>
      <c r="D716" s="8" t="s">
        <v>182</v>
      </c>
      <c r="E716" s="8" t="s">
        <v>74</v>
      </c>
      <c r="F716" s="8" t="s">
        <v>75</v>
      </c>
      <c r="G716" s="8" t="s">
        <v>7</v>
      </c>
      <c r="H716" s="8" t="s">
        <v>38</v>
      </c>
      <c r="I716" s="9">
        <v>92.413514000000006</v>
      </c>
      <c r="J716">
        <v>101.90208566</v>
      </c>
      <c r="K716">
        <v>102.08803596</v>
      </c>
      <c r="L716">
        <v>104.47917549902</v>
      </c>
    </row>
    <row r="717" spans="1:12" x14ac:dyDescent="0.2">
      <c r="A717" s="8" t="s">
        <v>32</v>
      </c>
      <c r="B717" s="8" t="s">
        <v>99</v>
      </c>
      <c r="C717" s="8" t="s">
        <v>181</v>
      </c>
      <c r="D717" s="8" t="s">
        <v>182</v>
      </c>
      <c r="E717" s="8" t="s">
        <v>59</v>
      </c>
      <c r="F717" s="8" t="s">
        <v>60</v>
      </c>
      <c r="G717" s="8" t="s">
        <v>7</v>
      </c>
      <c r="H717" s="8" t="s">
        <v>38</v>
      </c>
      <c r="I717" s="9">
        <v>470.46915000000001</v>
      </c>
      <c r="J717">
        <v>531.13073660785994</v>
      </c>
      <c r="K717">
        <v>588.41878168600999</v>
      </c>
      <c r="L717">
        <v>612.52343362152999</v>
      </c>
    </row>
    <row r="718" spans="1:12" x14ac:dyDescent="0.2">
      <c r="A718" s="8" t="s">
        <v>32</v>
      </c>
      <c r="B718" s="8" t="s">
        <v>99</v>
      </c>
      <c r="C718" s="8" t="s">
        <v>181</v>
      </c>
      <c r="D718" s="8" t="s">
        <v>182</v>
      </c>
      <c r="E718" s="8" t="s">
        <v>76</v>
      </c>
      <c r="F718" s="8" t="s">
        <v>77</v>
      </c>
      <c r="G718" s="8" t="s">
        <v>7</v>
      </c>
      <c r="H718" s="8" t="s">
        <v>38</v>
      </c>
      <c r="I718" s="9">
        <v>276.99047999999999</v>
      </c>
      <c r="J718">
        <v>338.80000007348002</v>
      </c>
      <c r="K718">
        <v>242.83809529593</v>
      </c>
      <c r="L718">
        <v>242.83809529593</v>
      </c>
    </row>
    <row r="719" spans="1:12" x14ac:dyDescent="0.2">
      <c r="A719" s="8" t="s">
        <v>32</v>
      </c>
      <c r="B719" s="8" t="s">
        <v>99</v>
      </c>
      <c r="C719" s="8" t="s">
        <v>181</v>
      </c>
      <c r="D719" s="8" t="s">
        <v>182</v>
      </c>
      <c r="E719" s="8" t="s">
        <v>78</v>
      </c>
      <c r="F719" s="8" t="s">
        <v>79</v>
      </c>
      <c r="G719" s="8" t="s">
        <v>7</v>
      </c>
      <c r="H719" s="8" t="s">
        <v>38</v>
      </c>
      <c r="I719" s="9">
        <v>380.91422</v>
      </c>
      <c r="J719">
        <v>423.81420865714</v>
      </c>
      <c r="K719">
        <v>270.59995079999999</v>
      </c>
      <c r="L719">
        <v>245.39424109714</v>
      </c>
    </row>
    <row r="720" spans="1:12" x14ac:dyDescent="0.2">
      <c r="A720" s="8" t="s">
        <v>32</v>
      </c>
      <c r="B720" s="8" t="s">
        <v>99</v>
      </c>
      <c r="C720" s="8" t="s">
        <v>181</v>
      </c>
      <c r="D720" s="8" t="s">
        <v>182</v>
      </c>
      <c r="E720" s="8" t="s">
        <v>92</v>
      </c>
      <c r="F720" s="8" t="s">
        <v>93</v>
      </c>
      <c r="G720" s="8" t="s">
        <v>7</v>
      </c>
      <c r="H720" s="8" t="s">
        <v>38</v>
      </c>
      <c r="I720" s="9">
        <v>18.258752999999999</v>
      </c>
      <c r="J720">
        <v>18.459238702747999</v>
      </c>
      <c r="K720">
        <v>18.654364299929</v>
      </c>
      <c r="L720">
        <v>18.861115533673001</v>
      </c>
    </row>
    <row r="721" spans="1:12" x14ac:dyDescent="0.2">
      <c r="A721" s="8" t="s">
        <v>32</v>
      </c>
      <c r="B721" s="8" t="s">
        <v>120</v>
      </c>
      <c r="C721" s="8" t="s">
        <v>183</v>
      </c>
      <c r="D721" s="8" t="s">
        <v>184</v>
      </c>
      <c r="E721" s="8" t="s">
        <v>36</v>
      </c>
      <c r="F721" s="8" t="s">
        <v>37</v>
      </c>
      <c r="G721" s="8" t="s">
        <v>7</v>
      </c>
      <c r="H721" s="8" t="s">
        <v>38</v>
      </c>
      <c r="I721" s="9">
        <v>56.076545000000003</v>
      </c>
      <c r="J721">
        <v>75.487066033324993</v>
      </c>
      <c r="K721">
        <v>80.363010824859003</v>
      </c>
      <c r="L721">
        <v>81.943891189134007</v>
      </c>
    </row>
    <row r="722" spans="1:12" x14ac:dyDescent="0.2">
      <c r="A722" s="8" t="s">
        <v>32</v>
      </c>
      <c r="B722" s="8" t="s">
        <v>120</v>
      </c>
      <c r="C722" s="8" t="s">
        <v>183</v>
      </c>
      <c r="D722" s="8" t="s">
        <v>184</v>
      </c>
      <c r="E722" s="8" t="s">
        <v>64</v>
      </c>
      <c r="F722" s="8" t="s">
        <v>65</v>
      </c>
      <c r="G722" s="8" t="s">
        <v>7</v>
      </c>
      <c r="H722" s="8" t="s">
        <v>38</v>
      </c>
      <c r="I722" s="9"/>
    </row>
    <row r="723" spans="1:12" x14ac:dyDescent="0.2">
      <c r="A723" s="8" t="s">
        <v>32</v>
      </c>
      <c r="B723" s="8" t="s">
        <v>120</v>
      </c>
      <c r="C723" s="8" t="s">
        <v>183</v>
      </c>
      <c r="D723" s="8" t="s">
        <v>184</v>
      </c>
      <c r="E723" s="8" t="s">
        <v>39</v>
      </c>
      <c r="F723" s="8" t="s">
        <v>40</v>
      </c>
      <c r="G723" s="8" t="s">
        <v>7</v>
      </c>
      <c r="H723" s="8" t="s">
        <v>38</v>
      </c>
      <c r="I723" s="9">
        <v>33.708038000000002</v>
      </c>
      <c r="J723">
        <v>48.644682908580997</v>
      </c>
      <c r="K723">
        <v>51.924353482137001</v>
      </c>
      <c r="L723">
        <v>52.945795934392002</v>
      </c>
    </row>
    <row r="724" spans="1:12" x14ac:dyDescent="0.2">
      <c r="A724" s="8" t="s">
        <v>32</v>
      </c>
      <c r="B724" s="8" t="s">
        <v>120</v>
      </c>
      <c r="C724" s="8" t="s">
        <v>183</v>
      </c>
      <c r="D724" s="8" t="s">
        <v>184</v>
      </c>
      <c r="E724" s="8" t="s">
        <v>41</v>
      </c>
      <c r="F724" s="8" t="s">
        <v>42</v>
      </c>
      <c r="G724" s="8" t="s">
        <v>7</v>
      </c>
      <c r="H724" s="8" t="s">
        <v>38</v>
      </c>
      <c r="I724" s="9">
        <v>1.1934867</v>
      </c>
      <c r="J724">
        <v>1.9212954986321</v>
      </c>
      <c r="K724">
        <v>1.9967584013333</v>
      </c>
      <c r="L724">
        <v>2.2504355256761999</v>
      </c>
    </row>
    <row r="725" spans="1:12" x14ac:dyDescent="0.2">
      <c r="A725" s="8" t="s">
        <v>32</v>
      </c>
      <c r="B725" s="8" t="s">
        <v>120</v>
      </c>
      <c r="C725" s="8" t="s">
        <v>183</v>
      </c>
      <c r="D725" s="8" t="s">
        <v>184</v>
      </c>
      <c r="E725" s="8" t="s">
        <v>43</v>
      </c>
      <c r="F725" s="8" t="s">
        <v>44</v>
      </c>
      <c r="G725" s="8" t="s">
        <v>7</v>
      </c>
      <c r="H725" s="8" t="s">
        <v>38</v>
      </c>
      <c r="I725" s="9">
        <v>139.21366</v>
      </c>
      <c r="J725">
        <v>218.16264449761999</v>
      </c>
      <c r="K725">
        <v>234.00868769363001</v>
      </c>
      <c r="L725">
        <v>238.61204607515</v>
      </c>
    </row>
    <row r="726" spans="1:12" x14ac:dyDescent="0.2">
      <c r="A726" s="8" t="s">
        <v>32</v>
      </c>
      <c r="B726" s="8" t="s">
        <v>120</v>
      </c>
      <c r="C726" s="8" t="s">
        <v>183</v>
      </c>
      <c r="D726" s="8" t="s">
        <v>184</v>
      </c>
      <c r="E726" s="8" t="s">
        <v>66</v>
      </c>
      <c r="F726" s="8" t="s">
        <v>67</v>
      </c>
      <c r="G726" s="8" t="s">
        <v>7</v>
      </c>
      <c r="H726" s="8" t="s">
        <v>38</v>
      </c>
      <c r="I726" s="9">
        <v>6.7730370000000004</v>
      </c>
      <c r="J726">
        <v>9.8328634420656993</v>
      </c>
      <c r="K726">
        <v>9.9657962620296008</v>
      </c>
      <c r="L726">
        <v>10.161840828595</v>
      </c>
    </row>
    <row r="727" spans="1:12" x14ac:dyDescent="0.2">
      <c r="A727" s="8" t="s">
        <v>32</v>
      </c>
      <c r="B727" s="8" t="s">
        <v>120</v>
      </c>
      <c r="C727" s="8" t="s">
        <v>183</v>
      </c>
      <c r="D727" s="8" t="s">
        <v>184</v>
      </c>
      <c r="E727" s="8" t="s">
        <v>45</v>
      </c>
      <c r="F727" s="8" t="s">
        <v>46</v>
      </c>
      <c r="G727" s="8" t="s">
        <v>7</v>
      </c>
      <c r="H727" s="8" t="s">
        <v>38</v>
      </c>
      <c r="I727" s="9">
        <v>1.4628787000000001</v>
      </c>
      <c r="J727">
        <v>2.1308357226324</v>
      </c>
      <c r="K727">
        <v>2.1992524358301</v>
      </c>
      <c r="L727">
        <v>2.0602988303687999</v>
      </c>
    </row>
    <row r="728" spans="1:12" x14ac:dyDescent="0.2">
      <c r="A728" s="8" t="s">
        <v>32</v>
      </c>
      <c r="B728" s="8" t="s">
        <v>120</v>
      </c>
      <c r="C728" s="8" t="s">
        <v>183</v>
      </c>
      <c r="D728" s="8" t="s">
        <v>184</v>
      </c>
      <c r="E728" s="8" t="s">
        <v>47</v>
      </c>
      <c r="F728" s="8" t="s">
        <v>48</v>
      </c>
      <c r="G728" s="8" t="s">
        <v>7</v>
      </c>
      <c r="H728" s="8" t="s">
        <v>38</v>
      </c>
      <c r="I728" s="9">
        <v>1.6734699</v>
      </c>
      <c r="J728">
        <v>2.6999120128159002</v>
      </c>
      <c r="K728">
        <v>2.9794163122574999</v>
      </c>
      <c r="L728">
        <v>3.0380266193713998</v>
      </c>
    </row>
    <row r="729" spans="1:12" x14ac:dyDescent="0.2">
      <c r="A729" s="8" t="s">
        <v>32</v>
      </c>
      <c r="B729" s="8" t="s">
        <v>120</v>
      </c>
      <c r="C729" s="8" t="s">
        <v>183</v>
      </c>
      <c r="D729" s="8" t="s">
        <v>184</v>
      </c>
      <c r="E729" s="8" t="s">
        <v>49</v>
      </c>
      <c r="F729" s="8" t="s">
        <v>50</v>
      </c>
      <c r="G729" s="8" t="s">
        <v>7</v>
      </c>
      <c r="H729" s="8" t="s">
        <v>38</v>
      </c>
      <c r="I729" s="9">
        <v>15.039477</v>
      </c>
      <c r="J729">
        <v>22.546266664676999</v>
      </c>
      <c r="K729">
        <v>25.596450448852</v>
      </c>
      <c r="L729">
        <v>26.099977201948999</v>
      </c>
    </row>
    <row r="730" spans="1:12" x14ac:dyDescent="0.2">
      <c r="A730" s="8" t="s">
        <v>32</v>
      </c>
      <c r="B730" s="8" t="s">
        <v>120</v>
      </c>
      <c r="C730" s="8" t="s">
        <v>183</v>
      </c>
      <c r="D730" s="8" t="s">
        <v>184</v>
      </c>
      <c r="E730" s="8" t="s">
        <v>51</v>
      </c>
      <c r="F730" s="8" t="s">
        <v>52</v>
      </c>
      <c r="G730" s="8" t="s">
        <v>7</v>
      </c>
      <c r="H730" s="8" t="s">
        <v>38</v>
      </c>
      <c r="I730" s="9">
        <v>11.588430000000001</v>
      </c>
      <c r="J730">
        <v>13.555175620252999</v>
      </c>
      <c r="K730">
        <v>18.496878646096999</v>
      </c>
      <c r="L730">
        <v>18.860744458887002</v>
      </c>
    </row>
    <row r="731" spans="1:12" x14ac:dyDescent="0.2">
      <c r="A731" s="8" t="s">
        <v>32</v>
      </c>
      <c r="B731" s="8" t="s">
        <v>120</v>
      </c>
      <c r="C731" s="8" t="s">
        <v>183</v>
      </c>
      <c r="D731" s="8" t="s">
        <v>184</v>
      </c>
      <c r="E731" s="8" t="s">
        <v>53</v>
      </c>
      <c r="F731" s="8" t="s">
        <v>54</v>
      </c>
      <c r="G731" s="8" t="s">
        <v>7</v>
      </c>
      <c r="H731" s="8" t="s">
        <v>38</v>
      </c>
      <c r="I731" s="9"/>
    </row>
    <row r="732" spans="1:12" x14ac:dyDescent="0.2">
      <c r="A732" s="8" t="s">
        <v>32</v>
      </c>
      <c r="B732" s="8" t="s">
        <v>120</v>
      </c>
      <c r="C732" s="8" t="s">
        <v>183</v>
      </c>
      <c r="D732" s="8" t="s">
        <v>184</v>
      </c>
      <c r="E732" s="8" t="s">
        <v>55</v>
      </c>
      <c r="F732" s="8" t="s">
        <v>56</v>
      </c>
      <c r="G732" s="8" t="s">
        <v>7</v>
      </c>
      <c r="H732" s="8" t="s">
        <v>38</v>
      </c>
      <c r="I732" s="9">
        <v>4.2296100000000003E-2</v>
      </c>
      <c r="J732">
        <v>4.3095335102580998E-2</v>
      </c>
      <c r="K732">
        <v>4.3909714425836001E-2</v>
      </c>
      <c r="L732">
        <v>4.4698942948125001E-2</v>
      </c>
    </row>
    <row r="733" spans="1:12" x14ac:dyDescent="0.2">
      <c r="A733" s="8" t="s">
        <v>32</v>
      </c>
      <c r="B733" s="8" t="s">
        <v>120</v>
      </c>
      <c r="C733" s="8" t="s">
        <v>183</v>
      </c>
      <c r="D733" s="8" t="s">
        <v>184</v>
      </c>
      <c r="E733" s="8" t="s">
        <v>57</v>
      </c>
      <c r="F733" s="8" t="s">
        <v>58</v>
      </c>
      <c r="G733" s="8" t="s">
        <v>7</v>
      </c>
      <c r="H733" s="8" t="s">
        <v>38</v>
      </c>
      <c r="I733" s="9">
        <v>2.9475E-3</v>
      </c>
      <c r="J733">
        <v>3.3759547799387E-3</v>
      </c>
      <c r="K733">
        <v>3.8666958924426001E-3</v>
      </c>
      <c r="L733">
        <v>4.5134600709311997E-3</v>
      </c>
    </row>
    <row r="734" spans="1:12" x14ac:dyDescent="0.2">
      <c r="A734" s="8" t="s">
        <v>32</v>
      </c>
      <c r="B734" s="8" t="s">
        <v>120</v>
      </c>
      <c r="C734" s="8" t="s">
        <v>183</v>
      </c>
      <c r="D734" s="8" t="s">
        <v>184</v>
      </c>
      <c r="E734" s="8" t="s">
        <v>59</v>
      </c>
      <c r="F734" s="8" t="s">
        <v>60</v>
      </c>
      <c r="G734" s="8" t="s">
        <v>7</v>
      </c>
      <c r="H734" s="8" t="s">
        <v>38</v>
      </c>
      <c r="I734" s="9">
        <v>1.939854</v>
      </c>
      <c r="J734">
        <v>2.1644819290738999</v>
      </c>
      <c r="K734">
        <v>2.2142870913431998</v>
      </c>
      <c r="L734">
        <v>2.2916556755844999</v>
      </c>
    </row>
    <row r="735" spans="1:12" x14ac:dyDescent="0.2">
      <c r="A735" s="8" t="s">
        <v>32</v>
      </c>
      <c r="B735" s="8" t="s">
        <v>125</v>
      </c>
      <c r="C735" s="8" t="s">
        <v>185</v>
      </c>
      <c r="D735" s="8" t="s">
        <v>186</v>
      </c>
      <c r="E735" s="8" t="s">
        <v>36</v>
      </c>
      <c r="F735" s="8" t="s">
        <v>37</v>
      </c>
      <c r="G735" s="8" t="s">
        <v>7</v>
      </c>
      <c r="H735" s="8" t="s">
        <v>38</v>
      </c>
      <c r="I735" s="9">
        <v>131.63524000000001</v>
      </c>
      <c r="J735">
        <v>123.42568879385</v>
      </c>
      <c r="K735">
        <v>127.4436131022</v>
      </c>
      <c r="L735">
        <v>121.86615772814</v>
      </c>
    </row>
    <row r="736" spans="1:12" x14ac:dyDescent="0.2">
      <c r="A736" s="8" t="s">
        <v>32</v>
      </c>
      <c r="B736" s="8" t="s">
        <v>125</v>
      </c>
      <c r="C736" s="8" t="s">
        <v>185</v>
      </c>
      <c r="D736" s="8" t="s">
        <v>186</v>
      </c>
      <c r="E736" s="8" t="s">
        <v>64</v>
      </c>
      <c r="F736" s="8" t="s">
        <v>65</v>
      </c>
      <c r="G736" s="8" t="s">
        <v>7</v>
      </c>
      <c r="H736" s="8" t="s">
        <v>38</v>
      </c>
      <c r="I736" s="9"/>
    </row>
    <row r="737" spans="1:12" x14ac:dyDescent="0.2">
      <c r="A737" s="8" t="s">
        <v>32</v>
      </c>
      <c r="B737" s="8" t="s">
        <v>125</v>
      </c>
      <c r="C737" s="8" t="s">
        <v>185</v>
      </c>
      <c r="D737" s="8" t="s">
        <v>186</v>
      </c>
      <c r="E737" s="8" t="s">
        <v>39</v>
      </c>
      <c r="F737" s="8" t="s">
        <v>40</v>
      </c>
      <c r="G737" s="8" t="s">
        <v>7</v>
      </c>
      <c r="H737" s="8" t="s">
        <v>38</v>
      </c>
      <c r="I737" s="9">
        <v>79.126946000000004</v>
      </c>
      <c r="J737">
        <v>79.536850610928994</v>
      </c>
      <c r="K737">
        <v>82.344192282454998</v>
      </c>
      <c r="L737">
        <v>78.740472593499007</v>
      </c>
    </row>
    <row r="738" spans="1:12" x14ac:dyDescent="0.2">
      <c r="A738" s="8" t="s">
        <v>32</v>
      </c>
      <c r="B738" s="8" t="s">
        <v>125</v>
      </c>
      <c r="C738" s="8" t="s">
        <v>185</v>
      </c>
      <c r="D738" s="8" t="s">
        <v>186</v>
      </c>
      <c r="E738" s="8" t="s">
        <v>41</v>
      </c>
      <c r="F738" s="8" t="s">
        <v>42</v>
      </c>
      <c r="G738" s="8" t="s">
        <v>7</v>
      </c>
      <c r="H738" s="8" t="s">
        <v>38</v>
      </c>
      <c r="I738" s="9">
        <v>2.8016155</v>
      </c>
      <c r="J738">
        <v>3.1414284957173</v>
      </c>
      <c r="K738">
        <v>3.1665576307572998</v>
      </c>
      <c r="L738">
        <v>3.5688512849620002</v>
      </c>
    </row>
    <row r="739" spans="1:12" x14ac:dyDescent="0.2">
      <c r="A739" s="8" t="s">
        <v>32</v>
      </c>
      <c r="B739" s="8" t="s">
        <v>125</v>
      </c>
      <c r="C739" s="8" t="s">
        <v>185</v>
      </c>
      <c r="D739" s="8" t="s">
        <v>186</v>
      </c>
      <c r="E739" s="8" t="s">
        <v>43</v>
      </c>
      <c r="F739" s="8" t="s">
        <v>44</v>
      </c>
      <c r="G739" s="8" t="s">
        <v>7</v>
      </c>
      <c r="H739" s="8" t="s">
        <v>38</v>
      </c>
      <c r="I739" s="9">
        <v>326.79304000000002</v>
      </c>
      <c r="J739">
        <v>356.70845458900999</v>
      </c>
      <c r="K739">
        <v>371.10248049286997</v>
      </c>
      <c r="L739">
        <v>354.86151341914001</v>
      </c>
    </row>
    <row r="740" spans="1:12" x14ac:dyDescent="0.2">
      <c r="A740" s="8" t="s">
        <v>32</v>
      </c>
      <c r="B740" s="8" t="s">
        <v>125</v>
      </c>
      <c r="C740" s="8" t="s">
        <v>185</v>
      </c>
      <c r="D740" s="8" t="s">
        <v>186</v>
      </c>
      <c r="E740" s="8" t="s">
        <v>66</v>
      </c>
      <c r="F740" s="8" t="s">
        <v>67</v>
      </c>
      <c r="G740" s="8" t="s">
        <v>7</v>
      </c>
      <c r="H740" s="8" t="s">
        <v>38</v>
      </c>
      <c r="I740" s="9">
        <v>15.899167</v>
      </c>
      <c r="J740">
        <v>16.077296508212999</v>
      </c>
      <c r="K740">
        <v>15.804249617295</v>
      </c>
      <c r="L740">
        <v>15.112590813724999</v>
      </c>
    </row>
    <row r="741" spans="1:12" x14ac:dyDescent="0.2">
      <c r="A741" s="8" t="s">
        <v>32</v>
      </c>
      <c r="B741" s="8" t="s">
        <v>125</v>
      </c>
      <c r="C741" s="8" t="s">
        <v>185</v>
      </c>
      <c r="D741" s="8" t="s">
        <v>186</v>
      </c>
      <c r="E741" s="8" t="s">
        <v>45</v>
      </c>
      <c r="F741" s="8" t="s">
        <v>46</v>
      </c>
      <c r="G741" s="8" t="s">
        <v>7</v>
      </c>
      <c r="H741" s="8" t="s">
        <v>38</v>
      </c>
      <c r="I741" s="9">
        <v>3.4339917</v>
      </c>
      <c r="J741">
        <v>3.4840387975384002</v>
      </c>
      <c r="K741">
        <v>3.4876826249933002</v>
      </c>
      <c r="L741">
        <v>3.2673231666825999</v>
      </c>
    </row>
    <row r="742" spans="1:12" x14ac:dyDescent="0.2">
      <c r="A742" s="8" t="s">
        <v>32</v>
      </c>
      <c r="B742" s="8" t="s">
        <v>125</v>
      </c>
      <c r="C742" s="8" t="s">
        <v>185</v>
      </c>
      <c r="D742" s="8" t="s">
        <v>186</v>
      </c>
      <c r="E742" s="8" t="s">
        <v>47</v>
      </c>
      <c r="F742" s="8" t="s">
        <v>48</v>
      </c>
      <c r="G742" s="8" t="s">
        <v>7</v>
      </c>
      <c r="H742" s="8" t="s">
        <v>38</v>
      </c>
      <c r="I742" s="9">
        <v>3.9283380000000001</v>
      </c>
      <c r="J742">
        <v>4.4145112186170001</v>
      </c>
      <c r="K742">
        <v>4.7249048520250003</v>
      </c>
      <c r="L742">
        <v>4.5181236307667998</v>
      </c>
    </row>
    <row r="743" spans="1:12" x14ac:dyDescent="0.2">
      <c r="A743" s="8" t="s">
        <v>32</v>
      </c>
      <c r="B743" s="8" t="s">
        <v>125</v>
      </c>
      <c r="C743" s="8" t="s">
        <v>185</v>
      </c>
      <c r="D743" s="8" t="s">
        <v>186</v>
      </c>
      <c r="E743" s="8" t="s">
        <v>49</v>
      </c>
      <c r="F743" s="8" t="s">
        <v>50</v>
      </c>
      <c r="G743" s="8" t="s">
        <v>7</v>
      </c>
      <c r="H743" s="8" t="s">
        <v>38</v>
      </c>
      <c r="I743" s="9">
        <v>35.303980000000003</v>
      </c>
      <c r="J743">
        <v>36.864441010184997</v>
      </c>
      <c r="K743">
        <v>40.592109408425003</v>
      </c>
      <c r="L743">
        <v>38.815632162895</v>
      </c>
    </row>
    <row r="744" spans="1:12" x14ac:dyDescent="0.2">
      <c r="A744" s="8" t="s">
        <v>32</v>
      </c>
      <c r="B744" s="8" t="s">
        <v>125</v>
      </c>
      <c r="C744" s="8" t="s">
        <v>185</v>
      </c>
      <c r="D744" s="8" t="s">
        <v>186</v>
      </c>
      <c r="E744" s="8" t="s">
        <v>51</v>
      </c>
      <c r="F744" s="8" t="s">
        <v>52</v>
      </c>
      <c r="G744" s="8" t="s">
        <v>7</v>
      </c>
      <c r="H744" s="8" t="s">
        <v>38</v>
      </c>
      <c r="I744" s="9">
        <v>27.202921</v>
      </c>
      <c r="J744">
        <v>22.163490721877</v>
      </c>
      <c r="K744">
        <v>29.333259438336999</v>
      </c>
      <c r="L744">
        <v>28.049515659339999</v>
      </c>
    </row>
    <row r="745" spans="1:12" x14ac:dyDescent="0.2">
      <c r="A745" s="8" t="s">
        <v>32</v>
      </c>
      <c r="B745" s="8" t="s">
        <v>125</v>
      </c>
      <c r="C745" s="8" t="s">
        <v>185</v>
      </c>
      <c r="D745" s="8" t="s">
        <v>186</v>
      </c>
      <c r="E745" s="8" t="s">
        <v>53</v>
      </c>
      <c r="F745" s="8" t="s">
        <v>54</v>
      </c>
      <c r="G745" s="8" t="s">
        <v>7</v>
      </c>
      <c r="H745" s="8" t="s">
        <v>38</v>
      </c>
      <c r="I745" s="9"/>
    </row>
    <row r="746" spans="1:12" x14ac:dyDescent="0.2">
      <c r="A746" s="8" t="s">
        <v>32</v>
      </c>
      <c r="B746" s="8" t="s">
        <v>125</v>
      </c>
      <c r="C746" s="8" t="s">
        <v>185</v>
      </c>
      <c r="D746" s="8" t="s">
        <v>186</v>
      </c>
      <c r="E746" s="8" t="s">
        <v>55</v>
      </c>
      <c r="F746" s="8" t="s">
        <v>56</v>
      </c>
      <c r="G746" s="8" t="s">
        <v>7</v>
      </c>
      <c r="H746" s="8" t="s">
        <v>38</v>
      </c>
      <c r="I746" s="9">
        <v>2.6901600000000001E-2</v>
      </c>
      <c r="J746">
        <v>2.7165706328980001E-2</v>
      </c>
      <c r="K746">
        <v>2.7432409152357E-2</v>
      </c>
      <c r="L746">
        <v>2.7692437697193002E-2</v>
      </c>
    </row>
    <row r="747" spans="1:12" x14ac:dyDescent="0.2">
      <c r="A747" s="8" t="s">
        <v>32</v>
      </c>
      <c r="B747" s="8" t="s">
        <v>125</v>
      </c>
      <c r="C747" s="8" t="s">
        <v>185</v>
      </c>
      <c r="D747" s="8" t="s">
        <v>186</v>
      </c>
      <c r="E747" s="8" t="s">
        <v>57</v>
      </c>
      <c r="F747" s="8" t="s">
        <v>58</v>
      </c>
      <c r="G747" s="8" t="s">
        <v>7</v>
      </c>
      <c r="H747" s="8" t="s">
        <v>38</v>
      </c>
      <c r="I747" s="9">
        <v>4.7951000000000001E-3</v>
      </c>
      <c r="J747">
        <v>4.4619655419505999E-3</v>
      </c>
      <c r="K747">
        <v>4.1519960262473999E-3</v>
      </c>
      <c r="L747">
        <v>4.7814522314968003E-3</v>
      </c>
    </row>
    <row r="748" spans="1:12" x14ac:dyDescent="0.2">
      <c r="A748" s="8" t="s">
        <v>32</v>
      </c>
      <c r="B748" s="8" t="s">
        <v>125</v>
      </c>
      <c r="C748" s="8" t="s">
        <v>185</v>
      </c>
      <c r="D748" s="8" t="s">
        <v>186</v>
      </c>
      <c r="E748" s="8" t="s">
        <v>59</v>
      </c>
      <c r="F748" s="8" t="s">
        <v>60</v>
      </c>
      <c r="G748" s="8" t="s">
        <v>7</v>
      </c>
      <c r="H748" s="8" t="s">
        <v>38</v>
      </c>
      <c r="I748" s="9">
        <v>2.1292749</v>
      </c>
      <c r="J748">
        <v>2.0851337115358</v>
      </c>
      <c r="K748">
        <v>2.0913469218023999</v>
      </c>
      <c r="L748">
        <v>1.9834662197412001</v>
      </c>
    </row>
    <row r="749" spans="1:12" x14ac:dyDescent="0.2">
      <c r="A749" s="8" t="s">
        <v>32</v>
      </c>
      <c r="B749" s="8" t="s">
        <v>33</v>
      </c>
      <c r="C749" s="8" t="s">
        <v>187</v>
      </c>
      <c r="D749" s="8" t="s">
        <v>188</v>
      </c>
      <c r="E749" s="8" t="s">
        <v>36</v>
      </c>
      <c r="F749" s="8" t="s">
        <v>37</v>
      </c>
      <c r="G749" s="8" t="s">
        <v>7</v>
      </c>
      <c r="H749" s="8" t="s">
        <v>38</v>
      </c>
      <c r="I749" s="9">
        <v>20.841540999999999</v>
      </c>
      <c r="J749">
        <v>5.0209541099999999</v>
      </c>
      <c r="K749">
        <v>3.7182418199999998</v>
      </c>
      <c r="L749">
        <v>3.9417460870229002</v>
      </c>
    </row>
    <row r="750" spans="1:12" x14ac:dyDescent="0.2">
      <c r="A750" s="8" t="s">
        <v>32</v>
      </c>
      <c r="B750" s="8" t="s">
        <v>33</v>
      </c>
      <c r="C750" s="8" t="s">
        <v>187</v>
      </c>
      <c r="D750" s="8" t="s">
        <v>188</v>
      </c>
      <c r="E750" s="8" t="s">
        <v>64</v>
      </c>
      <c r="F750" s="8" t="s">
        <v>65</v>
      </c>
      <c r="G750" s="8" t="s">
        <v>7</v>
      </c>
      <c r="H750" s="8" t="s">
        <v>38</v>
      </c>
      <c r="I750" s="9"/>
      <c r="J750">
        <v>0.21809853000000001</v>
      </c>
    </row>
    <row r="751" spans="1:12" x14ac:dyDescent="0.2">
      <c r="A751" s="8" t="s">
        <v>32</v>
      </c>
      <c r="B751" s="8" t="s">
        <v>33</v>
      </c>
      <c r="C751" s="8" t="s">
        <v>187</v>
      </c>
      <c r="D751" s="8" t="s">
        <v>188</v>
      </c>
      <c r="E751" s="8" t="s">
        <v>39</v>
      </c>
      <c r="F751" s="8" t="s">
        <v>40</v>
      </c>
      <c r="G751" s="8" t="s">
        <v>7</v>
      </c>
      <c r="H751" s="8" t="s">
        <v>38</v>
      </c>
      <c r="I751" s="9">
        <v>1103.4295999999999</v>
      </c>
      <c r="J751">
        <v>1211.2310906</v>
      </c>
      <c r="K751">
        <v>1242.13892358</v>
      </c>
      <c r="L751">
        <v>963.10281790833005</v>
      </c>
    </row>
    <row r="752" spans="1:12" x14ac:dyDescent="0.2">
      <c r="A752" s="8" t="s">
        <v>32</v>
      </c>
      <c r="B752" s="8" t="s">
        <v>33</v>
      </c>
      <c r="C752" s="8" t="s">
        <v>187</v>
      </c>
      <c r="D752" s="8" t="s">
        <v>188</v>
      </c>
      <c r="E752" s="8" t="s">
        <v>41</v>
      </c>
      <c r="F752" s="8" t="s">
        <v>42</v>
      </c>
      <c r="G752" s="8" t="s">
        <v>7</v>
      </c>
      <c r="H752" s="8" t="s">
        <v>38</v>
      </c>
      <c r="I752" s="9">
        <v>20.314222999999998</v>
      </c>
      <c r="J752">
        <v>17.518103700000001</v>
      </c>
      <c r="K752">
        <v>24.10058025</v>
      </c>
      <c r="L752">
        <v>35.162917361920002</v>
      </c>
    </row>
    <row r="753" spans="1:12" x14ac:dyDescent="0.2">
      <c r="A753" s="8" t="s">
        <v>32</v>
      </c>
      <c r="B753" s="8" t="s">
        <v>33</v>
      </c>
      <c r="C753" s="8" t="s">
        <v>187</v>
      </c>
      <c r="D753" s="8" t="s">
        <v>188</v>
      </c>
      <c r="E753" s="8" t="s">
        <v>43</v>
      </c>
      <c r="F753" s="8" t="s">
        <v>44</v>
      </c>
      <c r="G753" s="8" t="s">
        <v>7</v>
      </c>
      <c r="H753" s="8" t="s">
        <v>38</v>
      </c>
      <c r="I753" s="9">
        <v>4961.5843999999997</v>
      </c>
      <c r="J753">
        <v>5662.7900907000003</v>
      </c>
      <c r="K753">
        <v>5673.2049736099998</v>
      </c>
      <c r="L753">
        <v>5965.9767160544998</v>
      </c>
    </row>
    <row r="754" spans="1:12" x14ac:dyDescent="0.2">
      <c r="A754" s="8" t="s">
        <v>32</v>
      </c>
      <c r="B754" s="8" t="s">
        <v>33</v>
      </c>
      <c r="C754" s="8" t="s">
        <v>187</v>
      </c>
      <c r="D754" s="8" t="s">
        <v>188</v>
      </c>
      <c r="E754" s="8" t="s">
        <v>66</v>
      </c>
      <c r="F754" s="8" t="s">
        <v>67</v>
      </c>
      <c r="G754" s="8" t="s">
        <v>7</v>
      </c>
      <c r="H754" s="8" t="s">
        <v>38</v>
      </c>
      <c r="I754" s="9">
        <v>2.4354002000000001</v>
      </c>
      <c r="J754">
        <v>2.58617892</v>
      </c>
      <c r="K754">
        <v>2.5700473499999998</v>
      </c>
      <c r="L754">
        <v>3.2697096363853002</v>
      </c>
    </row>
    <row r="755" spans="1:12" x14ac:dyDescent="0.2">
      <c r="A755" s="8" t="s">
        <v>32</v>
      </c>
      <c r="B755" s="8" t="s">
        <v>33</v>
      </c>
      <c r="C755" s="8" t="s">
        <v>187</v>
      </c>
      <c r="D755" s="8" t="s">
        <v>188</v>
      </c>
      <c r="E755" s="8" t="s">
        <v>45</v>
      </c>
      <c r="F755" s="8" t="s">
        <v>46</v>
      </c>
      <c r="G755" s="8" t="s">
        <v>7</v>
      </c>
      <c r="H755" s="8" t="s">
        <v>38</v>
      </c>
      <c r="I755" s="9">
        <v>5.8620213999999997</v>
      </c>
      <c r="J755">
        <v>6.8824079999999999</v>
      </c>
      <c r="K755">
        <v>6.8439352800000002</v>
      </c>
      <c r="L755">
        <v>8.0181954372326008</v>
      </c>
    </row>
    <row r="756" spans="1:12" x14ac:dyDescent="0.2">
      <c r="A756" s="8" t="s">
        <v>32</v>
      </c>
      <c r="B756" s="8" t="s">
        <v>33</v>
      </c>
      <c r="C756" s="8" t="s">
        <v>187</v>
      </c>
      <c r="D756" s="8" t="s">
        <v>188</v>
      </c>
      <c r="E756" s="8" t="s">
        <v>47</v>
      </c>
      <c r="F756" s="8" t="s">
        <v>48</v>
      </c>
      <c r="G756" s="8" t="s">
        <v>7</v>
      </c>
      <c r="H756" s="8" t="s">
        <v>38</v>
      </c>
      <c r="I756" s="9">
        <v>0.15077869999999999</v>
      </c>
      <c r="J756">
        <v>0.15729207000000001</v>
      </c>
      <c r="K756">
        <v>0.15729207000000001</v>
      </c>
      <c r="L756">
        <v>0.16674692810653</v>
      </c>
    </row>
    <row r="757" spans="1:12" x14ac:dyDescent="0.2">
      <c r="A757" s="8" t="s">
        <v>32</v>
      </c>
      <c r="B757" s="8" t="s">
        <v>33</v>
      </c>
      <c r="C757" s="8" t="s">
        <v>187</v>
      </c>
      <c r="D757" s="8" t="s">
        <v>188</v>
      </c>
      <c r="E757" s="8" t="s">
        <v>49</v>
      </c>
      <c r="F757" s="8" t="s">
        <v>50</v>
      </c>
      <c r="G757" s="8" t="s">
        <v>7</v>
      </c>
      <c r="H757" s="8" t="s">
        <v>38</v>
      </c>
      <c r="I757" s="9">
        <v>483.09818000000001</v>
      </c>
      <c r="J757">
        <v>545.46229309</v>
      </c>
      <c r="K757">
        <v>623.96244573000001</v>
      </c>
      <c r="L757">
        <v>499.49222853872999</v>
      </c>
    </row>
    <row r="758" spans="1:12" x14ac:dyDescent="0.2">
      <c r="A758" s="8" t="s">
        <v>32</v>
      </c>
      <c r="B758" s="8" t="s">
        <v>33</v>
      </c>
      <c r="C758" s="8" t="s">
        <v>187</v>
      </c>
      <c r="D758" s="8" t="s">
        <v>188</v>
      </c>
      <c r="E758" s="8" t="s">
        <v>51</v>
      </c>
      <c r="F758" s="8" t="s">
        <v>52</v>
      </c>
      <c r="G758" s="8" t="s">
        <v>7</v>
      </c>
      <c r="H758" s="8" t="s">
        <v>38</v>
      </c>
      <c r="I758" s="9"/>
    </row>
    <row r="759" spans="1:12" x14ac:dyDescent="0.2">
      <c r="A759" s="8" t="s">
        <v>32</v>
      </c>
      <c r="B759" s="8" t="s">
        <v>33</v>
      </c>
      <c r="C759" s="8" t="s">
        <v>187</v>
      </c>
      <c r="D759" s="8" t="s">
        <v>188</v>
      </c>
      <c r="E759" s="8" t="s">
        <v>53</v>
      </c>
      <c r="F759" s="8" t="s">
        <v>54</v>
      </c>
      <c r="G759" s="8" t="s">
        <v>7</v>
      </c>
      <c r="H759" s="8" t="s">
        <v>38</v>
      </c>
      <c r="I759" s="9"/>
    </row>
    <row r="760" spans="1:12" x14ac:dyDescent="0.2">
      <c r="A760" s="8" t="s">
        <v>32</v>
      </c>
      <c r="B760" s="8" t="s">
        <v>33</v>
      </c>
      <c r="C760" s="8" t="s">
        <v>187</v>
      </c>
      <c r="D760" s="8" t="s">
        <v>188</v>
      </c>
      <c r="E760" s="8" t="s">
        <v>70</v>
      </c>
      <c r="F760" s="8" t="s">
        <v>71</v>
      </c>
      <c r="G760" s="8" t="s">
        <v>7</v>
      </c>
      <c r="H760" s="8" t="s">
        <v>38</v>
      </c>
      <c r="I760" s="9">
        <v>373.32956000000001</v>
      </c>
      <c r="J760">
        <v>410.6625105</v>
      </c>
      <c r="K760">
        <v>447.99546600000002</v>
      </c>
      <c r="L760">
        <v>447.49006545549003</v>
      </c>
    </row>
    <row r="761" spans="1:12" x14ac:dyDescent="0.2">
      <c r="A761" s="8" t="s">
        <v>32</v>
      </c>
      <c r="B761" s="8" t="s">
        <v>33</v>
      </c>
      <c r="C761" s="8" t="s">
        <v>187</v>
      </c>
      <c r="D761" s="8" t="s">
        <v>188</v>
      </c>
      <c r="E761" s="8" t="s">
        <v>83</v>
      </c>
      <c r="F761" s="8" t="s">
        <v>84</v>
      </c>
      <c r="G761" s="8" t="s">
        <v>7</v>
      </c>
      <c r="H761" s="8" t="s">
        <v>38</v>
      </c>
      <c r="I761" s="9">
        <v>7.5</v>
      </c>
      <c r="J761">
        <v>7.5</v>
      </c>
      <c r="K761">
        <v>7.5</v>
      </c>
      <c r="L761">
        <v>7.5</v>
      </c>
    </row>
    <row r="762" spans="1:12" x14ac:dyDescent="0.2">
      <c r="A762" s="8" t="s">
        <v>32</v>
      </c>
      <c r="B762" s="8" t="s">
        <v>33</v>
      </c>
      <c r="C762" s="8" t="s">
        <v>187</v>
      </c>
      <c r="D762" s="8" t="s">
        <v>188</v>
      </c>
      <c r="E762" s="8" t="s">
        <v>55</v>
      </c>
      <c r="F762" s="8" t="s">
        <v>56</v>
      </c>
      <c r="G762" s="8" t="s">
        <v>7</v>
      </c>
      <c r="H762" s="8" t="s">
        <v>38</v>
      </c>
      <c r="I762" s="9">
        <v>0.19674240000000001</v>
      </c>
      <c r="J762">
        <v>0.22035664011431999</v>
      </c>
      <c r="K762">
        <v>0.22035664011431999</v>
      </c>
      <c r="L762">
        <v>0.22035664011431999</v>
      </c>
    </row>
    <row r="763" spans="1:12" x14ac:dyDescent="0.2">
      <c r="A763" s="8" t="s">
        <v>32</v>
      </c>
      <c r="B763" s="8" t="s">
        <v>33</v>
      </c>
      <c r="C763" s="8" t="s">
        <v>187</v>
      </c>
      <c r="D763" s="8" t="s">
        <v>188</v>
      </c>
      <c r="E763" s="8" t="s">
        <v>57</v>
      </c>
      <c r="F763" s="8" t="s">
        <v>58</v>
      </c>
      <c r="G763" s="8" t="s">
        <v>7</v>
      </c>
      <c r="H763" s="8" t="s">
        <v>38</v>
      </c>
      <c r="I763" s="9"/>
    </row>
    <row r="764" spans="1:12" x14ac:dyDescent="0.2">
      <c r="A764" s="8" t="s">
        <v>32</v>
      </c>
      <c r="B764" s="8" t="s">
        <v>33</v>
      </c>
      <c r="C764" s="8" t="s">
        <v>187</v>
      </c>
      <c r="D764" s="8" t="s">
        <v>188</v>
      </c>
      <c r="E764" s="8" t="s">
        <v>74</v>
      </c>
      <c r="F764" s="8" t="s">
        <v>75</v>
      </c>
      <c r="G764" s="8" t="s">
        <v>7</v>
      </c>
      <c r="H764" s="8" t="s">
        <v>38</v>
      </c>
      <c r="I764" s="9">
        <v>4.16</v>
      </c>
      <c r="J764">
        <v>5.2</v>
      </c>
      <c r="K764">
        <v>4.68</v>
      </c>
      <c r="L764">
        <v>4.5343999999999998</v>
      </c>
    </row>
    <row r="765" spans="1:12" x14ac:dyDescent="0.2">
      <c r="A765" s="8" t="s">
        <v>32</v>
      </c>
      <c r="B765" s="8" t="s">
        <v>33</v>
      </c>
      <c r="C765" s="8" t="s">
        <v>187</v>
      </c>
      <c r="D765" s="8" t="s">
        <v>188</v>
      </c>
      <c r="E765" s="8" t="s">
        <v>59</v>
      </c>
      <c r="F765" s="8" t="s">
        <v>60</v>
      </c>
      <c r="G765" s="8" t="s">
        <v>7</v>
      </c>
      <c r="H765" s="8" t="s">
        <v>38</v>
      </c>
      <c r="I765" s="9">
        <v>35.590885999999998</v>
      </c>
      <c r="J765">
        <v>33.670481942239</v>
      </c>
      <c r="K765">
        <v>33.869784617453</v>
      </c>
      <c r="L765">
        <v>28.813086199587001</v>
      </c>
    </row>
    <row r="766" spans="1:12" x14ac:dyDescent="0.2">
      <c r="A766" s="8" t="s">
        <v>32</v>
      </c>
      <c r="B766" s="8" t="s">
        <v>33</v>
      </c>
      <c r="C766" s="8" t="s">
        <v>187</v>
      </c>
      <c r="D766" s="8" t="s">
        <v>188</v>
      </c>
      <c r="E766" s="8" t="s">
        <v>76</v>
      </c>
      <c r="F766" s="8" t="s">
        <v>77</v>
      </c>
      <c r="G766" s="8" t="s">
        <v>7</v>
      </c>
      <c r="H766" s="8" t="s">
        <v>38</v>
      </c>
      <c r="I766" s="9">
        <v>92.190476000000004</v>
      </c>
      <c r="J766">
        <v>89.466666671976</v>
      </c>
      <c r="K766">
        <v>52.590476193112004</v>
      </c>
      <c r="L766">
        <v>52.590476193112004</v>
      </c>
    </row>
    <row r="767" spans="1:12" x14ac:dyDescent="0.2">
      <c r="A767" s="8" t="s">
        <v>32</v>
      </c>
      <c r="B767" s="8" t="s">
        <v>33</v>
      </c>
      <c r="C767" s="8" t="s">
        <v>187</v>
      </c>
      <c r="D767" s="8" t="s">
        <v>188</v>
      </c>
      <c r="E767" s="8" t="s">
        <v>78</v>
      </c>
      <c r="F767" s="8" t="s">
        <v>79</v>
      </c>
      <c r="G767" s="8" t="s">
        <v>7</v>
      </c>
      <c r="H767" s="8" t="s">
        <v>38</v>
      </c>
      <c r="I767" s="9">
        <v>64.742845000000003</v>
      </c>
      <c r="J767">
        <v>54.528561514285997</v>
      </c>
      <c r="K767">
        <v>74.171415085714003</v>
      </c>
      <c r="L767">
        <v>77.534271617143006</v>
      </c>
    </row>
    <row r="768" spans="1:12" x14ac:dyDescent="0.2">
      <c r="A768" s="8" t="s">
        <v>32</v>
      </c>
      <c r="B768" s="8" t="s">
        <v>33</v>
      </c>
      <c r="C768" s="8" t="s">
        <v>189</v>
      </c>
      <c r="D768" s="8" t="s">
        <v>190</v>
      </c>
      <c r="E768" s="8" t="s">
        <v>36</v>
      </c>
      <c r="F768" s="8" t="s">
        <v>37</v>
      </c>
      <c r="G768" s="8" t="s">
        <v>7</v>
      </c>
      <c r="H768" s="8" t="s">
        <v>38</v>
      </c>
      <c r="I768" s="9">
        <v>7786.3759</v>
      </c>
      <c r="J768">
        <v>10350.653915450001</v>
      </c>
      <c r="K768">
        <v>10266.46597137</v>
      </c>
      <c r="L768">
        <v>10386.004851014</v>
      </c>
    </row>
    <row r="769" spans="1:12" x14ac:dyDescent="0.2">
      <c r="A769" s="8" t="s">
        <v>32</v>
      </c>
      <c r="B769" s="8" t="s">
        <v>33</v>
      </c>
      <c r="C769" s="8" t="s">
        <v>189</v>
      </c>
      <c r="D769" s="8" t="s">
        <v>190</v>
      </c>
      <c r="E769" s="8" t="s">
        <v>64</v>
      </c>
      <c r="F769" s="8" t="s">
        <v>65</v>
      </c>
      <c r="G769" s="8" t="s">
        <v>7</v>
      </c>
      <c r="H769" s="8" t="s">
        <v>38</v>
      </c>
      <c r="I769" s="9">
        <v>588.59677999999997</v>
      </c>
      <c r="J769">
        <v>492.92093287</v>
      </c>
      <c r="K769">
        <v>469.8905158</v>
      </c>
      <c r="L769">
        <v>514.92215966143999</v>
      </c>
    </row>
    <row r="770" spans="1:12" x14ac:dyDescent="0.2">
      <c r="A770" s="8" t="s">
        <v>32</v>
      </c>
      <c r="B770" s="8" t="s">
        <v>33</v>
      </c>
      <c r="C770" s="8" t="s">
        <v>189</v>
      </c>
      <c r="D770" s="8" t="s">
        <v>190</v>
      </c>
      <c r="E770" s="8" t="s">
        <v>39</v>
      </c>
      <c r="F770" s="8" t="s">
        <v>40</v>
      </c>
      <c r="G770" s="8" t="s">
        <v>7</v>
      </c>
      <c r="H770" s="8" t="s">
        <v>38</v>
      </c>
      <c r="I770" s="9">
        <v>5402.0020999999997</v>
      </c>
      <c r="J770">
        <v>6585.1407878800001</v>
      </c>
      <c r="K770">
        <v>5290.0120520600003</v>
      </c>
      <c r="L770">
        <v>5352.8123023766002</v>
      </c>
    </row>
    <row r="771" spans="1:12" x14ac:dyDescent="0.2">
      <c r="A771" s="8" t="s">
        <v>32</v>
      </c>
      <c r="B771" s="8" t="s">
        <v>33</v>
      </c>
      <c r="C771" s="8" t="s">
        <v>189</v>
      </c>
      <c r="D771" s="8" t="s">
        <v>190</v>
      </c>
      <c r="E771" s="8" t="s">
        <v>41</v>
      </c>
      <c r="F771" s="8" t="s">
        <v>42</v>
      </c>
      <c r="G771" s="8" t="s">
        <v>7</v>
      </c>
      <c r="H771" s="8" t="s">
        <v>38</v>
      </c>
      <c r="I771" s="9">
        <v>0.24936340000000001</v>
      </c>
      <c r="J771">
        <v>0.23349755</v>
      </c>
      <c r="K771">
        <v>0.25894440000000002</v>
      </c>
      <c r="L771">
        <v>0.29565479985947002</v>
      </c>
    </row>
    <row r="772" spans="1:12" x14ac:dyDescent="0.2">
      <c r="A772" s="8" t="s">
        <v>32</v>
      </c>
      <c r="B772" s="8" t="s">
        <v>33</v>
      </c>
      <c r="C772" s="8" t="s">
        <v>189</v>
      </c>
      <c r="D772" s="8" t="s">
        <v>190</v>
      </c>
      <c r="E772" s="8" t="s">
        <v>43</v>
      </c>
      <c r="F772" s="8" t="s">
        <v>44</v>
      </c>
      <c r="G772" s="8" t="s">
        <v>7</v>
      </c>
      <c r="H772" s="8" t="s">
        <v>38</v>
      </c>
      <c r="I772" s="9">
        <v>1171.7784999999999</v>
      </c>
      <c r="J772">
        <v>1175.9409785299999</v>
      </c>
      <c r="K772">
        <v>1166.20869326</v>
      </c>
      <c r="L772">
        <v>1163.8472523518999</v>
      </c>
    </row>
    <row r="773" spans="1:12" x14ac:dyDescent="0.2">
      <c r="A773" s="8" t="s">
        <v>32</v>
      </c>
      <c r="B773" s="8" t="s">
        <v>33</v>
      </c>
      <c r="C773" s="8" t="s">
        <v>189</v>
      </c>
      <c r="D773" s="8" t="s">
        <v>190</v>
      </c>
      <c r="E773" s="8" t="s">
        <v>45</v>
      </c>
      <c r="F773" s="8" t="s">
        <v>46</v>
      </c>
      <c r="G773" s="8" t="s">
        <v>7</v>
      </c>
      <c r="H773" s="8" t="s">
        <v>38</v>
      </c>
      <c r="I773" s="9">
        <v>35.734558</v>
      </c>
      <c r="J773">
        <v>22.517842680000001</v>
      </c>
      <c r="K773">
        <v>21.946204980000001</v>
      </c>
      <c r="L773">
        <v>23.386357755488</v>
      </c>
    </row>
    <row r="774" spans="1:12" x14ac:dyDescent="0.2">
      <c r="A774" s="8" t="s">
        <v>32</v>
      </c>
      <c r="B774" s="8" t="s">
        <v>33</v>
      </c>
      <c r="C774" s="8" t="s">
        <v>189</v>
      </c>
      <c r="D774" s="8" t="s">
        <v>190</v>
      </c>
      <c r="E774" s="8" t="s">
        <v>47</v>
      </c>
      <c r="F774" s="8" t="s">
        <v>48</v>
      </c>
      <c r="G774" s="8" t="s">
        <v>7</v>
      </c>
      <c r="H774" s="8" t="s">
        <v>38</v>
      </c>
      <c r="I774" s="9"/>
    </row>
    <row r="775" spans="1:12" x14ac:dyDescent="0.2">
      <c r="A775" s="8" t="s">
        <v>32</v>
      </c>
      <c r="B775" s="8" t="s">
        <v>33</v>
      </c>
      <c r="C775" s="8" t="s">
        <v>189</v>
      </c>
      <c r="D775" s="8" t="s">
        <v>190</v>
      </c>
      <c r="E775" s="8" t="s">
        <v>49</v>
      </c>
      <c r="F775" s="8" t="s">
        <v>50</v>
      </c>
      <c r="G775" s="8" t="s">
        <v>7</v>
      </c>
      <c r="H775" s="8" t="s">
        <v>38</v>
      </c>
      <c r="I775" s="9">
        <v>962.96353999999997</v>
      </c>
      <c r="J775">
        <v>942.08075679000001</v>
      </c>
      <c r="K775">
        <v>870.36521866999999</v>
      </c>
      <c r="L775">
        <v>882.89207050023003</v>
      </c>
    </row>
    <row r="776" spans="1:12" x14ac:dyDescent="0.2">
      <c r="A776" s="8" t="s">
        <v>32</v>
      </c>
      <c r="B776" s="8" t="s">
        <v>33</v>
      </c>
      <c r="C776" s="8" t="s">
        <v>189</v>
      </c>
      <c r="D776" s="8" t="s">
        <v>190</v>
      </c>
      <c r="E776" s="8" t="s">
        <v>51</v>
      </c>
      <c r="F776" s="8" t="s">
        <v>52</v>
      </c>
      <c r="G776" s="8" t="s">
        <v>7</v>
      </c>
      <c r="H776" s="8" t="s">
        <v>38</v>
      </c>
      <c r="I776" s="9">
        <v>1857.3058000000001</v>
      </c>
      <c r="J776">
        <v>1547.2608545600001</v>
      </c>
      <c r="K776">
        <v>1100.39123217</v>
      </c>
      <c r="L776">
        <v>1099.7150556903</v>
      </c>
    </row>
    <row r="777" spans="1:12" x14ac:dyDescent="0.2">
      <c r="A777" s="8" t="s">
        <v>32</v>
      </c>
      <c r="B777" s="8" t="s">
        <v>33</v>
      </c>
      <c r="C777" s="8" t="s">
        <v>189</v>
      </c>
      <c r="D777" s="8" t="s">
        <v>190</v>
      </c>
      <c r="E777" s="8" t="s">
        <v>53</v>
      </c>
      <c r="F777" s="8" t="s">
        <v>54</v>
      </c>
      <c r="G777" s="8" t="s">
        <v>7</v>
      </c>
      <c r="H777" s="8" t="s">
        <v>38</v>
      </c>
      <c r="I777" s="9">
        <v>43.327998999999998</v>
      </c>
      <c r="J777">
        <v>87.242065711942004</v>
      </c>
      <c r="K777">
        <v>100.06670140279</v>
      </c>
      <c r="L777">
        <v>131.16576025242</v>
      </c>
    </row>
    <row r="778" spans="1:12" x14ac:dyDescent="0.2">
      <c r="A778" s="8" t="s">
        <v>32</v>
      </c>
      <c r="B778" s="8" t="s">
        <v>33</v>
      </c>
      <c r="C778" s="8" t="s">
        <v>189</v>
      </c>
      <c r="D778" s="8" t="s">
        <v>190</v>
      </c>
      <c r="E778" s="8" t="s">
        <v>70</v>
      </c>
      <c r="F778" s="8" t="s">
        <v>71</v>
      </c>
      <c r="G778" s="8" t="s">
        <v>7</v>
      </c>
      <c r="H778" s="8" t="s">
        <v>38</v>
      </c>
      <c r="I778" s="9">
        <v>378.92950000000002</v>
      </c>
      <c r="J778">
        <v>305.010246435</v>
      </c>
      <c r="K778">
        <v>253.86409739999999</v>
      </c>
      <c r="L778">
        <v>253.57770375811</v>
      </c>
    </row>
    <row r="779" spans="1:12" x14ac:dyDescent="0.2">
      <c r="A779" s="8" t="s">
        <v>32</v>
      </c>
      <c r="B779" s="8" t="s">
        <v>33</v>
      </c>
      <c r="C779" s="8" t="s">
        <v>189</v>
      </c>
      <c r="D779" s="8" t="s">
        <v>190</v>
      </c>
      <c r="E779" s="8" t="s">
        <v>83</v>
      </c>
      <c r="F779" s="8" t="s">
        <v>84</v>
      </c>
      <c r="G779" s="8" t="s">
        <v>7</v>
      </c>
      <c r="H779" s="8" t="s">
        <v>38</v>
      </c>
      <c r="I779" s="9">
        <v>105</v>
      </c>
      <c r="J779">
        <v>105</v>
      </c>
      <c r="K779">
        <v>105</v>
      </c>
      <c r="L779">
        <v>105</v>
      </c>
    </row>
    <row r="780" spans="1:12" x14ac:dyDescent="0.2">
      <c r="A780" s="8" t="s">
        <v>32</v>
      </c>
      <c r="B780" s="8" t="s">
        <v>33</v>
      </c>
      <c r="C780" s="8" t="s">
        <v>189</v>
      </c>
      <c r="D780" s="8" t="s">
        <v>190</v>
      </c>
      <c r="E780" s="8" t="s">
        <v>55</v>
      </c>
      <c r="F780" s="8" t="s">
        <v>56</v>
      </c>
      <c r="G780" s="8" t="s">
        <v>7</v>
      </c>
      <c r="H780" s="8" t="s">
        <v>38</v>
      </c>
      <c r="I780" s="9">
        <v>0.4129274</v>
      </c>
      <c r="J780">
        <v>0.46248940608434003</v>
      </c>
      <c r="K780">
        <v>0.46248940608434003</v>
      </c>
      <c r="L780">
        <v>0.46248940608434003</v>
      </c>
    </row>
    <row r="781" spans="1:12" x14ac:dyDescent="0.2">
      <c r="A781" s="8" t="s">
        <v>32</v>
      </c>
      <c r="B781" s="8" t="s">
        <v>33</v>
      </c>
      <c r="C781" s="8" t="s">
        <v>189</v>
      </c>
      <c r="D781" s="8" t="s">
        <v>190</v>
      </c>
      <c r="E781" s="8" t="s">
        <v>57</v>
      </c>
      <c r="F781" s="8" t="s">
        <v>58</v>
      </c>
      <c r="G781" s="8" t="s">
        <v>7</v>
      </c>
      <c r="H781" s="8" t="s">
        <v>38</v>
      </c>
      <c r="I781" s="9"/>
    </row>
    <row r="782" spans="1:12" x14ac:dyDescent="0.2">
      <c r="A782" s="8" t="s">
        <v>32</v>
      </c>
      <c r="B782" s="8" t="s">
        <v>33</v>
      </c>
      <c r="C782" s="8" t="s">
        <v>189</v>
      </c>
      <c r="D782" s="8" t="s">
        <v>190</v>
      </c>
      <c r="E782" s="8" t="s">
        <v>72</v>
      </c>
      <c r="F782" s="8" t="s">
        <v>73</v>
      </c>
      <c r="G782" s="8" t="s">
        <v>7</v>
      </c>
      <c r="H782" s="8" t="s">
        <v>38</v>
      </c>
      <c r="I782" s="9"/>
    </row>
    <row r="783" spans="1:12" x14ac:dyDescent="0.2">
      <c r="A783" s="8" t="s">
        <v>32</v>
      </c>
      <c r="B783" s="8" t="s">
        <v>33</v>
      </c>
      <c r="C783" s="8" t="s">
        <v>189</v>
      </c>
      <c r="D783" s="8" t="s">
        <v>190</v>
      </c>
      <c r="E783" s="8" t="s">
        <v>74</v>
      </c>
      <c r="F783" s="8" t="s">
        <v>75</v>
      </c>
      <c r="G783" s="8" t="s">
        <v>7</v>
      </c>
      <c r="H783" s="8" t="s">
        <v>38</v>
      </c>
      <c r="I783" s="9">
        <v>10.089088</v>
      </c>
      <c r="J783">
        <v>11.9399394</v>
      </c>
      <c r="K783">
        <v>10.726357699999999</v>
      </c>
      <c r="L783">
        <v>9.7113638076251991</v>
      </c>
    </row>
    <row r="784" spans="1:12" x14ac:dyDescent="0.2">
      <c r="A784" s="8" t="s">
        <v>32</v>
      </c>
      <c r="B784" s="8" t="s">
        <v>33</v>
      </c>
      <c r="C784" s="8" t="s">
        <v>189</v>
      </c>
      <c r="D784" s="8" t="s">
        <v>190</v>
      </c>
      <c r="E784" s="8" t="s">
        <v>59</v>
      </c>
      <c r="F784" s="8" t="s">
        <v>60</v>
      </c>
      <c r="G784" s="8" t="s">
        <v>7</v>
      </c>
      <c r="H784" s="8" t="s">
        <v>38</v>
      </c>
      <c r="I784" s="9">
        <v>106.04191</v>
      </c>
      <c r="J784">
        <v>96.621614165783001</v>
      </c>
      <c r="K784">
        <v>95.310392960981005</v>
      </c>
      <c r="L784">
        <v>91.193784811140006</v>
      </c>
    </row>
    <row r="785" spans="1:12" x14ac:dyDescent="0.2">
      <c r="A785" s="8" t="s">
        <v>32</v>
      </c>
      <c r="B785" s="8" t="s">
        <v>33</v>
      </c>
      <c r="C785" s="8" t="s">
        <v>189</v>
      </c>
      <c r="D785" s="8" t="s">
        <v>190</v>
      </c>
      <c r="E785" s="8" t="s">
        <v>76</v>
      </c>
      <c r="F785" s="8" t="s">
        <v>77</v>
      </c>
      <c r="G785" s="8" t="s">
        <v>7</v>
      </c>
      <c r="H785" s="8" t="s">
        <v>38</v>
      </c>
      <c r="I785" s="9">
        <v>27.342856999999999</v>
      </c>
      <c r="J785">
        <v>17.285714286411999</v>
      </c>
      <c r="K785">
        <v>7.8571428573000004</v>
      </c>
      <c r="L785">
        <v>7.8571428573000004</v>
      </c>
    </row>
    <row r="786" spans="1:12" x14ac:dyDescent="0.2">
      <c r="A786" s="8" t="s">
        <v>32</v>
      </c>
      <c r="B786" s="8" t="s">
        <v>33</v>
      </c>
      <c r="C786" s="8" t="s">
        <v>189</v>
      </c>
      <c r="D786" s="8" t="s">
        <v>190</v>
      </c>
      <c r="E786" s="8" t="s">
        <v>78</v>
      </c>
      <c r="F786" s="8" t="s">
        <v>79</v>
      </c>
      <c r="G786" s="8" t="s">
        <v>7</v>
      </c>
      <c r="H786" s="8" t="s">
        <v>38</v>
      </c>
      <c r="I786" s="9">
        <v>5.0285704999999998</v>
      </c>
      <c r="J786">
        <v>14.457140228570999</v>
      </c>
      <c r="K786">
        <v>4.3999991999999999</v>
      </c>
      <c r="L786">
        <v>4.3999991999999999</v>
      </c>
    </row>
    <row r="787" spans="1:12" x14ac:dyDescent="0.2">
      <c r="A787" s="8" t="s">
        <v>32</v>
      </c>
      <c r="B787" s="8" t="s">
        <v>33</v>
      </c>
      <c r="C787" s="8" t="s">
        <v>189</v>
      </c>
      <c r="D787" s="8" t="s">
        <v>190</v>
      </c>
      <c r="E787" s="8" t="s">
        <v>92</v>
      </c>
      <c r="F787" s="8" t="s">
        <v>93</v>
      </c>
      <c r="G787" s="8" t="s">
        <v>7</v>
      </c>
      <c r="H787" s="8" t="s">
        <v>38</v>
      </c>
      <c r="I787" s="9">
        <v>0.48006799999999999</v>
      </c>
      <c r="J787">
        <v>0.48083356298470997</v>
      </c>
      <c r="K787">
        <v>0.48169914995677998</v>
      </c>
      <c r="L787">
        <v>0.48233888449163997</v>
      </c>
    </row>
    <row r="788" spans="1:12" x14ac:dyDescent="0.2">
      <c r="A788" s="8" t="s">
        <v>32</v>
      </c>
      <c r="B788" s="8" t="s">
        <v>33</v>
      </c>
      <c r="C788" s="8" t="s">
        <v>191</v>
      </c>
      <c r="D788" s="8" t="s">
        <v>192</v>
      </c>
      <c r="E788" s="8" t="s">
        <v>36</v>
      </c>
      <c r="F788" s="8" t="s">
        <v>37</v>
      </c>
      <c r="G788" s="8" t="s">
        <v>7</v>
      </c>
      <c r="H788" s="8" t="s">
        <v>38</v>
      </c>
      <c r="I788" s="9">
        <v>170.46436</v>
      </c>
      <c r="J788">
        <v>158.34887561497001</v>
      </c>
      <c r="K788">
        <v>181.10650715676999</v>
      </c>
      <c r="L788">
        <v>180.73978693148999</v>
      </c>
    </row>
    <row r="789" spans="1:12" x14ac:dyDescent="0.2">
      <c r="A789" s="8" t="s">
        <v>32</v>
      </c>
      <c r="B789" s="8" t="s">
        <v>33</v>
      </c>
      <c r="C789" s="8" t="s">
        <v>191</v>
      </c>
      <c r="D789" s="8" t="s">
        <v>192</v>
      </c>
      <c r="E789" s="8" t="s">
        <v>39</v>
      </c>
      <c r="F789" s="8" t="s">
        <v>40</v>
      </c>
      <c r="G789" s="8" t="s">
        <v>7</v>
      </c>
      <c r="H789" s="8" t="s">
        <v>38</v>
      </c>
      <c r="I789" s="9">
        <v>19.439677</v>
      </c>
      <c r="J789">
        <v>21.409729062128001</v>
      </c>
      <c r="K789">
        <v>24.486880744124001</v>
      </c>
      <c r="L789">
        <v>24.437297575832002</v>
      </c>
    </row>
    <row r="790" spans="1:12" x14ac:dyDescent="0.2">
      <c r="A790" s="8" t="s">
        <v>32</v>
      </c>
      <c r="B790" s="8" t="s">
        <v>33</v>
      </c>
      <c r="C790" s="8" t="s">
        <v>191</v>
      </c>
      <c r="D790" s="8" t="s">
        <v>192</v>
      </c>
      <c r="E790" s="8" t="s">
        <v>41</v>
      </c>
      <c r="F790" s="8" t="s">
        <v>42</v>
      </c>
      <c r="G790" s="8" t="s">
        <v>7</v>
      </c>
      <c r="H790" s="8" t="s">
        <v>38</v>
      </c>
      <c r="I790" s="9">
        <v>8.2089619999999996</v>
      </c>
      <c r="J790">
        <v>7.8064687433542996</v>
      </c>
      <c r="K790">
        <v>8.9284688196130002</v>
      </c>
      <c r="L790">
        <v>10.194252750452</v>
      </c>
    </row>
    <row r="791" spans="1:12" x14ac:dyDescent="0.2">
      <c r="A791" s="8" t="s">
        <v>32</v>
      </c>
      <c r="B791" s="8" t="s">
        <v>33</v>
      </c>
      <c r="C791" s="8" t="s">
        <v>191</v>
      </c>
      <c r="D791" s="8" t="s">
        <v>192</v>
      </c>
      <c r="E791" s="8" t="s">
        <v>43</v>
      </c>
      <c r="F791" s="8" t="s">
        <v>44</v>
      </c>
      <c r="G791" s="8" t="s">
        <v>7</v>
      </c>
      <c r="H791" s="8" t="s">
        <v>38</v>
      </c>
      <c r="I791" s="9">
        <v>93.968072000000006</v>
      </c>
      <c r="J791">
        <v>89.564860780209997</v>
      </c>
      <c r="K791">
        <v>102.43791224633</v>
      </c>
      <c r="L791">
        <v>102.23048704196999</v>
      </c>
    </row>
    <row r="792" spans="1:12" x14ac:dyDescent="0.2">
      <c r="A792" s="8" t="s">
        <v>32</v>
      </c>
      <c r="B792" s="8" t="s">
        <v>33</v>
      </c>
      <c r="C792" s="8" t="s">
        <v>191</v>
      </c>
      <c r="D792" s="8" t="s">
        <v>192</v>
      </c>
      <c r="E792" s="8" t="s">
        <v>45</v>
      </c>
      <c r="F792" s="8" t="s">
        <v>46</v>
      </c>
      <c r="G792" s="8" t="s">
        <v>7</v>
      </c>
      <c r="H792" s="8" t="s">
        <v>38</v>
      </c>
      <c r="I792" s="9">
        <v>7.2205456000000003</v>
      </c>
      <c r="J792">
        <v>6.6946792825691004</v>
      </c>
      <c r="K792">
        <v>7.6569577839639003</v>
      </c>
      <c r="L792">
        <v>8.1594222881648992</v>
      </c>
    </row>
    <row r="793" spans="1:12" x14ac:dyDescent="0.2">
      <c r="A793" s="8" t="s">
        <v>32</v>
      </c>
      <c r="B793" s="8" t="s">
        <v>33</v>
      </c>
      <c r="C793" s="8" t="s">
        <v>191</v>
      </c>
      <c r="D793" s="8" t="s">
        <v>192</v>
      </c>
      <c r="E793" s="8" t="s">
        <v>47</v>
      </c>
      <c r="F793" s="8" t="s">
        <v>48</v>
      </c>
      <c r="G793" s="8" t="s">
        <v>7</v>
      </c>
      <c r="H793" s="8" t="s">
        <v>38</v>
      </c>
      <c r="I793" s="9">
        <v>3.1006505</v>
      </c>
      <c r="J793">
        <v>2.7013391488642999</v>
      </c>
      <c r="K793">
        <v>3.0896543099410998</v>
      </c>
      <c r="L793">
        <v>3.0833981088670002</v>
      </c>
    </row>
    <row r="794" spans="1:12" x14ac:dyDescent="0.2">
      <c r="A794" s="8" t="s">
        <v>32</v>
      </c>
      <c r="B794" s="8" t="s">
        <v>33</v>
      </c>
      <c r="C794" s="8" t="s">
        <v>191</v>
      </c>
      <c r="D794" s="8" t="s">
        <v>192</v>
      </c>
      <c r="E794" s="8" t="s">
        <v>49</v>
      </c>
      <c r="F794" s="8" t="s">
        <v>50</v>
      </c>
      <c r="G794" s="8" t="s">
        <v>7</v>
      </c>
      <c r="H794" s="8" t="s">
        <v>38</v>
      </c>
      <c r="I794" s="9">
        <v>25.843057000000002</v>
      </c>
      <c r="J794">
        <v>23.924700219464</v>
      </c>
      <c r="K794">
        <v>26.468668941415</v>
      </c>
      <c r="L794">
        <v>26.415072875820002</v>
      </c>
    </row>
    <row r="795" spans="1:12" x14ac:dyDescent="0.2">
      <c r="A795" s="8" t="s">
        <v>32</v>
      </c>
      <c r="B795" s="8" t="s">
        <v>33</v>
      </c>
      <c r="C795" s="8" t="s">
        <v>191</v>
      </c>
      <c r="D795" s="8" t="s">
        <v>192</v>
      </c>
      <c r="E795" s="8" t="s">
        <v>51</v>
      </c>
      <c r="F795" s="8" t="s">
        <v>52</v>
      </c>
      <c r="G795" s="8" t="s">
        <v>7</v>
      </c>
      <c r="H795" s="8" t="s">
        <v>38</v>
      </c>
      <c r="I795" s="9">
        <v>1.9833535</v>
      </c>
      <c r="J795">
        <v>1.990391665322</v>
      </c>
      <c r="K795">
        <v>2.2764459267899002</v>
      </c>
      <c r="L795">
        <v>2.2718363808589999</v>
      </c>
    </row>
    <row r="796" spans="1:12" x14ac:dyDescent="0.2">
      <c r="A796" s="8" t="s">
        <v>32</v>
      </c>
      <c r="B796" s="8" t="s">
        <v>33</v>
      </c>
      <c r="C796" s="8" t="s">
        <v>191</v>
      </c>
      <c r="D796" s="8" t="s">
        <v>192</v>
      </c>
      <c r="E796" s="8" t="s">
        <v>53</v>
      </c>
      <c r="F796" s="8" t="s">
        <v>54</v>
      </c>
      <c r="G796" s="8" t="s">
        <v>7</v>
      </c>
      <c r="H796" s="8" t="s">
        <v>38</v>
      </c>
      <c r="I796" s="9"/>
    </row>
    <row r="797" spans="1:12" x14ac:dyDescent="0.2">
      <c r="A797" s="8" t="s">
        <v>32</v>
      </c>
      <c r="B797" s="8" t="s">
        <v>33</v>
      </c>
      <c r="C797" s="8" t="s">
        <v>191</v>
      </c>
      <c r="D797" s="8" t="s">
        <v>192</v>
      </c>
      <c r="E797" s="8" t="s">
        <v>55</v>
      </c>
      <c r="F797" s="8" t="s">
        <v>56</v>
      </c>
      <c r="G797" s="8" t="s">
        <v>7</v>
      </c>
      <c r="H797" s="8" t="s">
        <v>38</v>
      </c>
      <c r="I797" s="9">
        <v>3.1584999999999998E-3</v>
      </c>
      <c r="J797">
        <v>3.1980800891779999E-3</v>
      </c>
      <c r="K797">
        <v>3.2381523381258001E-3</v>
      </c>
      <c r="L797">
        <v>3.2775355822133E-3</v>
      </c>
    </row>
    <row r="798" spans="1:12" x14ac:dyDescent="0.2">
      <c r="A798" s="8" t="s">
        <v>32</v>
      </c>
      <c r="B798" s="8" t="s">
        <v>33</v>
      </c>
      <c r="C798" s="8" t="s">
        <v>191</v>
      </c>
      <c r="D798" s="8" t="s">
        <v>192</v>
      </c>
      <c r="E798" s="8" t="s">
        <v>59</v>
      </c>
      <c r="F798" s="8" t="s">
        <v>60</v>
      </c>
      <c r="G798" s="8" t="s">
        <v>7</v>
      </c>
      <c r="H798" s="8" t="s">
        <v>38</v>
      </c>
      <c r="I798" s="9">
        <v>1.6493662</v>
      </c>
      <c r="J798">
        <v>1.6381608354563</v>
      </c>
      <c r="K798">
        <v>1.7771661143827999</v>
      </c>
      <c r="L798">
        <v>1.8485554281790999</v>
      </c>
    </row>
    <row r="799" spans="1:12" x14ac:dyDescent="0.2">
      <c r="A799" s="8" t="s">
        <v>110</v>
      </c>
      <c r="B799" s="8" t="s">
        <v>89</v>
      </c>
      <c r="C799" s="8" t="s">
        <v>193</v>
      </c>
      <c r="D799" s="8" t="s">
        <v>194</v>
      </c>
      <c r="E799" s="8" t="s">
        <v>36</v>
      </c>
      <c r="F799" s="8" t="s">
        <v>37</v>
      </c>
      <c r="G799" s="8" t="s">
        <v>7</v>
      </c>
      <c r="H799" s="8" t="s">
        <v>38</v>
      </c>
      <c r="I799" s="9">
        <v>2989.2908000000002</v>
      </c>
      <c r="J799">
        <v>3064.63106118</v>
      </c>
      <c r="K799">
        <v>3094.3468458900002</v>
      </c>
      <c r="L799">
        <v>3048.9208044830998</v>
      </c>
    </row>
    <row r="800" spans="1:12" x14ac:dyDescent="0.2">
      <c r="A800" s="8" t="s">
        <v>110</v>
      </c>
      <c r="B800" s="8" t="s">
        <v>89</v>
      </c>
      <c r="C800" s="8" t="s">
        <v>193</v>
      </c>
      <c r="D800" s="8" t="s">
        <v>194</v>
      </c>
      <c r="E800" s="8" t="s">
        <v>64</v>
      </c>
      <c r="F800" s="8" t="s">
        <v>65</v>
      </c>
      <c r="G800" s="8" t="s">
        <v>7</v>
      </c>
      <c r="H800" s="8" t="s">
        <v>38</v>
      </c>
      <c r="I800" s="9">
        <v>19.298285</v>
      </c>
      <c r="K800">
        <v>5.7431945999999998</v>
      </c>
      <c r="L800">
        <v>5.7133429477366997</v>
      </c>
    </row>
    <row r="801" spans="1:12" x14ac:dyDescent="0.2">
      <c r="A801" s="8" t="s">
        <v>110</v>
      </c>
      <c r="B801" s="8" t="s">
        <v>89</v>
      </c>
      <c r="C801" s="8" t="s">
        <v>193</v>
      </c>
      <c r="D801" s="8" t="s">
        <v>194</v>
      </c>
      <c r="E801" s="8" t="s">
        <v>39</v>
      </c>
      <c r="F801" s="8" t="s">
        <v>40</v>
      </c>
      <c r="G801" s="8" t="s">
        <v>7</v>
      </c>
      <c r="H801" s="8" t="s">
        <v>38</v>
      </c>
      <c r="I801" s="9">
        <v>587.24751000000003</v>
      </c>
      <c r="J801">
        <v>562.19975137999995</v>
      </c>
      <c r="K801">
        <v>572.54991697000003</v>
      </c>
      <c r="L801">
        <v>564.15694101920997</v>
      </c>
    </row>
    <row r="802" spans="1:12" x14ac:dyDescent="0.2">
      <c r="A802" s="8" t="s">
        <v>110</v>
      </c>
      <c r="B802" s="8" t="s">
        <v>89</v>
      </c>
      <c r="C802" s="8" t="s">
        <v>193</v>
      </c>
      <c r="D802" s="8" t="s">
        <v>194</v>
      </c>
      <c r="E802" s="8" t="s">
        <v>41</v>
      </c>
      <c r="F802" s="8" t="s">
        <v>42</v>
      </c>
      <c r="G802" s="8" t="s">
        <v>7</v>
      </c>
      <c r="H802" s="8" t="s">
        <v>38</v>
      </c>
      <c r="I802" s="9">
        <v>4.3481509999999997</v>
      </c>
      <c r="J802">
        <v>4.7834143500000001</v>
      </c>
      <c r="K802">
        <v>9.2354404999999993</v>
      </c>
      <c r="L802">
        <v>8.3178809999999999</v>
      </c>
    </row>
    <row r="803" spans="1:12" x14ac:dyDescent="0.2">
      <c r="A803" s="8" t="s">
        <v>110</v>
      </c>
      <c r="B803" s="8" t="s">
        <v>89</v>
      </c>
      <c r="C803" s="8" t="s">
        <v>193</v>
      </c>
      <c r="D803" s="8" t="s">
        <v>194</v>
      </c>
      <c r="E803" s="8" t="s">
        <v>43</v>
      </c>
      <c r="F803" s="8" t="s">
        <v>44</v>
      </c>
      <c r="G803" s="8" t="s">
        <v>7</v>
      </c>
      <c r="H803" s="8" t="s">
        <v>38</v>
      </c>
      <c r="I803" s="9">
        <v>1766.9052999999999</v>
      </c>
      <c r="J803">
        <v>1896.95840236</v>
      </c>
      <c r="K803">
        <v>1870.33597134</v>
      </c>
      <c r="L803">
        <v>1960.3836082012999</v>
      </c>
    </row>
    <row r="804" spans="1:12" x14ac:dyDescent="0.2">
      <c r="A804" s="8" t="s">
        <v>110</v>
      </c>
      <c r="B804" s="8" t="s">
        <v>89</v>
      </c>
      <c r="C804" s="8" t="s">
        <v>193</v>
      </c>
      <c r="D804" s="8" t="s">
        <v>194</v>
      </c>
      <c r="E804" s="8" t="s">
        <v>45</v>
      </c>
      <c r="F804" s="8" t="s">
        <v>46</v>
      </c>
      <c r="G804" s="8" t="s">
        <v>7</v>
      </c>
      <c r="H804" s="8" t="s">
        <v>38</v>
      </c>
      <c r="I804" s="9">
        <v>1.1392059999999999</v>
      </c>
      <c r="J804">
        <v>2.6178196200000001</v>
      </c>
      <c r="K804">
        <v>4.4134997399999998</v>
      </c>
      <c r="L804">
        <v>5.7748740826617997</v>
      </c>
    </row>
    <row r="805" spans="1:12" x14ac:dyDescent="0.2">
      <c r="A805" s="8" t="s">
        <v>110</v>
      </c>
      <c r="B805" s="8" t="s">
        <v>89</v>
      </c>
      <c r="C805" s="8" t="s">
        <v>193</v>
      </c>
      <c r="D805" s="8" t="s">
        <v>194</v>
      </c>
      <c r="E805" s="8" t="s">
        <v>49</v>
      </c>
      <c r="F805" s="8" t="s">
        <v>50</v>
      </c>
      <c r="G805" s="8" t="s">
        <v>7</v>
      </c>
      <c r="H805" s="8" t="s">
        <v>38</v>
      </c>
      <c r="I805" s="9">
        <v>495.87061999999997</v>
      </c>
      <c r="J805">
        <v>470.06332401999998</v>
      </c>
      <c r="K805">
        <v>497.54828285999997</v>
      </c>
      <c r="L805">
        <v>444.47513577988002</v>
      </c>
    </row>
    <row r="806" spans="1:12" x14ac:dyDescent="0.2">
      <c r="A806" s="8" t="s">
        <v>110</v>
      </c>
      <c r="B806" s="8" t="s">
        <v>89</v>
      </c>
      <c r="C806" s="8" t="s">
        <v>193</v>
      </c>
      <c r="D806" s="8" t="s">
        <v>194</v>
      </c>
      <c r="E806" s="8" t="s">
        <v>51</v>
      </c>
      <c r="F806" s="8" t="s">
        <v>52</v>
      </c>
      <c r="G806" s="8" t="s">
        <v>7</v>
      </c>
      <c r="H806" s="8" t="s">
        <v>38</v>
      </c>
      <c r="I806" s="9">
        <v>25.862666999999998</v>
      </c>
      <c r="J806">
        <v>22.8788546</v>
      </c>
      <c r="K806">
        <v>24.03526046</v>
      </c>
      <c r="L806">
        <v>23.003018703102001</v>
      </c>
    </row>
    <row r="807" spans="1:12" x14ac:dyDescent="0.2">
      <c r="A807" s="8" t="s">
        <v>110</v>
      </c>
      <c r="B807" s="8" t="s">
        <v>89</v>
      </c>
      <c r="C807" s="8" t="s">
        <v>193</v>
      </c>
      <c r="D807" s="8" t="s">
        <v>194</v>
      </c>
      <c r="E807" s="8" t="s">
        <v>53</v>
      </c>
      <c r="F807" s="8" t="s">
        <v>54</v>
      </c>
      <c r="G807" s="8" t="s">
        <v>7</v>
      </c>
      <c r="H807" s="8" t="s">
        <v>38</v>
      </c>
      <c r="I807" s="9"/>
      <c r="K807">
        <v>1.6383393949644001</v>
      </c>
    </row>
    <row r="808" spans="1:12" x14ac:dyDescent="0.2">
      <c r="A808" s="8" t="s">
        <v>110</v>
      </c>
      <c r="B808" s="8" t="s">
        <v>89</v>
      </c>
      <c r="C808" s="8" t="s">
        <v>193</v>
      </c>
      <c r="D808" s="8" t="s">
        <v>194</v>
      </c>
      <c r="E808" s="8" t="s">
        <v>70</v>
      </c>
      <c r="F808" s="8" t="s">
        <v>71</v>
      </c>
      <c r="G808" s="8" t="s">
        <v>7</v>
      </c>
      <c r="H808" s="8" t="s">
        <v>38</v>
      </c>
      <c r="I808" s="9">
        <v>880.70579999999995</v>
      </c>
      <c r="J808">
        <v>865.59066660999997</v>
      </c>
      <c r="K808">
        <v>1116.8524017786999</v>
      </c>
      <c r="L808">
        <v>1115.592438554</v>
      </c>
    </row>
    <row r="809" spans="1:12" x14ac:dyDescent="0.2">
      <c r="A809" s="8" t="s">
        <v>110</v>
      </c>
      <c r="B809" s="8" t="s">
        <v>89</v>
      </c>
      <c r="C809" s="8" t="s">
        <v>193</v>
      </c>
      <c r="D809" s="8" t="s">
        <v>194</v>
      </c>
      <c r="E809" s="8" t="s">
        <v>83</v>
      </c>
      <c r="F809" s="8" t="s">
        <v>84</v>
      </c>
      <c r="G809" s="8" t="s">
        <v>7</v>
      </c>
      <c r="H809" s="8" t="s">
        <v>38</v>
      </c>
      <c r="I809" s="9">
        <v>15</v>
      </c>
      <c r="J809">
        <v>15</v>
      </c>
      <c r="K809">
        <v>15</v>
      </c>
      <c r="L809">
        <v>15</v>
      </c>
    </row>
    <row r="810" spans="1:12" x14ac:dyDescent="0.2">
      <c r="A810" s="8" t="s">
        <v>110</v>
      </c>
      <c r="B810" s="8" t="s">
        <v>89</v>
      </c>
      <c r="C810" s="8" t="s">
        <v>193</v>
      </c>
      <c r="D810" s="8" t="s">
        <v>194</v>
      </c>
      <c r="E810" s="8" t="s">
        <v>55</v>
      </c>
      <c r="F810" s="8" t="s">
        <v>56</v>
      </c>
      <c r="G810" s="8" t="s">
        <v>7</v>
      </c>
      <c r="H810" s="8" t="s">
        <v>38</v>
      </c>
      <c r="I810" s="9">
        <v>5.8230900000000002E-2</v>
      </c>
      <c r="J810">
        <v>5.6020177899925E-2</v>
      </c>
      <c r="K810">
        <v>5.6020177899925E-2</v>
      </c>
      <c r="L810">
        <v>5.6020177899925E-2</v>
      </c>
    </row>
    <row r="811" spans="1:12" x14ac:dyDescent="0.2">
      <c r="A811" s="8" t="s">
        <v>110</v>
      </c>
      <c r="B811" s="8" t="s">
        <v>89</v>
      </c>
      <c r="C811" s="8" t="s">
        <v>193</v>
      </c>
      <c r="D811" s="8" t="s">
        <v>194</v>
      </c>
      <c r="E811" s="8" t="s">
        <v>57</v>
      </c>
      <c r="F811" s="8" t="s">
        <v>58</v>
      </c>
      <c r="G811" s="8" t="s">
        <v>7</v>
      </c>
      <c r="H811" s="8" t="s">
        <v>38</v>
      </c>
      <c r="I811" s="9">
        <v>0.14072319999999999</v>
      </c>
      <c r="J811">
        <v>0.13538061683541999</v>
      </c>
      <c r="K811">
        <v>0.13538061683541999</v>
      </c>
      <c r="L811">
        <v>0.13538061683541999</v>
      </c>
    </row>
    <row r="812" spans="1:12" x14ac:dyDescent="0.2">
      <c r="A812" s="8" t="s">
        <v>110</v>
      </c>
      <c r="B812" s="8" t="s">
        <v>89</v>
      </c>
      <c r="C812" s="8" t="s">
        <v>193</v>
      </c>
      <c r="D812" s="8" t="s">
        <v>194</v>
      </c>
      <c r="E812" s="8" t="s">
        <v>72</v>
      </c>
      <c r="F812" s="8" t="s">
        <v>73</v>
      </c>
      <c r="G812" s="8" t="s">
        <v>7</v>
      </c>
      <c r="H812" s="8" t="s">
        <v>38</v>
      </c>
      <c r="I812" s="9"/>
    </row>
    <row r="813" spans="1:12" x14ac:dyDescent="0.2">
      <c r="A813" s="8" t="s">
        <v>110</v>
      </c>
      <c r="B813" s="8" t="s">
        <v>89</v>
      </c>
      <c r="C813" s="8" t="s">
        <v>193</v>
      </c>
      <c r="D813" s="8" t="s">
        <v>194</v>
      </c>
      <c r="E813" s="8" t="s">
        <v>59</v>
      </c>
      <c r="F813" s="8" t="s">
        <v>60</v>
      </c>
      <c r="G813" s="8" t="s">
        <v>7</v>
      </c>
      <c r="H813" s="8" t="s">
        <v>38</v>
      </c>
      <c r="I813" s="9">
        <v>10.903402</v>
      </c>
      <c r="J813">
        <v>10.816129761360999</v>
      </c>
      <c r="K813">
        <v>10.438213730163</v>
      </c>
      <c r="L813">
        <v>11.09299272931</v>
      </c>
    </row>
    <row r="814" spans="1:12" x14ac:dyDescent="0.2">
      <c r="A814" s="8" t="s">
        <v>110</v>
      </c>
      <c r="B814" s="8" t="s">
        <v>89</v>
      </c>
      <c r="C814" s="8" t="s">
        <v>193</v>
      </c>
      <c r="D814" s="8" t="s">
        <v>194</v>
      </c>
      <c r="E814" s="8" t="s">
        <v>76</v>
      </c>
      <c r="F814" s="8" t="s">
        <v>77</v>
      </c>
      <c r="G814" s="8" t="s">
        <v>7</v>
      </c>
      <c r="H814" s="8" t="s">
        <v>38</v>
      </c>
      <c r="I814" s="9">
        <v>3.1428571000000001</v>
      </c>
      <c r="J814">
        <v>0.94285714287599998</v>
      </c>
    </row>
    <row r="815" spans="1:12" x14ac:dyDescent="0.2">
      <c r="A815" s="8" t="s">
        <v>110</v>
      </c>
      <c r="B815" s="8" t="s">
        <v>89</v>
      </c>
      <c r="C815" s="8" t="s">
        <v>193</v>
      </c>
      <c r="D815" s="8" t="s">
        <v>194</v>
      </c>
      <c r="E815" s="8" t="s">
        <v>78</v>
      </c>
      <c r="F815" s="8" t="s">
        <v>79</v>
      </c>
      <c r="G815" s="8" t="s">
        <v>7</v>
      </c>
      <c r="H815" s="8" t="s">
        <v>38</v>
      </c>
      <c r="I815" s="9">
        <v>2.5142853000000001</v>
      </c>
      <c r="J815">
        <v>2.5142852571429</v>
      </c>
      <c r="K815">
        <v>0.78571414285714003</v>
      </c>
      <c r="L815">
        <v>0.59714274857143002</v>
      </c>
    </row>
    <row r="816" spans="1:12" x14ac:dyDescent="0.2">
      <c r="A816" s="8" t="s">
        <v>110</v>
      </c>
      <c r="B816" s="8" t="s">
        <v>89</v>
      </c>
      <c r="C816" s="8" t="s">
        <v>195</v>
      </c>
      <c r="D816" s="8" t="s">
        <v>196</v>
      </c>
      <c r="E816" s="8" t="s">
        <v>36</v>
      </c>
      <c r="F816" s="8" t="s">
        <v>37</v>
      </c>
      <c r="G816" s="8" t="s">
        <v>7</v>
      </c>
      <c r="H816" s="8" t="s">
        <v>38</v>
      </c>
      <c r="I816" s="9">
        <v>42734.860999999997</v>
      </c>
      <c r="J816">
        <v>45730.603661200003</v>
      </c>
      <c r="K816">
        <v>46147.27205272</v>
      </c>
      <c r="L816">
        <v>37888.393658077999</v>
      </c>
    </row>
    <row r="817" spans="1:12" x14ac:dyDescent="0.2">
      <c r="A817" s="8" t="s">
        <v>110</v>
      </c>
      <c r="B817" s="8" t="s">
        <v>89</v>
      </c>
      <c r="C817" s="8" t="s">
        <v>195</v>
      </c>
      <c r="D817" s="8" t="s">
        <v>196</v>
      </c>
      <c r="E817" s="8" t="s">
        <v>64</v>
      </c>
      <c r="F817" s="8" t="s">
        <v>65</v>
      </c>
      <c r="G817" s="8" t="s">
        <v>7</v>
      </c>
      <c r="H817" s="8" t="s">
        <v>38</v>
      </c>
      <c r="I817" s="9">
        <v>3803.402</v>
      </c>
      <c r="J817">
        <v>3169.5237839500001</v>
      </c>
      <c r="K817">
        <v>3280.6122941899998</v>
      </c>
      <c r="L817">
        <v>3204.6088825022998</v>
      </c>
    </row>
    <row r="818" spans="1:12" x14ac:dyDescent="0.2">
      <c r="A818" s="8" t="s">
        <v>110</v>
      </c>
      <c r="B818" s="8" t="s">
        <v>89</v>
      </c>
      <c r="C818" s="8" t="s">
        <v>195</v>
      </c>
      <c r="D818" s="8" t="s">
        <v>196</v>
      </c>
      <c r="E818" s="8" t="s">
        <v>39</v>
      </c>
      <c r="F818" s="8" t="s">
        <v>40</v>
      </c>
      <c r="G818" s="8" t="s">
        <v>7</v>
      </c>
      <c r="H818" s="8" t="s">
        <v>38</v>
      </c>
      <c r="I818" s="9">
        <v>11889.759</v>
      </c>
      <c r="J818">
        <v>12827.7116859</v>
      </c>
      <c r="K818">
        <v>11574.52330798</v>
      </c>
      <c r="L818">
        <v>9988.5293958877992</v>
      </c>
    </row>
    <row r="819" spans="1:12" x14ac:dyDescent="0.2">
      <c r="A819" s="8" t="s">
        <v>110</v>
      </c>
      <c r="B819" s="8" t="s">
        <v>89</v>
      </c>
      <c r="C819" s="8" t="s">
        <v>195</v>
      </c>
      <c r="D819" s="8" t="s">
        <v>196</v>
      </c>
      <c r="E819" s="8" t="s">
        <v>41</v>
      </c>
      <c r="F819" s="8" t="s">
        <v>42</v>
      </c>
      <c r="G819" s="8" t="s">
        <v>7</v>
      </c>
      <c r="H819" s="8" t="s">
        <v>38</v>
      </c>
      <c r="I819" s="9">
        <v>122.99082</v>
      </c>
      <c r="J819">
        <v>18.457723850000001</v>
      </c>
      <c r="K819">
        <v>18.457723850000001</v>
      </c>
      <c r="L819">
        <v>18.457723850000001</v>
      </c>
    </row>
    <row r="820" spans="1:12" x14ac:dyDescent="0.2">
      <c r="A820" s="8" t="s">
        <v>110</v>
      </c>
      <c r="B820" s="8" t="s">
        <v>89</v>
      </c>
      <c r="C820" s="8" t="s">
        <v>195</v>
      </c>
      <c r="D820" s="8" t="s">
        <v>196</v>
      </c>
      <c r="E820" s="8" t="s">
        <v>43</v>
      </c>
      <c r="F820" s="8" t="s">
        <v>44</v>
      </c>
      <c r="G820" s="8" t="s">
        <v>7</v>
      </c>
      <c r="H820" s="8" t="s">
        <v>38</v>
      </c>
      <c r="I820" s="9">
        <v>17148.813999999998</v>
      </c>
      <c r="J820">
        <v>18479.68139863</v>
      </c>
      <c r="K820">
        <v>18958.398164310001</v>
      </c>
      <c r="L820">
        <v>19471.060457407999</v>
      </c>
    </row>
    <row r="821" spans="1:12" x14ac:dyDescent="0.2">
      <c r="A821" s="8" t="s">
        <v>110</v>
      </c>
      <c r="B821" s="8" t="s">
        <v>89</v>
      </c>
      <c r="C821" s="8" t="s">
        <v>195</v>
      </c>
      <c r="D821" s="8" t="s">
        <v>196</v>
      </c>
      <c r="E821" s="8" t="s">
        <v>66</v>
      </c>
      <c r="F821" s="8" t="s">
        <v>67</v>
      </c>
      <c r="G821" s="8" t="s">
        <v>7</v>
      </c>
      <c r="H821" s="8" t="s">
        <v>38</v>
      </c>
      <c r="I821" s="9">
        <v>215.44033999999999</v>
      </c>
      <c r="J821">
        <v>209.37722819000001</v>
      </c>
      <c r="K821">
        <v>228.52472372</v>
      </c>
      <c r="L821">
        <v>218.82404092213</v>
      </c>
    </row>
    <row r="822" spans="1:12" x14ac:dyDescent="0.2">
      <c r="A822" s="8" t="s">
        <v>110</v>
      </c>
      <c r="B822" s="8" t="s">
        <v>89</v>
      </c>
      <c r="C822" s="8" t="s">
        <v>195</v>
      </c>
      <c r="D822" s="8" t="s">
        <v>196</v>
      </c>
      <c r="E822" s="8" t="s">
        <v>45</v>
      </c>
      <c r="F822" s="8" t="s">
        <v>46</v>
      </c>
      <c r="G822" s="8" t="s">
        <v>7</v>
      </c>
      <c r="H822" s="8" t="s">
        <v>38</v>
      </c>
      <c r="I822" s="9">
        <v>12.626536</v>
      </c>
      <c r="J822">
        <v>12.62653626</v>
      </c>
      <c r="K822">
        <v>9.4701356099999998</v>
      </c>
      <c r="L822">
        <v>12.626575779787</v>
      </c>
    </row>
    <row r="823" spans="1:12" x14ac:dyDescent="0.2">
      <c r="A823" s="8" t="s">
        <v>110</v>
      </c>
      <c r="B823" s="8" t="s">
        <v>89</v>
      </c>
      <c r="C823" s="8" t="s">
        <v>195</v>
      </c>
      <c r="D823" s="8" t="s">
        <v>196</v>
      </c>
      <c r="E823" s="8" t="s">
        <v>47</v>
      </c>
      <c r="F823" s="8" t="s">
        <v>48</v>
      </c>
      <c r="G823" s="8" t="s">
        <v>7</v>
      </c>
      <c r="H823" s="8" t="s">
        <v>38</v>
      </c>
      <c r="I823" s="9">
        <v>90.964832000000001</v>
      </c>
      <c r="J823">
        <v>47.110715519999999</v>
      </c>
      <c r="K823">
        <v>22.47866973</v>
      </c>
      <c r="L823">
        <v>1.6183179116505</v>
      </c>
    </row>
    <row r="824" spans="1:12" x14ac:dyDescent="0.2">
      <c r="A824" s="8" t="s">
        <v>110</v>
      </c>
      <c r="B824" s="8" t="s">
        <v>89</v>
      </c>
      <c r="C824" s="8" t="s">
        <v>195</v>
      </c>
      <c r="D824" s="8" t="s">
        <v>196</v>
      </c>
      <c r="E824" s="8" t="s">
        <v>49</v>
      </c>
      <c r="F824" s="8" t="s">
        <v>50</v>
      </c>
      <c r="G824" s="8" t="s">
        <v>7</v>
      </c>
      <c r="H824" s="8" t="s">
        <v>38</v>
      </c>
      <c r="I824" s="9">
        <v>11130.044</v>
      </c>
      <c r="J824">
        <v>11472.827303960001</v>
      </c>
      <c r="K824">
        <v>10366.857315589999</v>
      </c>
      <c r="L824">
        <v>8682.4218824666004</v>
      </c>
    </row>
    <row r="825" spans="1:12" x14ac:dyDescent="0.2">
      <c r="A825" s="8" t="s">
        <v>110</v>
      </c>
      <c r="B825" s="8" t="s">
        <v>89</v>
      </c>
      <c r="C825" s="8" t="s">
        <v>195</v>
      </c>
      <c r="D825" s="8" t="s">
        <v>196</v>
      </c>
      <c r="E825" s="8" t="s">
        <v>51</v>
      </c>
      <c r="F825" s="8" t="s">
        <v>52</v>
      </c>
      <c r="G825" s="8" t="s">
        <v>7</v>
      </c>
      <c r="H825" s="8" t="s">
        <v>38</v>
      </c>
      <c r="I825" s="9">
        <v>132.25821999999999</v>
      </c>
      <c r="J825">
        <v>167.11496523</v>
      </c>
      <c r="K825">
        <v>90.735122309999994</v>
      </c>
      <c r="L825">
        <v>75.868438585202</v>
      </c>
    </row>
    <row r="826" spans="1:12" x14ac:dyDescent="0.2">
      <c r="A826" s="8" t="s">
        <v>110</v>
      </c>
      <c r="B826" s="8" t="s">
        <v>89</v>
      </c>
      <c r="C826" s="8" t="s">
        <v>195</v>
      </c>
      <c r="D826" s="8" t="s">
        <v>196</v>
      </c>
      <c r="E826" s="8" t="s">
        <v>68</v>
      </c>
      <c r="F826" s="8" t="s">
        <v>69</v>
      </c>
      <c r="G826" s="8" t="s">
        <v>7</v>
      </c>
      <c r="H826" s="8" t="s">
        <v>38</v>
      </c>
      <c r="I826" s="9">
        <v>1456.1482000000001</v>
      </c>
      <c r="J826">
        <v>684.65740366366003</v>
      </c>
      <c r="K826">
        <v>667.14290178445003</v>
      </c>
      <c r="L826">
        <v>363.90436323597999</v>
      </c>
    </row>
    <row r="827" spans="1:12" x14ac:dyDescent="0.2">
      <c r="A827" s="8" t="s">
        <v>110</v>
      </c>
      <c r="B827" s="8" t="s">
        <v>89</v>
      </c>
      <c r="C827" s="8" t="s">
        <v>195</v>
      </c>
      <c r="D827" s="8" t="s">
        <v>196</v>
      </c>
      <c r="E827" s="8" t="s">
        <v>53</v>
      </c>
      <c r="F827" s="8" t="s">
        <v>54</v>
      </c>
      <c r="G827" s="8" t="s">
        <v>7</v>
      </c>
      <c r="H827" s="8" t="s">
        <v>38</v>
      </c>
      <c r="I827" s="9">
        <v>319.48059000000001</v>
      </c>
      <c r="J827">
        <v>493.11280548385002</v>
      </c>
      <c r="K827">
        <v>498.79902414889</v>
      </c>
      <c r="L827">
        <v>357.01030723907002</v>
      </c>
    </row>
    <row r="828" spans="1:12" x14ac:dyDescent="0.2">
      <c r="A828" s="8" t="s">
        <v>110</v>
      </c>
      <c r="B828" s="8" t="s">
        <v>89</v>
      </c>
      <c r="C828" s="8" t="s">
        <v>195</v>
      </c>
      <c r="D828" s="8" t="s">
        <v>196</v>
      </c>
      <c r="E828" s="8" t="s">
        <v>70</v>
      </c>
      <c r="F828" s="8" t="s">
        <v>71</v>
      </c>
      <c r="G828" s="8" t="s">
        <v>7</v>
      </c>
      <c r="H828" s="8" t="s">
        <v>38</v>
      </c>
      <c r="I828" s="9">
        <v>1849.1004</v>
      </c>
      <c r="J828">
        <v>1934.3237246878</v>
      </c>
      <c r="K828">
        <v>1833.9404769545999</v>
      </c>
      <c r="L828">
        <v>1831.8715396862001</v>
      </c>
    </row>
    <row r="829" spans="1:12" x14ac:dyDescent="0.2">
      <c r="A829" s="8" t="s">
        <v>110</v>
      </c>
      <c r="B829" s="8" t="s">
        <v>89</v>
      </c>
      <c r="C829" s="8" t="s">
        <v>195</v>
      </c>
      <c r="D829" s="8" t="s">
        <v>196</v>
      </c>
      <c r="E829" s="8" t="s">
        <v>83</v>
      </c>
      <c r="F829" s="8" t="s">
        <v>84</v>
      </c>
      <c r="G829" s="8" t="s">
        <v>7</v>
      </c>
      <c r="H829" s="8" t="s">
        <v>38</v>
      </c>
      <c r="I829" s="9">
        <v>690.75</v>
      </c>
      <c r="J829">
        <v>700.5</v>
      </c>
      <c r="K829">
        <v>591.75</v>
      </c>
      <c r="L829">
        <v>453.75</v>
      </c>
    </row>
    <row r="830" spans="1:12" x14ac:dyDescent="0.2">
      <c r="A830" s="8" t="s">
        <v>110</v>
      </c>
      <c r="B830" s="8" t="s">
        <v>89</v>
      </c>
      <c r="C830" s="8" t="s">
        <v>195</v>
      </c>
      <c r="D830" s="8" t="s">
        <v>196</v>
      </c>
      <c r="E830" s="8" t="s">
        <v>55</v>
      </c>
      <c r="F830" s="8" t="s">
        <v>56</v>
      </c>
      <c r="G830" s="8" t="s">
        <v>7</v>
      </c>
      <c r="H830" s="8" t="s">
        <v>38</v>
      </c>
      <c r="I830" s="9">
        <v>161.24332000000001</v>
      </c>
      <c r="J830">
        <v>168.66087661888</v>
      </c>
      <c r="K830">
        <v>168.66087661888</v>
      </c>
      <c r="L830">
        <v>168.66087661888</v>
      </c>
    </row>
    <row r="831" spans="1:12" x14ac:dyDescent="0.2">
      <c r="A831" s="8" t="s">
        <v>110</v>
      </c>
      <c r="B831" s="8" t="s">
        <v>89</v>
      </c>
      <c r="C831" s="8" t="s">
        <v>195</v>
      </c>
      <c r="D831" s="8" t="s">
        <v>196</v>
      </c>
      <c r="E831" s="8" t="s">
        <v>57</v>
      </c>
      <c r="F831" s="8" t="s">
        <v>58</v>
      </c>
      <c r="G831" s="8" t="s">
        <v>7</v>
      </c>
      <c r="H831" s="8" t="s">
        <v>38</v>
      </c>
      <c r="I831" s="9">
        <v>1265.7981</v>
      </c>
      <c r="J831">
        <v>1324.0276703314</v>
      </c>
      <c r="K831">
        <v>1324.0276703314</v>
      </c>
      <c r="L831">
        <v>1324.0276703314</v>
      </c>
    </row>
    <row r="832" spans="1:12" x14ac:dyDescent="0.2">
      <c r="A832" s="8" t="s">
        <v>110</v>
      </c>
      <c r="B832" s="8" t="s">
        <v>89</v>
      </c>
      <c r="C832" s="8" t="s">
        <v>195</v>
      </c>
      <c r="D832" s="8" t="s">
        <v>196</v>
      </c>
      <c r="E832" s="8" t="s">
        <v>72</v>
      </c>
      <c r="F832" s="8" t="s">
        <v>73</v>
      </c>
      <c r="G832" s="8" t="s">
        <v>7</v>
      </c>
      <c r="H832" s="8" t="s">
        <v>38</v>
      </c>
      <c r="I832" s="9">
        <v>774.93088</v>
      </c>
      <c r="J832">
        <v>998.45641648997002</v>
      </c>
      <c r="K832">
        <v>948.41109788375002</v>
      </c>
      <c r="L832">
        <v>823.54654518815005</v>
      </c>
    </row>
    <row r="833" spans="1:12" x14ac:dyDescent="0.2">
      <c r="A833" s="8" t="s">
        <v>110</v>
      </c>
      <c r="B833" s="8" t="s">
        <v>89</v>
      </c>
      <c r="C833" s="8" t="s">
        <v>195</v>
      </c>
      <c r="D833" s="8" t="s">
        <v>196</v>
      </c>
      <c r="E833" s="8" t="s">
        <v>74</v>
      </c>
      <c r="F833" s="8" t="s">
        <v>75</v>
      </c>
      <c r="G833" s="8" t="s">
        <v>7</v>
      </c>
      <c r="H833" s="8" t="s">
        <v>38</v>
      </c>
      <c r="I833" s="9">
        <v>682.59992999999997</v>
      </c>
      <c r="J833">
        <v>676.31430307999995</v>
      </c>
      <c r="K833">
        <v>564.71634071999995</v>
      </c>
      <c r="L833">
        <v>345.55022327528002</v>
      </c>
    </row>
    <row r="834" spans="1:12" x14ac:dyDescent="0.2">
      <c r="A834" s="8" t="s">
        <v>110</v>
      </c>
      <c r="B834" s="8" t="s">
        <v>89</v>
      </c>
      <c r="C834" s="8" t="s">
        <v>195</v>
      </c>
      <c r="D834" s="8" t="s">
        <v>196</v>
      </c>
      <c r="E834" s="8" t="s">
        <v>59</v>
      </c>
      <c r="F834" s="8" t="s">
        <v>60</v>
      </c>
      <c r="G834" s="8" t="s">
        <v>7</v>
      </c>
      <c r="H834" s="8" t="s">
        <v>38</v>
      </c>
      <c r="I834" s="9">
        <v>167.00032999999999</v>
      </c>
      <c r="J834">
        <v>171.88860695627</v>
      </c>
      <c r="K834">
        <v>157.98428413025999</v>
      </c>
      <c r="L834">
        <v>152.42960969038</v>
      </c>
    </row>
    <row r="835" spans="1:12" x14ac:dyDescent="0.2">
      <c r="A835" s="8" t="s">
        <v>110</v>
      </c>
      <c r="B835" s="8" t="s">
        <v>89</v>
      </c>
      <c r="C835" s="8" t="s">
        <v>195</v>
      </c>
      <c r="D835" s="8" t="s">
        <v>196</v>
      </c>
      <c r="E835" s="8" t="s">
        <v>76</v>
      </c>
      <c r="F835" s="8" t="s">
        <v>77</v>
      </c>
      <c r="G835" s="8" t="s">
        <v>7</v>
      </c>
      <c r="H835" s="8" t="s">
        <v>38</v>
      </c>
      <c r="I835" s="9">
        <v>24.304762</v>
      </c>
      <c r="J835">
        <v>43.057142864516003</v>
      </c>
      <c r="K835">
        <v>44.523809531387997</v>
      </c>
      <c r="L835">
        <v>34.140563709112001</v>
      </c>
    </row>
    <row r="836" spans="1:12" x14ac:dyDescent="0.2">
      <c r="A836" s="8" t="s">
        <v>110</v>
      </c>
      <c r="B836" s="8" t="s">
        <v>89</v>
      </c>
      <c r="C836" s="8" t="s">
        <v>195</v>
      </c>
      <c r="D836" s="8" t="s">
        <v>196</v>
      </c>
      <c r="E836" s="8" t="s">
        <v>78</v>
      </c>
      <c r="F836" s="8" t="s">
        <v>79</v>
      </c>
      <c r="G836" s="8" t="s">
        <v>7</v>
      </c>
      <c r="H836" s="8" t="s">
        <v>38</v>
      </c>
      <c r="I836" s="9">
        <v>124.61426</v>
      </c>
      <c r="J836">
        <v>128.22854811428999</v>
      </c>
      <c r="K836">
        <v>134.67140408571001</v>
      </c>
      <c r="L836">
        <v>136.74568942286001</v>
      </c>
    </row>
    <row r="837" spans="1:12" x14ac:dyDescent="0.2">
      <c r="A837" s="8" t="s">
        <v>110</v>
      </c>
      <c r="B837" s="8" t="s">
        <v>89</v>
      </c>
      <c r="C837" s="8" t="s">
        <v>195</v>
      </c>
      <c r="D837" s="8" t="s">
        <v>196</v>
      </c>
      <c r="E837" s="8" t="s">
        <v>92</v>
      </c>
      <c r="F837" s="8" t="s">
        <v>93</v>
      </c>
      <c r="G837" s="8" t="s">
        <v>7</v>
      </c>
      <c r="H837" s="8" t="s">
        <v>38</v>
      </c>
      <c r="I837" s="9">
        <v>62.465716</v>
      </c>
      <c r="J837">
        <v>56.890235385341001</v>
      </c>
      <c r="K837">
        <v>56.890235385341001</v>
      </c>
      <c r="L837">
        <v>55.265668156952998</v>
      </c>
    </row>
    <row r="838" spans="1:12" x14ac:dyDescent="0.2">
      <c r="A838" s="8" t="s">
        <v>110</v>
      </c>
      <c r="B838" s="8" t="s">
        <v>115</v>
      </c>
      <c r="C838" s="8" t="s">
        <v>197</v>
      </c>
      <c r="D838" s="8" t="s">
        <v>198</v>
      </c>
      <c r="E838" s="8" t="s">
        <v>36</v>
      </c>
      <c r="F838" s="8" t="s">
        <v>37</v>
      </c>
      <c r="G838" s="8" t="s">
        <v>7</v>
      </c>
      <c r="H838" s="8" t="s">
        <v>38</v>
      </c>
      <c r="I838" s="9">
        <v>203956.31</v>
      </c>
      <c r="J838">
        <v>233522.40957931001</v>
      </c>
      <c r="K838">
        <v>238056.38832636</v>
      </c>
      <c r="L838">
        <v>190276.52308118</v>
      </c>
    </row>
    <row r="839" spans="1:12" x14ac:dyDescent="0.2">
      <c r="A839" s="8" t="s">
        <v>110</v>
      </c>
      <c r="B839" s="8" t="s">
        <v>115</v>
      </c>
      <c r="C839" s="8" t="s">
        <v>197</v>
      </c>
      <c r="D839" s="8" t="s">
        <v>198</v>
      </c>
      <c r="E839" s="8" t="s">
        <v>64</v>
      </c>
      <c r="F839" s="8" t="s">
        <v>65</v>
      </c>
      <c r="G839" s="8" t="s">
        <v>7</v>
      </c>
      <c r="H839" s="8" t="s">
        <v>38</v>
      </c>
      <c r="I839" s="9">
        <v>22044.785</v>
      </c>
      <c r="J839">
        <v>21575.80871234</v>
      </c>
      <c r="K839">
        <v>23083.53140322</v>
      </c>
      <c r="L839">
        <v>21016.543997827001</v>
      </c>
    </row>
    <row r="840" spans="1:12" x14ac:dyDescent="0.2">
      <c r="A840" s="8" t="s">
        <v>110</v>
      </c>
      <c r="B840" s="8" t="s">
        <v>115</v>
      </c>
      <c r="C840" s="8" t="s">
        <v>197</v>
      </c>
      <c r="D840" s="8" t="s">
        <v>198</v>
      </c>
      <c r="E840" s="8" t="s">
        <v>39</v>
      </c>
      <c r="F840" s="8" t="s">
        <v>40</v>
      </c>
      <c r="G840" s="8" t="s">
        <v>7</v>
      </c>
      <c r="H840" s="8" t="s">
        <v>38</v>
      </c>
      <c r="I840" s="9">
        <v>93357.660999999993</v>
      </c>
      <c r="J840">
        <v>93744.353102020003</v>
      </c>
      <c r="K840">
        <v>88454.97967606</v>
      </c>
      <c r="L840">
        <v>84156.293398948997</v>
      </c>
    </row>
    <row r="841" spans="1:12" x14ac:dyDescent="0.2">
      <c r="A841" s="8" t="s">
        <v>110</v>
      </c>
      <c r="B841" s="8" t="s">
        <v>115</v>
      </c>
      <c r="C841" s="8" t="s">
        <v>197</v>
      </c>
      <c r="D841" s="8" t="s">
        <v>198</v>
      </c>
      <c r="E841" s="8" t="s">
        <v>41</v>
      </c>
      <c r="F841" s="8" t="s">
        <v>42</v>
      </c>
      <c r="G841" s="8" t="s">
        <v>7</v>
      </c>
      <c r="H841" s="8" t="s">
        <v>38</v>
      </c>
      <c r="I841" s="9">
        <v>1033.0596</v>
      </c>
      <c r="J841">
        <v>756.34891344999005</v>
      </c>
      <c r="K841">
        <v>1023.8305636</v>
      </c>
      <c r="L841">
        <v>1103.7620746970999</v>
      </c>
    </row>
    <row r="842" spans="1:12" x14ac:dyDescent="0.2">
      <c r="A842" s="8" t="s">
        <v>110</v>
      </c>
      <c r="B842" s="8" t="s">
        <v>115</v>
      </c>
      <c r="C842" s="8" t="s">
        <v>197</v>
      </c>
      <c r="D842" s="8" t="s">
        <v>198</v>
      </c>
      <c r="E842" s="8" t="s">
        <v>43</v>
      </c>
      <c r="F842" s="8" t="s">
        <v>44</v>
      </c>
      <c r="G842" s="8" t="s">
        <v>7</v>
      </c>
      <c r="H842" s="8" t="s">
        <v>38</v>
      </c>
      <c r="I842" s="9">
        <v>138765.85999999999</v>
      </c>
      <c r="J842">
        <v>135574.91083728999</v>
      </c>
      <c r="K842">
        <v>136821.7764917</v>
      </c>
      <c r="L842">
        <v>132675.54444304999</v>
      </c>
    </row>
    <row r="843" spans="1:12" x14ac:dyDescent="0.2">
      <c r="A843" s="8" t="s">
        <v>110</v>
      </c>
      <c r="B843" s="8" t="s">
        <v>115</v>
      </c>
      <c r="C843" s="8" t="s">
        <v>197</v>
      </c>
      <c r="D843" s="8" t="s">
        <v>198</v>
      </c>
      <c r="E843" s="8" t="s">
        <v>66</v>
      </c>
      <c r="F843" s="8" t="s">
        <v>67</v>
      </c>
      <c r="G843" s="8" t="s">
        <v>7</v>
      </c>
      <c r="H843" s="8" t="s">
        <v>38</v>
      </c>
      <c r="I843" s="9">
        <v>719.71834999999999</v>
      </c>
      <c r="J843">
        <v>1193.2175689200001</v>
      </c>
      <c r="K843">
        <v>773.38181856000006</v>
      </c>
      <c r="L843">
        <v>741.81499746980001</v>
      </c>
    </row>
    <row r="844" spans="1:12" x14ac:dyDescent="0.2">
      <c r="A844" s="8" t="s">
        <v>110</v>
      </c>
      <c r="B844" s="8" t="s">
        <v>115</v>
      </c>
      <c r="C844" s="8" t="s">
        <v>197</v>
      </c>
      <c r="D844" s="8" t="s">
        <v>198</v>
      </c>
      <c r="E844" s="8" t="s">
        <v>45</v>
      </c>
      <c r="F844" s="8" t="s">
        <v>46</v>
      </c>
      <c r="G844" s="8" t="s">
        <v>7</v>
      </c>
      <c r="H844" s="8" t="s">
        <v>38</v>
      </c>
      <c r="I844" s="9">
        <v>833.35807999999997</v>
      </c>
      <c r="J844">
        <v>1130.08428</v>
      </c>
      <c r="K844">
        <v>726.03177036</v>
      </c>
      <c r="L844">
        <v>729.18843023113004</v>
      </c>
    </row>
    <row r="845" spans="1:12" x14ac:dyDescent="0.2">
      <c r="A845" s="8" t="s">
        <v>110</v>
      </c>
      <c r="B845" s="8" t="s">
        <v>115</v>
      </c>
      <c r="C845" s="8" t="s">
        <v>197</v>
      </c>
      <c r="D845" s="8" t="s">
        <v>198</v>
      </c>
      <c r="E845" s="8" t="s">
        <v>47</v>
      </c>
      <c r="F845" s="8" t="s">
        <v>48</v>
      </c>
      <c r="G845" s="8" t="s">
        <v>7</v>
      </c>
      <c r="H845" s="8" t="s">
        <v>38</v>
      </c>
      <c r="I845" s="9">
        <v>1099.9648999999999</v>
      </c>
      <c r="J845">
        <v>1217.85672254</v>
      </c>
      <c r="K845">
        <v>1612.2642432499999</v>
      </c>
      <c r="L845">
        <v>1386.5587700393</v>
      </c>
    </row>
    <row r="846" spans="1:12" x14ac:dyDescent="0.2">
      <c r="A846" s="8" t="s">
        <v>110</v>
      </c>
      <c r="B846" s="8" t="s">
        <v>115</v>
      </c>
      <c r="C846" s="8" t="s">
        <v>197</v>
      </c>
      <c r="D846" s="8" t="s">
        <v>198</v>
      </c>
      <c r="E846" s="8" t="s">
        <v>49</v>
      </c>
      <c r="F846" s="8" t="s">
        <v>50</v>
      </c>
      <c r="G846" s="8" t="s">
        <v>7</v>
      </c>
      <c r="H846" s="8" t="s">
        <v>38</v>
      </c>
      <c r="I846" s="9">
        <v>131126.57</v>
      </c>
      <c r="J846">
        <v>129238.89997191</v>
      </c>
      <c r="K846">
        <v>121250.05375475</v>
      </c>
      <c r="L846">
        <v>112889.27783609999</v>
      </c>
    </row>
    <row r="847" spans="1:12" x14ac:dyDescent="0.2">
      <c r="A847" s="8" t="s">
        <v>110</v>
      </c>
      <c r="B847" s="8" t="s">
        <v>115</v>
      </c>
      <c r="C847" s="8" t="s">
        <v>197</v>
      </c>
      <c r="D847" s="8" t="s">
        <v>198</v>
      </c>
      <c r="E847" s="8" t="s">
        <v>51</v>
      </c>
      <c r="F847" s="8" t="s">
        <v>52</v>
      </c>
      <c r="G847" s="8" t="s">
        <v>7</v>
      </c>
      <c r="H847" s="8" t="s">
        <v>38</v>
      </c>
      <c r="I847" s="9">
        <v>159.41828000000001</v>
      </c>
      <c r="J847">
        <v>171.61512234</v>
      </c>
      <c r="K847">
        <v>212.22175412999999</v>
      </c>
      <c r="L847">
        <v>196.6533637304</v>
      </c>
    </row>
    <row r="848" spans="1:12" x14ac:dyDescent="0.2">
      <c r="A848" s="8" t="s">
        <v>110</v>
      </c>
      <c r="B848" s="8" t="s">
        <v>115</v>
      </c>
      <c r="C848" s="8" t="s">
        <v>197</v>
      </c>
      <c r="D848" s="8" t="s">
        <v>198</v>
      </c>
      <c r="E848" s="8" t="s">
        <v>68</v>
      </c>
      <c r="F848" s="8" t="s">
        <v>69</v>
      </c>
      <c r="G848" s="8" t="s">
        <v>7</v>
      </c>
      <c r="H848" s="8" t="s">
        <v>38</v>
      </c>
      <c r="I848" s="9">
        <v>4044.1514000000002</v>
      </c>
      <c r="J848">
        <v>3787.8105052885999</v>
      </c>
      <c r="K848">
        <v>3499.6984169881998</v>
      </c>
      <c r="L848">
        <v>2749.2101575383999</v>
      </c>
    </row>
    <row r="849" spans="1:12" x14ac:dyDescent="0.2">
      <c r="A849" s="8" t="s">
        <v>110</v>
      </c>
      <c r="B849" s="8" t="s">
        <v>115</v>
      </c>
      <c r="C849" s="8" t="s">
        <v>197</v>
      </c>
      <c r="D849" s="8" t="s">
        <v>198</v>
      </c>
      <c r="E849" s="8" t="s">
        <v>53</v>
      </c>
      <c r="F849" s="8" t="s">
        <v>54</v>
      </c>
      <c r="G849" s="8" t="s">
        <v>7</v>
      </c>
      <c r="H849" s="8" t="s">
        <v>38</v>
      </c>
      <c r="I849" s="9">
        <v>1443.768</v>
      </c>
      <c r="J849">
        <v>3879.9931120678998</v>
      </c>
      <c r="K849">
        <v>3004.9888547715</v>
      </c>
      <c r="L849">
        <v>2464.2946121993</v>
      </c>
    </row>
    <row r="850" spans="1:12" x14ac:dyDescent="0.2">
      <c r="A850" s="8" t="s">
        <v>110</v>
      </c>
      <c r="B850" s="8" t="s">
        <v>115</v>
      </c>
      <c r="C850" s="8" t="s">
        <v>197</v>
      </c>
      <c r="D850" s="8" t="s">
        <v>198</v>
      </c>
      <c r="E850" s="8" t="s">
        <v>70</v>
      </c>
      <c r="F850" s="8" t="s">
        <v>71</v>
      </c>
      <c r="G850" s="8" t="s">
        <v>7</v>
      </c>
      <c r="H850" s="8" t="s">
        <v>38</v>
      </c>
      <c r="I850" s="9">
        <v>13840.695</v>
      </c>
      <c r="J850">
        <v>13638.262671895</v>
      </c>
      <c r="K850">
        <v>12871.437058071</v>
      </c>
      <c r="L850">
        <v>12856.916305538</v>
      </c>
    </row>
    <row r="851" spans="1:12" x14ac:dyDescent="0.2">
      <c r="A851" s="8" t="s">
        <v>110</v>
      </c>
      <c r="B851" s="8" t="s">
        <v>115</v>
      </c>
      <c r="C851" s="8" t="s">
        <v>197</v>
      </c>
      <c r="D851" s="8" t="s">
        <v>198</v>
      </c>
      <c r="E851" s="8" t="s">
        <v>83</v>
      </c>
      <c r="F851" s="8" t="s">
        <v>84</v>
      </c>
      <c r="G851" s="8" t="s">
        <v>7</v>
      </c>
      <c r="H851" s="8" t="s">
        <v>38</v>
      </c>
      <c r="I851" s="9">
        <v>4200</v>
      </c>
      <c r="J851">
        <v>4425</v>
      </c>
      <c r="K851">
        <v>4237.5</v>
      </c>
      <c r="L851">
        <v>4275</v>
      </c>
    </row>
    <row r="852" spans="1:12" x14ac:dyDescent="0.2">
      <c r="A852" s="8" t="s">
        <v>110</v>
      </c>
      <c r="B852" s="8" t="s">
        <v>115</v>
      </c>
      <c r="C852" s="8" t="s">
        <v>197</v>
      </c>
      <c r="D852" s="8" t="s">
        <v>198</v>
      </c>
      <c r="E852" s="8" t="s">
        <v>55</v>
      </c>
      <c r="F852" s="8" t="s">
        <v>56</v>
      </c>
      <c r="G852" s="8" t="s">
        <v>7</v>
      </c>
      <c r="H852" s="8" t="s">
        <v>38</v>
      </c>
      <c r="I852" s="9">
        <v>735.61</v>
      </c>
      <c r="J852">
        <v>724.99405998083</v>
      </c>
      <c r="K852">
        <v>724.99405998083</v>
      </c>
      <c r="L852">
        <v>724.99405998083</v>
      </c>
    </row>
    <row r="853" spans="1:12" x14ac:dyDescent="0.2">
      <c r="A853" s="8" t="s">
        <v>110</v>
      </c>
      <c r="B853" s="8" t="s">
        <v>115</v>
      </c>
      <c r="C853" s="8" t="s">
        <v>197</v>
      </c>
      <c r="D853" s="8" t="s">
        <v>198</v>
      </c>
      <c r="E853" s="8" t="s">
        <v>57</v>
      </c>
      <c r="F853" s="8" t="s">
        <v>58</v>
      </c>
      <c r="G853" s="8" t="s">
        <v>7</v>
      </c>
      <c r="H853" s="8" t="s">
        <v>38</v>
      </c>
      <c r="I853" s="9">
        <v>1584.3248000000001</v>
      </c>
      <c r="J853">
        <v>1570.480342202</v>
      </c>
      <c r="K853">
        <v>1570.480342202</v>
      </c>
      <c r="L853">
        <v>1570.480342202</v>
      </c>
    </row>
    <row r="854" spans="1:12" x14ac:dyDescent="0.2">
      <c r="A854" s="8" t="s">
        <v>110</v>
      </c>
      <c r="B854" s="8" t="s">
        <v>115</v>
      </c>
      <c r="C854" s="8" t="s">
        <v>197</v>
      </c>
      <c r="D854" s="8" t="s">
        <v>198</v>
      </c>
      <c r="E854" s="8" t="s">
        <v>72</v>
      </c>
      <c r="F854" s="8" t="s">
        <v>73</v>
      </c>
      <c r="G854" s="8" t="s">
        <v>7</v>
      </c>
      <c r="H854" s="8" t="s">
        <v>38</v>
      </c>
      <c r="I854" s="9">
        <v>16301.38</v>
      </c>
      <c r="J854">
        <v>16865.161859850999</v>
      </c>
      <c r="K854">
        <v>13751.696127364001</v>
      </c>
      <c r="L854">
        <v>13929.232490696</v>
      </c>
    </row>
    <row r="855" spans="1:12" x14ac:dyDescent="0.2">
      <c r="A855" s="8" t="s">
        <v>110</v>
      </c>
      <c r="B855" s="8" t="s">
        <v>115</v>
      </c>
      <c r="C855" s="8" t="s">
        <v>197</v>
      </c>
      <c r="D855" s="8" t="s">
        <v>198</v>
      </c>
      <c r="E855" s="8" t="s">
        <v>74</v>
      </c>
      <c r="F855" s="8" t="s">
        <v>75</v>
      </c>
      <c r="G855" s="8" t="s">
        <v>7</v>
      </c>
      <c r="H855" s="8" t="s">
        <v>38</v>
      </c>
      <c r="I855" s="9">
        <v>4023.0726</v>
      </c>
      <c r="J855">
        <v>4894.4049739357997</v>
      </c>
      <c r="K855">
        <v>3852.3002239162001</v>
      </c>
      <c r="L855">
        <v>3495.8106109676</v>
      </c>
    </row>
    <row r="856" spans="1:12" x14ac:dyDescent="0.2">
      <c r="A856" s="8" t="s">
        <v>110</v>
      </c>
      <c r="B856" s="8" t="s">
        <v>115</v>
      </c>
      <c r="C856" s="8" t="s">
        <v>197</v>
      </c>
      <c r="D856" s="8" t="s">
        <v>198</v>
      </c>
      <c r="E856" s="8" t="s">
        <v>59</v>
      </c>
      <c r="F856" s="8" t="s">
        <v>60</v>
      </c>
      <c r="G856" s="8" t="s">
        <v>7</v>
      </c>
      <c r="H856" s="8" t="s">
        <v>38</v>
      </c>
      <c r="I856" s="9">
        <v>2083.7968000000001</v>
      </c>
      <c r="J856">
        <v>2124.1885359092998</v>
      </c>
      <c r="K856">
        <v>1880.2087842849</v>
      </c>
      <c r="L856">
        <v>1770.4634461124001</v>
      </c>
    </row>
    <row r="857" spans="1:12" x14ac:dyDescent="0.2">
      <c r="A857" s="8" t="s">
        <v>110</v>
      </c>
      <c r="B857" s="8" t="s">
        <v>115</v>
      </c>
      <c r="C857" s="8" t="s">
        <v>197</v>
      </c>
      <c r="D857" s="8" t="s">
        <v>198</v>
      </c>
      <c r="E857" s="8" t="s">
        <v>76</v>
      </c>
      <c r="F857" s="8" t="s">
        <v>77</v>
      </c>
      <c r="G857" s="8" t="s">
        <v>7</v>
      </c>
      <c r="H857" s="8" t="s">
        <v>38</v>
      </c>
      <c r="I857" s="9">
        <v>463.04761999999999</v>
      </c>
      <c r="J857">
        <v>356.81904771329999</v>
      </c>
      <c r="K857">
        <v>391.18095248417001</v>
      </c>
      <c r="L857">
        <v>394.64273082474</v>
      </c>
    </row>
    <row r="858" spans="1:12" x14ac:dyDescent="0.2">
      <c r="A858" s="8" t="s">
        <v>110</v>
      </c>
      <c r="B858" s="8" t="s">
        <v>115</v>
      </c>
      <c r="C858" s="8" t="s">
        <v>197</v>
      </c>
      <c r="D858" s="8" t="s">
        <v>198</v>
      </c>
      <c r="E858" s="8" t="s">
        <v>78</v>
      </c>
      <c r="F858" s="8" t="s">
        <v>79</v>
      </c>
      <c r="G858" s="8" t="s">
        <v>7</v>
      </c>
      <c r="H858" s="8" t="s">
        <v>38</v>
      </c>
      <c r="I858" s="9">
        <v>271.22852</v>
      </c>
      <c r="J858">
        <v>274.37137868571</v>
      </c>
      <c r="K858">
        <v>289.61423305713998</v>
      </c>
      <c r="L858">
        <v>256.42566766286001</v>
      </c>
    </row>
    <row r="859" spans="1:12" x14ac:dyDescent="0.2">
      <c r="A859" s="8" t="s">
        <v>32</v>
      </c>
      <c r="B859" s="8" t="s">
        <v>120</v>
      </c>
      <c r="C859" s="8" t="s">
        <v>199</v>
      </c>
      <c r="D859" s="8" t="s">
        <v>200</v>
      </c>
      <c r="E859" s="8" t="s">
        <v>36</v>
      </c>
      <c r="F859" s="8" t="s">
        <v>37</v>
      </c>
      <c r="G859" s="8" t="s">
        <v>7</v>
      </c>
      <c r="H859" s="8" t="s">
        <v>38</v>
      </c>
      <c r="I859" s="9">
        <v>136.48267999999999</v>
      </c>
      <c r="J859">
        <v>127.73333027196</v>
      </c>
      <c r="K859">
        <v>127.1517651436</v>
      </c>
      <c r="L859">
        <v>129.65306178162999</v>
      </c>
    </row>
    <row r="860" spans="1:12" x14ac:dyDescent="0.2">
      <c r="A860" s="8" t="s">
        <v>32</v>
      </c>
      <c r="B860" s="8" t="s">
        <v>120</v>
      </c>
      <c r="C860" s="8" t="s">
        <v>199</v>
      </c>
      <c r="D860" s="8" t="s">
        <v>200</v>
      </c>
      <c r="E860" s="8" t="s">
        <v>64</v>
      </c>
      <c r="F860" s="8" t="s">
        <v>65</v>
      </c>
      <c r="G860" s="8" t="s">
        <v>7</v>
      </c>
      <c r="H860" s="8" t="s">
        <v>38</v>
      </c>
      <c r="I860" s="9"/>
    </row>
    <row r="861" spans="1:12" x14ac:dyDescent="0.2">
      <c r="A861" s="8" t="s">
        <v>32</v>
      </c>
      <c r="B861" s="8" t="s">
        <v>120</v>
      </c>
      <c r="C861" s="8" t="s">
        <v>199</v>
      </c>
      <c r="D861" s="8" t="s">
        <v>200</v>
      </c>
      <c r="E861" s="8" t="s">
        <v>39</v>
      </c>
      <c r="F861" s="8" t="s">
        <v>40</v>
      </c>
      <c r="G861" s="8" t="s">
        <v>7</v>
      </c>
      <c r="H861" s="8" t="s">
        <v>38</v>
      </c>
      <c r="I861" s="9">
        <v>82.040775999999994</v>
      </c>
      <c r="J861">
        <v>82.312741432994002</v>
      </c>
      <c r="K861">
        <v>82.155622735224995</v>
      </c>
      <c r="L861">
        <v>83.771766897370995</v>
      </c>
    </row>
    <row r="862" spans="1:12" x14ac:dyDescent="0.2">
      <c r="A862" s="8" t="s">
        <v>32</v>
      </c>
      <c r="B862" s="8" t="s">
        <v>120</v>
      </c>
      <c r="C862" s="8" t="s">
        <v>199</v>
      </c>
      <c r="D862" s="8" t="s">
        <v>200</v>
      </c>
      <c r="E862" s="8" t="s">
        <v>41</v>
      </c>
      <c r="F862" s="8" t="s">
        <v>42</v>
      </c>
      <c r="G862" s="8" t="s">
        <v>7</v>
      </c>
      <c r="H862" s="8" t="s">
        <v>38</v>
      </c>
      <c r="I862" s="9">
        <v>2.9047841999999999</v>
      </c>
      <c r="J862">
        <v>3.2510665120890998</v>
      </c>
      <c r="K862">
        <v>3.1593061619874998</v>
      </c>
      <c r="L862">
        <v>3.5606785571436999</v>
      </c>
    </row>
    <row r="863" spans="1:12" x14ac:dyDescent="0.2">
      <c r="A863" s="8" t="s">
        <v>32</v>
      </c>
      <c r="B863" s="8" t="s">
        <v>120</v>
      </c>
      <c r="C863" s="8" t="s">
        <v>199</v>
      </c>
      <c r="D863" s="8" t="s">
        <v>200</v>
      </c>
      <c r="E863" s="8" t="s">
        <v>43</v>
      </c>
      <c r="F863" s="8" t="s">
        <v>44</v>
      </c>
      <c r="G863" s="8" t="s">
        <v>7</v>
      </c>
      <c r="H863" s="8" t="s">
        <v>38</v>
      </c>
      <c r="I863" s="9">
        <v>338.82711</v>
      </c>
      <c r="J863">
        <v>369.15782513413001</v>
      </c>
      <c r="K863">
        <v>370.25264974241998</v>
      </c>
      <c r="L863">
        <v>377.53616410794001</v>
      </c>
    </row>
    <row r="864" spans="1:12" x14ac:dyDescent="0.2">
      <c r="A864" s="8" t="s">
        <v>32</v>
      </c>
      <c r="B864" s="8" t="s">
        <v>120</v>
      </c>
      <c r="C864" s="8" t="s">
        <v>199</v>
      </c>
      <c r="D864" s="8" t="s">
        <v>200</v>
      </c>
      <c r="E864" s="8" t="s">
        <v>66</v>
      </c>
      <c r="F864" s="8" t="s">
        <v>67</v>
      </c>
      <c r="G864" s="8" t="s">
        <v>7</v>
      </c>
      <c r="H864" s="8" t="s">
        <v>38</v>
      </c>
      <c r="I864" s="9">
        <v>16.484649999999998</v>
      </c>
      <c r="J864">
        <v>16.638405220437999</v>
      </c>
      <c r="K864">
        <v>15.768057627160999</v>
      </c>
      <c r="L864">
        <v>16.078242778633999</v>
      </c>
    </row>
    <row r="865" spans="1:12" x14ac:dyDescent="0.2">
      <c r="A865" s="8" t="s">
        <v>32</v>
      </c>
      <c r="B865" s="8" t="s">
        <v>120</v>
      </c>
      <c r="C865" s="8" t="s">
        <v>199</v>
      </c>
      <c r="D865" s="8" t="s">
        <v>200</v>
      </c>
      <c r="E865" s="8" t="s">
        <v>45</v>
      </c>
      <c r="F865" s="8" t="s">
        <v>46</v>
      </c>
      <c r="G865" s="8" t="s">
        <v>7</v>
      </c>
      <c r="H865" s="8" t="s">
        <v>38</v>
      </c>
      <c r="I865" s="9">
        <v>3.5604475999999998</v>
      </c>
      <c r="J865">
        <v>3.6056341492214998</v>
      </c>
      <c r="K865">
        <v>3.4796957747341</v>
      </c>
      <c r="L865">
        <v>3.2598409431873998</v>
      </c>
    </row>
    <row r="866" spans="1:12" x14ac:dyDescent="0.2">
      <c r="A866" s="8" t="s">
        <v>32</v>
      </c>
      <c r="B866" s="8" t="s">
        <v>120</v>
      </c>
      <c r="C866" s="8" t="s">
        <v>199</v>
      </c>
      <c r="D866" s="8" t="s">
        <v>200</v>
      </c>
      <c r="E866" s="8" t="s">
        <v>47</v>
      </c>
      <c r="F866" s="8" t="s">
        <v>48</v>
      </c>
      <c r="G866" s="8" t="s">
        <v>7</v>
      </c>
      <c r="H866" s="8" t="s">
        <v>38</v>
      </c>
      <c r="I866" s="9">
        <v>4.0729981000000004</v>
      </c>
      <c r="J866">
        <v>4.5685806981291996</v>
      </c>
      <c r="K866">
        <v>4.7140847426286996</v>
      </c>
      <c r="L866">
        <v>4.8068189984592999</v>
      </c>
    </row>
    <row r="867" spans="1:12" x14ac:dyDescent="0.2">
      <c r="A867" s="8" t="s">
        <v>32</v>
      </c>
      <c r="B867" s="8" t="s">
        <v>120</v>
      </c>
      <c r="C867" s="8" t="s">
        <v>199</v>
      </c>
      <c r="D867" s="8" t="s">
        <v>200</v>
      </c>
      <c r="E867" s="8" t="s">
        <v>49</v>
      </c>
      <c r="F867" s="8" t="s">
        <v>50</v>
      </c>
      <c r="G867" s="8" t="s">
        <v>7</v>
      </c>
      <c r="H867" s="8" t="s">
        <v>38</v>
      </c>
      <c r="I867" s="9">
        <v>36.604039999999998</v>
      </c>
      <c r="J867">
        <v>38.151035370846998</v>
      </c>
      <c r="K867">
        <v>40.499152813915003</v>
      </c>
      <c r="L867">
        <v>41.295841673581002</v>
      </c>
    </row>
    <row r="868" spans="1:12" x14ac:dyDescent="0.2">
      <c r="A868" s="8" t="s">
        <v>32</v>
      </c>
      <c r="B868" s="8" t="s">
        <v>120</v>
      </c>
      <c r="C868" s="8" t="s">
        <v>199</v>
      </c>
      <c r="D868" s="8" t="s">
        <v>200</v>
      </c>
      <c r="E868" s="8" t="s">
        <v>51</v>
      </c>
      <c r="F868" s="8" t="s">
        <v>52</v>
      </c>
      <c r="G868" s="8" t="s">
        <v>7</v>
      </c>
      <c r="H868" s="8" t="s">
        <v>38</v>
      </c>
      <c r="I868" s="9">
        <v>28.204661999999999</v>
      </c>
      <c r="J868">
        <v>22.937011800562001</v>
      </c>
      <c r="K868">
        <v>29.266085794418998</v>
      </c>
      <c r="L868">
        <v>29.841800664939001</v>
      </c>
    </row>
    <row r="869" spans="1:12" x14ac:dyDescent="0.2">
      <c r="A869" s="8" t="s">
        <v>32</v>
      </c>
      <c r="B869" s="8" t="s">
        <v>120</v>
      </c>
      <c r="C869" s="8" t="s">
        <v>199</v>
      </c>
      <c r="D869" s="8" t="s">
        <v>200</v>
      </c>
      <c r="E869" s="8" t="s">
        <v>53</v>
      </c>
      <c r="F869" s="8" t="s">
        <v>54</v>
      </c>
      <c r="G869" s="8" t="s">
        <v>7</v>
      </c>
      <c r="H869" s="8" t="s">
        <v>38</v>
      </c>
      <c r="I869" s="9"/>
    </row>
    <row r="870" spans="1:12" x14ac:dyDescent="0.2">
      <c r="A870" s="8" t="s">
        <v>32</v>
      </c>
      <c r="B870" s="8" t="s">
        <v>120</v>
      </c>
      <c r="C870" s="8" t="s">
        <v>199</v>
      </c>
      <c r="D870" s="8" t="s">
        <v>200</v>
      </c>
      <c r="E870" s="8" t="s">
        <v>70</v>
      </c>
      <c r="F870" s="8" t="s">
        <v>71</v>
      </c>
      <c r="G870" s="8" t="s">
        <v>7</v>
      </c>
      <c r="H870" s="8" t="s">
        <v>38</v>
      </c>
      <c r="I870" s="9">
        <v>93.749222000000003</v>
      </c>
      <c r="J870">
        <v>148.43626766</v>
      </c>
      <c r="K870">
        <v>187.49844336000001</v>
      </c>
      <c r="L870">
        <v>187.28691930996001</v>
      </c>
    </row>
    <row r="871" spans="1:12" x14ac:dyDescent="0.2">
      <c r="A871" s="8" t="s">
        <v>32</v>
      </c>
      <c r="B871" s="8" t="s">
        <v>120</v>
      </c>
      <c r="C871" s="8" t="s">
        <v>199</v>
      </c>
      <c r="D871" s="8" t="s">
        <v>200</v>
      </c>
      <c r="E871" s="8" t="s">
        <v>55</v>
      </c>
      <c r="F871" s="8" t="s">
        <v>56</v>
      </c>
      <c r="G871" s="8" t="s">
        <v>7</v>
      </c>
      <c r="H871" s="8" t="s">
        <v>38</v>
      </c>
      <c r="I871" s="9">
        <v>4.3864399999999998E-2</v>
      </c>
      <c r="J871">
        <v>4.9129295599325003E-2</v>
      </c>
      <c r="K871">
        <v>4.9129295599325003E-2</v>
      </c>
      <c r="L871">
        <v>4.9129295599325003E-2</v>
      </c>
    </row>
    <row r="872" spans="1:12" x14ac:dyDescent="0.2">
      <c r="A872" s="8" t="s">
        <v>32</v>
      </c>
      <c r="B872" s="8" t="s">
        <v>120</v>
      </c>
      <c r="C872" s="8" t="s">
        <v>199</v>
      </c>
      <c r="D872" s="8" t="s">
        <v>200</v>
      </c>
      <c r="E872" s="8" t="s">
        <v>59</v>
      </c>
      <c r="F872" s="8" t="s">
        <v>60</v>
      </c>
      <c r="G872" s="8" t="s">
        <v>7</v>
      </c>
      <c r="H872" s="8" t="s">
        <v>38</v>
      </c>
      <c r="I872" s="9">
        <v>2.9118433000000001</v>
      </c>
      <c r="J872">
        <v>2.8754590259285</v>
      </c>
      <c r="K872">
        <v>2.8482526142720999</v>
      </c>
      <c r="L872">
        <v>2.8590377727219001</v>
      </c>
    </row>
    <row r="873" spans="1:12" x14ac:dyDescent="0.2">
      <c r="A873" s="8" t="s">
        <v>32</v>
      </c>
      <c r="B873" s="8" t="s">
        <v>33</v>
      </c>
      <c r="C873" s="8" t="s">
        <v>201</v>
      </c>
      <c r="D873" s="8" t="s">
        <v>202</v>
      </c>
      <c r="E873" s="8" t="s">
        <v>36</v>
      </c>
      <c r="F873" s="8" t="s">
        <v>37</v>
      </c>
      <c r="G873" s="8" t="s">
        <v>7</v>
      </c>
      <c r="H873" s="8" t="s">
        <v>38</v>
      </c>
      <c r="I873" s="9">
        <v>38.996780000000001</v>
      </c>
      <c r="J873">
        <v>37.970202319335002</v>
      </c>
      <c r="K873">
        <v>40.470632851600001</v>
      </c>
      <c r="L873">
        <v>40.388684390279003</v>
      </c>
    </row>
    <row r="874" spans="1:12" x14ac:dyDescent="0.2">
      <c r="A874" s="8" t="s">
        <v>32</v>
      </c>
      <c r="B874" s="8" t="s">
        <v>33</v>
      </c>
      <c r="C874" s="8" t="s">
        <v>201</v>
      </c>
      <c r="D874" s="8" t="s">
        <v>202</v>
      </c>
      <c r="E874" s="8" t="s">
        <v>39</v>
      </c>
      <c r="F874" s="8" t="s">
        <v>40</v>
      </c>
      <c r="G874" s="8" t="s">
        <v>7</v>
      </c>
      <c r="H874" s="8" t="s">
        <v>38</v>
      </c>
      <c r="I874" s="9">
        <v>4.4471748</v>
      </c>
      <c r="J874">
        <v>5.1338018090373998</v>
      </c>
      <c r="K874">
        <v>5.4719158126023002</v>
      </c>
      <c r="L874">
        <v>5.4608358010054996</v>
      </c>
    </row>
    <row r="875" spans="1:12" x14ac:dyDescent="0.2">
      <c r="A875" s="8" t="s">
        <v>32</v>
      </c>
      <c r="B875" s="8" t="s">
        <v>33</v>
      </c>
      <c r="C875" s="8" t="s">
        <v>201</v>
      </c>
      <c r="D875" s="8" t="s">
        <v>202</v>
      </c>
      <c r="E875" s="8" t="s">
        <v>41</v>
      </c>
      <c r="F875" s="8" t="s">
        <v>42</v>
      </c>
      <c r="G875" s="8" t="s">
        <v>7</v>
      </c>
      <c r="H875" s="8" t="s">
        <v>38</v>
      </c>
      <c r="I875" s="9">
        <v>1.8779473</v>
      </c>
      <c r="J875">
        <v>1.871899604172</v>
      </c>
      <c r="K875">
        <v>1.9951838793551</v>
      </c>
      <c r="L875">
        <v>2.2780399596730998</v>
      </c>
    </row>
    <row r="876" spans="1:12" x14ac:dyDescent="0.2">
      <c r="A876" s="8" t="s">
        <v>32</v>
      </c>
      <c r="B876" s="8" t="s">
        <v>33</v>
      </c>
      <c r="C876" s="8" t="s">
        <v>201</v>
      </c>
      <c r="D876" s="8" t="s">
        <v>202</v>
      </c>
      <c r="E876" s="8" t="s">
        <v>43</v>
      </c>
      <c r="F876" s="8" t="s">
        <v>44</v>
      </c>
      <c r="G876" s="8" t="s">
        <v>7</v>
      </c>
      <c r="H876" s="8" t="s">
        <v>38</v>
      </c>
      <c r="I876" s="9">
        <v>21.496881999999999</v>
      </c>
      <c r="J876">
        <v>21.476602668129001</v>
      </c>
      <c r="K876">
        <v>22.891099837824001</v>
      </c>
      <c r="L876">
        <v>22.844747945662</v>
      </c>
    </row>
    <row r="877" spans="1:12" x14ac:dyDescent="0.2">
      <c r="A877" s="8" t="s">
        <v>32</v>
      </c>
      <c r="B877" s="8" t="s">
        <v>33</v>
      </c>
      <c r="C877" s="8" t="s">
        <v>201</v>
      </c>
      <c r="D877" s="8" t="s">
        <v>202</v>
      </c>
      <c r="E877" s="8" t="s">
        <v>45</v>
      </c>
      <c r="F877" s="8" t="s">
        <v>46</v>
      </c>
      <c r="G877" s="8" t="s">
        <v>7</v>
      </c>
      <c r="H877" s="8" t="s">
        <v>38</v>
      </c>
      <c r="I877" s="9">
        <v>1.6518292999999999</v>
      </c>
      <c r="J877">
        <v>1.605305537125</v>
      </c>
      <c r="K877">
        <v>1.711048002084</v>
      </c>
      <c r="L877">
        <v>1.8233303092727999</v>
      </c>
    </row>
    <row r="878" spans="1:12" x14ac:dyDescent="0.2">
      <c r="A878" s="8" t="s">
        <v>32</v>
      </c>
      <c r="B878" s="8" t="s">
        <v>33</v>
      </c>
      <c r="C878" s="8" t="s">
        <v>201</v>
      </c>
      <c r="D878" s="8" t="s">
        <v>202</v>
      </c>
      <c r="E878" s="8" t="s">
        <v>47</v>
      </c>
      <c r="F878" s="8" t="s">
        <v>48</v>
      </c>
      <c r="G878" s="8" t="s">
        <v>7</v>
      </c>
      <c r="H878" s="8" t="s">
        <v>38</v>
      </c>
      <c r="I878" s="9">
        <v>0.7093294</v>
      </c>
      <c r="J878">
        <v>0.64774943059854995</v>
      </c>
      <c r="K878">
        <v>0.69042392335326996</v>
      </c>
      <c r="L878">
        <v>0.68902589287556004</v>
      </c>
    </row>
    <row r="879" spans="1:12" x14ac:dyDescent="0.2">
      <c r="A879" s="8" t="s">
        <v>32</v>
      </c>
      <c r="B879" s="8" t="s">
        <v>33</v>
      </c>
      <c r="C879" s="8" t="s">
        <v>201</v>
      </c>
      <c r="D879" s="8" t="s">
        <v>202</v>
      </c>
      <c r="E879" s="8" t="s">
        <v>49</v>
      </c>
      <c r="F879" s="8" t="s">
        <v>50</v>
      </c>
      <c r="G879" s="8" t="s">
        <v>7</v>
      </c>
      <c r="H879" s="8" t="s">
        <v>38</v>
      </c>
      <c r="I879" s="9">
        <v>5.9120626999999999</v>
      </c>
      <c r="J879">
        <v>5.7368623820945999</v>
      </c>
      <c r="K879">
        <v>5.9147724707164997</v>
      </c>
      <c r="L879">
        <v>5.9027957243972002</v>
      </c>
    </row>
    <row r="880" spans="1:12" x14ac:dyDescent="0.2">
      <c r="A880" s="8" t="s">
        <v>32</v>
      </c>
      <c r="B880" s="8" t="s">
        <v>33</v>
      </c>
      <c r="C880" s="8" t="s">
        <v>201</v>
      </c>
      <c r="D880" s="8" t="s">
        <v>202</v>
      </c>
      <c r="E880" s="8" t="s">
        <v>51</v>
      </c>
      <c r="F880" s="8" t="s">
        <v>52</v>
      </c>
      <c r="G880" s="8" t="s">
        <v>7</v>
      </c>
      <c r="H880" s="8" t="s">
        <v>38</v>
      </c>
      <c r="I880" s="9">
        <v>0.45372770000000001</v>
      </c>
      <c r="J880">
        <v>0.47727256624645997</v>
      </c>
      <c r="K880">
        <v>0.50870180622433003</v>
      </c>
      <c r="L880">
        <v>0.50767174251257996</v>
      </c>
    </row>
    <row r="881" spans="1:12" x14ac:dyDescent="0.2">
      <c r="A881" s="8" t="s">
        <v>32</v>
      </c>
      <c r="B881" s="8" t="s">
        <v>33</v>
      </c>
      <c r="C881" s="8" t="s">
        <v>201</v>
      </c>
      <c r="D881" s="8" t="s">
        <v>202</v>
      </c>
      <c r="E881" s="8" t="s">
        <v>53</v>
      </c>
      <c r="F881" s="8" t="s">
        <v>54</v>
      </c>
      <c r="G881" s="8" t="s">
        <v>7</v>
      </c>
      <c r="H881" s="8" t="s">
        <v>38</v>
      </c>
      <c r="I881" s="9"/>
    </row>
    <row r="882" spans="1:12" x14ac:dyDescent="0.2">
      <c r="A882" s="8" t="s">
        <v>32</v>
      </c>
      <c r="B882" s="8" t="s">
        <v>33</v>
      </c>
      <c r="C882" s="8" t="s">
        <v>201</v>
      </c>
      <c r="D882" s="8" t="s">
        <v>202</v>
      </c>
      <c r="E882" s="8" t="s">
        <v>55</v>
      </c>
      <c r="F882" s="8" t="s">
        <v>56</v>
      </c>
      <c r="G882" s="8" t="s">
        <v>7</v>
      </c>
      <c r="H882" s="8" t="s">
        <v>38</v>
      </c>
      <c r="I882" s="9">
        <v>3.6755999999999998E-3</v>
      </c>
      <c r="J882">
        <v>3.6884855925464E-3</v>
      </c>
      <c r="K882">
        <v>3.7014308967567001E-3</v>
      </c>
      <c r="L882">
        <v>3.7141499505201001E-3</v>
      </c>
    </row>
    <row r="883" spans="1:12" x14ac:dyDescent="0.2">
      <c r="A883" s="8" t="s">
        <v>32</v>
      </c>
      <c r="B883" s="8" t="s">
        <v>33</v>
      </c>
      <c r="C883" s="8" t="s">
        <v>201</v>
      </c>
      <c r="D883" s="8" t="s">
        <v>202</v>
      </c>
      <c r="E883" s="8" t="s">
        <v>57</v>
      </c>
      <c r="F883" s="8" t="s">
        <v>58</v>
      </c>
      <c r="G883" s="8" t="s">
        <v>7</v>
      </c>
      <c r="H883" s="8" t="s">
        <v>38</v>
      </c>
      <c r="I883" s="9"/>
    </row>
    <row r="884" spans="1:12" x14ac:dyDescent="0.2">
      <c r="A884" s="8" t="s">
        <v>32</v>
      </c>
      <c r="B884" s="8" t="s">
        <v>33</v>
      </c>
      <c r="C884" s="8" t="s">
        <v>201</v>
      </c>
      <c r="D884" s="8" t="s">
        <v>202</v>
      </c>
      <c r="E884" s="8" t="s">
        <v>59</v>
      </c>
      <c r="F884" s="8" t="s">
        <v>60</v>
      </c>
      <c r="G884" s="8" t="s">
        <v>7</v>
      </c>
      <c r="H884" s="8" t="s">
        <v>38</v>
      </c>
      <c r="I884" s="9">
        <v>1.4465965999999999</v>
      </c>
      <c r="J884">
        <v>1.4411119750150001</v>
      </c>
      <c r="K884">
        <v>1.4519745751936</v>
      </c>
      <c r="L884">
        <v>1.4591993025262</v>
      </c>
    </row>
    <row r="885" spans="1:12" x14ac:dyDescent="0.2">
      <c r="A885" s="8" t="s">
        <v>32</v>
      </c>
      <c r="B885" s="8" t="s">
        <v>33</v>
      </c>
      <c r="C885" s="8" t="s">
        <v>201</v>
      </c>
      <c r="D885" s="8" t="s">
        <v>202</v>
      </c>
      <c r="E885" s="8" t="s">
        <v>92</v>
      </c>
      <c r="F885" s="8" t="s">
        <v>93</v>
      </c>
      <c r="G885" s="8" t="s">
        <v>7</v>
      </c>
      <c r="H885" s="8" t="s">
        <v>38</v>
      </c>
      <c r="I885" s="9">
        <v>7.7570700000000006E-2</v>
      </c>
      <c r="J885">
        <v>7.8508489502858006E-2</v>
      </c>
      <c r="K885">
        <v>7.8508489502858006E-2</v>
      </c>
      <c r="L885">
        <v>7.9123862430691E-2</v>
      </c>
    </row>
    <row r="886" spans="1:12" x14ac:dyDescent="0.2">
      <c r="A886" s="8" t="s">
        <v>110</v>
      </c>
      <c r="B886" s="8" t="s">
        <v>115</v>
      </c>
      <c r="C886" s="8" t="s">
        <v>203</v>
      </c>
      <c r="D886" s="8" t="s">
        <v>204</v>
      </c>
      <c r="E886" s="8" t="s">
        <v>36</v>
      </c>
      <c r="F886" s="8" t="s">
        <v>37</v>
      </c>
      <c r="G886" s="8" t="s">
        <v>7</v>
      </c>
      <c r="H886" s="8" t="s">
        <v>38</v>
      </c>
      <c r="I886" s="9">
        <v>5681.0459000000001</v>
      </c>
      <c r="J886">
        <v>6735.9705275200004</v>
      </c>
      <c r="K886">
        <v>6460.8674774399997</v>
      </c>
      <c r="L886">
        <v>4897.1047522871004</v>
      </c>
    </row>
    <row r="887" spans="1:12" x14ac:dyDescent="0.2">
      <c r="A887" s="8" t="s">
        <v>110</v>
      </c>
      <c r="B887" s="8" t="s">
        <v>115</v>
      </c>
      <c r="C887" s="8" t="s">
        <v>203</v>
      </c>
      <c r="D887" s="8" t="s">
        <v>204</v>
      </c>
      <c r="E887" s="8" t="s">
        <v>64</v>
      </c>
      <c r="F887" s="8" t="s">
        <v>65</v>
      </c>
      <c r="G887" s="8" t="s">
        <v>7</v>
      </c>
      <c r="H887" s="8" t="s">
        <v>38</v>
      </c>
      <c r="I887" s="9">
        <v>1545.8515</v>
      </c>
      <c r="J887">
        <v>1613.6815729499999</v>
      </c>
      <c r="K887">
        <v>1578.6047125499999</v>
      </c>
      <c r="L887">
        <v>1513.1810913618001</v>
      </c>
    </row>
    <row r="888" spans="1:12" x14ac:dyDescent="0.2">
      <c r="A888" s="8" t="s">
        <v>110</v>
      </c>
      <c r="B888" s="8" t="s">
        <v>115</v>
      </c>
      <c r="C888" s="8" t="s">
        <v>203</v>
      </c>
      <c r="D888" s="8" t="s">
        <v>204</v>
      </c>
      <c r="E888" s="8" t="s">
        <v>39</v>
      </c>
      <c r="F888" s="8" t="s">
        <v>40</v>
      </c>
      <c r="G888" s="8" t="s">
        <v>7</v>
      </c>
      <c r="H888" s="8" t="s">
        <v>38</v>
      </c>
      <c r="I888" s="9">
        <v>3741.6745999999998</v>
      </c>
      <c r="J888">
        <v>4074.4501355299999</v>
      </c>
      <c r="K888">
        <v>3821.9670695899999</v>
      </c>
      <c r="L888">
        <v>3345.5231800902002</v>
      </c>
    </row>
    <row r="889" spans="1:12" x14ac:dyDescent="0.2">
      <c r="A889" s="8" t="s">
        <v>110</v>
      </c>
      <c r="B889" s="8" t="s">
        <v>115</v>
      </c>
      <c r="C889" s="8" t="s">
        <v>203</v>
      </c>
      <c r="D889" s="8" t="s">
        <v>204</v>
      </c>
      <c r="E889" s="8" t="s">
        <v>41</v>
      </c>
      <c r="F889" s="8" t="s">
        <v>42</v>
      </c>
      <c r="G889" s="8" t="s">
        <v>7</v>
      </c>
      <c r="H889" s="8" t="s">
        <v>38</v>
      </c>
      <c r="I889" s="9">
        <v>50.479309000000001</v>
      </c>
      <c r="J889">
        <v>54.080742700000002</v>
      </c>
      <c r="K889">
        <v>72.589585</v>
      </c>
      <c r="L889">
        <v>72.687868524655997</v>
      </c>
    </row>
    <row r="890" spans="1:12" x14ac:dyDescent="0.2">
      <c r="A890" s="8" t="s">
        <v>110</v>
      </c>
      <c r="B890" s="8" t="s">
        <v>115</v>
      </c>
      <c r="C890" s="8" t="s">
        <v>203</v>
      </c>
      <c r="D890" s="8" t="s">
        <v>204</v>
      </c>
      <c r="E890" s="8" t="s">
        <v>43</v>
      </c>
      <c r="F890" s="8" t="s">
        <v>44</v>
      </c>
      <c r="G890" s="8" t="s">
        <v>7</v>
      </c>
      <c r="H890" s="8" t="s">
        <v>38</v>
      </c>
      <c r="I890" s="9">
        <v>10393.433999999999</v>
      </c>
      <c r="J890">
        <v>10523.3925963</v>
      </c>
      <c r="K890">
        <v>10479.335368169999</v>
      </c>
      <c r="L890">
        <v>10458.96272949</v>
      </c>
    </row>
    <row r="891" spans="1:12" x14ac:dyDescent="0.2">
      <c r="A891" s="8" t="s">
        <v>110</v>
      </c>
      <c r="B891" s="8" t="s">
        <v>115</v>
      </c>
      <c r="C891" s="8" t="s">
        <v>203</v>
      </c>
      <c r="D891" s="8" t="s">
        <v>204</v>
      </c>
      <c r="E891" s="8" t="s">
        <v>66</v>
      </c>
      <c r="F891" s="8" t="s">
        <v>67</v>
      </c>
      <c r="G891" s="8" t="s">
        <v>7</v>
      </c>
      <c r="H891" s="8" t="s">
        <v>38</v>
      </c>
      <c r="I891" s="9">
        <v>196.22104999999999</v>
      </c>
      <c r="J891">
        <v>184.32680292000001</v>
      </c>
      <c r="K891">
        <v>179.74639293000001</v>
      </c>
      <c r="L891">
        <v>174.39600176829001</v>
      </c>
    </row>
    <row r="892" spans="1:12" x14ac:dyDescent="0.2">
      <c r="A892" s="8" t="s">
        <v>110</v>
      </c>
      <c r="B892" s="8" t="s">
        <v>115</v>
      </c>
      <c r="C892" s="8" t="s">
        <v>203</v>
      </c>
      <c r="D892" s="8" t="s">
        <v>204</v>
      </c>
      <c r="E892" s="8" t="s">
        <v>45</v>
      </c>
      <c r="F892" s="8" t="s">
        <v>46</v>
      </c>
      <c r="G892" s="8" t="s">
        <v>7</v>
      </c>
      <c r="H892" s="8" t="s">
        <v>38</v>
      </c>
      <c r="I892" s="9">
        <v>364.09084999999999</v>
      </c>
      <c r="J892">
        <v>427.76029296000002</v>
      </c>
      <c r="K892">
        <v>376.80408011999998</v>
      </c>
      <c r="L892">
        <v>361.90796080087</v>
      </c>
    </row>
    <row r="893" spans="1:12" x14ac:dyDescent="0.2">
      <c r="A893" s="8" t="s">
        <v>110</v>
      </c>
      <c r="B893" s="8" t="s">
        <v>115</v>
      </c>
      <c r="C893" s="8" t="s">
        <v>203</v>
      </c>
      <c r="D893" s="8" t="s">
        <v>204</v>
      </c>
      <c r="E893" s="8" t="s">
        <v>47</v>
      </c>
      <c r="F893" s="8" t="s">
        <v>48</v>
      </c>
      <c r="G893" s="8" t="s">
        <v>7</v>
      </c>
      <c r="H893" s="8" t="s">
        <v>38</v>
      </c>
      <c r="I893" s="9">
        <v>43.339241999999999</v>
      </c>
      <c r="J893">
        <v>57.350507639999996</v>
      </c>
      <c r="K893">
        <v>34.516858470000003</v>
      </c>
      <c r="L893">
        <v>24.297625722119999</v>
      </c>
    </row>
    <row r="894" spans="1:12" x14ac:dyDescent="0.2">
      <c r="A894" s="8" t="s">
        <v>110</v>
      </c>
      <c r="B894" s="8" t="s">
        <v>115</v>
      </c>
      <c r="C894" s="8" t="s">
        <v>203</v>
      </c>
      <c r="D894" s="8" t="s">
        <v>204</v>
      </c>
      <c r="E894" s="8" t="s">
        <v>49</v>
      </c>
      <c r="F894" s="8" t="s">
        <v>50</v>
      </c>
      <c r="G894" s="8" t="s">
        <v>7</v>
      </c>
      <c r="H894" s="8" t="s">
        <v>38</v>
      </c>
      <c r="I894" s="9">
        <v>3835.9679999999998</v>
      </c>
      <c r="J894">
        <v>3983.95961794</v>
      </c>
      <c r="K894">
        <v>3688.71919566</v>
      </c>
      <c r="L894">
        <v>3497.8824787611002</v>
      </c>
    </row>
    <row r="895" spans="1:12" x14ac:dyDescent="0.2">
      <c r="A895" s="8" t="s">
        <v>110</v>
      </c>
      <c r="B895" s="8" t="s">
        <v>115</v>
      </c>
      <c r="C895" s="8" t="s">
        <v>203</v>
      </c>
      <c r="D895" s="8" t="s">
        <v>204</v>
      </c>
      <c r="E895" s="8" t="s">
        <v>51</v>
      </c>
      <c r="F895" s="8" t="s">
        <v>52</v>
      </c>
      <c r="G895" s="8" t="s">
        <v>7</v>
      </c>
      <c r="H895" s="8" t="s">
        <v>38</v>
      </c>
      <c r="I895" s="9">
        <v>116.83628</v>
      </c>
      <c r="J895">
        <v>88.971828000000002</v>
      </c>
      <c r="K895">
        <v>76.146145129999994</v>
      </c>
      <c r="L895">
        <v>164.02697278397</v>
      </c>
    </row>
    <row r="896" spans="1:12" x14ac:dyDescent="0.2">
      <c r="A896" s="8" t="s">
        <v>110</v>
      </c>
      <c r="B896" s="8" t="s">
        <v>115</v>
      </c>
      <c r="C896" s="8" t="s">
        <v>203</v>
      </c>
      <c r="D896" s="8" t="s">
        <v>204</v>
      </c>
      <c r="E896" s="8" t="s">
        <v>68</v>
      </c>
      <c r="F896" s="8" t="s">
        <v>69</v>
      </c>
      <c r="G896" s="8" t="s">
        <v>7</v>
      </c>
      <c r="H896" s="8" t="s">
        <v>38</v>
      </c>
      <c r="I896" s="9"/>
    </row>
    <row r="897" spans="1:12" x14ac:dyDescent="0.2">
      <c r="A897" s="8" t="s">
        <v>110</v>
      </c>
      <c r="B897" s="8" t="s">
        <v>115</v>
      </c>
      <c r="C897" s="8" t="s">
        <v>203</v>
      </c>
      <c r="D897" s="8" t="s">
        <v>204</v>
      </c>
      <c r="E897" s="8" t="s">
        <v>53</v>
      </c>
      <c r="F897" s="8" t="s">
        <v>54</v>
      </c>
      <c r="G897" s="8" t="s">
        <v>7</v>
      </c>
      <c r="H897" s="8" t="s">
        <v>38</v>
      </c>
      <c r="I897" s="9">
        <v>123.59439999999999</v>
      </c>
      <c r="J897">
        <v>115.44234093283001</v>
      </c>
      <c r="K897">
        <v>101.8447531752</v>
      </c>
      <c r="L897">
        <v>91.599577964896</v>
      </c>
    </row>
    <row r="898" spans="1:12" x14ac:dyDescent="0.2">
      <c r="A898" s="8" t="s">
        <v>110</v>
      </c>
      <c r="B898" s="8" t="s">
        <v>115</v>
      </c>
      <c r="C898" s="8" t="s">
        <v>203</v>
      </c>
      <c r="D898" s="8" t="s">
        <v>204</v>
      </c>
      <c r="E898" s="8" t="s">
        <v>70</v>
      </c>
      <c r="F898" s="8" t="s">
        <v>71</v>
      </c>
      <c r="G898" s="8" t="s">
        <v>7</v>
      </c>
      <c r="H898" s="8" t="s">
        <v>38</v>
      </c>
      <c r="I898" s="9">
        <v>1239.5154</v>
      </c>
      <c r="J898">
        <v>1300.3464012597001</v>
      </c>
      <c r="K898">
        <v>1222.4230214089</v>
      </c>
      <c r="L898">
        <v>1221.0439599952999</v>
      </c>
    </row>
    <row r="899" spans="1:12" x14ac:dyDescent="0.2">
      <c r="A899" s="8" t="s">
        <v>110</v>
      </c>
      <c r="B899" s="8" t="s">
        <v>115</v>
      </c>
      <c r="C899" s="8" t="s">
        <v>203</v>
      </c>
      <c r="D899" s="8" t="s">
        <v>204</v>
      </c>
      <c r="E899" s="8" t="s">
        <v>83</v>
      </c>
      <c r="F899" s="8" t="s">
        <v>84</v>
      </c>
      <c r="G899" s="8" t="s">
        <v>7</v>
      </c>
      <c r="H899" s="8" t="s">
        <v>38</v>
      </c>
      <c r="I899" s="9">
        <v>150</v>
      </c>
      <c r="J899">
        <v>150</v>
      </c>
      <c r="K899">
        <v>157.5</v>
      </c>
      <c r="L899">
        <v>150</v>
      </c>
    </row>
    <row r="900" spans="1:12" x14ac:dyDescent="0.2">
      <c r="A900" s="8" t="s">
        <v>110</v>
      </c>
      <c r="B900" s="8" t="s">
        <v>115</v>
      </c>
      <c r="C900" s="8" t="s">
        <v>203</v>
      </c>
      <c r="D900" s="8" t="s">
        <v>204</v>
      </c>
      <c r="E900" s="8" t="s">
        <v>55</v>
      </c>
      <c r="F900" s="8" t="s">
        <v>56</v>
      </c>
      <c r="G900" s="8" t="s">
        <v>7</v>
      </c>
      <c r="H900" s="8" t="s">
        <v>38</v>
      </c>
      <c r="I900" s="9">
        <v>9.125</v>
      </c>
      <c r="J900">
        <v>9.1671856983279998</v>
      </c>
      <c r="K900">
        <v>9.1671856983279998</v>
      </c>
      <c r="L900">
        <v>9.1671856983279998</v>
      </c>
    </row>
    <row r="901" spans="1:12" x14ac:dyDescent="0.2">
      <c r="A901" s="8" t="s">
        <v>110</v>
      </c>
      <c r="B901" s="8" t="s">
        <v>115</v>
      </c>
      <c r="C901" s="8" t="s">
        <v>203</v>
      </c>
      <c r="D901" s="8" t="s">
        <v>204</v>
      </c>
      <c r="E901" s="8" t="s">
        <v>57</v>
      </c>
      <c r="F901" s="8" t="s">
        <v>58</v>
      </c>
      <c r="G901" s="8" t="s">
        <v>7</v>
      </c>
      <c r="H901" s="8" t="s">
        <v>38</v>
      </c>
      <c r="I901" s="9">
        <v>34.164026999999997</v>
      </c>
      <c r="J901">
        <v>34.321970590737003</v>
      </c>
      <c r="K901">
        <v>34.321970590737003</v>
      </c>
      <c r="L901">
        <v>34.321970590737003</v>
      </c>
    </row>
    <row r="902" spans="1:12" x14ac:dyDescent="0.2">
      <c r="A902" s="8" t="s">
        <v>110</v>
      </c>
      <c r="B902" s="8" t="s">
        <v>115</v>
      </c>
      <c r="C902" s="8" t="s">
        <v>203</v>
      </c>
      <c r="D902" s="8" t="s">
        <v>204</v>
      </c>
      <c r="E902" s="8" t="s">
        <v>72</v>
      </c>
      <c r="F902" s="8" t="s">
        <v>73</v>
      </c>
      <c r="G902" s="8" t="s">
        <v>7</v>
      </c>
      <c r="H902" s="8" t="s">
        <v>38</v>
      </c>
      <c r="I902" s="9">
        <v>7.98267E-2</v>
      </c>
      <c r="J902">
        <v>8.9522789489054996E-2</v>
      </c>
      <c r="K902">
        <v>6.219066412398E-2</v>
      </c>
      <c r="L902">
        <v>6.1436832169491001E-2</v>
      </c>
    </row>
    <row r="903" spans="1:12" x14ac:dyDescent="0.2">
      <c r="A903" s="8" t="s">
        <v>110</v>
      </c>
      <c r="B903" s="8" t="s">
        <v>115</v>
      </c>
      <c r="C903" s="8" t="s">
        <v>203</v>
      </c>
      <c r="D903" s="8" t="s">
        <v>204</v>
      </c>
      <c r="E903" s="8" t="s">
        <v>74</v>
      </c>
      <c r="F903" s="8" t="s">
        <v>75</v>
      </c>
      <c r="G903" s="8" t="s">
        <v>7</v>
      </c>
      <c r="H903" s="8" t="s">
        <v>38</v>
      </c>
      <c r="I903" s="9">
        <v>7.5</v>
      </c>
      <c r="J903">
        <v>7.5</v>
      </c>
      <c r="K903">
        <v>7.5</v>
      </c>
      <c r="L903">
        <v>7.5</v>
      </c>
    </row>
    <row r="904" spans="1:12" x14ac:dyDescent="0.2">
      <c r="A904" s="8" t="s">
        <v>110</v>
      </c>
      <c r="B904" s="8" t="s">
        <v>115</v>
      </c>
      <c r="C904" s="8" t="s">
        <v>203</v>
      </c>
      <c r="D904" s="8" t="s">
        <v>204</v>
      </c>
      <c r="E904" s="8" t="s">
        <v>59</v>
      </c>
      <c r="F904" s="8" t="s">
        <v>60</v>
      </c>
      <c r="G904" s="8" t="s">
        <v>7</v>
      </c>
      <c r="H904" s="8" t="s">
        <v>38</v>
      </c>
      <c r="I904" s="9">
        <v>143.65440000000001</v>
      </c>
      <c r="J904">
        <v>152.48091315505999</v>
      </c>
      <c r="K904">
        <v>129.49289295439999</v>
      </c>
      <c r="L904">
        <v>127.13299761277</v>
      </c>
    </row>
    <row r="905" spans="1:12" x14ac:dyDescent="0.2">
      <c r="A905" s="8" t="s">
        <v>110</v>
      </c>
      <c r="B905" s="8" t="s">
        <v>115</v>
      </c>
      <c r="C905" s="8" t="s">
        <v>203</v>
      </c>
      <c r="D905" s="8" t="s">
        <v>204</v>
      </c>
      <c r="E905" s="8" t="s">
        <v>76</v>
      </c>
      <c r="F905" s="8" t="s">
        <v>77</v>
      </c>
      <c r="G905" s="8" t="s">
        <v>7</v>
      </c>
      <c r="H905" s="8" t="s">
        <v>38</v>
      </c>
      <c r="I905" s="9">
        <v>110.73333</v>
      </c>
      <c r="J905">
        <v>49.97142858246</v>
      </c>
      <c r="K905">
        <v>61.809523820792002</v>
      </c>
      <c r="L905">
        <v>58.866213162659001</v>
      </c>
    </row>
    <row r="906" spans="1:12" x14ac:dyDescent="0.2">
      <c r="A906" s="8" t="s">
        <v>110</v>
      </c>
      <c r="B906" s="8" t="s">
        <v>115</v>
      </c>
      <c r="C906" s="8" t="s">
        <v>203</v>
      </c>
      <c r="D906" s="8" t="s">
        <v>204</v>
      </c>
      <c r="E906" s="8" t="s">
        <v>78</v>
      </c>
      <c r="F906" s="8" t="s">
        <v>79</v>
      </c>
      <c r="G906" s="8" t="s">
        <v>7</v>
      </c>
      <c r="H906" s="8" t="s">
        <v>38</v>
      </c>
      <c r="I906" s="9">
        <v>0.62857130000000005</v>
      </c>
      <c r="J906">
        <v>0.78571414285714003</v>
      </c>
      <c r="K906">
        <v>0.78571414285714003</v>
      </c>
      <c r="L906">
        <v>0.72285701142856995</v>
      </c>
    </row>
    <row r="907" spans="1:12" x14ac:dyDescent="0.2">
      <c r="A907" s="8" t="s">
        <v>32</v>
      </c>
      <c r="B907" s="8" t="s">
        <v>33</v>
      </c>
      <c r="C907" s="8" t="s">
        <v>205</v>
      </c>
      <c r="D907" s="8" t="s">
        <v>206</v>
      </c>
      <c r="E907" s="8" t="s">
        <v>36</v>
      </c>
      <c r="F907" s="8" t="s">
        <v>37</v>
      </c>
      <c r="G907" s="8" t="s">
        <v>7</v>
      </c>
      <c r="H907" s="8" t="s">
        <v>38</v>
      </c>
      <c r="I907" s="9">
        <v>11715.982</v>
      </c>
      <c r="J907">
        <v>12171.21511802</v>
      </c>
      <c r="K907">
        <v>13486.69087832</v>
      </c>
      <c r="L907">
        <v>14080.79870902</v>
      </c>
    </row>
    <row r="908" spans="1:12" x14ac:dyDescent="0.2">
      <c r="A908" s="8" t="s">
        <v>32</v>
      </c>
      <c r="B908" s="8" t="s">
        <v>33</v>
      </c>
      <c r="C908" s="8" t="s">
        <v>205</v>
      </c>
      <c r="D908" s="8" t="s">
        <v>206</v>
      </c>
      <c r="E908" s="8" t="s">
        <v>64</v>
      </c>
      <c r="F908" s="8" t="s">
        <v>65</v>
      </c>
      <c r="G908" s="8" t="s">
        <v>7</v>
      </c>
      <c r="H908" s="8" t="s">
        <v>38</v>
      </c>
      <c r="I908" s="9">
        <v>182.82742999999999</v>
      </c>
      <c r="J908">
        <v>218.68093683000001</v>
      </c>
      <c r="K908">
        <v>202.63155857999999</v>
      </c>
      <c r="L908">
        <v>222.05061871047999</v>
      </c>
    </row>
    <row r="909" spans="1:12" x14ac:dyDescent="0.2">
      <c r="A909" s="8" t="s">
        <v>32</v>
      </c>
      <c r="B909" s="8" t="s">
        <v>33</v>
      </c>
      <c r="C909" s="8" t="s">
        <v>205</v>
      </c>
      <c r="D909" s="8" t="s">
        <v>206</v>
      </c>
      <c r="E909" s="8" t="s">
        <v>39</v>
      </c>
      <c r="F909" s="8" t="s">
        <v>40</v>
      </c>
      <c r="G909" s="8" t="s">
        <v>7</v>
      </c>
      <c r="H909" s="8" t="s">
        <v>38</v>
      </c>
      <c r="I909" s="9">
        <v>4125.5488999999998</v>
      </c>
      <c r="J909">
        <v>4587.7523104800002</v>
      </c>
      <c r="K909">
        <v>5007.9588931600001</v>
      </c>
      <c r="L909">
        <v>5038.2793580535999</v>
      </c>
    </row>
    <row r="910" spans="1:12" x14ac:dyDescent="0.2">
      <c r="A910" s="8" t="s">
        <v>32</v>
      </c>
      <c r="B910" s="8" t="s">
        <v>33</v>
      </c>
      <c r="C910" s="8" t="s">
        <v>205</v>
      </c>
      <c r="D910" s="8" t="s">
        <v>206</v>
      </c>
      <c r="E910" s="8" t="s">
        <v>41</v>
      </c>
      <c r="F910" s="8" t="s">
        <v>42</v>
      </c>
      <c r="G910" s="8" t="s">
        <v>7</v>
      </c>
      <c r="H910" s="8" t="s">
        <v>38</v>
      </c>
      <c r="I910" s="9">
        <v>64.125690000000006</v>
      </c>
      <c r="J910">
        <v>66.268480850000003</v>
      </c>
      <c r="K910">
        <v>97.000088899999994</v>
      </c>
      <c r="L910">
        <v>110.75173616452</v>
      </c>
    </row>
    <row r="911" spans="1:12" x14ac:dyDescent="0.2">
      <c r="A911" s="8" t="s">
        <v>32</v>
      </c>
      <c r="B911" s="8" t="s">
        <v>33</v>
      </c>
      <c r="C911" s="8" t="s">
        <v>205</v>
      </c>
      <c r="D911" s="8" t="s">
        <v>206</v>
      </c>
      <c r="E911" s="8" t="s">
        <v>43</v>
      </c>
      <c r="F911" s="8" t="s">
        <v>44</v>
      </c>
      <c r="G911" s="8" t="s">
        <v>7</v>
      </c>
      <c r="H911" s="8" t="s">
        <v>38</v>
      </c>
      <c r="I911" s="9">
        <v>5581.4943000000003</v>
      </c>
      <c r="J911">
        <v>6587.51554407</v>
      </c>
      <c r="K911">
        <v>7240.8646435499004</v>
      </c>
      <c r="L911">
        <v>7232.7450098646996</v>
      </c>
    </row>
    <row r="912" spans="1:12" x14ac:dyDescent="0.2">
      <c r="A912" s="8" t="s">
        <v>32</v>
      </c>
      <c r="B912" s="8" t="s">
        <v>33</v>
      </c>
      <c r="C912" s="8" t="s">
        <v>205</v>
      </c>
      <c r="D912" s="8" t="s">
        <v>206</v>
      </c>
      <c r="E912" s="8" t="s">
        <v>66</v>
      </c>
      <c r="F912" s="8" t="s">
        <v>67</v>
      </c>
      <c r="G912" s="8" t="s">
        <v>7</v>
      </c>
      <c r="H912" s="8" t="s">
        <v>38</v>
      </c>
      <c r="I912" s="9">
        <v>1.4220014000000001</v>
      </c>
      <c r="J912">
        <v>1.73854989</v>
      </c>
      <c r="K912">
        <v>2.14852869</v>
      </c>
      <c r="L912">
        <v>2.1441781620282998</v>
      </c>
    </row>
    <row r="913" spans="1:12" x14ac:dyDescent="0.2">
      <c r="A913" s="8" t="s">
        <v>32</v>
      </c>
      <c r="B913" s="8" t="s">
        <v>33</v>
      </c>
      <c r="C913" s="8" t="s">
        <v>205</v>
      </c>
      <c r="D913" s="8" t="s">
        <v>206</v>
      </c>
      <c r="E913" s="8" t="s">
        <v>47</v>
      </c>
      <c r="F913" s="8" t="s">
        <v>48</v>
      </c>
      <c r="G913" s="8" t="s">
        <v>7</v>
      </c>
      <c r="H913" s="8" t="s">
        <v>38</v>
      </c>
      <c r="I913" s="9">
        <v>1216.395</v>
      </c>
      <c r="J913">
        <v>1349.90324704</v>
      </c>
      <c r="K913">
        <v>1336.1264221199999</v>
      </c>
      <c r="L913">
        <v>1333.4209169991</v>
      </c>
    </row>
    <row r="914" spans="1:12" x14ac:dyDescent="0.2">
      <c r="A914" s="8" t="s">
        <v>32</v>
      </c>
      <c r="B914" s="8" t="s">
        <v>33</v>
      </c>
      <c r="C914" s="8" t="s">
        <v>205</v>
      </c>
      <c r="D914" s="8" t="s">
        <v>206</v>
      </c>
      <c r="E914" s="8" t="s">
        <v>49</v>
      </c>
      <c r="F914" s="8" t="s">
        <v>50</v>
      </c>
      <c r="G914" s="8" t="s">
        <v>7</v>
      </c>
      <c r="H914" s="8" t="s">
        <v>38</v>
      </c>
      <c r="I914" s="9">
        <v>1659.2913000000001</v>
      </c>
      <c r="J914">
        <v>1848.17608053</v>
      </c>
      <c r="K914">
        <v>1821.13582935</v>
      </c>
      <c r="L914">
        <v>1817.4482349499001</v>
      </c>
    </row>
    <row r="915" spans="1:12" x14ac:dyDescent="0.2">
      <c r="A915" s="8" t="s">
        <v>32</v>
      </c>
      <c r="B915" s="8" t="s">
        <v>33</v>
      </c>
      <c r="C915" s="8" t="s">
        <v>205</v>
      </c>
      <c r="D915" s="8" t="s">
        <v>206</v>
      </c>
      <c r="E915" s="8" t="s">
        <v>53</v>
      </c>
      <c r="F915" s="8" t="s">
        <v>54</v>
      </c>
      <c r="G915" s="8" t="s">
        <v>7</v>
      </c>
      <c r="H915" s="8" t="s">
        <v>38</v>
      </c>
      <c r="I915" s="9">
        <v>179.48795000000001</v>
      </c>
      <c r="J915">
        <v>173.41114639644999</v>
      </c>
      <c r="K915">
        <v>194.42538431576</v>
      </c>
      <c r="L915">
        <v>217.98626283883999</v>
      </c>
    </row>
    <row r="916" spans="1:12" x14ac:dyDescent="0.2">
      <c r="A916" s="8" t="s">
        <v>32</v>
      </c>
      <c r="B916" s="8" t="s">
        <v>33</v>
      </c>
      <c r="C916" s="8" t="s">
        <v>205</v>
      </c>
      <c r="D916" s="8" t="s">
        <v>206</v>
      </c>
      <c r="E916" s="8" t="s">
        <v>70</v>
      </c>
      <c r="F916" s="8" t="s">
        <v>71</v>
      </c>
      <c r="G916" s="8" t="s">
        <v>7</v>
      </c>
      <c r="H916" s="8" t="s">
        <v>38</v>
      </c>
      <c r="I916" s="9">
        <v>1941.3136999999999</v>
      </c>
      <c r="J916">
        <v>2426.6421074999998</v>
      </c>
      <c r="K916">
        <v>2439.7086419249999</v>
      </c>
      <c r="L916">
        <v>2436.9563147929998</v>
      </c>
    </row>
    <row r="917" spans="1:12" x14ac:dyDescent="0.2">
      <c r="A917" s="8" t="s">
        <v>32</v>
      </c>
      <c r="B917" s="8" t="s">
        <v>33</v>
      </c>
      <c r="C917" s="8" t="s">
        <v>205</v>
      </c>
      <c r="D917" s="8" t="s">
        <v>206</v>
      </c>
      <c r="E917" s="8" t="s">
        <v>83</v>
      </c>
      <c r="F917" s="8" t="s">
        <v>84</v>
      </c>
      <c r="G917" s="8" t="s">
        <v>7</v>
      </c>
      <c r="H917" s="8" t="s">
        <v>38</v>
      </c>
      <c r="I917" s="9"/>
    </row>
    <row r="918" spans="1:12" x14ac:dyDescent="0.2">
      <c r="A918" s="8" t="s">
        <v>32</v>
      </c>
      <c r="B918" s="8" t="s">
        <v>33</v>
      </c>
      <c r="C918" s="8" t="s">
        <v>205</v>
      </c>
      <c r="D918" s="8" t="s">
        <v>206</v>
      </c>
      <c r="E918" s="8" t="s">
        <v>55</v>
      </c>
      <c r="F918" s="8" t="s">
        <v>56</v>
      </c>
      <c r="G918" s="8" t="s">
        <v>7</v>
      </c>
      <c r="H918" s="8" t="s">
        <v>38</v>
      </c>
      <c r="I918" s="9">
        <v>0.48966890000000002</v>
      </c>
      <c r="J918">
        <v>0.54844186583787002</v>
      </c>
      <c r="K918">
        <v>0.54844186583787002</v>
      </c>
      <c r="L918">
        <v>0.54844186583787002</v>
      </c>
    </row>
    <row r="919" spans="1:12" x14ac:dyDescent="0.2">
      <c r="A919" s="8" t="s">
        <v>32</v>
      </c>
      <c r="B919" s="8" t="s">
        <v>33</v>
      </c>
      <c r="C919" s="8" t="s">
        <v>205</v>
      </c>
      <c r="D919" s="8" t="s">
        <v>206</v>
      </c>
      <c r="E919" s="8" t="s">
        <v>57</v>
      </c>
      <c r="F919" s="8" t="s">
        <v>58</v>
      </c>
      <c r="G919" s="8" t="s">
        <v>7</v>
      </c>
      <c r="H919" s="8" t="s">
        <v>38</v>
      </c>
      <c r="I919" s="9">
        <v>2.9692099999999999E-2</v>
      </c>
      <c r="J919">
        <v>3.3255949973052999E-2</v>
      </c>
      <c r="K919">
        <v>3.3255949973052999E-2</v>
      </c>
      <c r="L919">
        <v>3.3255949973052999E-2</v>
      </c>
    </row>
    <row r="920" spans="1:12" x14ac:dyDescent="0.2">
      <c r="A920" s="8" t="s">
        <v>32</v>
      </c>
      <c r="B920" s="8" t="s">
        <v>33</v>
      </c>
      <c r="C920" s="8" t="s">
        <v>205</v>
      </c>
      <c r="D920" s="8" t="s">
        <v>206</v>
      </c>
      <c r="E920" s="8" t="s">
        <v>74</v>
      </c>
      <c r="F920" s="8" t="s">
        <v>75</v>
      </c>
      <c r="G920" s="8" t="s">
        <v>7</v>
      </c>
      <c r="H920" s="8" t="s">
        <v>38</v>
      </c>
      <c r="I920" s="9">
        <v>3.12</v>
      </c>
      <c r="J920">
        <v>3.64</v>
      </c>
      <c r="K920">
        <v>3.64</v>
      </c>
      <c r="L920">
        <v>3.64</v>
      </c>
    </row>
    <row r="921" spans="1:12" x14ac:dyDescent="0.2">
      <c r="A921" s="8" t="s">
        <v>32</v>
      </c>
      <c r="B921" s="8" t="s">
        <v>33</v>
      </c>
      <c r="C921" s="8" t="s">
        <v>205</v>
      </c>
      <c r="D921" s="8" t="s">
        <v>206</v>
      </c>
      <c r="E921" s="8" t="s">
        <v>59</v>
      </c>
      <c r="F921" s="8" t="s">
        <v>60</v>
      </c>
      <c r="G921" s="8" t="s">
        <v>7</v>
      </c>
      <c r="H921" s="8" t="s">
        <v>38</v>
      </c>
      <c r="I921" s="9">
        <v>46.23854</v>
      </c>
      <c r="J921">
        <v>51.675721864252999</v>
      </c>
      <c r="K921">
        <v>61.544337346756997</v>
      </c>
      <c r="L921">
        <v>64.710499094065995</v>
      </c>
    </row>
    <row r="922" spans="1:12" x14ac:dyDescent="0.2">
      <c r="A922" s="8" t="s">
        <v>32</v>
      </c>
      <c r="B922" s="8" t="s">
        <v>33</v>
      </c>
      <c r="C922" s="8" t="s">
        <v>205</v>
      </c>
      <c r="D922" s="8" t="s">
        <v>206</v>
      </c>
      <c r="E922" s="8" t="s">
        <v>76</v>
      </c>
      <c r="F922" s="8" t="s">
        <v>77</v>
      </c>
      <c r="G922" s="8" t="s">
        <v>7</v>
      </c>
      <c r="H922" s="8" t="s">
        <v>38</v>
      </c>
      <c r="I922" s="9">
        <v>136.08571000000001</v>
      </c>
      <c r="J922">
        <v>109.6857143129</v>
      </c>
      <c r="K922">
        <v>120.79047622193001</v>
      </c>
      <c r="L922">
        <v>120.79047622193001</v>
      </c>
    </row>
    <row r="923" spans="1:12" x14ac:dyDescent="0.2">
      <c r="A923" s="8" t="s">
        <v>32</v>
      </c>
      <c r="B923" s="8" t="s">
        <v>33</v>
      </c>
      <c r="C923" s="8" t="s">
        <v>205</v>
      </c>
      <c r="D923" s="8" t="s">
        <v>206</v>
      </c>
      <c r="E923" s="8" t="s">
        <v>78</v>
      </c>
      <c r="F923" s="8" t="s">
        <v>79</v>
      </c>
      <c r="G923" s="8" t="s">
        <v>7</v>
      </c>
      <c r="H923" s="8" t="s">
        <v>38</v>
      </c>
      <c r="I923" s="9">
        <v>71.657129999999995</v>
      </c>
      <c r="J923">
        <v>70.714272857143001</v>
      </c>
      <c r="K923">
        <v>97.114268057142993</v>
      </c>
      <c r="L923">
        <v>106.07140928571</v>
      </c>
    </row>
    <row r="924" spans="1:12" x14ac:dyDescent="0.2">
      <c r="A924" s="8" t="s">
        <v>32</v>
      </c>
      <c r="B924" s="8" t="s">
        <v>33</v>
      </c>
      <c r="C924" s="8" t="s">
        <v>205</v>
      </c>
      <c r="D924" s="8" t="s">
        <v>206</v>
      </c>
      <c r="E924" s="8" t="s">
        <v>92</v>
      </c>
      <c r="F924" s="8" t="s">
        <v>93</v>
      </c>
      <c r="G924" s="8" t="s">
        <v>7</v>
      </c>
      <c r="H924" s="8" t="s">
        <v>38</v>
      </c>
      <c r="I924" s="9">
        <v>0.45779330000000001</v>
      </c>
      <c r="J924">
        <v>0.46608770343078998</v>
      </c>
      <c r="K924">
        <v>0.47407635180238999</v>
      </c>
      <c r="L924">
        <v>0.48271062467912002</v>
      </c>
    </row>
    <row r="925" spans="1:12" x14ac:dyDescent="0.2">
      <c r="A925" s="8" t="s">
        <v>32</v>
      </c>
      <c r="B925" s="8" t="s">
        <v>207</v>
      </c>
      <c r="C925" s="8" t="s">
        <v>208</v>
      </c>
      <c r="D925" s="8" t="s">
        <v>209</v>
      </c>
      <c r="E925" s="8" t="s">
        <v>36</v>
      </c>
      <c r="F925" s="8" t="s">
        <v>37</v>
      </c>
      <c r="G925" s="8" t="s">
        <v>7</v>
      </c>
      <c r="H925" s="8" t="s">
        <v>38</v>
      </c>
      <c r="I925" s="9">
        <v>38528.544999999998</v>
      </c>
      <c r="J925">
        <v>43537.02638571</v>
      </c>
      <c r="K925">
        <v>46414.267897170001</v>
      </c>
      <c r="L925">
        <v>47821.458784602997</v>
      </c>
    </row>
    <row r="926" spans="1:12" x14ac:dyDescent="0.2">
      <c r="A926" s="8" t="s">
        <v>32</v>
      </c>
      <c r="B926" s="8" t="s">
        <v>207</v>
      </c>
      <c r="C926" s="8" t="s">
        <v>208</v>
      </c>
      <c r="D926" s="8" t="s">
        <v>209</v>
      </c>
      <c r="E926" s="8" t="s">
        <v>64</v>
      </c>
      <c r="F926" s="8" t="s">
        <v>65</v>
      </c>
      <c r="G926" s="8" t="s">
        <v>7</v>
      </c>
      <c r="H926" s="8" t="s">
        <v>38</v>
      </c>
      <c r="I926" s="9">
        <v>10625.558999999999</v>
      </c>
      <c r="J926">
        <v>10730.66436504</v>
      </c>
      <c r="K926">
        <v>10742.1654103</v>
      </c>
      <c r="L926">
        <v>11781.489575558</v>
      </c>
    </row>
    <row r="927" spans="1:12" x14ac:dyDescent="0.2">
      <c r="A927" s="8" t="s">
        <v>32</v>
      </c>
      <c r="B927" s="8" t="s">
        <v>207</v>
      </c>
      <c r="C927" s="8" t="s">
        <v>208</v>
      </c>
      <c r="D927" s="8" t="s">
        <v>209</v>
      </c>
      <c r="E927" s="8" t="s">
        <v>39</v>
      </c>
      <c r="F927" s="8" t="s">
        <v>40</v>
      </c>
      <c r="G927" s="8" t="s">
        <v>7</v>
      </c>
      <c r="H927" s="8" t="s">
        <v>38</v>
      </c>
      <c r="I927" s="9">
        <v>13291.790999999999</v>
      </c>
      <c r="J927">
        <v>15933.67822577</v>
      </c>
      <c r="K927">
        <v>16016.82851419</v>
      </c>
      <c r="L927">
        <v>17039.778778585998</v>
      </c>
    </row>
    <row r="928" spans="1:12" x14ac:dyDescent="0.2">
      <c r="A928" s="8" t="s">
        <v>32</v>
      </c>
      <c r="B928" s="8" t="s">
        <v>207</v>
      </c>
      <c r="C928" s="8" t="s">
        <v>208</v>
      </c>
      <c r="D928" s="8" t="s">
        <v>209</v>
      </c>
      <c r="E928" s="8" t="s">
        <v>41</v>
      </c>
      <c r="F928" s="8" t="s">
        <v>42</v>
      </c>
      <c r="G928" s="8" t="s">
        <v>7</v>
      </c>
      <c r="H928" s="8" t="s">
        <v>38</v>
      </c>
      <c r="I928" s="9">
        <v>150.12329</v>
      </c>
      <c r="J928">
        <v>469.46018464000002</v>
      </c>
      <c r="K928">
        <v>328.74749859999997</v>
      </c>
      <c r="L928">
        <v>264.81195813462</v>
      </c>
    </row>
    <row r="929" spans="1:12" x14ac:dyDescent="0.2">
      <c r="A929" s="8" t="s">
        <v>32</v>
      </c>
      <c r="B929" s="8" t="s">
        <v>207</v>
      </c>
      <c r="C929" s="8" t="s">
        <v>208</v>
      </c>
      <c r="D929" s="8" t="s">
        <v>209</v>
      </c>
      <c r="E929" s="8" t="s">
        <v>43</v>
      </c>
      <c r="F929" s="8" t="s">
        <v>44</v>
      </c>
      <c r="G929" s="8" t="s">
        <v>7</v>
      </c>
      <c r="H929" s="8" t="s">
        <v>38</v>
      </c>
      <c r="I929" s="9">
        <v>38249.631000000001</v>
      </c>
      <c r="J929">
        <v>41235.639653730002</v>
      </c>
      <c r="K929">
        <v>42813.364615060003</v>
      </c>
      <c r="L929">
        <v>44476.355710796997</v>
      </c>
    </row>
    <row r="930" spans="1:12" x14ac:dyDescent="0.2">
      <c r="A930" s="8" t="s">
        <v>32</v>
      </c>
      <c r="B930" s="8" t="s">
        <v>207</v>
      </c>
      <c r="C930" s="8" t="s">
        <v>208</v>
      </c>
      <c r="D930" s="8" t="s">
        <v>209</v>
      </c>
      <c r="E930" s="8" t="s">
        <v>66</v>
      </c>
      <c r="F930" s="8" t="s">
        <v>67</v>
      </c>
      <c r="G930" s="8" t="s">
        <v>7</v>
      </c>
      <c r="H930" s="8" t="s">
        <v>38</v>
      </c>
      <c r="I930" s="9">
        <v>59.226106999999999</v>
      </c>
      <c r="K930">
        <v>120.35181951</v>
      </c>
      <c r="L930">
        <v>120.35181951</v>
      </c>
    </row>
    <row r="931" spans="1:12" x14ac:dyDescent="0.2">
      <c r="A931" s="8" t="s">
        <v>32</v>
      </c>
      <c r="B931" s="8" t="s">
        <v>207</v>
      </c>
      <c r="C931" s="8" t="s">
        <v>208</v>
      </c>
      <c r="D931" s="8" t="s">
        <v>209</v>
      </c>
      <c r="E931" s="8" t="s">
        <v>45</v>
      </c>
      <c r="F931" s="8" t="s">
        <v>46</v>
      </c>
      <c r="G931" s="8" t="s">
        <v>7</v>
      </c>
      <c r="H931" s="8" t="s">
        <v>38</v>
      </c>
      <c r="I931" s="9">
        <v>542.38009</v>
      </c>
      <c r="J931">
        <v>132.55534556999999</v>
      </c>
      <c r="K931">
        <v>112.33397042999999</v>
      </c>
      <c r="L931">
        <v>186.06518286066</v>
      </c>
    </row>
    <row r="932" spans="1:12" x14ac:dyDescent="0.2">
      <c r="A932" s="8" t="s">
        <v>32</v>
      </c>
      <c r="B932" s="8" t="s">
        <v>207</v>
      </c>
      <c r="C932" s="8" t="s">
        <v>208</v>
      </c>
      <c r="D932" s="8" t="s">
        <v>209</v>
      </c>
      <c r="E932" s="8" t="s">
        <v>47</v>
      </c>
      <c r="F932" s="8" t="s">
        <v>48</v>
      </c>
      <c r="G932" s="8" t="s">
        <v>7</v>
      </c>
      <c r="H932" s="8" t="s">
        <v>38</v>
      </c>
      <c r="I932" s="9">
        <v>1256.5784000000001</v>
      </c>
      <c r="J932">
        <v>1697.8772973600001</v>
      </c>
      <c r="K932">
        <v>1752.98565321</v>
      </c>
      <c r="L932">
        <v>1253.5518233329001</v>
      </c>
    </row>
    <row r="933" spans="1:12" x14ac:dyDescent="0.2">
      <c r="A933" s="8" t="s">
        <v>32</v>
      </c>
      <c r="B933" s="8" t="s">
        <v>207</v>
      </c>
      <c r="C933" s="8" t="s">
        <v>208</v>
      </c>
      <c r="D933" s="8" t="s">
        <v>209</v>
      </c>
      <c r="E933" s="8" t="s">
        <v>49</v>
      </c>
      <c r="F933" s="8" t="s">
        <v>50</v>
      </c>
      <c r="G933" s="8" t="s">
        <v>7</v>
      </c>
      <c r="H933" s="8" t="s">
        <v>38</v>
      </c>
      <c r="I933" s="9">
        <v>27028.585999999999</v>
      </c>
      <c r="J933">
        <v>27146.75842143</v>
      </c>
      <c r="K933">
        <v>29215.42540177</v>
      </c>
      <c r="L933">
        <v>27562.072675832998</v>
      </c>
    </row>
    <row r="934" spans="1:12" x14ac:dyDescent="0.2">
      <c r="A934" s="8" t="s">
        <v>32</v>
      </c>
      <c r="B934" s="8" t="s">
        <v>207</v>
      </c>
      <c r="C934" s="8" t="s">
        <v>208</v>
      </c>
      <c r="D934" s="8" t="s">
        <v>209</v>
      </c>
      <c r="E934" s="8" t="s">
        <v>51</v>
      </c>
      <c r="F934" s="8" t="s">
        <v>52</v>
      </c>
      <c r="G934" s="8" t="s">
        <v>7</v>
      </c>
      <c r="H934" s="8" t="s">
        <v>38</v>
      </c>
      <c r="I934" s="9">
        <v>4583.2982000000002</v>
      </c>
      <c r="J934">
        <v>3099.7925466500001</v>
      </c>
      <c r="K934">
        <v>3493.58280096</v>
      </c>
      <c r="L934">
        <v>3480.1644277429</v>
      </c>
    </row>
    <row r="935" spans="1:12" x14ac:dyDescent="0.2">
      <c r="A935" s="8" t="s">
        <v>32</v>
      </c>
      <c r="B935" s="8" t="s">
        <v>207</v>
      </c>
      <c r="C935" s="8" t="s">
        <v>208</v>
      </c>
      <c r="D935" s="8" t="s">
        <v>209</v>
      </c>
      <c r="E935" s="8" t="s">
        <v>68</v>
      </c>
      <c r="F935" s="8" t="s">
        <v>69</v>
      </c>
      <c r="G935" s="8" t="s">
        <v>7</v>
      </c>
      <c r="H935" s="8" t="s">
        <v>38</v>
      </c>
      <c r="I935" s="9">
        <v>5.4201370999999998</v>
      </c>
      <c r="J935">
        <v>12.6657245</v>
      </c>
      <c r="K935">
        <v>4.6801098200000002</v>
      </c>
      <c r="L935">
        <v>4.6801098200000002</v>
      </c>
    </row>
    <row r="936" spans="1:12" x14ac:dyDescent="0.2">
      <c r="A936" s="8" t="s">
        <v>32</v>
      </c>
      <c r="B936" s="8" t="s">
        <v>207</v>
      </c>
      <c r="C936" s="8" t="s">
        <v>208</v>
      </c>
      <c r="D936" s="8" t="s">
        <v>209</v>
      </c>
      <c r="E936" s="8" t="s">
        <v>53</v>
      </c>
      <c r="F936" s="8" t="s">
        <v>54</v>
      </c>
      <c r="G936" s="8" t="s">
        <v>7</v>
      </c>
      <c r="H936" s="8" t="s">
        <v>38</v>
      </c>
      <c r="I936" s="9">
        <v>22803.882000000001</v>
      </c>
      <c r="J936">
        <v>20095.228321687999</v>
      </c>
      <c r="K936">
        <v>20110.894449563999</v>
      </c>
      <c r="L936">
        <v>20066.870436124998</v>
      </c>
    </row>
    <row r="937" spans="1:12" x14ac:dyDescent="0.2">
      <c r="A937" s="8" t="s">
        <v>32</v>
      </c>
      <c r="B937" s="8" t="s">
        <v>207</v>
      </c>
      <c r="C937" s="8" t="s">
        <v>208</v>
      </c>
      <c r="D937" s="8" t="s">
        <v>209</v>
      </c>
      <c r="E937" s="8" t="s">
        <v>70</v>
      </c>
      <c r="F937" s="8" t="s">
        <v>71</v>
      </c>
      <c r="G937" s="8" t="s">
        <v>7</v>
      </c>
      <c r="H937" s="8" t="s">
        <v>38</v>
      </c>
      <c r="I937" s="9">
        <v>8984.3004000000001</v>
      </c>
      <c r="J937">
        <v>10156.165682000001</v>
      </c>
      <c r="K937">
        <v>10937.409196000001</v>
      </c>
      <c r="L937">
        <v>10925.070293081</v>
      </c>
    </row>
    <row r="938" spans="1:12" x14ac:dyDescent="0.2">
      <c r="A938" s="8" t="s">
        <v>32</v>
      </c>
      <c r="B938" s="8" t="s">
        <v>207</v>
      </c>
      <c r="C938" s="8" t="s">
        <v>208</v>
      </c>
      <c r="D938" s="8" t="s">
        <v>209</v>
      </c>
      <c r="E938" s="8" t="s">
        <v>83</v>
      </c>
      <c r="F938" s="8" t="s">
        <v>84</v>
      </c>
      <c r="G938" s="8" t="s">
        <v>7</v>
      </c>
      <c r="H938" s="8" t="s">
        <v>38</v>
      </c>
      <c r="I938" s="9">
        <v>127.5</v>
      </c>
      <c r="J938">
        <v>127.5</v>
      </c>
      <c r="K938">
        <v>127.5</v>
      </c>
      <c r="L938">
        <v>127.5</v>
      </c>
    </row>
    <row r="939" spans="1:12" x14ac:dyDescent="0.2">
      <c r="A939" s="8" t="s">
        <v>32</v>
      </c>
      <c r="B939" s="8" t="s">
        <v>207</v>
      </c>
      <c r="C939" s="8" t="s">
        <v>208</v>
      </c>
      <c r="D939" s="8" t="s">
        <v>209</v>
      </c>
      <c r="E939" s="8" t="s">
        <v>55</v>
      </c>
      <c r="F939" s="8" t="s">
        <v>56</v>
      </c>
      <c r="G939" s="8" t="s">
        <v>7</v>
      </c>
      <c r="H939" s="8" t="s">
        <v>38</v>
      </c>
      <c r="I939" s="9">
        <v>1.8358348</v>
      </c>
      <c r="J939">
        <v>2.0561825399981002</v>
      </c>
      <c r="K939">
        <v>2.0561825399981002</v>
      </c>
      <c r="L939">
        <v>2.0561825399981002</v>
      </c>
    </row>
    <row r="940" spans="1:12" x14ac:dyDescent="0.2">
      <c r="A940" s="8" t="s">
        <v>32</v>
      </c>
      <c r="B940" s="8" t="s">
        <v>207</v>
      </c>
      <c r="C940" s="8" t="s">
        <v>208</v>
      </c>
      <c r="D940" s="8" t="s">
        <v>209</v>
      </c>
      <c r="E940" s="8" t="s">
        <v>57</v>
      </c>
      <c r="F940" s="8" t="s">
        <v>58</v>
      </c>
      <c r="G940" s="8" t="s">
        <v>7</v>
      </c>
      <c r="H940" s="8" t="s">
        <v>38</v>
      </c>
      <c r="I940" s="9">
        <v>26.656113999999999</v>
      </c>
      <c r="J940">
        <v>29.855538749484001</v>
      </c>
      <c r="K940">
        <v>29.855538749484001</v>
      </c>
      <c r="L940">
        <v>29.855538749484001</v>
      </c>
    </row>
    <row r="941" spans="1:12" x14ac:dyDescent="0.2">
      <c r="A941" s="8" t="s">
        <v>32</v>
      </c>
      <c r="B941" s="8" t="s">
        <v>207</v>
      </c>
      <c r="C941" s="8" t="s">
        <v>208</v>
      </c>
      <c r="D941" s="8" t="s">
        <v>209</v>
      </c>
      <c r="E941" s="8" t="s">
        <v>72</v>
      </c>
      <c r="F941" s="8" t="s">
        <v>73</v>
      </c>
      <c r="G941" s="8" t="s">
        <v>7</v>
      </c>
      <c r="H941" s="8" t="s">
        <v>38</v>
      </c>
      <c r="I941" s="9">
        <v>4999.7178999999996</v>
      </c>
      <c r="J941">
        <v>5862.7410930579999</v>
      </c>
      <c r="K941">
        <v>5806.9537812249</v>
      </c>
      <c r="L941">
        <v>4278.5254536477996</v>
      </c>
    </row>
    <row r="942" spans="1:12" x14ac:dyDescent="0.2">
      <c r="A942" s="8" t="s">
        <v>32</v>
      </c>
      <c r="B942" s="8" t="s">
        <v>207</v>
      </c>
      <c r="C942" s="8" t="s">
        <v>208</v>
      </c>
      <c r="D942" s="8" t="s">
        <v>209</v>
      </c>
      <c r="E942" s="8" t="s">
        <v>74</v>
      </c>
      <c r="F942" s="8" t="s">
        <v>75</v>
      </c>
      <c r="G942" s="8" t="s">
        <v>7</v>
      </c>
      <c r="H942" s="8" t="s">
        <v>38</v>
      </c>
      <c r="I942" s="9">
        <v>301.38821000000002</v>
      </c>
      <c r="J942">
        <v>350.45107372000001</v>
      </c>
      <c r="K942">
        <v>431.31867371999999</v>
      </c>
      <c r="L942">
        <v>443.41867372000002</v>
      </c>
    </row>
    <row r="943" spans="1:12" x14ac:dyDescent="0.2">
      <c r="A943" s="8" t="s">
        <v>32</v>
      </c>
      <c r="B943" s="8" t="s">
        <v>207</v>
      </c>
      <c r="C943" s="8" t="s">
        <v>208</v>
      </c>
      <c r="D943" s="8" t="s">
        <v>209</v>
      </c>
      <c r="E943" s="8" t="s">
        <v>59</v>
      </c>
      <c r="F943" s="8" t="s">
        <v>60</v>
      </c>
      <c r="G943" s="8" t="s">
        <v>7</v>
      </c>
      <c r="H943" s="8" t="s">
        <v>38</v>
      </c>
      <c r="I943" s="9">
        <v>224.35758999999999</v>
      </c>
      <c r="J943">
        <v>587.36702294255997</v>
      </c>
      <c r="K943">
        <v>600.94367932033003</v>
      </c>
      <c r="L943">
        <v>581.98673138673996</v>
      </c>
    </row>
    <row r="944" spans="1:12" x14ac:dyDescent="0.2">
      <c r="A944" s="8" t="s">
        <v>32</v>
      </c>
      <c r="B944" s="8" t="s">
        <v>207</v>
      </c>
      <c r="C944" s="8" t="s">
        <v>208</v>
      </c>
      <c r="D944" s="8" t="s">
        <v>209</v>
      </c>
      <c r="E944" s="8" t="s">
        <v>76</v>
      </c>
      <c r="F944" s="8" t="s">
        <v>77</v>
      </c>
      <c r="G944" s="8" t="s">
        <v>7</v>
      </c>
      <c r="H944" s="8" t="s">
        <v>38</v>
      </c>
      <c r="I944" s="9">
        <v>79.095237999999995</v>
      </c>
      <c r="J944">
        <v>71.657142864912004</v>
      </c>
      <c r="K944">
        <v>33.523809524480001</v>
      </c>
      <c r="L944">
        <v>33.523809524480001</v>
      </c>
    </row>
    <row r="945" spans="1:12" x14ac:dyDescent="0.2">
      <c r="A945" s="8" t="s">
        <v>32</v>
      </c>
      <c r="B945" s="8" t="s">
        <v>207</v>
      </c>
      <c r="C945" s="8" t="s">
        <v>208</v>
      </c>
      <c r="D945" s="8" t="s">
        <v>209</v>
      </c>
      <c r="E945" s="8" t="s">
        <v>78</v>
      </c>
      <c r="F945" s="8" t="s">
        <v>79</v>
      </c>
      <c r="G945" s="8" t="s">
        <v>7</v>
      </c>
      <c r="H945" s="8" t="s">
        <v>38</v>
      </c>
      <c r="I945" s="9">
        <v>78.414270999999999</v>
      </c>
      <c r="J945">
        <v>40.071421285714003</v>
      </c>
      <c r="K945">
        <v>91.142840571429005</v>
      </c>
      <c r="L945">
        <v>96.642839571428993</v>
      </c>
    </row>
    <row r="946" spans="1:12" x14ac:dyDescent="0.2">
      <c r="A946" s="8" t="s">
        <v>32</v>
      </c>
      <c r="B946" s="8" t="s">
        <v>207</v>
      </c>
      <c r="C946" s="8" t="s">
        <v>208</v>
      </c>
      <c r="D946" s="8" t="s">
        <v>209</v>
      </c>
      <c r="E946" s="8" t="s">
        <v>92</v>
      </c>
      <c r="F946" s="8" t="s">
        <v>93</v>
      </c>
      <c r="G946" s="8" t="s">
        <v>7</v>
      </c>
      <c r="H946" s="8" t="s">
        <v>38</v>
      </c>
      <c r="I946" s="9">
        <v>2.2121148000000002</v>
      </c>
      <c r="J946">
        <v>2.2606546294107002</v>
      </c>
      <c r="K946">
        <v>2.3080804661479002</v>
      </c>
      <c r="L946">
        <v>2.3577508903523001</v>
      </c>
    </row>
    <row r="947" spans="1:12" x14ac:dyDescent="0.2">
      <c r="A947" s="8" t="s">
        <v>32</v>
      </c>
      <c r="B947" s="8" t="s">
        <v>99</v>
      </c>
      <c r="C947" s="8" t="s">
        <v>210</v>
      </c>
      <c r="D947" s="8" t="s">
        <v>211</v>
      </c>
      <c r="E947" s="8" t="s">
        <v>36</v>
      </c>
      <c r="F947" s="8" t="s">
        <v>37</v>
      </c>
      <c r="G947" s="8" t="s">
        <v>7</v>
      </c>
      <c r="H947" s="8" t="s">
        <v>38</v>
      </c>
      <c r="I947" s="9">
        <v>4545.3059999999996</v>
      </c>
      <c r="J947">
        <v>4452.7311416299999</v>
      </c>
      <c r="K947">
        <v>5554.5000799600002</v>
      </c>
      <c r="L947">
        <v>5770.1940523840003</v>
      </c>
    </row>
    <row r="948" spans="1:12" x14ac:dyDescent="0.2">
      <c r="A948" s="8" t="s">
        <v>32</v>
      </c>
      <c r="B948" s="8" t="s">
        <v>99</v>
      </c>
      <c r="C948" s="8" t="s">
        <v>210</v>
      </c>
      <c r="D948" s="8" t="s">
        <v>211</v>
      </c>
      <c r="E948" s="8" t="s">
        <v>64</v>
      </c>
      <c r="F948" s="8" t="s">
        <v>65</v>
      </c>
      <c r="G948" s="8" t="s">
        <v>7</v>
      </c>
      <c r="H948" s="8" t="s">
        <v>38</v>
      </c>
      <c r="I948" s="9">
        <v>1572.6342999999999</v>
      </c>
      <c r="J948">
        <v>1679.4997320499999</v>
      </c>
      <c r="K948">
        <v>1689.54608742</v>
      </c>
      <c r="L948">
        <v>1601.777533536</v>
      </c>
    </row>
    <row r="949" spans="1:12" x14ac:dyDescent="0.2">
      <c r="A949" s="8" t="s">
        <v>32</v>
      </c>
      <c r="B949" s="8" t="s">
        <v>99</v>
      </c>
      <c r="C949" s="8" t="s">
        <v>210</v>
      </c>
      <c r="D949" s="8" t="s">
        <v>211</v>
      </c>
      <c r="E949" s="8" t="s">
        <v>39</v>
      </c>
      <c r="F949" s="8" t="s">
        <v>40</v>
      </c>
      <c r="G949" s="8" t="s">
        <v>7</v>
      </c>
      <c r="H949" s="8" t="s">
        <v>38</v>
      </c>
      <c r="I949" s="9">
        <v>3476.9099000000001</v>
      </c>
      <c r="J949">
        <v>4090.0870571199998</v>
      </c>
      <c r="K949">
        <v>4224.0828167199998</v>
      </c>
      <c r="L949">
        <v>4451.6440983377997</v>
      </c>
    </row>
    <row r="950" spans="1:12" x14ac:dyDescent="0.2">
      <c r="A950" s="8" t="s">
        <v>32</v>
      </c>
      <c r="B950" s="8" t="s">
        <v>99</v>
      </c>
      <c r="C950" s="8" t="s">
        <v>210</v>
      </c>
      <c r="D950" s="8" t="s">
        <v>211</v>
      </c>
      <c r="E950" s="8" t="s">
        <v>41</v>
      </c>
      <c r="F950" s="8" t="s">
        <v>42</v>
      </c>
      <c r="G950" s="8" t="s">
        <v>7</v>
      </c>
      <c r="H950" s="8" t="s">
        <v>38</v>
      </c>
      <c r="I950" s="9">
        <v>135.61882</v>
      </c>
      <c r="J950">
        <v>184.24654229999999</v>
      </c>
      <c r="K950">
        <v>327.64617989999999</v>
      </c>
      <c r="L950">
        <v>374.09639190132998</v>
      </c>
    </row>
    <row r="951" spans="1:12" x14ac:dyDescent="0.2">
      <c r="A951" s="8" t="s">
        <v>32</v>
      </c>
      <c r="B951" s="8" t="s">
        <v>99</v>
      </c>
      <c r="C951" s="8" t="s">
        <v>210</v>
      </c>
      <c r="D951" s="8" t="s">
        <v>211</v>
      </c>
      <c r="E951" s="8" t="s">
        <v>43</v>
      </c>
      <c r="F951" s="8" t="s">
        <v>44</v>
      </c>
      <c r="G951" s="8" t="s">
        <v>7</v>
      </c>
      <c r="H951" s="8" t="s">
        <v>38</v>
      </c>
      <c r="I951" s="9">
        <v>14953.822</v>
      </c>
      <c r="J951">
        <v>18080.55231381</v>
      </c>
      <c r="K951">
        <v>19214.645763910001</v>
      </c>
      <c r="L951">
        <v>20308.614673886001</v>
      </c>
    </row>
    <row r="952" spans="1:12" x14ac:dyDescent="0.2">
      <c r="A952" s="8" t="s">
        <v>32</v>
      </c>
      <c r="B952" s="8" t="s">
        <v>99</v>
      </c>
      <c r="C952" s="8" t="s">
        <v>210</v>
      </c>
      <c r="D952" s="8" t="s">
        <v>211</v>
      </c>
      <c r="E952" s="8" t="s">
        <v>66</v>
      </c>
      <c r="F952" s="8" t="s">
        <v>67</v>
      </c>
      <c r="G952" s="8" t="s">
        <v>7</v>
      </c>
      <c r="H952" s="8" t="s">
        <v>38</v>
      </c>
      <c r="I952" s="9"/>
    </row>
    <row r="953" spans="1:12" x14ac:dyDescent="0.2">
      <c r="A953" s="8" t="s">
        <v>32</v>
      </c>
      <c r="B953" s="8" t="s">
        <v>99</v>
      </c>
      <c r="C953" s="8" t="s">
        <v>210</v>
      </c>
      <c r="D953" s="8" t="s">
        <v>211</v>
      </c>
      <c r="E953" s="8" t="s">
        <v>45</v>
      </c>
      <c r="F953" s="8" t="s">
        <v>46</v>
      </c>
      <c r="G953" s="8" t="s">
        <v>7</v>
      </c>
      <c r="H953" s="8" t="s">
        <v>38</v>
      </c>
      <c r="I953" s="9">
        <v>744.28449000000001</v>
      </c>
      <c r="J953">
        <v>898.11659709000003</v>
      </c>
      <c r="K953">
        <v>1002.8550813000001</v>
      </c>
      <c r="L953">
        <v>1068.6643877411</v>
      </c>
    </row>
    <row r="954" spans="1:12" x14ac:dyDescent="0.2">
      <c r="A954" s="8" t="s">
        <v>32</v>
      </c>
      <c r="B954" s="8" t="s">
        <v>99</v>
      </c>
      <c r="C954" s="8" t="s">
        <v>210</v>
      </c>
      <c r="D954" s="8" t="s">
        <v>211</v>
      </c>
      <c r="E954" s="8" t="s">
        <v>47</v>
      </c>
      <c r="F954" s="8" t="s">
        <v>48</v>
      </c>
      <c r="G954" s="8" t="s">
        <v>7</v>
      </c>
      <c r="H954" s="8" t="s">
        <v>38</v>
      </c>
      <c r="I954" s="9"/>
    </row>
    <row r="955" spans="1:12" x14ac:dyDescent="0.2">
      <c r="A955" s="8" t="s">
        <v>32</v>
      </c>
      <c r="B955" s="8" t="s">
        <v>99</v>
      </c>
      <c r="C955" s="8" t="s">
        <v>210</v>
      </c>
      <c r="D955" s="8" t="s">
        <v>211</v>
      </c>
      <c r="E955" s="8" t="s">
        <v>49</v>
      </c>
      <c r="F955" s="8" t="s">
        <v>50</v>
      </c>
      <c r="G955" s="8" t="s">
        <v>7</v>
      </c>
      <c r="H955" s="8" t="s">
        <v>38</v>
      </c>
      <c r="I955" s="9">
        <v>3502.2824000000001</v>
      </c>
      <c r="J955">
        <v>3616.25046681</v>
      </c>
      <c r="K955">
        <v>3825.5290330799999</v>
      </c>
      <c r="L955">
        <v>4043.0691815987002</v>
      </c>
    </row>
    <row r="956" spans="1:12" x14ac:dyDescent="0.2">
      <c r="A956" s="8" t="s">
        <v>32</v>
      </c>
      <c r="B956" s="8" t="s">
        <v>99</v>
      </c>
      <c r="C956" s="8" t="s">
        <v>210</v>
      </c>
      <c r="D956" s="8" t="s">
        <v>211</v>
      </c>
      <c r="E956" s="8" t="s">
        <v>51</v>
      </c>
      <c r="F956" s="8" t="s">
        <v>52</v>
      </c>
      <c r="G956" s="8" t="s">
        <v>7</v>
      </c>
      <c r="H956" s="8" t="s">
        <v>38</v>
      </c>
      <c r="I956" s="9">
        <v>2488.3047999999999</v>
      </c>
      <c r="J956">
        <v>2362.1106994900001</v>
      </c>
      <c r="K956">
        <v>2512.6544239700002</v>
      </c>
      <c r="L956">
        <v>2655.7101875324001</v>
      </c>
    </row>
    <row r="957" spans="1:12" x14ac:dyDescent="0.2">
      <c r="A957" s="8" t="s">
        <v>32</v>
      </c>
      <c r="B957" s="8" t="s">
        <v>99</v>
      </c>
      <c r="C957" s="8" t="s">
        <v>210</v>
      </c>
      <c r="D957" s="8" t="s">
        <v>211</v>
      </c>
      <c r="E957" s="8" t="s">
        <v>53</v>
      </c>
      <c r="F957" s="8" t="s">
        <v>54</v>
      </c>
      <c r="G957" s="8" t="s">
        <v>7</v>
      </c>
      <c r="H957" s="8" t="s">
        <v>38</v>
      </c>
      <c r="I957" s="9">
        <v>2649.5396000000001</v>
      </c>
      <c r="J957">
        <v>3134.0888033894998</v>
      </c>
      <c r="K957">
        <v>3271.0620480548</v>
      </c>
      <c r="L957">
        <v>3981.1903913524998</v>
      </c>
    </row>
    <row r="958" spans="1:12" x14ac:dyDescent="0.2">
      <c r="A958" s="8" t="s">
        <v>32</v>
      </c>
      <c r="B958" s="8" t="s">
        <v>99</v>
      </c>
      <c r="C958" s="8" t="s">
        <v>210</v>
      </c>
      <c r="D958" s="8" t="s">
        <v>211</v>
      </c>
      <c r="E958" s="8" t="s">
        <v>70</v>
      </c>
      <c r="F958" s="8" t="s">
        <v>71</v>
      </c>
      <c r="G958" s="8" t="s">
        <v>7</v>
      </c>
      <c r="H958" s="8" t="s">
        <v>38</v>
      </c>
      <c r="I958" s="9">
        <v>1954.1024</v>
      </c>
      <c r="J958">
        <v>2030.7338543000001</v>
      </c>
      <c r="K958">
        <v>2107.3653205000001</v>
      </c>
      <c r="L958">
        <v>2104.9879223758999</v>
      </c>
    </row>
    <row r="959" spans="1:12" x14ac:dyDescent="0.2">
      <c r="A959" s="8" t="s">
        <v>32</v>
      </c>
      <c r="B959" s="8" t="s">
        <v>99</v>
      </c>
      <c r="C959" s="8" t="s">
        <v>210</v>
      </c>
      <c r="D959" s="8" t="s">
        <v>211</v>
      </c>
      <c r="E959" s="8" t="s">
        <v>55</v>
      </c>
      <c r="F959" s="8" t="s">
        <v>56</v>
      </c>
      <c r="G959" s="8" t="s">
        <v>7</v>
      </c>
      <c r="H959" s="8" t="s">
        <v>38</v>
      </c>
      <c r="I959" s="9">
        <v>0.75316130000000003</v>
      </c>
      <c r="J959">
        <v>0.84356013824216003</v>
      </c>
      <c r="K959">
        <v>0.84356013824216003</v>
      </c>
      <c r="L959">
        <v>0.84356013824216003</v>
      </c>
    </row>
    <row r="960" spans="1:12" x14ac:dyDescent="0.2">
      <c r="A960" s="8" t="s">
        <v>32</v>
      </c>
      <c r="B960" s="8" t="s">
        <v>99</v>
      </c>
      <c r="C960" s="8" t="s">
        <v>210</v>
      </c>
      <c r="D960" s="8" t="s">
        <v>211</v>
      </c>
      <c r="E960" s="8" t="s">
        <v>57</v>
      </c>
      <c r="F960" s="8" t="s">
        <v>58</v>
      </c>
      <c r="G960" s="8" t="s">
        <v>7</v>
      </c>
      <c r="H960" s="8" t="s">
        <v>38</v>
      </c>
      <c r="I960" s="9">
        <v>12.822424</v>
      </c>
      <c r="J960">
        <v>14.361447693718</v>
      </c>
      <c r="K960">
        <v>14.361447693718</v>
      </c>
      <c r="L960">
        <v>14.361447693718</v>
      </c>
    </row>
    <row r="961" spans="1:12" x14ac:dyDescent="0.2">
      <c r="A961" s="8" t="s">
        <v>32</v>
      </c>
      <c r="B961" s="8" t="s">
        <v>99</v>
      </c>
      <c r="C961" s="8" t="s">
        <v>210</v>
      </c>
      <c r="D961" s="8" t="s">
        <v>211</v>
      </c>
      <c r="E961" s="8" t="s">
        <v>72</v>
      </c>
      <c r="F961" s="8" t="s">
        <v>73</v>
      </c>
      <c r="G961" s="8" t="s">
        <v>7</v>
      </c>
      <c r="H961" s="8" t="s">
        <v>38</v>
      </c>
      <c r="I961" s="9"/>
    </row>
    <row r="962" spans="1:12" x14ac:dyDescent="0.2">
      <c r="A962" s="8" t="s">
        <v>32</v>
      </c>
      <c r="B962" s="8" t="s">
        <v>99</v>
      </c>
      <c r="C962" s="8" t="s">
        <v>210</v>
      </c>
      <c r="D962" s="8" t="s">
        <v>211</v>
      </c>
      <c r="E962" s="8" t="s">
        <v>74</v>
      </c>
      <c r="F962" s="8" t="s">
        <v>75</v>
      </c>
      <c r="G962" s="8" t="s">
        <v>7</v>
      </c>
      <c r="H962" s="8" t="s">
        <v>38</v>
      </c>
      <c r="I962" s="9">
        <v>19.287680000000002</v>
      </c>
      <c r="J962">
        <v>24.46528</v>
      </c>
      <c r="K962">
        <v>21.453759999999999</v>
      </c>
      <c r="L962">
        <v>19.367280000000001</v>
      </c>
    </row>
    <row r="963" spans="1:12" x14ac:dyDescent="0.2">
      <c r="A963" s="8" t="s">
        <v>32</v>
      </c>
      <c r="B963" s="8" t="s">
        <v>99</v>
      </c>
      <c r="C963" s="8" t="s">
        <v>210</v>
      </c>
      <c r="D963" s="8" t="s">
        <v>211</v>
      </c>
      <c r="E963" s="8" t="s">
        <v>59</v>
      </c>
      <c r="F963" s="8" t="s">
        <v>60</v>
      </c>
      <c r="G963" s="8" t="s">
        <v>7</v>
      </c>
      <c r="H963" s="8" t="s">
        <v>38</v>
      </c>
      <c r="I963" s="9">
        <v>61.674033000000001</v>
      </c>
      <c r="J963">
        <v>43.753081811653999</v>
      </c>
      <c r="K963">
        <v>44.48223209471</v>
      </c>
      <c r="L963">
        <v>44.255334006590999</v>
      </c>
    </row>
    <row r="964" spans="1:12" x14ac:dyDescent="0.2">
      <c r="A964" s="8" t="s">
        <v>32</v>
      </c>
      <c r="B964" s="8" t="s">
        <v>99</v>
      </c>
      <c r="C964" s="8" t="s">
        <v>210</v>
      </c>
      <c r="D964" s="8" t="s">
        <v>211</v>
      </c>
      <c r="E964" s="8" t="s">
        <v>76</v>
      </c>
      <c r="F964" s="8" t="s">
        <v>77</v>
      </c>
      <c r="G964" s="8" t="s">
        <v>7</v>
      </c>
      <c r="H964" s="8" t="s">
        <v>38</v>
      </c>
      <c r="I964" s="9">
        <v>273.74286000000001</v>
      </c>
      <c r="J964">
        <v>339.84761910668999</v>
      </c>
      <c r="K964">
        <v>212.56190481191999</v>
      </c>
      <c r="L964">
        <v>212.49904767109999</v>
      </c>
    </row>
    <row r="965" spans="1:12" x14ac:dyDescent="0.2">
      <c r="A965" s="8" t="s">
        <v>32</v>
      </c>
      <c r="B965" s="8" t="s">
        <v>99</v>
      </c>
      <c r="C965" s="8" t="s">
        <v>210</v>
      </c>
      <c r="D965" s="8" t="s">
        <v>211</v>
      </c>
      <c r="E965" s="8" t="s">
        <v>78</v>
      </c>
      <c r="F965" s="8" t="s">
        <v>79</v>
      </c>
      <c r="G965" s="8" t="s">
        <v>7</v>
      </c>
      <c r="H965" s="8" t="s">
        <v>38</v>
      </c>
      <c r="I965" s="9">
        <v>203.02852999999999</v>
      </c>
      <c r="J965">
        <v>204.44281997143</v>
      </c>
      <c r="K965">
        <v>141.11426005714</v>
      </c>
      <c r="L965">
        <v>134.13711846857001</v>
      </c>
    </row>
    <row r="966" spans="1:12" x14ac:dyDescent="0.2">
      <c r="A966" s="8" t="s">
        <v>32</v>
      </c>
      <c r="B966" s="8" t="s">
        <v>99</v>
      </c>
      <c r="C966" s="8" t="s">
        <v>210</v>
      </c>
      <c r="D966" s="8" t="s">
        <v>211</v>
      </c>
      <c r="E966" s="8" t="s">
        <v>92</v>
      </c>
      <c r="F966" s="8" t="s">
        <v>93</v>
      </c>
      <c r="G966" s="8" t="s">
        <v>7</v>
      </c>
      <c r="H966" s="8" t="s">
        <v>38</v>
      </c>
      <c r="I966" s="9">
        <v>4.4813423999999999</v>
      </c>
      <c r="J966">
        <v>4.5552116192455001</v>
      </c>
      <c r="K966">
        <v>4.6301447899522001</v>
      </c>
      <c r="L966">
        <v>4.7028278646502004</v>
      </c>
    </row>
    <row r="967" spans="1:12" x14ac:dyDescent="0.2">
      <c r="A967" s="8" t="s">
        <v>32</v>
      </c>
      <c r="B967" s="8" t="s">
        <v>207</v>
      </c>
      <c r="C967" s="8" t="s">
        <v>212</v>
      </c>
      <c r="D967" s="8" t="s">
        <v>213</v>
      </c>
      <c r="E967" s="8" t="s">
        <v>36</v>
      </c>
      <c r="F967" s="8" t="s">
        <v>37</v>
      </c>
      <c r="G967" s="8" t="s">
        <v>7</v>
      </c>
      <c r="H967" s="8" t="s">
        <v>38</v>
      </c>
      <c r="I967" s="9">
        <v>75074.555999999997</v>
      </c>
      <c r="J967">
        <v>81662.099199149001</v>
      </c>
      <c r="K967">
        <v>84358.024849409994</v>
      </c>
      <c r="L967">
        <v>89056.858831143996</v>
      </c>
    </row>
    <row r="968" spans="1:12" x14ac:dyDescent="0.2">
      <c r="A968" s="8" t="s">
        <v>32</v>
      </c>
      <c r="B968" s="8" t="s">
        <v>207</v>
      </c>
      <c r="C968" s="8" t="s">
        <v>212</v>
      </c>
      <c r="D968" s="8" t="s">
        <v>213</v>
      </c>
      <c r="E968" s="8" t="s">
        <v>64</v>
      </c>
      <c r="F968" s="8" t="s">
        <v>65</v>
      </c>
      <c r="G968" s="8" t="s">
        <v>7</v>
      </c>
      <c r="H968" s="8" t="s">
        <v>38</v>
      </c>
      <c r="I968" s="9">
        <v>25621.383999999998</v>
      </c>
      <c r="J968">
        <v>26919.8703207</v>
      </c>
      <c r="K968">
        <v>25465.600898119999</v>
      </c>
      <c r="L968">
        <v>26054.840870698001</v>
      </c>
    </row>
    <row r="969" spans="1:12" x14ac:dyDescent="0.2">
      <c r="A969" s="8" t="s">
        <v>32</v>
      </c>
      <c r="B969" s="8" t="s">
        <v>207</v>
      </c>
      <c r="C969" s="8" t="s">
        <v>212</v>
      </c>
      <c r="D969" s="8" t="s">
        <v>213</v>
      </c>
      <c r="E969" s="8" t="s">
        <v>39</v>
      </c>
      <c r="F969" s="8" t="s">
        <v>40</v>
      </c>
      <c r="G969" s="8" t="s">
        <v>7</v>
      </c>
      <c r="H969" s="8" t="s">
        <v>38</v>
      </c>
      <c r="I969" s="9">
        <v>32228.075000000001</v>
      </c>
      <c r="J969">
        <v>34386.813084250003</v>
      </c>
      <c r="K969">
        <v>35695.766770529997</v>
      </c>
      <c r="L969">
        <v>40587.599209104003</v>
      </c>
    </row>
    <row r="970" spans="1:12" x14ac:dyDescent="0.2">
      <c r="A970" s="8" t="s">
        <v>32</v>
      </c>
      <c r="B970" s="8" t="s">
        <v>207</v>
      </c>
      <c r="C970" s="8" t="s">
        <v>212</v>
      </c>
      <c r="D970" s="8" t="s">
        <v>213</v>
      </c>
      <c r="E970" s="8" t="s">
        <v>41</v>
      </c>
      <c r="F970" s="8" t="s">
        <v>42</v>
      </c>
      <c r="G970" s="8" t="s">
        <v>7</v>
      </c>
      <c r="H970" s="8" t="s">
        <v>38</v>
      </c>
      <c r="I970" s="9">
        <v>1131.5667000000001</v>
      </c>
      <c r="J970">
        <v>2045.9206124499999</v>
      </c>
      <c r="K970">
        <v>1952.7693471</v>
      </c>
      <c r="L970">
        <v>2362.8636302655</v>
      </c>
    </row>
    <row r="971" spans="1:12" x14ac:dyDescent="0.2">
      <c r="A971" s="8" t="s">
        <v>32</v>
      </c>
      <c r="B971" s="8" t="s">
        <v>207</v>
      </c>
      <c r="C971" s="8" t="s">
        <v>212</v>
      </c>
      <c r="D971" s="8" t="s">
        <v>213</v>
      </c>
      <c r="E971" s="8" t="s">
        <v>43</v>
      </c>
      <c r="F971" s="8" t="s">
        <v>44</v>
      </c>
      <c r="G971" s="8" t="s">
        <v>7</v>
      </c>
      <c r="H971" s="8" t="s">
        <v>38</v>
      </c>
      <c r="I971" s="9">
        <v>52158.803</v>
      </c>
      <c r="J971">
        <v>56519.270471819997</v>
      </c>
      <c r="K971">
        <v>53703.515587349997</v>
      </c>
      <c r="L971">
        <v>55031.363276639997</v>
      </c>
    </row>
    <row r="972" spans="1:12" x14ac:dyDescent="0.2">
      <c r="A972" s="8" t="s">
        <v>32</v>
      </c>
      <c r="B972" s="8" t="s">
        <v>207</v>
      </c>
      <c r="C972" s="8" t="s">
        <v>212</v>
      </c>
      <c r="D972" s="8" t="s">
        <v>213</v>
      </c>
      <c r="E972" s="8" t="s">
        <v>45</v>
      </c>
      <c r="F972" s="8" t="s">
        <v>46</v>
      </c>
      <c r="G972" s="8" t="s">
        <v>7</v>
      </c>
      <c r="H972" s="8" t="s">
        <v>38</v>
      </c>
      <c r="I972" s="9">
        <v>131.99218999999999</v>
      </c>
      <c r="J972">
        <v>623.52936125999997</v>
      </c>
      <c r="K972">
        <v>879.30211176</v>
      </c>
      <c r="L972">
        <v>1214.0629787744001</v>
      </c>
    </row>
    <row r="973" spans="1:12" x14ac:dyDescent="0.2">
      <c r="A973" s="8" t="s">
        <v>32</v>
      </c>
      <c r="B973" s="8" t="s">
        <v>207</v>
      </c>
      <c r="C973" s="8" t="s">
        <v>212</v>
      </c>
      <c r="D973" s="8" t="s">
        <v>213</v>
      </c>
      <c r="E973" s="8" t="s">
        <v>47</v>
      </c>
      <c r="F973" s="8" t="s">
        <v>48</v>
      </c>
      <c r="G973" s="8" t="s">
        <v>7</v>
      </c>
      <c r="H973" s="8" t="s">
        <v>38</v>
      </c>
      <c r="I973" s="9"/>
    </row>
    <row r="974" spans="1:12" x14ac:dyDescent="0.2">
      <c r="A974" s="8" t="s">
        <v>32</v>
      </c>
      <c r="B974" s="8" t="s">
        <v>207</v>
      </c>
      <c r="C974" s="8" t="s">
        <v>212</v>
      </c>
      <c r="D974" s="8" t="s">
        <v>213</v>
      </c>
      <c r="E974" s="8" t="s">
        <v>49</v>
      </c>
      <c r="F974" s="8" t="s">
        <v>50</v>
      </c>
      <c r="G974" s="8" t="s">
        <v>7</v>
      </c>
      <c r="H974" s="8" t="s">
        <v>38</v>
      </c>
      <c r="I974" s="9">
        <v>17489.647000000001</v>
      </c>
      <c r="J974">
        <v>16557.525737129999</v>
      </c>
      <c r="K974">
        <v>15449.490056119999</v>
      </c>
      <c r="L974">
        <v>16490.677260664001</v>
      </c>
    </row>
    <row r="975" spans="1:12" x14ac:dyDescent="0.2">
      <c r="A975" s="8" t="s">
        <v>32</v>
      </c>
      <c r="B975" s="8" t="s">
        <v>207</v>
      </c>
      <c r="C975" s="8" t="s">
        <v>212</v>
      </c>
      <c r="D975" s="8" t="s">
        <v>213</v>
      </c>
      <c r="E975" s="8" t="s">
        <v>51</v>
      </c>
      <c r="F975" s="8" t="s">
        <v>52</v>
      </c>
      <c r="G975" s="8" t="s">
        <v>7</v>
      </c>
      <c r="H975" s="8" t="s">
        <v>38</v>
      </c>
      <c r="I975" s="9">
        <v>1188.9956999999999</v>
      </c>
      <c r="J975">
        <v>214.32018203999999</v>
      </c>
      <c r="K975">
        <v>302.23331567999998</v>
      </c>
      <c r="L975">
        <v>417.29801126344</v>
      </c>
    </row>
    <row r="976" spans="1:12" x14ac:dyDescent="0.2">
      <c r="A976" s="8" t="s">
        <v>32</v>
      </c>
      <c r="B976" s="8" t="s">
        <v>207</v>
      </c>
      <c r="C976" s="8" t="s">
        <v>212</v>
      </c>
      <c r="D976" s="8" t="s">
        <v>213</v>
      </c>
      <c r="E976" s="8" t="s">
        <v>68</v>
      </c>
      <c r="F976" s="8" t="s">
        <v>69</v>
      </c>
      <c r="G976" s="8" t="s">
        <v>7</v>
      </c>
      <c r="H976" s="8" t="s">
        <v>38</v>
      </c>
      <c r="I976" s="9">
        <v>0.54082779999999997</v>
      </c>
      <c r="K976">
        <v>10.130902580000001</v>
      </c>
      <c r="L976">
        <v>3.1597581054405</v>
      </c>
    </row>
    <row r="977" spans="1:12" x14ac:dyDescent="0.2">
      <c r="A977" s="8" t="s">
        <v>32</v>
      </c>
      <c r="B977" s="8" t="s">
        <v>207</v>
      </c>
      <c r="C977" s="8" t="s">
        <v>212</v>
      </c>
      <c r="D977" s="8" t="s">
        <v>213</v>
      </c>
      <c r="E977" s="8" t="s">
        <v>53</v>
      </c>
      <c r="F977" s="8" t="s">
        <v>54</v>
      </c>
      <c r="G977" s="8" t="s">
        <v>7</v>
      </c>
      <c r="H977" s="8" t="s">
        <v>38</v>
      </c>
      <c r="I977" s="9">
        <v>4772.3193000000001</v>
      </c>
      <c r="J977">
        <v>4225.1184668878004</v>
      </c>
      <c r="K977">
        <v>4003.6103498103998</v>
      </c>
      <c r="L977">
        <v>3808.1623120254999</v>
      </c>
    </row>
    <row r="978" spans="1:12" x14ac:dyDescent="0.2">
      <c r="A978" s="8" t="s">
        <v>32</v>
      </c>
      <c r="B978" s="8" t="s">
        <v>207</v>
      </c>
      <c r="C978" s="8" t="s">
        <v>212</v>
      </c>
      <c r="D978" s="8" t="s">
        <v>213</v>
      </c>
      <c r="E978" s="8" t="s">
        <v>70</v>
      </c>
      <c r="F978" s="8" t="s">
        <v>71</v>
      </c>
      <c r="G978" s="8" t="s">
        <v>7</v>
      </c>
      <c r="H978" s="8" t="s">
        <v>38</v>
      </c>
      <c r="I978" s="9">
        <v>19612.32</v>
      </c>
      <c r="J978">
        <v>21840</v>
      </c>
      <c r="K978">
        <v>20005.439999999999</v>
      </c>
      <c r="L978">
        <v>22713.599999999999</v>
      </c>
    </row>
    <row r="979" spans="1:12" x14ac:dyDescent="0.2">
      <c r="A979" s="8" t="s">
        <v>32</v>
      </c>
      <c r="B979" s="8" t="s">
        <v>207</v>
      </c>
      <c r="C979" s="8" t="s">
        <v>212</v>
      </c>
      <c r="D979" s="8" t="s">
        <v>213</v>
      </c>
      <c r="E979" s="8" t="s">
        <v>83</v>
      </c>
      <c r="F979" s="8" t="s">
        <v>84</v>
      </c>
      <c r="G979" s="8" t="s">
        <v>7</v>
      </c>
      <c r="H979" s="8" t="s">
        <v>38</v>
      </c>
      <c r="I979" s="9">
        <v>607.5</v>
      </c>
      <c r="J979">
        <v>652.5</v>
      </c>
      <c r="K979">
        <v>645</v>
      </c>
      <c r="L979">
        <v>652.5</v>
      </c>
    </row>
    <row r="980" spans="1:12" x14ac:dyDescent="0.2">
      <c r="A980" s="8" t="s">
        <v>32</v>
      </c>
      <c r="B980" s="8" t="s">
        <v>207</v>
      </c>
      <c r="C980" s="8" t="s">
        <v>212</v>
      </c>
      <c r="D980" s="8" t="s">
        <v>213</v>
      </c>
      <c r="E980" s="8" t="s">
        <v>55</v>
      </c>
      <c r="F980" s="8" t="s">
        <v>56</v>
      </c>
      <c r="G980" s="8" t="s">
        <v>7</v>
      </c>
      <c r="H980" s="8" t="s">
        <v>38</v>
      </c>
      <c r="I980" s="9">
        <v>4.5695999</v>
      </c>
      <c r="J980">
        <v>5.4791366288188001</v>
      </c>
      <c r="K980">
        <v>5.5887193613952002</v>
      </c>
      <c r="L980">
        <v>6.0746949580383003</v>
      </c>
    </row>
    <row r="981" spans="1:12" x14ac:dyDescent="0.2">
      <c r="A981" s="8" t="s">
        <v>32</v>
      </c>
      <c r="B981" s="8" t="s">
        <v>207</v>
      </c>
      <c r="C981" s="8" t="s">
        <v>212</v>
      </c>
      <c r="D981" s="8" t="s">
        <v>213</v>
      </c>
      <c r="E981" s="8" t="s">
        <v>57</v>
      </c>
      <c r="F981" s="8" t="s">
        <v>58</v>
      </c>
      <c r="G981" s="8" t="s">
        <v>7</v>
      </c>
      <c r="H981" s="8" t="s">
        <v>38</v>
      </c>
      <c r="I981" s="9">
        <v>190.63127</v>
      </c>
      <c r="J981">
        <v>228.5746583847</v>
      </c>
      <c r="K981">
        <v>233.1461515524</v>
      </c>
      <c r="L981">
        <v>253.41972994826</v>
      </c>
    </row>
    <row r="982" spans="1:12" x14ac:dyDescent="0.2">
      <c r="A982" s="8" t="s">
        <v>32</v>
      </c>
      <c r="B982" s="8" t="s">
        <v>207</v>
      </c>
      <c r="C982" s="8" t="s">
        <v>212</v>
      </c>
      <c r="D982" s="8" t="s">
        <v>213</v>
      </c>
      <c r="E982" s="8" t="s">
        <v>72</v>
      </c>
      <c r="F982" s="8" t="s">
        <v>73</v>
      </c>
      <c r="G982" s="8" t="s">
        <v>7</v>
      </c>
      <c r="H982" s="8" t="s">
        <v>38</v>
      </c>
      <c r="I982" s="9">
        <v>11723.091</v>
      </c>
      <c r="J982">
        <v>11594.269854865999</v>
      </c>
      <c r="K982">
        <v>12305.653301984001</v>
      </c>
      <c r="L982">
        <v>13161.936709734</v>
      </c>
    </row>
    <row r="983" spans="1:12" x14ac:dyDescent="0.2">
      <c r="A983" s="8" t="s">
        <v>32</v>
      </c>
      <c r="B983" s="8" t="s">
        <v>207</v>
      </c>
      <c r="C983" s="8" t="s">
        <v>212</v>
      </c>
      <c r="D983" s="8" t="s">
        <v>213</v>
      </c>
      <c r="E983" s="8" t="s">
        <v>74</v>
      </c>
      <c r="F983" s="8" t="s">
        <v>75</v>
      </c>
      <c r="G983" s="8" t="s">
        <v>7</v>
      </c>
      <c r="H983" s="8" t="s">
        <v>38</v>
      </c>
      <c r="I983" s="9">
        <v>1033.2429</v>
      </c>
      <c r="J983">
        <v>1106.547758701</v>
      </c>
      <c r="K983">
        <v>1066.994675934</v>
      </c>
      <c r="L983">
        <v>1110.9243081678001</v>
      </c>
    </row>
    <row r="984" spans="1:12" x14ac:dyDescent="0.2">
      <c r="A984" s="8" t="s">
        <v>32</v>
      </c>
      <c r="B984" s="8" t="s">
        <v>207</v>
      </c>
      <c r="C984" s="8" t="s">
        <v>212</v>
      </c>
      <c r="D984" s="8" t="s">
        <v>213</v>
      </c>
      <c r="E984" s="8" t="s">
        <v>59</v>
      </c>
      <c r="F984" s="8" t="s">
        <v>60</v>
      </c>
      <c r="G984" s="8" t="s">
        <v>7</v>
      </c>
      <c r="H984" s="8" t="s">
        <v>38</v>
      </c>
      <c r="I984" s="9">
        <v>399.68385999999998</v>
      </c>
      <c r="J984">
        <v>422.55556842249001</v>
      </c>
      <c r="K984">
        <v>408.91856104695</v>
      </c>
      <c r="L984">
        <v>391.95237831083</v>
      </c>
    </row>
    <row r="985" spans="1:12" x14ac:dyDescent="0.2">
      <c r="A985" s="8" t="s">
        <v>32</v>
      </c>
      <c r="B985" s="8" t="s">
        <v>207</v>
      </c>
      <c r="C985" s="8" t="s">
        <v>212</v>
      </c>
      <c r="D985" s="8" t="s">
        <v>213</v>
      </c>
      <c r="E985" s="8" t="s">
        <v>76</v>
      </c>
      <c r="F985" s="8" t="s">
        <v>77</v>
      </c>
      <c r="G985" s="8" t="s">
        <v>7</v>
      </c>
      <c r="H985" s="8" t="s">
        <v>38</v>
      </c>
      <c r="I985" s="9">
        <v>1358.7619</v>
      </c>
      <c r="J985">
        <v>1116.4476191125</v>
      </c>
      <c r="K985">
        <v>1032.0095238624001</v>
      </c>
      <c r="L985">
        <v>1044.009634605</v>
      </c>
    </row>
    <row r="986" spans="1:12" x14ac:dyDescent="0.2">
      <c r="A986" s="8" t="s">
        <v>32</v>
      </c>
      <c r="B986" s="8" t="s">
        <v>207</v>
      </c>
      <c r="C986" s="8" t="s">
        <v>212</v>
      </c>
      <c r="D986" s="8" t="s">
        <v>213</v>
      </c>
      <c r="E986" s="8" t="s">
        <v>78</v>
      </c>
      <c r="F986" s="8" t="s">
        <v>79</v>
      </c>
      <c r="G986" s="8" t="s">
        <v>7</v>
      </c>
      <c r="H986" s="8" t="s">
        <v>38</v>
      </c>
      <c r="I986" s="9">
        <v>1455.9283</v>
      </c>
      <c r="J986">
        <v>1509.9854397429001</v>
      </c>
      <c r="K986">
        <v>1469.9140184570999</v>
      </c>
      <c r="L986">
        <v>1474.7540175771001</v>
      </c>
    </row>
    <row r="987" spans="1:12" x14ac:dyDescent="0.2">
      <c r="A987" s="8" t="s">
        <v>32</v>
      </c>
      <c r="B987" s="8" t="s">
        <v>207</v>
      </c>
      <c r="C987" s="8" t="s">
        <v>212</v>
      </c>
      <c r="D987" s="8" t="s">
        <v>213</v>
      </c>
      <c r="E987" s="8" t="s">
        <v>92</v>
      </c>
      <c r="F987" s="8" t="s">
        <v>93</v>
      </c>
      <c r="G987" s="8" t="s">
        <v>7</v>
      </c>
      <c r="H987" s="8" t="s">
        <v>38</v>
      </c>
      <c r="I987" s="9">
        <v>0.42853330000000001</v>
      </c>
      <c r="J987">
        <v>0.43662844396887002</v>
      </c>
      <c r="K987">
        <v>0.44490894239370998</v>
      </c>
      <c r="L987">
        <v>0.45266708941169997</v>
      </c>
    </row>
    <row r="988" spans="1:12" x14ac:dyDescent="0.2">
      <c r="A988" s="8" t="s">
        <v>32</v>
      </c>
      <c r="B988" s="8" t="s">
        <v>120</v>
      </c>
      <c r="C988" s="8" t="s">
        <v>214</v>
      </c>
      <c r="D988" s="8" t="s">
        <v>215</v>
      </c>
      <c r="E988" s="8" t="s">
        <v>36</v>
      </c>
      <c r="F988" s="8" t="s">
        <v>37</v>
      </c>
      <c r="G988" s="8" t="s">
        <v>7</v>
      </c>
      <c r="H988" s="8" t="s">
        <v>38</v>
      </c>
      <c r="I988" s="9">
        <v>308.65742999999998</v>
      </c>
      <c r="J988">
        <v>331.99405632000003</v>
      </c>
      <c r="K988">
        <v>351.47697995999999</v>
      </c>
      <c r="L988">
        <v>358.39114420560003</v>
      </c>
    </row>
    <row r="989" spans="1:12" x14ac:dyDescent="0.2">
      <c r="A989" s="8" t="s">
        <v>32</v>
      </c>
      <c r="B989" s="8" t="s">
        <v>120</v>
      </c>
      <c r="C989" s="8" t="s">
        <v>214</v>
      </c>
      <c r="D989" s="8" t="s">
        <v>215</v>
      </c>
      <c r="E989" s="8" t="s">
        <v>64</v>
      </c>
      <c r="F989" s="8" t="s">
        <v>65</v>
      </c>
      <c r="G989" s="8" t="s">
        <v>7</v>
      </c>
      <c r="H989" s="8" t="s">
        <v>38</v>
      </c>
      <c r="I989" s="9"/>
    </row>
    <row r="990" spans="1:12" x14ac:dyDescent="0.2">
      <c r="A990" s="8" t="s">
        <v>32</v>
      </c>
      <c r="B990" s="8" t="s">
        <v>120</v>
      </c>
      <c r="C990" s="8" t="s">
        <v>214</v>
      </c>
      <c r="D990" s="8" t="s">
        <v>215</v>
      </c>
      <c r="E990" s="8" t="s">
        <v>39</v>
      </c>
      <c r="F990" s="8" t="s">
        <v>40</v>
      </c>
      <c r="G990" s="8" t="s">
        <v>7</v>
      </c>
      <c r="H990" s="8" t="s">
        <v>38</v>
      </c>
      <c r="I990" s="9">
        <v>22.113699</v>
      </c>
      <c r="J990">
        <v>22.623736319999999</v>
      </c>
      <c r="K990">
        <v>23.46759453</v>
      </c>
      <c r="L990">
        <v>23.929242980058</v>
      </c>
    </row>
    <row r="991" spans="1:12" x14ac:dyDescent="0.2">
      <c r="A991" s="8" t="s">
        <v>32</v>
      </c>
      <c r="B991" s="8" t="s">
        <v>120</v>
      </c>
      <c r="C991" s="8" t="s">
        <v>214</v>
      </c>
      <c r="D991" s="8" t="s">
        <v>215</v>
      </c>
      <c r="E991" s="8" t="s">
        <v>41</v>
      </c>
      <c r="F991" s="8" t="s">
        <v>42</v>
      </c>
      <c r="G991" s="8" t="s">
        <v>7</v>
      </c>
      <c r="H991" s="8" t="s">
        <v>38</v>
      </c>
      <c r="I991" s="9">
        <v>2.3406669</v>
      </c>
      <c r="J991">
        <v>3.5557522000000001</v>
      </c>
      <c r="K991">
        <v>9.3051887499999992</v>
      </c>
      <c r="L991">
        <v>10.487361576713001</v>
      </c>
    </row>
    <row r="992" spans="1:12" x14ac:dyDescent="0.2">
      <c r="A992" s="8" t="s">
        <v>32</v>
      </c>
      <c r="B992" s="8" t="s">
        <v>120</v>
      </c>
      <c r="C992" s="8" t="s">
        <v>214</v>
      </c>
      <c r="D992" s="8" t="s">
        <v>215</v>
      </c>
      <c r="E992" s="8" t="s">
        <v>43</v>
      </c>
      <c r="F992" s="8" t="s">
        <v>44</v>
      </c>
      <c r="G992" s="8" t="s">
        <v>7</v>
      </c>
      <c r="H992" s="8" t="s">
        <v>38</v>
      </c>
      <c r="I992" s="9">
        <v>215.03735</v>
      </c>
      <c r="J992">
        <v>221.28648873</v>
      </c>
      <c r="K992">
        <v>231.60192366000001</v>
      </c>
      <c r="L992">
        <v>236.15793680191999</v>
      </c>
    </row>
    <row r="993" spans="1:12" x14ac:dyDescent="0.2">
      <c r="A993" s="8" t="s">
        <v>32</v>
      </c>
      <c r="B993" s="8" t="s">
        <v>120</v>
      </c>
      <c r="C993" s="8" t="s">
        <v>214</v>
      </c>
      <c r="D993" s="8" t="s">
        <v>215</v>
      </c>
      <c r="E993" s="8" t="s">
        <v>49</v>
      </c>
      <c r="F993" s="8" t="s">
        <v>50</v>
      </c>
      <c r="G993" s="8" t="s">
        <v>7</v>
      </c>
      <c r="H993" s="8" t="s">
        <v>38</v>
      </c>
      <c r="I993" s="9">
        <v>49.775396000000001</v>
      </c>
      <c r="J993">
        <v>50.827376149999999</v>
      </c>
      <c r="K993">
        <v>52.143779889999998</v>
      </c>
      <c r="L993">
        <v>53.169538841799998</v>
      </c>
    </row>
    <row r="994" spans="1:12" x14ac:dyDescent="0.2">
      <c r="A994" s="8" t="s">
        <v>32</v>
      </c>
      <c r="B994" s="8" t="s">
        <v>120</v>
      </c>
      <c r="C994" s="8" t="s">
        <v>214</v>
      </c>
      <c r="D994" s="8" t="s">
        <v>215</v>
      </c>
      <c r="E994" s="8" t="s">
        <v>53</v>
      </c>
      <c r="F994" s="8" t="s">
        <v>54</v>
      </c>
      <c r="G994" s="8" t="s">
        <v>7</v>
      </c>
      <c r="H994" s="8" t="s">
        <v>38</v>
      </c>
      <c r="I994" s="9"/>
    </row>
    <row r="995" spans="1:12" x14ac:dyDescent="0.2">
      <c r="A995" s="8" t="s">
        <v>32</v>
      </c>
      <c r="B995" s="8" t="s">
        <v>120</v>
      </c>
      <c r="C995" s="8" t="s">
        <v>214</v>
      </c>
      <c r="D995" s="8" t="s">
        <v>215</v>
      </c>
      <c r="E995" s="8" t="s">
        <v>70</v>
      </c>
      <c r="F995" s="8" t="s">
        <v>71</v>
      </c>
      <c r="G995" s="8" t="s">
        <v>7</v>
      </c>
      <c r="H995" s="8" t="s">
        <v>38</v>
      </c>
      <c r="I995" s="9">
        <v>62.499481000000003</v>
      </c>
      <c r="J995">
        <v>70.311916260000004</v>
      </c>
      <c r="K995">
        <v>70.311916260000004</v>
      </c>
      <c r="L995">
        <v>70.232594741233001</v>
      </c>
    </row>
    <row r="996" spans="1:12" x14ac:dyDescent="0.2">
      <c r="A996" s="8" t="s">
        <v>32</v>
      </c>
      <c r="B996" s="8" t="s">
        <v>120</v>
      </c>
      <c r="C996" s="8" t="s">
        <v>214</v>
      </c>
      <c r="D996" s="8" t="s">
        <v>215</v>
      </c>
      <c r="E996" s="8" t="s">
        <v>83</v>
      </c>
      <c r="F996" s="8" t="s">
        <v>84</v>
      </c>
      <c r="G996" s="8" t="s">
        <v>7</v>
      </c>
      <c r="H996" s="8" t="s">
        <v>38</v>
      </c>
      <c r="I996" s="9"/>
    </row>
    <row r="997" spans="1:12" x14ac:dyDescent="0.2">
      <c r="A997" s="8" t="s">
        <v>32</v>
      </c>
      <c r="B997" s="8" t="s">
        <v>120</v>
      </c>
      <c r="C997" s="8" t="s">
        <v>214</v>
      </c>
      <c r="D997" s="8" t="s">
        <v>215</v>
      </c>
      <c r="E997" s="8" t="s">
        <v>55</v>
      </c>
      <c r="F997" s="8" t="s">
        <v>56</v>
      </c>
      <c r="G997" s="8" t="s">
        <v>7</v>
      </c>
      <c r="H997" s="8" t="s">
        <v>38</v>
      </c>
      <c r="I997" s="9">
        <v>0.27256590000000003</v>
      </c>
      <c r="J997">
        <v>0.30528088422862998</v>
      </c>
      <c r="K997">
        <v>0.30528088422862998</v>
      </c>
      <c r="L997">
        <v>0.30528088422862998</v>
      </c>
    </row>
    <row r="998" spans="1:12" x14ac:dyDescent="0.2">
      <c r="A998" s="8" t="s">
        <v>32</v>
      </c>
      <c r="B998" s="8" t="s">
        <v>120</v>
      </c>
      <c r="C998" s="8" t="s">
        <v>214</v>
      </c>
      <c r="D998" s="8" t="s">
        <v>215</v>
      </c>
      <c r="E998" s="8" t="s">
        <v>57</v>
      </c>
      <c r="F998" s="8" t="s">
        <v>58</v>
      </c>
      <c r="G998" s="8" t="s">
        <v>7</v>
      </c>
      <c r="H998" s="8" t="s">
        <v>38</v>
      </c>
      <c r="I998" s="9"/>
    </row>
    <row r="999" spans="1:12" x14ac:dyDescent="0.2">
      <c r="A999" s="8" t="s">
        <v>32</v>
      </c>
      <c r="B999" s="8" t="s">
        <v>120</v>
      </c>
      <c r="C999" s="8" t="s">
        <v>214</v>
      </c>
      <c r="D999" s="8" t="s">
        <v>215</v>
      </c>
      <c r="E999" s="8" t="s">
        <v>59</v>
      </c>
      <c r="F999" s="8" t="s">
        <v>60</v>
      </c>
      <c r="G999" s="8" t="s">
        <v>7</v>
      </c>
      <c r="H999" s="8" t="s">
        <v>38</v>
      </c>
      <c r="I999" s="9">
        <v>10.783299</v>
      </c>
      <c r="J999">
        <v>11.027667883707</v>
      </c>
      <c r="K999">
        <v>11.309237954122001</v>
      </c>
      <c r="L999">
        <v>11.529299095132</v>
      </c>
    </row>
    <row r="1000" spans="1:12" x14ac:dyDescent="0.2">
      <c r="A1000" s="8" t="s">
        <v>32</v>
      </c>
      <c r="B1000" s="8" t="s">
        <v>207</v>
      </c>
      <c r="C1000" s="8" t="s">
        <v>216</v>
      </c>
      <c r="D1000" s="8" t="s">
        <v>217</v>
      </c>
      <c r="E1000" s="8" t="s">
        <v>36</v>
      </c>
      <c r="F1000" s="8" t="s">
        <v>37</v>
      </c>
      <c r="G1000" s="8" t="s">
        <v>7</v>
      </c>
      <c r="H1000" s="8" t="s">
        <v>38</v>
      </c>
      <c r="I1000" s="9">
        <v>34.555492999999998</v>
      </c>
      <c r="J1000">
        <v>42.234491980554999</v>
      </c>
      <c r="K1000">
        <v>46.623573743918001</v>
      </c>
      <c r="L1000">
        <v>50.288766240759998</v>
      </c>
    </row>
    <row r="1001" spans="1:12" x14ac:dyDescent="0.2">
      <c r="A1001" s="8" t="s">
        <v>32</v>
      </c>
      <c r="B1001" s="8" t="s">
        <v>207</v>
      </c>
      <c r="C1001" s="8" t="s">
        <v>216</v>
      </c>
      <c r="D1001" s="8" t="s">
        <v>217</v>
      </c>
      <c r="E1001" s="8" t="s">
        <v>39</v>
      </c>
      <c r="F1001" s="8" t="s">
        <v>40</v>
      </c>
      <c r="G1001" s="8" t="s">
        <v>7</v>
      </c>
      <c r="H1001" s="8" t="s">
        <v>38</v>
      </c>
      <c r="I1001" s="9">
        <v>35.783574999999999</v>
      </c>
      <c r="J1001">
        <v>43.735480565807997</v>
      </c>
      <c r="K1001">
        <v>48.280547670003997</v>
      </c>
      <c r="L1001">
        <v>52.075998916095003</v>
      </c>
    </row>
    <row r="1002" spans="1:12" x14ac:dyDescent="0.2">
      <c r="A1002" s="8" t="s">
        <v>32</v>
      </c>
      <c r="B1002" s="8" t="s">
        <v>207</v>
      </c>
      <c r="C1002" s="8" t="s">
        <v>216</v>
      </c>
      <c r="D1002" s="8" t="s">
        <v>217</v>
      </c>
      <c r="E1002" s="8" t="s">
        <v>41</v>
      </c>
      <c r="F1002" s="8" t="s">
        <v>42</v>
      </c>
      <c r="G1002" s="8" t="s">
        <v>7</v>
      </c>
      <c r="H1002" s="8" t="s">
        <v>38</v>
      </c>
      <c r="I1002" s="9">
        <v>1.2877649</v>
      </c>
      <c r="J1002">
        <v>1.4920310833402</v>
      </c>
      <c r="K1002">
        <v>1.8379933706122999</v>
      </c>
      <c r="L1002">
        <v>2.0715002748561</v>
      </c>
    </row>
    <row r="1003" spans="1:12" x14ac:dyDescent="0.2">
      <c r="A1003" s="8" t="s">
        <v>32</v>
      </c>
      <c r="B1003" s="8" t="s">
        <v>207</v>
      </c>
      <c r="C1003" s="8" t="s">
        <v>216</v>
      </c>
      <c r="D1003" s="8" t="s">
        <v>217</v>
      </c>
      <c r="E1003" s="8" t="s">
        <v>43</v>
      </c>
      <c r="F1003" s="8" t="s">
        <v>44</v>
      </c>
      <c r="G1003" s="8" t="s">
        <v>7</v>
      </c>
      <c r="H1003" s="8" t="s">
        <v>38</v>
      </c>
      <c r="I1003" s="9">
        <v>99.833207999999999</v>
      </c>
      <c r="J1003">
        <v>122.01836535405999</v>
      </c>
      <c r="K1003">
        <v>134.69872581435001</v>
      </c>
      <c r="L1003">
        <v>145.28772016945999</v>
      </c>
    </row>
    <row r="1004" spans="1:12" x14ac:dyDescent="0.2">
      <c r="A1004" s="8" t="s">
        <v>32</v>
      </c>
      <c r="B1004" s="8" t="s">
        <v>207</v>
      </c>
      <c r="C1004" s="8" t="s">
        <v>216</v>
      </c>
      <c r="D1004" s="8" t="s">
        <v>217</v>
      </c>
      <c r="E1004" s="8" t="s">
        <v>66</v>
      </c>
      <c r="F1004" s="8" t="s">
        <v>67</v>
      </c>
      <c r="G1004" s="8" t="s">
        <v>7</v>
      </c>
      <c r="H1004" s="8" t="s">
        <v>38</v>
      </c>
      <c r="I1004" s="9">
        <v>0.61354419999999998</v>
      </c>
      <c r="J1004">
        <v>0.74988733030399002</v>
      </c>
      <c r="K1004">
        <v>0.82781692414232</v>
      </c>
      <c r="L1004">
        <v>0.89289362537914996</v>
      </c>
    </row>
    <row r="1005" spans="1:12" x14ac:dyDescent="0.2">
      <c r="A1005" s="8" t="s">
        <v>32</v>
      </c>
      <c r="B1005" s="8" t="s">
        <v>207</v>
      </c>
      <c r="C1005" s="8" t="s">
        <v>216</v>
      </c>
      <c r="D1005" s="8" t="s">
        <v>217</v>
      </c>
      <c r="E1005" s="8" t="s">
        <v>45</v>
      </c>
      <c r="F1005" s="8" t="s">
        <v>46</v>
      </c>
      <c r="G1005" s="8" t="s">
        <v>7</v>
      </c>
      <c r="H1005" s="8" t="s">
        <v>38</v>
      </c>
      <c r="I1005" s="9">
        <v>0.1058813</v>
      </c>
      <c r="J1005">
        <v>0.12143729278599</v>
      </c>
      <c r="K1005">
        <v>0.17267530238470999</v>
      </c>
      <c r="L1005">
        <v>0.1617652970349</v>
      </c>
    </row>
    <row r="1006" spans="1:12" x14ac:dyDescent="0.2">
      <c r="A1006" s="8" t="s">
        <v>32</v>
      </c>
      <c r="B1006" s="8" t="s">
        <v>207</v>
      </c>
      <c r="C1006" s="8" t="s">
        <v>216</v>
      </c>
      <c r="D1006" s="8" t="s">
        <v>217</v>
      </c>
      <c r="E1006" s="8" t="s">
        <v>49</v>
      </c>
      <c r="F1006" s="8" t="s">
        <v>50</v>
      </c>
      <c r="G1006" s="8" t="s">
        <v>7</v>
      </c>
      <c r="H1006" s="8" t="s">
        <v>38</v>
      </c>
      <c r="I1006" s="9">
        <v>15.390336</v>
      </c>
      <c r="J1006">
        <v>18.810410253703001</v>
      </c>
      <c r="K1006">
        <v>20.765220758915</v>
      </c>
      <c r="L1006">
        <v>22.397625253236001</v>
      </c>
    </row>
    <row r="1007" spans="1:12" x14ac:dyDescent="0.2">
      <c r="A1007" s="8" t="s">
        <v>32</v>
      </c>
      <c r="B1007" s="8" t="s">
        <v>207</v>
      </c>
      <c r="C1007" s="8" t="s">
        <v>216</v>
      </c>
      <c r="D1007" s="8" t="s">
        <v>217</v>
      </c>
      <c r="E1007" s="8" t="s">
        <v>51</v>
      </c>
      <c r="F1007" s="8" t="s">
        <v>52</v>
      </c>
      <c r="G1007" s="8" t="s">
        <v>7</v>
      </c>
      <c r="H1007" s="8" t="s">
        <v>38</v>
      </c>
      <c r="I1007" s="9">
        <v>8.5480376000000007</v>
      </c>
      <c r="J1007">
        <v>10.447601517000001</v>
      </c>
      <c r="K1007">
        <v>11.533334413</v>
      </c>
      <c r="L1007">
        <v>12.439997874413001</v>
      </c>
    </row>
    <row r="1008" spans="1:12" x14ac:dyDescent="0.2">
      <c r="A1008" s="8" t="s">
        <v>32</v>
      </c>
      <c r="B1008" s="8" t="s">
        <v>207</v>
      </c>
      <c r="C1008" s="8" t="s">
        <v>216</v>
      </c>
      <c r="D1008" s="8" t="s">
        <v>217</v>
      </c>
      <c r="E1008" s="8" t="s">
        <v>55</v>
      </c>
      <c r="F1008" s="8" t="s">
        <v>56</v>
      </c>
      <c r="G1008" s="8" t="s">
        <v>7</v>
      </c>
      <c r="H1008" s="8" t="s">
        <v>38</v>
      </c>
      <c r="I1008" s="9">
        <v>3.06991E-2</v>
      </c>
      <c r="J1008">
        <v>3.1237664613445001E-2</v>
      </c>
      <c r="K1008">
        <v>3.1785725077981997E-2</v>
      </c>
      <c r="L1008">
        <v>3.2319834439130002E-2</v>
      </c>
    </row>
    <row r="1009" spans="1:12" x14ac:dyDescent="0.2">
      <c r="A1009" s="8" t="s">
        <v>32</v>
      </c>
      <c r="B1009" s="8" t="s">
        <v>207</v>
      </c>
      <c r="C1009" s="8" t="s">
        <v>216</v>
      </c>
      <c r="D1009" s="8" t="s">
        <v>217</v>
      </c>
      <c r="E1009" s="8" t="s">
        <v>59</v>
      </c>
      <c r="F1009" s="8" t="s">
        <v>60</v>
      </c>
      <c r="G1009" s="8" t="s">
        <v>7</v>
      </c>
      <c r="H1009" s="8" t="s">
        <v>38</v>
      </c>
      <c r="I1009" s="9">
        <v>1.2448870999999999</v>
      </c>
      <c r="J1009">
        <v>1.2255568373339001</v>
      </c>
      <c r="K1009">
        <v>1.2038871672389</v>
      </c>
      <c r="L1009">
        <v>1.183661690131</v>
      </c>
    </row>
    <row r="1010" spans="1:12" x14ac:dyDescent="0.2">
      <c r="A1010" s="8" t="s">
        <v>110</v>
      </c>
      <c r="B1010" s="8" t="s">
        <v>115</v>
      </c>
      <c r="C1010" s="8" t="s">
        <v>218</v>
      </c>
      <c r="D1010" s="8" t="s">
        <v>219</v>
      </c>
      <c r="E1010" s="8" t="s">
        <v>36</v>
      </c>
      <c r="F1010" s="8" t="s">
        <v>37</v>
      </c>
      <c r="G1010" s="8" t="s">
        <v>7</v>
      </c>
      <c r="H1010" s="8" t="s">
        <v>38</v>
      </c>
      <c r="I1010" s="9">
        <v>39893.534</v>
      </c>
      <c r="J1010">
        <v>40622.068155000001</v>
      </c>
      <c r="K1010">
        <v>49051.965326999998</v>
      </c>
      <c r="L1010">
        <v>37183.374438140003</v>
      </c>
    </row>
    <row r="1011" spans="1:12" x14ac:dyDescent="0.2">
      <c r="A1011" s="8" t="s">
        <v>110</v>
      </c>
      <c r="B1011" s="8" t="s">
        <v>115</v>
      </c>
      <c r="C1011" s="8" t="s">
        <v>218</v>
      </c>
      <c r="D1011" s="8" t="s">
        <v>219</v>
      </c>
      <c r="E1011" s="8" t="s">
        <v>64</v>
      </c>
      <c r="F1011" s="8" t="s">
        <v>65</v>
      </c>
      <c r="G1011" s="8" t="s">
        <v>7</v>
      </c>
      <c r="H1011" s="8" t="s">
        <v>38</v>
      </c>
      <c r="I1011" s="9">
        <v>18732.598999999998</v>
      </c>
      <c r="J1011">
        <v>19805.769480999999</v>
      </c>
      <c r="K1011">
        <v>17783.734145999999</v>
      </c>
      <c r="L1011">
        <v>18061.526787966999</v>
      </c>
    </row>
    <row r="1012" spans="1:12" x14ac:dyDescent="0.2">
      <c r="A1012" s="8" t="s">
        <v>110</v>
      </c>
      <c r="B1012" s="8" t="s">
        <v>115</v>
      </c>
      <c r="C1012" s="8" t="s">
        <v>218</v>
      </c>
      <c r="D1012" s="8" t="s">
        <v>219</v>
      </c>
      <c r="E1012" s="8" t="s">
        <v>39</v>
      </c>
      <c r="F1012" s="8" t="s">
        <v>40</v>
      </c>
      <c r="G1012" s="8" t="s">
        <v>7</v>
      </c>
      <c r="H1012" s="8" t="s">
        <v>38</v>
      </c>
      <c r="I1012" s="9">
        <v>30769.538</v>
      </c>
      <c r="J1012">
        <v>32037.848274</v>
      </c>
      <c r="K1012">
        <v>27157.414721000001</v>
      </c>
      <c r="L1012">
        <v>26215.168340455999</v>
      </c>
    </row>
    <row r="1013" spans="1:12" x14ac:dyDescent="0.2">
      <c r="A1013" s="8" t="s">
        <v>110</v>
      </c>
      <c r="B1013" s="8" t="s">
        <v>115</v>
      </c>
      <c r="C1013" s="8" t="s">
        <v>218</v>
      </c>
      <c r="D1013" s="8" t="s">
        <v>219</v>
      </c>
      <c r="E1013" s="8" t="s">
        <v>41</v>
      </c>
      <c r="F1013" s="8" t="s">
        <v>42</v>
      </c>
      <c r="G1013" s="8" t="s">
        <v>7</v>
      </c>
      <c r="H1013" s="8" t="s">
        <v>38</v>
      </c>
      <c r="I1013" s="9">
        <v>2800.8915000000002</v>
      </c>
      <c r="J1013">
        <v>4856.3062349999</v>
      </c>
      <c r="K1013">
        <v>7309.8495800000001</v>
      </c>
      <c r="L1013">
        <v>7720.4114115531002</v>
      </c>
    </row>
    <row r="1014" spans="1:12" x14ac:dyDescent="0.2">
      <c r="A1014" s="8" t="s">
        <v>110</v>
      </c>
      <c r="B1014" s="8" t="s">
        <v>115</v>
      </c>
      <c r="C1014" s="8" t="s">
        <v>218</v>
      </c>
      <c r="D1014" s="8" t="s">
        <v>219</v>
      </c>
      <c r="E1014" s="8" t="s">
        <v>43</v>
      </c>
      <c r="F1014" s="8" t="s">
        <v>44</v>
      </c>
      <c r="G1014" s="8" t="s">
        <v>7</v>
      </c>
      <c r="H1014" s="8" t="s">
        <v>38</v>
      </c>
      <c r="I1014" s="9">
        <v>68020.346000000005</v>
      </c>
      <c r="J1014">
        <v>78314.473757</v>
      </c>
      <c r="K1014">
        <v>81554.931773999997</v>
      </c>
      <c r="L1014">
        <v>79193.827169953001</v>
      </c>
    </row>
    <row r="1015" spans="1:12" x14ac:dyDescent="0.2">
      <c r="A1015" s="8" t="s">
        <v>110</v>
      </c>
      <c r="B1015" s="8" t="s">
        <v>115</v>
      </c>
      <c r="C1015" s="8" t="s">
        <v>218</v>
      </c>
      <c r="D1015" s="8" t="s">
        <v>219</v>
      </c>
      <c r="E1015" s="8" t="s">
        <v>66</v>
      </c>
      <c r="F1015" s="8" t="s">
        <v>67</v>
      </c>
      <c r="G1015" s="8" t="s">
        <v>7</v>
      </c>
      <c r="H1015" s="8" t="s">
        <v>38</v>
      </c>
      <c r="I1015" s="9">
        <v>186.24294</v>
      </c>
      <c r="J1015">
        <v>169.70530199999999</v>
      </c>
      <c r="K1015">
        <v>163.01925900000001</v>
      </c>
      <c r="L1015">
        <v>144.66003739028</v>
      </c>
    </row>
    <row r="1016" spans="1:12" x14ac:dyDescent="0.2">
      <c r="A1016" s="8" t="s">
        <v>110</v>
      </c>
      <c r="B1016" s="8" t="s">
        <v>115</v>
      </c>
      <c r="C1016" s="8" t="s">
        <v>218</v>
      </c>
      <c r="D1016" s="8" t="s">
        <v>219</v>
      </c>
      <c r="E1016" s="8" t="s">
        <v>45</v>
      </c>
      <c r="F1016" s="8" t="s">
        <v>46</v>
      </c>
      <c r="G1016" s="8" t="s">
        <v>7</v>
      </c>
      <c r="H1016" s="8" t="s">
        <v>38</v>
      </c>
      <c r="I1016" s="9">
        <v>2513.1424000000002</v>
      </c>
      <c r="J1016">
        <v>2842.1590890000002</v>
      </c>
      <c r="K1016">
        <v>3442.1425650000001</v>
      </c>
      <c r="L1016">
        <v>2818.0991200123999</v>
      </c>
    </row>
    <row r="1017" spans="1:12" x14ac:dyDescent="0.2">
      <c r="A1017" s="8" t="s">
        <v>110</v>
      </c>
      <c r="B1017" s="8" t="s">
        <v>115</v>
      </c>
      <c r="C1017" s="8" t="s">
        <v>218</v>
      </c>
      <c r="D1017" s="8" t="s">
        <v>219</v>
      </c>
      <c r="E1017" s="8" t="s">
        <v>47</v>
      </c>
      <c r="F1017" s="8" t="s">
        <v>48</v>
      </c>
      <c r="G1017" s="8" t="s">
        <v>7</v>
      </c>
      <c r="H1017" s="8" t="s">
        <v>38</v>
      </c>
      <c r="I1017" s="9">
        <v>268.73298</v>
      </c>
      <c r="J1017">
        <v>356.487078</v>
      </c>
      <c r="K1017">
        <v>322.35097500000001</v>
      </c>
      <c r="L1017">
        <v>258.96619234810998</v>
      </c>
    </row>
    <row r="1018" spans="1:12" x14ac:dyDescent="0.2">
      <c r="A1018" s="8" t="s">
        <v>110</v>
      </c>
      <c r="B1018" s="8" t="s">
        <v>115</v>
      </c>
      <c r="C1018" s="8" t="s">
        <v>218</v>
      </c>
      <c r="D1018" s="8" t="s">
        <v>219</v>
      </c>
      <c r="E1018" s="8" t="s">
        <v>49</v>
      </c>
      <c r="F1018" s="8" t="s">
        <v>50</v>
      </c>
      <c r="G1018" s="8" t="s">
        <v>7</v>
      </c>
      <c r="H1018" s="8" t="s">
        <v>38</v>
      </c>
      <c r="I1018" s="9">
        <v>30743.093000000001</v>
      </c>
      <c r="J1018">
        <v>31923.440750000002</v>
      </c>
      <c r="K1018">
        <v>29725.801422</v>
      </c>
      <c r="L1018">
        <v>27500.361743283</v>
      </c>
    </row>
    <row r="1019" spans="1:12" x14ac:dyDescent="0.2">
      <c r="A1019" s="8" t="s">
        <v>110</v>
      </c>
      <c r="B1019" s="8" t="s">
        <v>115</v>
      </c>
      <c r="C1019" s="8" t="s">
        <v>218</v>
      </c>
      <c r="D1019" s="8" t="s">
        <v>219</v>
      </c>
      <c r="E1019" s="8" t="s">
        <v>51</v>
      </c>
      <c r="F1019" s="8" t="s">
        <v>52</v>
      </c>
      <c r="G1019" s="8" t="s">
        <v>7</v>
      </c>
      <c r="H1019" s="8" t="s">
        <v>38</v>
      </c>
      <c r="I1019" s="9">
        <v>585.26714000000004</v>
      </c>
      <c r="J1019">
        <v>562.52092200000004</v>
      </c>
      <c r="K1019">
        <v>588.24606700000004</v>
      </c>
      <c r="L1019">
        <v>558.38003493327005</v>
      </c>
    </row>
    <row r="1020" spans="1:12" x14ac:dyDescent="0.2">
      <c r="A1020" s="8" t="s">
        <v>110</v>
      </c>
      <c r="B1020" s="8" t="s">
        <v>115</v>
      </c>
      <c r="C1020" s="8" t="s">
        <v>218</v>
      </c>
      <c r="D1020" s="8" t="s">
        <v>219</v>
      </c>
      <c r="E1020" s="8" t="s">
        <v>68</v>
      </c>
      <c r="F1020" s="8" t="s">
        <v>69</v>
      </c>
      <c r="G1020" s="8" t="s">
        <v>7</v>
      </c>
      <c r="H1020" s="8" t="s">
        <v>38</v>
      </c>
      <c r="I1020" s="9">
        <v>0</v>
      </c>
      <c r="J1020">
        <v>119.02126699999999</v>
      </c>
      <c r="K1020">
        <v>300.268078</v>
      </c>
      <c r="L1020">
        <v>291.70795879230002</v>
      </c>
    </row>
    <row r="1021" spans="1:12" x14ac:dyDescent="0.2">
      <c r="A1021" s="8" t="s">
        <v>110</v>
      </c>
      <c r="B1021" s="8" t="s">
        <v>115</v>
      </c>
      <c r="C1021" s="8" t="s">
        <v>218</v>
      </c>
      <c r="D1021" s="8" t="s">
        <v>219</v>
      </c>
      <c r="E1021" s="8" t="s">
        <v>53</v>
      </c>
      <c r="F1021" s="8" t="s">
        <v>54</v>
      </c>
      <c r="G1021" s="8" t="s">
        <v>7</v>
      </c>
      <c r="H1021" s="8" t="s">
        <v>38</v>
      </c>
      <c r="I1021" s="9">
        <v>528.18461000000002</v>
      </c>
      <c r="J1021">
        <v>579.82091878695996</v>
      </c>
      <c r="K1021">
        <v>515.19723144189004</v>
      </c>
      <c r="L1021">
        <v>567.23652357695005</v>
      </c>
    </row>
    <row r="1022" spans="1:12" x14ac:dyDescent="0.2">
      <c r="A1022" s="8" t="s">
        <v>110</v>
      </c>
      <c r="B1022" s="8" t="s">
        <v>115</v>
      </c>
      <c r="C1022" s="8" t="s">
        <v>218</v>
      </c>
      <c r="D1022" s="8" t="s">
        <v>219</v>
      </c>
      <c r="E1022" s="8" t="s">
        <v>70</v>
      </c>
      <c r="F1022" s="8" t="s">
        <v>71</v>
      </c>
      <c r="G1022" s="8" t="s">
        <v>7</v>
      </c>
      <c r="H1022" s="8" t="s">
        <v>38</v>
      </c>
      <c r="I1022" s="9">
        <v>8139.3536000000004</v>
      </c>
      <c r="J1022">
        <v>9553.0824111881993</v>
      </c>
      <c r="K1022">
        <v>10083.809211809999</v>
      </c>
      <c r="L1022">
        <v>10072.433287156</v>
      </c>
    </row>
    <row r="1023" spans="1:12" x14ac:dyDescent="0.2">
      <c r="A1023" s="8" t="s">
        <v>110</v>
      </c>
      <c r="B1023" s="8" t="s">
        <v>115</v>
      </c>
      <c r="C1023" s="8" t="s">
        <v>218</v>
      </c>
      <c r="D1023" s="8" t="s">
        <v>219</v>
      </c>
      <c r="E1023" s="8" t="s">
        <v>83</v>
      </c>
      <c r="F1023" s="8" t="s">
        <v>84</v>
      </c>
      <c r="G1023" s="8" t="s">
        <v>7</v>
      </c>
      <c r="H1023" s="8" t="s">
        <v>38</v>
      </c>
      <c r="I1023" s="9">
        <v>1275</v>
      </c>
      <c r="J1023">
        <v>1350</v>
      </c>
      <c r="K1023">
        <v>1275</v>
      </c>
      <c r="L1023">
        <v>1275</v>
      </c>
    </row>
    <row r="1024" spans="1:12" x14ac:dyDescent="0.2">
      <c r="A1024" s="8" t="s">
        <v>110</v>
      </c>
      <c r="B1024" s="8" t="s">
        <v>115</v>
      </c>
      <c r="C1024" s="8" t="s">
        <v>218</v>
      </c>
      <c r="D1024" s="8" t="s">
        <v>219</v>
      </c>
      <c r="E1024" s="8" t="s">
        <v>55</v>
      </c>
      <c r="F1024" s="8" t="s">
        <v>56</v>
      </c>
      <c r="G1024" s="8" t="s">
        <v>7</v>
      </c>
      <c r="H1024" s="8" t="s">
        <v>38</v>
      </c>
      <c r="I1024" s="9">
        <v>636.58000000000004</v>
      </c>
      <c r="J1024">
        <v>668.96581566421003</v>
      </c>
      <c r="K1024">
        <v>668.96581566421003</v>
      </c>
      <c r="L1024">
        <v>668.96581566421003</v>
      </c>
    </row>
    <row r="1025" spans="1:12" x14ac:dyDescent="0.2">
      <c r="A1025" s="8" t="s">
        <v>110</v>
      </c>
      <c r="B1025" s="8" t="s">
        <v>115</v>
      </c>
      <c r="C1025" s="8" t="s">
        <v>218</v>
      </c>
      <c r="D1025" s="8" t="s">
        <v>219</v>
      </c>
      <c r="E1025" s="8" t="s">
        <v>57</v>
      </c>
      <c r="F1025" s="8" t="s">
        <v>58</v>
      </c>
      <c r="G1025" s="8" t="s">
        <v>7</v>
      </c>
      <c r="H1025" s="8" t="s">
        <v>38</v>
      </c>
      <c r="I1025" s="9">
        <v>1666.0204000000001</v>
      </c>
      <c r="J1025">
        <v>1750.7786882952</v>
      </c>
      <c r="K1025">
        <v>1750.7786882952</v>
      </c>
      <c r="L1025">
        <v>1750.7786882952</v>
      </c>
    </row>
    <row r="1026" spans="1:12" x14ac:dyDescent="0.2">
      <c r="A1026" s="8" t="s">
        <v>110</v>
      </c>
      <c r="B1026" s="8" t="s">
        <v>115</v>
      </c>
      <c r="C1026" s="8" t="s">
        <v>218</v>
      </c>
      <c r="D1026" s="8" t="s">
        <v>219</v>
      </c>
      <c r="E1026" s="8" t="s">
        <v>72</v>
      </c>
      <c r="F1026" s="8" t="s">
        <v>73</v>
      </c>
      <c r="G1026" s="8" t="s">
        <v>7</v>
      </c>
      <c r="H1026" s="8" t="s">
        <v>38</v>
      </c>
      <c r="I1026" s="9">
        <v>3279.8242</v>
      </c>
      <c r="J1026">
        <v>3309.2179972580002</v>
      </c>
      <c r="K1026">
        <v>3201.6557783150001</v>
      </c>
      <c r="L1026">
        <v>3293.7964983052002</v>
      </c>
    </row>
    <row r="1027" spans="1:12" x14ac:dyDescent="0.2">
      <c r="A1027" s="8" t="s">
        <v>110</v>
      </c>
      <c r="B1027" s="8" t="s">
        <v>115</v>
      </c>
      <c r="C1027" s="8" t="s">
        <v>218</v>
      </c>
      <c r="D1027" s="8" t="s">
        <v>219</v>
      </c>
      <c r="E1027" s="8" t="s">
        <v>74</v>
      </c>
      <c r="F1027" s="8" t="s">
        <v>75</v>
      </c>
      <c r="G1027" s="8" t="s">
        <v>7</v>
      </c>
      <c r="H1027" s="8" t="s">
        <v>38</v>
      </c>
      <c r="I1027" s="9">
        <v>1508.7973</v>
      </c>
      <c r="J1027">
        <v>1730.6585841991</v>
      </c>
      <c r="K1027">
        <v>1441.2716538766999</v>
      </c>
      <c r="L1027">
        <v>1215.3145111936999</v>
      </c>
    </row>
    <row r="1028" spans="1:12" x14ac:dyDescent="0.2">
      <c r="A1028" s="8" t="s">
        <v>110</v>
      </c>
      <c r="B1028" s="8" t="s">
        <v>115</v>
      </c>
      <c r="C1028" s="8" t="s">
        <v>218</v>
      </c>
      <c r="D1028" s="8" t="s">
        <v>219</v>
      </c>
      <c r="E1028" s="8" t="s">
        <v>59</v>
      </c>
      <c r="F1028" s="8" t="s">
        <v>60</v>
      </c>
      <c r="G1028" s="8" t="s">
        <v>7</v>
      </c>
      <c r="H1028" s="8" t="s">
        <v>38</v>
      </c>
      <c r="I1028" s="9">
        <v>1570.3965000000001</v>
      </c>
      <c r="J1028">
        <v>1661.5810270121001</v>
      </c>
      <c r="K1028">
        <v>1265.2629311646001</v>
      </c>
      <c r="L1028">
        <v>1166.5570229378</v>
      </c>
    </row>
    <row r="1029" spans="1:12" x14ac:dyDescent="0.2">
      <c r="A1029" s="8" t="s">
        <v>110</v>
      </c>
      <c r="B1029" s="8" t="s">
        <v>115</v>
      </c>
      <c r="C1029" s="8" t="s">
        <v>218</v>
      </c>
      <c r="D1029" s="8" t="s">
        <v>219</v>
      </c>
      <c r="E1029" s="8" t="s">
        <v>76</v>
      </c>
      <c r="F1029" s="8" t="s">
        <v>77</v>
      </c>
      <c r="G1029" s="8" t="s">
        <v>7</v>
      </c>
      <c r="H1029" s="8" t="s">
        <v>38</v>
      </c>
      <c r="I1029" s="9">
        <v>846.26666999999998</v>
      </c>
      <c r="J1029">
        <v>615.79047632969002</v>
      </c>
      <c r="K1029">
        <v>594.20952395129996</v>
      </c>
      <c r="L1029">
        <v>594.20952395129996</v>
      </c>
    </row>
    <row r="1030" spans="1:12" x14ac:dyDescent="0.2">
      <c r="A1030" s="8" t="s">
        <v>110</v>
      </c>
      <c r="B1030" s="8" t="s">
        <v>115</v>
      </c>
      <c r="C1030" s="8" t="s">
        <v>218</v>
      </c>
      <c r="D1030" s="8" t="s">
        <v>219</v>
      </c>
      <c r="E1030" s="8" t="s">
        <v>78</v>
      </c>
      <c r="F1030" s="8" t="s">
        <v>79</v>
      </c>
      <c r="G1030" s="8" t="s">
        <v>7</v>
      </c>
      <c r="H1030" s="8" t="s">
        <v>38</v>
      </c>
      <c r="I1030" s="9">
        <v>490.75704999999999</v>
      </c>
      <c r="J1030">
        <v>362.999934</v>
      </c>
      <c r="K1030">
        <v>458.54277377143001</v>
      </c>
      <c r="L1030">
        <v>442.67134808571001</v>
      </c>
    </row>
    <row r="1031" spans="1:12" x14ac:dyDescent="0.2">
      <c r="A1031" s="8" t="s">
        <v>110</v>
      </c>
      <c r="B1031" s="8" t="s">
        <v>115</v>
      </c>
      <c r="C1031" s="8" t="s">
        <v>218</v>
      </c>
      <c r="D1031" s="8" t="s">
        <v>219</v>
      </c>
      <c r="E1031" s="8" t="s">
        <v>92</v>
      </c>
      <c r="F1031" s="8" t="s">
        <v>93</v>
      </c>
      <c r="G1031" s="8" t="s">
        <v>7</v>
      </c>
      <c r="H1031" s="8" t="s">
        <v>38</v>
      </c>
      <c r="I1031" s="9"/>
    </row>
    <row r="1032" spans="1:12" x14ac:dyDescent="0.2">
      <c r="A1032" s="8" t="s">
        <v>110</v>
      </c>
      <c r="B1032" s="8" t="s">
        <v>89</v>
      </c>
      <c r="C1032" s="8" t="s">
        <v>220</v>
      </c>
      <c r="D1032" s="8" t="s">
        <v>221</v>
      </c>
      <c r="E1032" s="8" t="s">
        <v>36</v>
      </c>
      <c r="F1032" s="8" t="s">
        <v>37</v>
      </c>
      <c r="G1032" s="8" t="s">
        <v>7</v>
      </c>
      <c r="H1032" s="8" t="s">
        <v>38</v>
      </c>
      <c r="I1032" s="9">
        <v>3487.2112999999999</v>
      </c>
      <c r="J1032">
        <v>4851.4311852600003</v>
      </c>
      <c r="K1032">
        <v>6520.4182947199997</v>
      </c>
      <c r="L1032">
        <v>3203.6665232608002</v>
      </c>
    </row>
    <row r="1033" spans="1:12" x14ac:dyDescent="0.2">
      <c r="A1033" s="8" t="s">
        <v>110</v>
      </c>
      <c r="B1033" s="8" t="s">
        <v>89</v>
      </c>
      <c r="C1033" s="8" t="s">
        <v>220</v>
      </c>
      <c r="D1033" s="8" t="s">
        <v>221</v>
      </c>
      <c r="E1033" s="8" t="s">
        <v>64</v>
      </c>
      <c r="F1033" s="8" t="s">
        <v>65</v>
      </c>
      <c r="G1033" s="8" t="s">
        <v>7</v>
      </c>
      <c r="H1033" s="8" t="s">
        <v>38</v>
      </c>
      <c r="I1033" s="9">
        <v>49.942506000000002</v>
      </c>
      <c r="J1033">
        <v>74.08751934</v>
      </c>
      <c r="K1033">
        <v>28.680788020000001</v>
      </c>
      <c r="L1033">
        <v>23.286232978314999</v>
      </c>
    </row>
    <row r="1034" spans="1:12" x14ac:dyDescent="0.2">
      <c r="A1034" s="8" t="s">
        <v>110</v>
      </c>
      <c r="B1034" s="8" t="s">
        <v>89</v>
      </c>
      <c r="C1034" s="8" t="s">
        <v>220</v>
      </c>
      <c r="D1034" s="8" t="s">
        <v>221</v>
      </c>
      <c r="E1034" s="8" t="s">
        <v>39</v>
      </c>
      <c r="F1034" s="8" t="s">
        <v>40</v>
      </c>
      <c r="G1034" s="8" t="s">
        <v>7</v>
      </c>
      <c r="H1034" s="8" t="s">
        <v>38</v>
      </c>
      <c r="I1034" s="9">
        <v>470.91244</v>
      </c>
      <c r="J1034">
        <v>347.79687688000001</v>
      </c>
      <c r="K1034">
        <v>315.94572518000001</v>
      </c>
      <c r="L1034">
        <v>251.79762971867001</v>
      </c>
    </row>
    <row r="1035" spans="1:12" x14ac:dyDescent="0.2">
      <c r="A1035" s="8" t="s">
        <v>110</v>
      </c>
      <c r="B1035" s="8" t="s">
        <v>89</v>
      </c>
      <c r="C1035" s="8" t="s">
        <v>220</v>
      </c>
      <c r="D1035" s="8" t="s">
        <v>221</v>
      </c>
      <c r="E1035" s="8" t="s">
        <v>41</v>
      </c>
      <c r="F1035" s="8" t="s">
        <v>42</v>
      </c>
      <c r="G1035" s="8" t="s">
        <v>7</v>
      </c>
      <c r="H1035" s="8" t="s">
        <v>38</v>
      </c>
      <c r="I1035" s="9">
        <v>3.5940691</v>
      </c>
      <c r="J1035">
        <v>5.6108338</v>
      </c>
      <c r="K1035">
        <v>4.8483720999999997</v>
      </c>
      <c r="L1035">
        <v>5.5495052359052002</v>
      </c>
    </row>
    <row r="1036" spans="1:12" x14ac:dyDescent="0.2">
      <c r="A1036" s="8" t="s">
        <v>110</v>
      </c>
      <c r="B1036" s="8" t="s">
        <v>89</v>
      </c>
      <c r="C1036" s="8" t="s">
        <v>220</v>
      </c>
      <c r="D1036" s="8" t="s">
        <v>221</v>
      </c>
      <c r="E1036" s="8" t="s">
        <v>43</v>
      </c>
      <c r="F1036" s="8" t="s">
        <v>44</v>
      </c>
      <c r="G1036" s="8" t="s">
        <v>7</v>
      </c>
      <c r="H1036" s="8" t="s">
        <v>38</v>
      </c>
      <c r="I1036" s="9">
        <v>2199.7319000000002</v>
      </c>
      <c r="J1036">
        <v>2324.2209101399999</v>
      </c>
      <c r="K1036">
        <v>2402.8622837799999</v>
      </c>
      <c r="L1036">
        <v>2397.8291843697998</v>
      </c>
    </row>
    <row r="1037" spans="1:12" x14ac:dyDescent="0.2">
      <c r="A1037" s="8" t="s">
        <v>110</v>
      </c>
      <c r="B1037" s="8" t="s">
        <v>89</v>
      </c>
      <c r="C1037" s="8" t="s">
        <v>220</v>
      </c>
      <c r="D1037" s="8" t="s">
        <v>221</v>
      </c>
      <c r="E1037" s="8" t="s">
        <v>66</v>
      </c>
      <c r="F1037" s="8" t="s">
        <v>67</v>
      </c>
      <c r="G1037" s="8" t="s">
        <v>7</v>
      </c>
      <c r="H1037" s="8" t="s">
        <v>38</v>
      </c>
      <c r="I1037" s="9">
        <v>45.310823999999997</v>
      </c>
      <c r="J1037">
        <v>43.817634509999998</v>
      </c>
      <c r="K1037">
        <v>39.458116619999998</v>
      </c>
      <c r="L1037">
        <v>43.378971392625999</v>
      </c>
    </row>
    <row r="1038" spans="1:12" x14ac:dyDescent="0.2">
      <c r="A1038" s="8" t="s">
        <v>110</v>
      </c>
      <c r="B1038" s="8" t="s">
        <v>89</v>
      </c>
      <c r="C1038" s="8" t="s">
        <v>220</v>
      </c>
      <c r="D1038" s="8" t="s">
        <v>221</v>
      </c>
      <c r="E1038" s="8" t="s">
        <v>45</v>
      </c>
      <c r="F1038" s="8" t="s">
        <v>46</v>
      </c>
      <c r="G1038" s="8" t="s">
        <v>7</v>
      </c>
      <c r="H1038" s="8" t="s">
        <v>38</v>
      </c>
      <c r="I1038" s="9">
        <v>20.234286999999998</v>
      </c>
      <c r="J1038">
        <v>18.624442200000001</v>
      </c>
      <c r="K1038">
        <v>18.134878319999999</v>
      </c>
      <c r="L1038">
        <v>20.385667659367002</v>
      </c>
    </row>
    <row r="1039" spans="1:12" x14ac:dyDescent="0.2">
      <c r="A1039" s="8" t="s">
        <v>110</v>
      </c>
      <c r="B1039" s="8" t="s">
        <v>89</v>
      </c>
      <c r="C1039" s="8" t="s">
        <v>220</v>
      </c>
      <c r="D1039" s="8" t="s">
        <v>221</v>
      </c>
      <c r="E1039" s="8" t="s">
        <v>49</v>
      </c>
      <c r="F1039" s="8" t="s">
        <v>50</v>
      </c>
      <c r="G1039" s="8" t="s">
        <v>7</v>
      </c>
      <c r="H1039" s="8" t="s">
        <v>38</v>
      </c>
      <c r="I1039" s="9">
        <v>681.11062000000004</v>
      </c>
      <c r="J1039">
        <v>621.42676431999996</v>
      </c>
      <c r="K1039">
        <v>548.88851764000003</v>
      </c>
      <c r="L1039">
        <v>512.81097542768998</v>
      </c>
    </row>
    <row r="1040" spans="1:12" x14ac:dyDescent="0.2">
      <c r="A1040" s="8" t="s">
        <v>110</v>
      </c>
      <c r="B1040" s="8" t="s">
        <v>89</v>
      </c>
      <c r="C1040" s="8" t="s">
        <v>220</v>
      </c>
      <c r="D1040" s="8" t="s">
        <v>221</v>
      </c>
      <c r="E1040" s="8" t="s">
        <v>51</v>
      </c>
      <c r="F1040" s="8" t="s">
        <v>52</v>
      </c>
      <c r="G1040" s="8" t="s">
        <v>7</v>
      </c>
      <c r="H1040" s="8" t="s">
        <v>38</v>
      </c>
      <c r="I1040" s="9">
        <v>74.175927000000001</v>
      </c>
      <c r="J1040">
        <v>18.934570069999999</v>
      </c>
      <c r="K1040">
        <v>39.452726689999999</v>
      </c>
      <c r="L1040">
        <v>26.826735244384</v>
      </c>
    </row>
    <row r="1041" spans="1:12" x14ac:dyDescent="0.2">
      <c r="A1041" s="8" t="s">
        <v>110</v>
      </c>
      <c r="B1041" s="8" t="s">
        <v>89</v>
      </c>
      <c r="C1041" s="8" t="s">
        <v>220</v>
      </c>
      <c r="D1041" s="8" t="s">
        <v>221</v>
      </c>
      <c r="E1041" s="8" t="s">
        <v>68</v>
      </c>
      <c r="F1041" s="8" t="s">
        <v>69</v>
      </c>
      <c r="G1041" s="8" t="s">
        <v>7</v>
      </c>
      <c r="H1041" s="8" t="s">
        <v>38</v>
      </c>
      <c r="I1041" s="9">
        <v>4852.3589000000002</v>
      </c>
      <c r="J1041">
        <v>4373.3281022299998</v>
      </c>
      <c r="K1041">
        <v>4853.5374244000004</v>
      </c>
      <c r="L1041">
        <v>4784.4303459389002</v>
      </c>
    </row>
    <row r="1042" spans="1:12" x14ac:dyDescent="0.2">
      <c r="A1042" s="8" t="s">
        <v>110</v>
      </c>
      <c r="B1042" s="8" t="s">
        <v>89</v>
      </c>
      <c r="C1042" s="8" t="s">
        <v>220</v>
      </c>
      <c r="D1042" s="8" t="s">
        <v>221</v>
      </c>
      <c r="E1042" s="8" t="s">
        <v>53</v>
      </c>
      <c r="F1042" s="8" t="s">
        <v>54</v>
      </c>
      <c r="G1042" s="8" t="s">
        <v>7</v>
      </c>
      <c r="H1042" s="8" t="s">
        <v>38</v>
      </c>
      <c r="I1042" s="9">
        <v>1.6561337</v>
      </c>
      <c r="J1042">
        <v>2.7196718999999998</v>
      </c>
      <c r="K1042">
        <v>11.882552220000001</v>
      </c>
      <c r="L1042">
        <v>14.409635206177001</v>
      </c>
    </row>
    <row r="1043" spans="1:12" x14ac:dyDescent="0.2">
      <c r="A1043" s="8" t="s">
        <v>110</v>
      </c>
      <c r="B1043" s="8" t="s">
        <v>89</v>
      </c>
      <c r="C1043" s="8" t="s">
        <v>220</v>
      </c>
      <c r="D1043" s="8" t="s">
        <v>221</v>
      </c>
      <c r="E1043" s="8" t="s">
        <v>70</v>
      </c>
      <c r="F1043" s="8" t="s">
        <v>71</v>
      </c>
      <c r="G1043" s="8" t="s">
        <v>7</v>
      </c>
      <c r="H1043" s="8" t="s">
        <v>38</v>
      </c>
      <c r="I1043" s="9">
        <v>17.901447000000001</v>
      </c>
      <c r="J1043">
        <v>25.794999069767002</v>
      </c>
      <c r="K1043">
        <v>18.112881860464999</v>
      </c>
      <c r="L1043">
        <v>18.0924480368</v>
      </c>
    </row>
    <row r="1044" spans="1:12" x14ac:dyDescent="0.2">
      <c r="A1044" s="8" t="s">
        <v>110</v>
      </c>
      <c r="B1044" s="8" t="s">
        <v>89</v>
      </c>
      <c r="C1044" s="8" t="s">
        <v>220</v>
      </c>
      <c r="D1044" s="8" t="s">
        <v>221</v>
      </c>
      <c r="E1044" s="8" t="s">
        <v>83</v>
      </c>
      <c r="F1044" s="8" t="s">
        <v>84</v>
      </c>
      <c r="G1044" s="8" t="s">
        <v>7</v>
      </c>
      <c r="H1044" s="8" t="s">
        <v>38</v>
      </c>
      <c r="I1044" s="9">
        <v>60</v>
      </c>
      <c r="J1044">
        <v>60</v>
      </c>
      <c r="K1044">
        <v>60</v>
      </c>
      <c r="L1044">
        <v>60</v>
      </c>
    </row>
    <row r="1045" spans="1:12" x14ac:dyDescent="0.2">
      <c r="A1045" s="8" t="s">
        <v>110</v>
      </c>
      <c r="B1045" s="8" t="s">
        <v>89</v>
      </c>
      <c r="C1045" s="8" t="s">
        <v>220</v>
      </c>
      <c r="D1045" s="8" t="s">
        <v>221</v>
      </c>
      <c r="E1045" s="8" t="s">
        <v>55</v>
      </c>
      <c r="F1045" s="8" t="s">
        <v>56</v>
      </c>
      <c r="G1045" s="8" t="s">
        <v>7</v>
      </c>
      <c r="H1045" s="8" t="s">
        <v>38</v>
      </c>
      <c r="I1045" s="9">
        <v>10.73198</v>
      </c>
      <c r="J1045">
        <v>15.484351269716001</v>
      </c>
      <c r="K1045">
        <v>15.484351269716001</v>
      </c>
      <c r="L1045">
        <v>15.484351269716001</v>
      </c>
    </row>
    <row r="1046" spans="1:12" x14ac:dyDescent="0.2">
      <c r="A1046" s="8" t="s">
        <v>110</v>
      </c>
      <c r="B1046" s="8" t="s">
        <v>89</v>
      </c>
      <c r="C1046" s="8" t="s">
        <v>220</v>
      </c>
      <c r="D1046" s="8" t="s">
        <v>221</v>
      </c>
      <c r="E1046" s="8" t="s">
        <v>57</v>
      </c>
      <c r="F1046" s="8" t="s">
        <v>58</v>
      </c>
      <c r="G1046" s="8" t="s">
        <v>7</v>
      </c>
      <c r="H1046" s="8" t="s">
        <v>38</v>
      </c>
      <c r="I1046" s="9">
        <v>6.1983116000000003</v>
      </c>
      <c r="J1046">
        <v>8.9430686066871008</v>
      </c>
      <c r="K1046">
        <v>8.9430686066871008</v>
      </c>
      <c r="L1046">
        <v>8.9430686066871008</v>
      </c>
    </row>
    <row r="1047" spans="1:12" x14ac:dyDescent="0.2">
      <c r="A1047" s="8" t="s">
        <v>110</v>
      </c>
      <c r="B1047" s="8" t="s">
        <v>89</v>
      </c>
      <c r="C1047" s="8" t="s">
        <v>220</v>
      </c>
      <c r="D1047" s="8" t="s">
        <v>221</v>
      </c>
      <c r="E1047" s="8" t="s">
        <v>72</v>
      </c>
      <c r="F1047" s="8" t="s">
        <v>73</v>
      </c>
      <c r="G1047" s="8" t="s">
        <v>7</v>
      </c>
      <c r="H1047" s="8" t="s">
        <v>38</v>
      </c>
      <c r="I1047" s="9">
        <v>48.504474000000002</v>
      </c>
      <c r="J1047">
        <v>43.404491145874999</v>
      </c>
      <c r="K1047">
        <v>48.483191826122003</v>
      </c>
      <c r="L1047">
        <v>5.1188007746344004</v>
      </c>
    </row>
    <row r="1048" spans="1:12" x14ac:dyDescent="0.2">
      <c r="A1048" s="8" t="s">
        <v>110</v>
      </c>
      <c r="B1048" s="8" t="s">
        <v>89</v>
      </c>
      <c r="C1048" s="8" t="s">
        <v>220</v>
      </c>
      <c r="D1048" s="8" t="s">
        <v>221</v>
      </c>
      <c r="E1048" s="8" t="s">
        <v>74</v>
      </c>
      <c r="F1048" s="8" t="s">
        <v>75</v>
      </c>
      <c r="G1048" s="8" t="s">
        <v>7</v>
      </c>
      <c r="H1048" s="8" t="s">
        <v>38</v>
      </c>
      <c r="I1048" s="9">
        <v>5.1609999999999996</v>
      </c>
      <c r="J1048">
        <v>5.2</v>
      </c>
      <c r="K1048">
        <v>5.2</v>
      </c>
      <c r="L1048">
        <v>5.2</v>
      </c>
    </row>
    <row r="1049" spans="1:12" x14ac:dyDescent="0.2">
      <c r="A1049" s="8" t="s">
        <v>110</v>
      </c>
      <c r="B1049" s="8" t="s">
        <v>89</v>
      </c>
      <c r="C1049" s="8" t="s">
        <v>220</v>
      </c>
      <c r="D1049" s="8" t="s">
        <v>221</v>
      </c>
      <c r="E1049" s="8" t="s">
        <v>59</v>
      </c>
      <c r="F1049" s="8" t="s">
        <v>60</v>
      </c>
      <c r="G1049" s="8" t="s">
        <v>7</v>
      </c>
      <c r="H1049" s="8" t="s">
        <v>38</v>
      </c>
      <c r="I1049" s="9">
        <v>11.574420999999999</v>
      </c>
      <c r="J1049">
        <v>13.504566441522</v>
      </c>
      <c r="K1049">
        <v>13.518453218263</v>
      </c>
      <c r="L1049">
        <v>12.487804326393</v>
      </c>
    </row>
    <row r="1050" spans="1:12" x14ac:dyDescent="0.2">
      <c r="A1050" s="8" t="s">
        <v>110</v>
      </c>
      <c r="B1050" s="8" t="s">
        <v>89</v>
      </c>
      <c r="C1050" s="8" t="s">
        <v>220</v>
      </c>
      <c r="D1050" s="8" t="s">
        <v>221</v>
      </c>
      <c r="E1050" s="8" t="s">
        <v>76</v>
      </c>
      <c r="F1050" s="8" t="s">
        <v>77</v>
      </c>
      <c r="G1050" s="8" t="s">
        <v>7</v>
      </c>
      <c r="H1050" s="8" t="s">
        <v>38</v>
      </c>
      <c r="I1050" s="9">
        <v>84.857142999999994</v>
      </c>
      <c r="J1050">
        <v>69.771428574935996</v>
      </c>
      <c r="K1050">
        <v>62.961904765100002</v>
      </c>
      <c r="L1050">
        <v>62.961904765100002</v>
      </c>
    </row>
    <row r="1051" spans="1:12" x14ac:dyDescent="0.2">
      <c r="A1051" s="8" t="s">
        <v>110</v>
      </c>
      <c r="B1051" s="8" t="s">
        <v>89</v>
      </c>
      <c r="C1051" s="8" t="s">
        <v>220</v>
      </c>
      <c r="D1051" s="8" t="s">
        <v>221</v>
      </c>
      <c r="E1051" s="8" t="s">
        <v>78</v>
      </c>
      <c r="F1051" s="8" t="s">
        <v>79</v>
      </c>
      <c r="G1051" s="8" t="s">
        <v>7</v>
      </c>
      <c r="H1051" s="8" t="s">
        <v>38</v>
      </c>
      <c r="I1051" s="9">
        <v>1.5714283</v>
      </c>
      <c r="J1051">
        <v>1.2571426285714</v>
      </c>
      <c r="K1051">
        <v>1.2571426285714</v>
      </c>
      <c r="L1051">
        <v>1.2571426285714</v>
      </c>
    </row>
    <row r="1052" spans="1:12" x14ac:dyDescent="0.2">
      <c r="A1052" s="8" t="s">
        <v>110</v>
      </c>
      <c r="B1052" s="8" t="s">
        <v>89</v>
      </c>
      <c r="C1052" s="8" t="s">
        <v>220</v>
      </c>
      <c r="D1052" s="8" t="s">
        <v>221</v>
      </c>
      <c r="E1052" s="8" t="s">
        <v>92</v>
      </c>
      <c r="F1052" s="8" t="s">
        <v>93</v>
      </c>
      <c r="G1052" s="8" t="s">
        <v>7</v>
      </c>
      <c r="H1052" s="8" t="s">
        <v>38</v>
      </c>
      <c r="I1052" s="9">
        <v>0.189387</v>
      </c>
      <c r="J1052">
        <v>0.20023353037186001</v>
      </c>
      <c r="K1052">
        <v>0.17057688713999999</v>
      </c>
      <c r="L1052">
        <v>0.16775159187222999</v>
      </c>
    </row>
    <row r="1053" spans="1:12" x14ac:dyDescent="0.2">
      <c r="A1053" s="8" t="s">
        <v>32</v>
      </c>
      <c r="B1053" s="8" t="s">
        <v>120</v>
      </c>
      <c r="C1053" s="8" t="s">
        <v>222</v>
      </c>
      <c r="D1053" s="8" t="s">
        <v>223</v>
      </c>
      <c r="E1053" s="8" t="s">
        <v>36</v>
      </c>
      <c r="F1053" s="8" t="s">
        <v>37</v>
      </c>
      <c r="G1053" s="8" t="s">
        <v>7</v>
      </c>
      <c r="H1053" s="8" t="s">
        <v>38</v>
      </c>
      <c r="I1053" s="9">
        <v>2.4953800000000002E-2</v>
      </c>
      <c r="J1053">
        <v>2.0908216799999999</v>
      </c>
      <c r="K1053">
        <v>2.0908216799999999</v>
      </c>
      <c r="L1053">
        <v>2.1319517833298001</v>
      </c>
    </row>
    <row r="1054" spans="1:12" x14ac:dyDescent="0.2">
      <c r="A1054" s="8" t="s">
        <v>32</v>
      </c>
      <c r="B1054" s="8" t="s">
        <v>120</v>
      </c>
      <c r="C1054" s="8" t="s">
        <v>222</v>
      </c>
      <c r="D1054" s="8" t="s">
        <v>223</v>
      </c>
      <c r="E1054" s="8" t="s">
        <v>64</v>
      </c>
      <c r="F1054" s="8" t="s">
        <v>65</v>
      </c>
      <c r="G1054" s="8" t="s">
        <v>7</v>
      </c>
      <c r="H1054" s="8" t="s">
        <v>38</v>
      </c>
      <c r="I1054" s="9"/>
    </row>
    <row r="1055" spans="1:12" x14ac:dyDescent="0.2">
      <c r="A1055" s="8" t="s">
        <v>32</v>
      </c>
      <c r="B1055" s="8" t="s">
        <v>120</v>
      </c>
      <c r="C1055" s="8" t="s">
        <v>222</v>
      </c>
      <c r="D1055" s="8" t="s">
        <v>223</v>
      </c>
      <c r="E1055" s="8" t="s">
        <v>39</v>
      </c>
      <c r="F1055" s="8" t="s">
        <v>40</v>
      </c>
      <c r="G1055" s="8" t="s">
        <v>7</v>
      </c>
      <c r="H1055" s="8" t="s">
        <v>38</v>
      </c>
      <c r="I1055" s="9">
        <v>5072.7403000000004</v>
      </c>
      <c r="J1055">
        <v>5871.1683175899998</v>
      </c>
      <c r="K1055">
        <v>5947.56313589</v>
      </c>
      <c r="L1055">
        <v>6427.8748955932997</v>
      </c>
    </row>
    <row r="1056" spans="1:12" x14ac:dyDescent="0.2">
      <c r="A1056" s="8" t="s">
        <v>32</v>
      </c>
      <c r="B1056" s="8" t="s">
        <v>120</v>
      </c>
      <c r="C1056" s="8" t="s">
        <v>222</v>
      </c>
      <c r="D1056" s="8" t="s">
        <v>223</v>
      </c>
      <c r="E1056" s="8" t="s">
        <v>41</v>
      </c>
      <c r="F1056" s="8" t="s">
        <v>42</v>
      </c>
      <c r="G1056" s="8" t="s">
        <v>7</v>
      </c>
      <c r="H1056" s="8" t="s">
        <v>38</v>
      </c>
      <c r="I1056" s="9">
        <v>10.99206</v>
      </c>
      <c r="J1056">
        <v>22.060752999999998</v>
      </c>
      <c r="K1056">
        <v>31.815576649998999</v>
      </c>
      <c r="L1056">
        <v>35.857569906917</v>
      </c>
    </row>
    <row r="1057" spans="1:12" x14ac:dyDescent="0.2">
      <c r="A1057" s="8" t="s">
        <v>32</v>
      </c>
      <c r="B1057" s="8" t="s">
        <v>120</v>
      </c>
      <c r="C1057" s="8" t="s">
        <v>222</v>
      </c>
      <c r="D1057" s="8" t="s">
        <v>223</v>
      </c>
      <c r="E1057" s="8" t="s">
        <v>43</v>
      </c>
      <c r="F1057" s="8" t="s">
        <v>44</v>
      </c>
      <c r="G1057" s="8" t="s">
        <v>7</v>
      </c>
      <c r="H1057" s="8" t="s">
        <v>38</v>
      </c>
      <c r="I1057" s="9">
        <v>6903.165</v>
      </c>
      <c r="J1057">
        <v>7475.2956173701004</v>
      </c>
      <c r="K1057">
        <v>7243.4758334999997</v>
      </c>
      <c r="L1057">
        <v>7385.9676166815998</v>
      </c>
    </row>
    <row r="1058" spans="1:12" x14ac:dyDescent="0.2">
      <c r="A1058" s="8" t="s">
        <v>32</v>
      </c>
      <c r="B1058" s="8" t="s">
        <v>120</v>
      </c>
      <c r="C1058" s="8" t="s">
        <v>222</v>
      </c>
      <c r="D1058" s="8" t="s">
        <v>223</v>
      </c>
      <c r="E1058" s="8" t="s">
        <v>66</v>
      </c>
      <c r="F1058" s="8" t="s">
        <v>67</v>
      </c>
      <c r="G1058" s="8" t="s">
        <v>7</v>
      </c>
      <c r="H1058" s="8" t="s">
        <v>38</v>
      </c>
      <c r="I1058" s="9"/>
    </row>
    <row r="1059" spans="1:12" x14ac:dyDescent="0.2">
      <c r="A1059" s="8" t="s">
        <v>32</v>
      </c>
      <c r="B1059" s="8" t="s">
        <v>120</v>
      </c>
      <c r="C1059" s="8" t="s">
        <v>222</v>
      </c>
      <c r="D1059" s="8" t="s">
        <v>223</v>
      </c>
      <c r="E1059" s="8" t="s">
        <v>45</v>
      </c>
      <c r="F1059" s="8" t="s">
        <v>46</v>
      </c>
      <c r="G1059" s="8" t="s">
        <v>7</v>
      </c>
      <c r="H1059" s="8" t="s">
        <v>38</v>
      </c>
      <c r="I1059" s="9"/>
    </row>
    <row r="1060" spans="1:12" x14ac:dyDescent="0.2">
      <c r="A1060" s="8" t="s">
        <v>32</v>
      </c>
      <c r="B1060" s="8" t="s">
        <v>120</v>
      </c>
      <c r="C1060" s="8" t="s">
        <v>222</v>
      </c>
      <c r="D1060" s="8" t="s">
        <v>223</v>
      </c>
      <c r="E1060" s="8" t="s">
        <v>49</v>
      </c>
      <c r="F1060" s="8" t="s">
        <v>50</v>
      </c>
      <c r="G1060" s="8" t="s">
        <v>7</v>
      </c>
      <c r="H1060" s="8" t="s">
        <v>38</v>
      </c>
      <c r="I1060" s="9">
        <v>1008.2571</v>
      </c>
      <c r="J1060">
        <v>917.63033166000002</v>
      </c>
      <c r="K1060">
        <v>879.69830469999999</v>
      </c>
      <c r="L1060">
        <v>897.00350222945997</v>
      </c>
    </row>
    <row r="1061" spans="1:12" x14ac:dyDescent="0.2">
      <c r="A1061" s="8" t="s">
        <v>32</v>
      </c>
      <c r="B1061" s="8" t="s">
        <v>120</v>
      </c>
      <c r="C1061" s="8" t="s">
        <v>222</v>
      </c>
      <c r="D1061" s="8" t="s">
        <v>223</v>
      </c>
      <c r="E1061" s="8" t="s">
        <v>51</v>
      </c>
      <c r="F1061" s="8" t="s">
        <v>52</v>
      </c>
      <c r="G1061" s="8" t="s">
        <v>7</v>
      </c>
      <c r="H1061" s="8" t="s">
        <v>38</v>
      </c>
      <c r="I1061" s="9">
        <v>530.66531999999995</v>
      </c>
      <c r="J1061">
        <v>568.81793514000003</v>
      </c>
      <c r="K1061">
        <v>540.17516552999996</v>
      </c>
      <c r="L1061">
        <v>550.80135167821004</v>
      </c>
    </row>
    <row r="1062" spans="1:12" x14ac:dyDescent="0.2">
      <c r="A1062" s="8" t="s">
        <v>32</v>
      </c>
      <c r="B1062" s="8" t="s">
        <v>120</v>
      </c>
      <c r="C1062" s="8" t="s">
        <v>222</v>
      </c>
      <c r="D1062" s="8" t="s">
        <v>223</v>
      </c>
      <c r="E1062" s="8" t="s">
        <v>68</v>
      </c>
      <c r="F1062" s="8" t="s">
        <v>69</v>
      </c>
      <c r="G1062" s="8" t="s">
        <v>7</v>
      </c>
      <c r="H1062" s="8" t="s">
        <v>38</v>
      </c>
      <c r="I1062" s="9">
        <v>3.8394803999999998</v>
      </c>
      <c r="J1062">
        <v>4.1376934242207</v>
      </c>
      <c r="K1062">
        <v>4.4007988038345003</v>
      </c>
      <c r="L1062">
        <v>4.4007988038345003</v>
      </c>
    </row>
    <row r="1063" spans="1:12" x14ac:dyDescent="0.2">
      <c r="A1063" s="8" t="s">
        <v>32</v>
      </c>
      <c r="B1063" s="8" t="s">
        <v>120</v>
      </c>
      <c r="C1063" s="8" t="s">
        <v>222</v>
      </c>
      <c r="D1063" s="8" t="s">
        <v>223</v>
      </c>
      <c r="E1063" s="8" t="s">
        <v>53</v>
      </c>
      <c r="F1063" s="8" t="s">
        <v>54</v>
      </c>
      <c r="G1063" s="8" t="s">
        <v>7</v>
      </c>
      <c r="H1063" s="8" t="s">
        <v>38</v>
      </c>
      <c r="I1063" s="9"/>
    </row>
    <row r="1064" spans="1:12" x14ac:dyDescent="0.2">
      <c r="A1064" s="8" t="s">
        <v>32</v>
      </c>
      <c r="B1064" s="8" t="s">
        <v>120</v>
      </c>
      <c r="C1064" s="8" t="s">
        <v>222</v>
      </c>
      <c r="D1064" s="8" t="s">
        <v>223</v>
      </c>
      <c r="E1064" s="8" t="s">
        <v>70</v>
      </c>
      <c r="F1064" s="8" t="s">
        <v>71</v>
      </c>
      <c r="G1064" s="8" t="s">
        <v>7</v>
      </c>
      <c r="H1064" s="8" t="s">
        <v>38</v>
      </c>
      <c r="I1064" s="9">
        <v>3828.0931999999998</v>
      </c>
      <c r="J1064">
        <v>3710.9066914999999</v>
      </c>
      <c r="K1064">
        <v>2968.7253532</v>
      </c>
      <c r="L1064">
        <v>2965.3762224075999</v>
      </c>
    </row>
    <row r="1065" spans="1:12" x14ac:dyDescent="0.2">
      <c r="A1065" s="8" t="s">
        <v>32</v>
      </c>
      <c r="B1065" s="8" t="s">
        <v>120</v>
      </c>
      <c r="C1065" s="8" t="s">
        <v>222</v>
      </c>
      <c r="D1065" s="8" t="s">
        <v>223</v>
      </c>
      <c r="E1065" s="8" t="s">
        <v>83</v>
      </c>
      <c r="F1065" s="8" t="s">
        <v>84</v>
      </c>
      <c r="G1065" s="8" t="s">
        <v>7</v>
      </c>
      <c r="H1065" s="8" t="s">
        <v>38</v>
      </c>
      <c r="I1065" s="9">
        <v>7.5</v>
      </c>
      <c r="J1065">
        <v>7.5</v>
      </c>
      <c r="K1065">
        <v>7.5</v>
      </c>
      <c r="L1065">
        <v>7.5</v>
      </c>
    </row>
    <row r="1066" spans="1:12" x14ac:dyDescent="0.2">
      <c r="A1066" s="8" t="s">
        <v>32</v>
      </c>
      <c r="B1066" s="8" t="s">
        <v>120</v>
      </c>
      <c r="C1066" s="8" t="s">
        <v>222</v>
      </c>
      <c r="D1066" s="8" t="s">
        <v>223</v>
      </c>
      <c r="E1066" s="8" t="s">
        <v>55</v>
      </c>
      <c r="F1066" s="8" t="s">
        <v>56</v>
      </c>
      <c r="G1066" s="8" t="s">
        <v>7</v>
      </c>
      <c r="H1066" s="8" t="s">
        <v>38</v>
      </c>
      <c r="I1066" s="9">
        <v>5.3002241999999997</v>
      </c>
      <c r="J1066">
        <v>5.9363885113907999</v>
      </c>
      <c r="K1066">
        <v>5.9363885113907999</v>
      </c>
      <c r="L1066">
        <v>5.9363885113907999</v>
      </c>
    </row>
    <row r="1067" spans="1:12" x14ac:dyDescent="0.2">
      <c r="A1067" s="8" t="s">
        <v>32</v>
      </c>
      <c r="B1067" s="8" t="s">
        <v>120</v>
      </c>
      <c r="C1067" s="8" t="s">
        <v>222</v>
      </c>
      <c r="D1067" s="8" t="s">
        <v>223</v>
      </c>
      <c r="E1067" s="8" t="s">
        <v>57</v>
      </c>
      <c r="F1067" s="8" t="s">
        <v>58</v>
      </c>
      <c r="G1067" s="8" t="s">
        <v>7</v>
      </c>
      <c r="H1067" s="8" t="s">
        <v>38</v>
      </c>
      <c r="I1067" s="9">
        <v>18.725080999999999</v>
      </c>
      <c r="J1067">
        <v>20.432459438738</v>
      </c>
      <c r="K1067">
        <v>20.932459438738</v>
      </c>
      <c r="L1067">
        <v>20.932459438738</v>
      </c>
    </row>
    <row r="1068" spans="1:12" x14ac:dyDescent="0.2">
      <c r="A1068" s="8" t="s">
        <v>32</v>
      </c>
      <c r="B1068" s="8" t="s">
        <v>120</v>
      </c>
      <c r="C1068" s="8" t="s">
        <v>222</v>
      </c>
      <c r="D1068" s="8" t="s">
        <v>223</v>
      </c>
      <c r="E1068" s="8" t="s">
        <v>74</v>
      </c>
      <c r="F1068" s="8" t="s">
        <v>75</v>
      </c>
      <c r="G1068" s="8" t="s">
        <v>7</v>
      </c>
      <c r="H1068" s="8" t="s">
        <v>38</v>
      </c>
      <c r="I1068" s="9"/>
    </row>
    <row r="1069" spans="1:12" x14ac:dyDescent="0.2">
      <c r="A1069" s="8" t="s">
        <v>32</v>
      </c>
      <c r="B1069" s="8" t="s">
        <v>120</v>
      </c>
      <c r="C1069" s="8" t="s">
        <v>222</v>
      </c>
      <c r="D1069" s="8" t="s">
        <v>223</v>
      </c>
      <c r="E1069" s="8" t="s">
        <v>59</v>
      </c>
      <c r="F1069" s="8" t="s">
        <v>60</v>
      </c>
      <c r="G1069" s="8" t="s">
        <v>7</v>
      </c>
      <c r="H1069" s="8" t="s">
        <v>38</v>
      </c>
      <c r="I1069" s="9">
        <v>218.98813000000001</v>
      </c>
      <c r="J1069">
        <v>223.61753620343001</v>
      </c>
      <c r="K1069">
        <v>227.77950616525001</v>
      </c>
      <c r="L1069">
        <v>233.75189772872</v>
      </c>
    </row>
    <row r="1070" spans="1:12" x14ac:dyDescent="0.2">
      <c r="A1070" s="8" t="s">
        <v>32</v>
      </c>
      <c r="B1070" s="8" t="s">
        <v>120</v>
      </c>
      <c r="C1070" s="8" t="s">
        <v>222</v>
      </c>
      <c r="D1070" s="8" t="s">
        <v>223</v>
      </c>
      <c r="E1070" s="8" t="s">
        <v>76</v>
      </c>
      <c r="F1070" s="8" t="s">
        <v>77</v>
      </c>
      <c r="G1070" s="8" t="s">
        <v>7</v>
      </c>
      <c r="H1070" s="8" t="s">
        <v>38</v>
      </c>
      <c r="I1070" s="9">
        <v>0.6285714</v>
      </c>
      <c r="J1070">
        <v>4.9238095240839996</v>
      </c>
      <c r="K1070">
        <v>0.62857142876000005</v>
      </c>
      <c r="L1070">
        <v>0.62857142876000005</v>
      </c>
    </row>
    <row r="1071" spans="1:12" x14ac:dyDescent="0.2">
      <c r="A1071" s="8" t="s">
        <v>32</v>
      </c>
      <c r="B1071" s="8" t="s">
        <v>120</v>
      </c>
      <c r="C1071" s="8" t="s">
        <v>222</v>
      </c>
      <c r="D1071" s="8" t="s">
        <v>223</v>
      </c>
      <c r="E1071" s="8" t="s">
        <v>78</v>
      </c>
      <c r="F1071" s="8" t="s">
        <v>79</v>
      </c>
      <c r="G1071" s="8" t="s">
        <v>7</v>
      </c>
      <c r="H1071" s="8" t="s">
        <v>38</v>
      </c>
      <c r="I1071" s="9">
        <v>405.42849999999999</v>
      </c>
      <c r="J1071">
        <v>258.02852451428998</v>
      </c>
      <c r="K1071">
        <v>452.57134628570998</v>
      </c>
      <c r="L1071">
        <v>476.67705618857002</v>
      </c>
    </row>
    <row r="1072" spans="1:12" x14ac:dyDescent="0.2">
      <c r="A1072" s="8" t="s">
        <v>32</v>
      </c>
      <c r="B1072" s="8" t="s">
        <v>120</v>
      </c>
      <c r="C1072" s="8" t="s">
        <v>222</v>
      </c>
      <c r="D1072" s="8" t="s">
        <v>223</v>
      </c>
      <c r="E1072" s="8" t="s">
        <v>92</v>
      </c>
      <c r="F1072" s="8" t="s">
        <v>93</v>
      </c>
      <c r="G1072" s="8" t="s">
        <v>7</v>
      </c>
      <c r="H1072" s="8" t="s">
        <v>38</v>
      </c>
      <c r="I1072" s="9">
        <v>1.4503071999999999</v>
      </c>
      <c r="J1072">
        <v>1.5170959591118001</v>
      </c>
      <c r="K1072">
        <v>1.5861626567422999</v>
      </c>
      <c r="L1072">
        <v>1.6503351798646999</v>
      </c>
    </row>
    <row r="1073" spans="1:12" x14ac:dyDescent="0.2">
      <c r="A1073" s="8" t="s">
        <v>110</v>
      </c>
      <c r="B1073" s="8" t="s">
        <v>115</v>
      </c>
      <c r="C1073" s="8" t="s">
        <v>224</v>
      </c>
      <c r="D1073" s="8" t="s">
        <v>225</v>
      </c>
      <c r="E1073" s="8" t="s">
        <v>36</v>
      </c>
      <c r="F1073" s="8" t="s">
        <v>37</v>
      </c>
      <c r="G1073" s="8" t="s">
        <v>7</v>
      </c>
      <c r="H1073" s="8" t="s">
        <v>38</v>
      </c>
      <c r="I1073" s="9">
        <v>12083.433000000001</v>
      </c>
      <c r="J1073">
        <v>12686.996509029999</v>
      </c>
      <c r="K1073">
        <v>11881.08021726</v>
      </c>
      <c r="L1073">
        <v>8772.4179263004007</v>
      </c>
    </row>
    <row r="1074" spans="1:12" x14ac:dyDescent="0.2">
      <c r="A1074" s="8" t="s">
        <v>110</v>
      </c>
      <c r="B1074" s="8" t="s">
        <v>115</v>
      </c>
      <c r="C1074" s="8" t="s">
        <v>224</v>
      </c>
      <c r="D1074" s="8" t="s">
        <v>225</v>
      </c>
      <c r="E1074" s="8" t="s">
        <v>64</v>
      </c>
      <c r="F1074" s="8" t="s">
        <v>65</v>
      </c>
      <c r="G1074" s="8" t="s">
        <v>7</v>
      </c>
      <c r="H1074" s="8" t="s">
        <v>38</v>
      </c>
      <c r="I1074" s="9">
        <v>3022.9528</v>
      </c>
      <c r="J1074">
        <v>2938.43633907</v>
      </c>
      <c r="K1074">
        <v>2739.4812670299998</v>
      </c>
      <c r="L1074">
        <v>3053.2062237609998</v>
      </c>
    </row>
    <row r="1075" spans="1:12" x14ac:dyDescent="0.2">
      <c r="A1075" s="8" t="s">
        <v>110</v>
      </c>
      <c r="B1075" s="8" t="s">
        <v>115</v>
      </c>
      <c r="C1075" s="8" t="s">
        <v>224</v>
      </c>
      <c r="D1075" s="8" t="s">
        <v>225</v>
      </c>
      <c r="E1075" s="8" t="s">
        <v>39</v>
      </c>
      <c r="F1075" s="8" t="s">
        <v>40</v>
      </c>
      <c r="G1075" s="8" t="s">
        <v>7</v>
      </c>
      <c r="H1075" s="8" t="s">
        <v>38</v>
      </c>
      <c r="I1075" s="9">
        <v>6642.2467999999999</v>
      </c>
      <c r="J1075">
        <v>6898.8422042700004</v>
      </c>
      <c r="K1075">
        <v>6229.9145729299998</v>
      </c>
      <c r="L1075">
        <v>5371.5646740113998</v>
      </c>
    </row>
    <row r="1076" spans="1:12" x14ac:dyDescent="0.2">
      <c r="A1076" s="8" t="s">
        <v>110</v>
      </c>
      <c r="B1076" s="8" t="s">
        <v>115</v>
      </c>
      <c r="C1076" s="8" t="s">
        <v>224</v>
      </c>
      <c r="D1076" s="8" t="s">
        <v>225</v>
      </c>
      <c r="E1076" s="8" t="s">
        <v>41</v>
      </c>
      <c r="F1076" s="8" t="s">
        <v>42</v>
      </c>
      <c r="G1076" s="8" t="s">
        <v>7</v>
      </c>
      <c r="H1076" s="8" t="s">
        <v>38</v>
      </c>
      <c r="I1076" s="9">
        <v>86.091408000000001</v>
      </c>
      <c r="J1076">
        <v>76.86794415</v>
      </c>
      <c r="K1076">
        <v>132.20902995</v>
      </c>
      <c r="L1076">
        <v>132.20902995</v>
      </c>
    </row>
    <row r="1077" spans="1:12" x14ac:dyDescent="0.2">
      <c r="A1077" s="8" t="s">
        <v>110</v>
      </c>
      <c r="B1077" s="8" t="s">
        <v>115</v>
      </c>
      <c r="C1077" s="8" t="s">
        <v>224</v>
      </c>
      <c r="D1077" s="8" t="s">
        <v>225</v>
      </c>
      <c r="E1077" s="8" t="s">
        <v>43</v>
      </c>
      <c r="F1077" s="8" t="s">
        <v>44</v>
      </c>
      <c r="G1077" s="8" t="s">
        <v>7</v>
      </c>
      <c r="H1077" s="8" t="s">
        <v>38</v>
      </c>
      <c r="I1077" s="9">
        <v>9830.7188000000006</v>
      </c>
      <c r="J1077">
        <v>9371.4849566400007</v>
      </c>
      <c r="K1077">
        <v>9150.8179583399997</v>
      </c>
      <c r="L1077">
        <v>8805.0544546234996</v>
      </c>
    </row>
    <row r="1078" spans="1:12" x14ac:dyDescent="0.2">
      <c r="A1078" s="8" t="s">
        <v>110</v>
      </c>
      <c r="B1078" s="8" t="s">
        <v>115</v>
      </c>
      <c r="C1078" s="8" t="s">
        <v>224</v>
      </c>
      <c r="D1078" s="8" t="s">
        <v>225</v>
      </c>
      <c r="E1078" s="8" t="s">
        <v>66</v>
      </c>
      <c r="F1078" s="8" t="s">
        <v>67</v>
      </c>
      <c r="G1078" s="8" t="s">
        <v>7</v>
      </c>
      <c r="H1078" s="8" t="s">
        <v>38</v>
      </c>
      <c r="I1078" s="9">
        <v>63.133288999999998</v>
      </c>
      <c r="J1078">
        <v>70.305153750000002</v>
      </c>
      <c r="K1078">
        <v>57.67520889</v>
      </c>
      <c r="L1078">
        <v>54.442819105291001</v>
      </c>
    </row>
    <row r="1079" spans="1:12" x14ac:dyDescent="0.2">
      <c r="A1079" s="8" t="s">
        <v>110</v>
      </c>
      <c r="B1079" s="8" t="s">
        <v>115</v>
      </c>
      <c r="C1079" s="8" t="s">
        <v>224</v>
      </c>
      <c r="D1079" s="8" t="s">
        <v>225</v>
      </c>
      <c r="E1079" s="8" t="s">
        <v>45</v>
      </c>
      <c r="F1079" s="8" t="s">
        <v>46</v>
      </c>
      <c r="G1079" s="8" t="s">
        <v>7</v>
      </c>
      <c r="H1079" s="8" t="s">
        <v>38</v>
      </c>
      <c r="I1079" s="9">
        <v>333.53003000000001</v>
      </c>
      <c r="J1079">
        <v>337.09781615999998</v>
      </c>
      <c r="K1079">
        <v>326.57133942000002</v>
      </c>
      <c r="L1079">
        <v>296.82361804409999</v>
      </c>
    </row>
    <row r="1080" spans="1:12" x14ac:dyDescent="0.2">
      <c r="A1080" s="8" t="s">
        <v>110</v>
      </c>
      <c r="B1080" s="8" t="s">
        <v>115</v>
      </c>
      <c r="C1080" s="8" t="s">
        <v>224</v>
      </c>
      <c r="D1080" s="8" t="s">
        <v>225</v>
      </c>
      <c r="E1080" s="8" t="s">
        <v>47</v>
      </c>
      <c r="F1080" s="8" t="s">
        <v>48</v>
      </c>
      <c r="G1080" s="8" t="s">
        <v>7</v>
      </c>
      <c r="H1080" s="8" t="s">
        <v>38</v>
      </c>
      <c r="I1080" s="9">
        <v>10.905694</v>
      </c>
      <c r="J1080">
        <v>15.399405120000001</v>
      </c>
      <c r="K1080">
        <v>9.2901880499999994</v>
      </c>
      <c r="L1080">
        <v>8.8609898136473007</v>
      </c>
    </row>
    <row r="1081" spans="1:12" x14ac:dyDescent="0.2">
      <c r="A1081" s="8" t="s">
        <v>110</v>
      </c>
      <c r="B1081" s="8" t="s">
        <v>115</v>
      </c>
      <c r="C1081" s="8" t="s">
        <v>224</v>
      </c>
      <c r="D1081" s="8" t="s">
        <v>225</v>
      </c>
      <c r="E1081" s="8" t="s">
        <v>49</v>
      </c>
      <c r="F1081" s="8" t="s">
        <v>50</v>
      </c>
      <c r="G1081" s="8" t="s">
        <v>7</v>
      </c>
      <c r="H1081" s="8" t="s">
        <v>38</v>
      </c>
      <c r="I1081" s="9">
        <v>3272.7073999999998</v>
      </c>
      <c r="J1081">
        <v>3130.1004738000001</v>
      </c>
      <c r="K1081">
        <v>3034.9550451599998</v>
      </c>
      <c r="L1081">
        <v>2550.9830604045001</v>
      </c>
    </row>
    <row r="1082" spans="1:12" x14ac:dyDescent="0.2">
      <c r="A1082" s="8" t="s">
        <v>110</v>
      </c>
      <c r="B1082" s="8" t="s">
        <v>115</v>
      </c>
      <c r="C1082" s="8" t="s">
        <v>224</v>
      </c>
      <c r="D1082" s="8" t="s">
        <v>225</v>
      </c>
      <c r="E1082" s="8" t="s">
        <v>51</v>
      </c>
      <c r="F1082" s="8" t="s">
        <v>52</v>
      </c>
      <c r="G1082" s="8" t="s">
        <v>7</v>
      </c>
      <c r="H1082" s="8" t="s">
        <v>38</v>
      </c>
      <c r="I1082" s="9">
        <v>670.49701000000005</v>
      </c>
      <c r="J1082">
        <v>440.63463624000002</v>
      </c>
      <c r="K1082">
        <v>462.99295719999998</v>
      </c>
      <c r="L1082">
        <v>491.08377858810002</v>
      </c>
    </row>
    <row r="1083" spans="1:12" x14ac:dyDescent="0.2">
      <c r="A1083" s="8" t="s">
        <v>110</v>
      </c>
      <c r="B1083" s="8" t="s">
        <v>115</v>
      </c>
      <c r="C1083" s="8" t="s">
        <v>224</v>
      </c>
      <c r="D1083" s="8" t="s">
        <v>225</v>
      </c>
      <c r="E1083" s="8" t="s">
        <v>68</v>
      </c>
      <c r="F1083" s="8" t="s">
        <v>69</v>
      </c>
      <c r="G1083" s="8" t="s">
        <v>7</v>
      </c>
      <c r="H1083" s="8" t="s">
        <v>38</v>
      </c>
      <c r="I1083" s="9">
        <v>222.31131999999999</v>
      </c>
      <c r="J1083">
        <v>220.07068308000001</v>
      </c>
      <c r="K1083">
        <v>219.77011171999999</v>
      </c>
      <c r="L1083">
        <v>244.62524162518</v>
      </c>
    </row>
    <row r="1084" spans="1:12" x14ac:dyDescent="0.2">
      <c r="A1084" s="8" t="s">
        <v>110</v>
      </c>
      <c r="B1084" s="8" t="s">
        <v>115</v>
      </c>
      <c r="C1084" s="8" t="s">
        <v>224</v>
      </c>
      <c r="D1084" s="8" t="s">
        <v>225</v>
      </c>
      <c r="E1084" s="8" t="s">
        <v>53</v>
      </c>
      <c r="F1084" s="8" t="s">
        <v>54</v>
      </c>
      <c r="G1084" s="8" t="s">
        <v>7</v>
      </c>
      <c r="H1084" s="8" t="s">
        <v>38</v>
      </c>
      <c r="I1084" s="9">
        <v>156.19723999999999</v>
      </c>
      <c r="J1084">
        <v>109.4989266259</v>
      </c>
      <c r="K1084">
        <v>111.85543721205001</v>
      </c>
      <c r="L1084">
        <v>131.66252075673</v>
      </c>
    </row>
    <row r="1085" spans="1:12" x14ac:dyDescent="0.2">
      <c r="A1085" s="8" t="s">
        <v>110</v>
      </c>
      <c r="B1085" s="8" t="s">
        <v>115</v>
      </c>
      <c r="C1085" s="8" t="s">
        <v>224</v>
      </c>
      <c r="D1085" s="8" t="s">
        <v>225</v>
      </c>
      <c r="E1085" s="8" t="s">
        <v>70</v>
      </c>
      <c r="F1085" s="8" t="s">
        <v>71</v>
      </c>
      <c r="G1085" s="8" t="s">
        <v>7</v>
      </c>
      <c r="H1085" s="8" t="s">
        <v>38</v>
      </c>
      <c r="I1085" s="9">
        <v>645.85514999999998</v>
      </c>
      <c r="J1085">
        <v>659.91874678962995</v>
      </c>
      <c r="K1085">
        <v>659.91874678962995</v>
      </c>
      <c r="L1085">
        <v>659.17426761678996</v>
      </c>
    </row>
    <row r="1086" spans="1:12" x14ac:dyDescent="0.2">
      <c r="A1086" s="8" t="s">
        <v>110</v>
      </c>
      <c r="B1086" s="8" t="s">
        <v>115</v>
      </c>
      <c r="C1086" s="8" t="s">
        <v>224</v>
      </c>
      <c r="D1086" s="8" t="s">
        <v>225</v>
      </c>
      <c r="E1086" s="8" t="s">
        <v>83</v>
      </c>
      <c r="F1086" s="8" t="s">
        <v>84</v>
      </c>
      <c r="G1086" s="8" t="s">
        <v>7</v>
      </c>
      <c r="H1086" s="8" t="s">
        <v>38</v>
      </c>
      <c r="I1086" s="9">
        <v>345</v>
      </c>
      <c r="J1086">
        <v>367.5</v>
      </c>
      <c r="K1086">
        <v>345</v>
      </c>
      <c r="L1086">
        <v>352.5</v>
      </c>
    </row>
    <row r="1087" spans="1:12" x14ac:dyDescent="0.2">
      <c r="A1087" s="8" t="s">
        <v>110</v>
      </c>
      <c r="B1087" s="8" t="s">
        <v>115</v>
      </c>
      <c r="C1087" s="8" t="s">
        <v>224</v>
      </c>
      <c r="D1087" s="8" t="s">
        <v>225</v>
      </c>
      <c r="E1087" s="8" t="s">
        <v>55</v>
      </c>
      <c r="F1087" s="8" t="s">
        <v>56</v>
      </c>
      <c r="G1087" s="8" t="s">
        <v>7</v>
      </c>
      <c r="H1087" s="8" t="s">
        <v>38</v>
      </c>
      <c r="I1087" s="9">
        <v>1.6837783</v>
      </c>
      <c r="J1087">
        <v>1.7988195264339999</v>
      </c>
      <c r="K1087">
        <v>1.7988195264339999</v>
      </c>
      <c r="L1087">
        <v>1.7988195264339999</v>
      </c>
    </row>
    <row r="1088" spans="1:12" x14ac:dyDescent="0.2">
      <c r="A1088" s="8" t="s">
        <v>110</v>
      </c>
      <c r="B1088" s="8" t="s">
        <v>115</v>
      </c>
      <c r="C1088" s="8" t="s">
        <v>224</v>
      </c>
      <c r="D1088" s="8" t="s">
        <v>225</v>
      </c>
      <c r="E1088" s="8" t="s">
        <v>57</v>
      </c>
      <c r="F1088" s="8" t="s">
        <v>58</v>
      </c>
      <c r="G1088" s="8" t="s">
        <v>7</v>
      </c>
      <c r="H1088" s="8" t="s">
        <v>38</v>
      </c>
      <c r="I1088" s="9">
        <v>156.20364000000001</v>
      </c>
      <c r="J1088">
        <v>166.87598375753001</v>
      </c>
      <c r="K1088">
        <v>166.87598375753001</v>
      </c>
      <c r="L1088">
        <v>166.87598375753001</v>
      </c>
    </row>
    <row r="1089" spans="1:12" x14ac:dyDescent="0.2">
      <c r="A1089" s="8" t="s">
        <v>110</v>
      </c>
      <c r="B1089" s="8" t="s">
        <v>115</v>
      </c>
      <c r="C1089" s="8" t="s">
        <v>224</v>
      </c>
      <c r="D1089" s="8" t="s">
        <v>225</v>
      </c>
      <c r="E1089" s="8" t="s">
        <v>72</v>
      </c>
      <c r="F1089" s="8" t="s">
        <v>73</v>
      </c>
      <c r="G1089" s="8" t="s">
        <v>7</v>
      </c>
      <c r="H1089" s="8" t="s">
        <v>38</v>
      </c>
      <c r="I1089" s="9">
        <v>917.04994999999997</v>
      </c>
      <c r="J1089">
        <v>720.03448666448003</v>
      </c>
      <c r="K1089">
        <v>671.46854234480998</v>
      </c>
      <c r="L1089">
        <v>648.12754630287998</v>
      </c>
    </row>
    <row r="1090" spans="1:12" x14ac:dyDescent="0.2">
      <c r="A1090" s="8" t="s">
        <v>110</v>
      </c>
      <c r="B1090" s="8" t="s">
        <v>115</v>
      </c>
      <c r="C1090" s="8" t="s">
        <v>224</v>
      </c>
      <c r="D1090" s="8" t="s">
        <v>225</v>
      </c>
      <c r="E1090" s="8" t="s">
        <v>74</v>
      </c>
      <c r="F1090" s="8" t="s">
        <v>75</v>
      </c>
      <c r="G1090" s="8" t="s">
        <v>7</v>
      </c>
      <c r="H1090" s="8" t="s">
        <v>38</v>
      </c>
      <c r="I1090" s="9">
        <v>932.29395999999997</v>
      </c>
      <c r="J1090">
        <v>1019.41670736</v>
      </c>
      <c r="K1090">
        <v>846.72256249999998</v>
      </c>
      <c r="L1090">
        <v>1073.7674629323999</v>
      </c>
    </row>
    <row r="1091" spans="1:12" x14ac:dyDescent="0.2">
      <c r="A1091" s="8" t="s">
        <v>110</v>
      </c>
      <c r="B1091" s="8" t="s">
        <v>115</v>
      </c>
      <c r="C1091" s="8" t="s">
        <v>224</v>
      </c>
      <c r="D1091" s="8" t="s">
        <v>225</v>
      </c>
      <c r="E1091" s="8" t="s">
        <v>59</v>
      </c>
      <c r="F1091" s="8" t="s">
        <v>60</v>
      </c>
      <c r="G1091" s="8" t="s">
        <v>7</v>
      </c>
      <c r="H1091" s="8" t="s">
        <v>38</v>
      </c>
      <c r="I1091" s="9">
        <v>81.189447000000001</v>
      </c>
      <c r="J1091">
        <v>81.085350089532</v>
      </c>
      <c r="K1091">
        <v>75.420149344677</v>
      </c>
      <c r="L1091">
        <v>71.507263325593996</v>
      </c>
    </row>
    <row r="1092" spans="1:12" x14ac:dyDescent="0.2">
      <c r="A1092" s="8" t="s">
        <v>110</v>
      </c>
      <c r="B1092" s="8" t="s">
        <v>115</v>
      </c>
      <c r="C1092" s="8" t="s">
        <v>224</v>
      </c>
      <c r="D1092" s="8" t="s">
        <v>225</v>
      </c>
      <c r="E1092" s="8" t="s">
        <v>76</v>
      </c>
      <c r="F1092" s="8" t="s">
        <v>77</v>
      </c>
      <c r="G1092" s="8" t="s">
        <v>7</v>
      </c>
      <c r="H1092" s="8" t="s">
        <v>38</v>
      </c>
      <c r="I1092" s="9"/>
    </row>
    <row r="1093" spans="1:12" x14ac:dyDescent="0.2">
      <c r="A1093" s="8" t="s">
        <v>110</v>
      </c>
      <c r="B1093" s="8" t="s">
        <v>115</v>
      </c>
      <c r="C1093" s="8" t="s">
        <v>224</v>
      </c>
      <c r="D1093" s="8" t="s">
        <v>225</v>
      </c>
      <c r="E1093" s="8" t="s">
        <v>78</v>
      </c>
      <c r="F1093" s="8" t="s">
        <v>79</v>
      </c>
      <c r="G1093" s="8" t="s">
        <v>7</v>
      </c>
      <c r="H1093" s="8" t="s">
        <v>38</v>
      </c>
      <c r="I1093" s="9"/>
    </row>
    <row r="1094" spans="1:12" x14ac:dyDescent="0.2">
      <c r="A1094" s="8" t="s">
        <v>32</v>
      </c>
      <c r="B1094" s="8" t="s">
        <v>105</v>
      </c>
      <c r="C1094" s="8" t="s">
        <v>226</v>
      </c>
      <c r="D1094" s="8" t="s">
        <v>227</v>
      </c>
      <c r="E1094" s="8" t="s">
        <v>36</v>
      </c>
      <c r="F1094" s="8" t="s">
        <v>37</v>
      </c>
      <c r="G1094" s="8" t="s">
        <v>7</v>
      </c>
      <c r="H1094" s="8" t="s">
        <v>38</v>
      </c>
      <c r="I1094" s="9">
        <v>245.17807999999999</v>
      </c>
      <c r="J1094">
        <v>302.87848598186002</v>
      </c>
      <c r="K1094">
        <v>322.08870151078003</v>
      </c>
      <c r="L1094">
        <v>320.56648393453003</v>
      </c>
    </row>
    <row r="1095" spans="1:12" x14ac:dyDescent="0.2">
      <c r="A1095" s="8" t="s">
        <v>32</v>
      </c>
      <c r="B1095" s="8" t="s">
        <v>105</v>
      </c>
      <c r="C1095" s="8" t="s">
        <v>226</v>
      </c>
      <c r="D1095" s="8" t="s">
        <v>227</v>
      </c>
      <c r="E1095" s="8" t="s">
        <v>39</v>
      </c>
      <c r="F1095" s="8" t="s">
        <v>40</v>
      </c>
      <c r="G1095" s="8" t="s">
        <v>7</v>
      </c>
      <c r="H1095" s="8" t="s">
        <v>38</v>
      </c>
      <c r="I1095" s="9">
        <v>132.13446999999999</v>
      </c>
      <c r="J1095">
        <v>160.65145846550999</v>
      </c>
      <c r="K1095">
        <v>170.83936754502</v>
      </c>
      <c r="L1095">
        <v>170.03221657454</v>
      </c>
    </row>
    <row r="1096" spans="1:12" x14ac:dyDescent="0.2">
      <c r="A1096" s="8" t="s">
        <v>32</v>
      </c>
      <c r="B1096" s="8" t="s">
        <v>105</v>
      </c>
      <c r="C1096" s="8" t="s">
        <v>226</v>
      </c>
      <c r="D1096" s="8" t="s">
        <v>227</v>
      </c>
      <c r="E1096" s="8" t="s">
        <v>41</v>
      </c>
      <c r="F1096" s="8" t="s">
        <v>42</v>
      </c>
      <c r="G1096" s="8" t="s">
        <v>7</v>
      </c>
      <c r="H1096" s="8" t="s">
        <v>38</v>
      </c>
      <c r="I1096" s="9">
        <v>25.118071</v>
      </c>
      <c r="J1096">
        <v>33.020188471520001</v>
      </c>
      <c r="K1096">
        <v>35.114559539117998</v>
      </c>
      <c r="L1096">
        <v>46.764768468284998</v>
      </c>
    </row>
    <row r="1097" spans="1:12" x14ac:dyDescent="0.2">
      <c r="A1097" s="8" t="s">
        <v>32</v>
      </c>
      <c r="B1097" s="8" t="s">
        <v>105</v>
      </c>
      <c r="C1097" s="8" t="s">
        <v>226</v>
      </c>
      <c r="D1097" s="8" t="s">
        <v>227</v>
      </c>
      <c r="E1097" s="8" t="s">
        <v>43</v>
      </c>
      <c r="F1097" s="8" t="s">
        <v>44</v>
      </c>
      <c r="G1097" s="8" t="s">
        <v>7</v>
      </c>
      <c r="H1097" s="8" t="s">
        <v>38</v>
      </c>
      <c r="I1097" s="9">
        <v>423.73320000000001</v>
      </c>
      <c r="J1097">
        <v>542.23767527913003</v>
      </c>
      <c r="K1097">
        <v>576.63020505913005</v>
      </c>
      <c r="L1097">
        <v>573.90482185393</v>
      </c>
    </row>
    <row r="1098" spans="1:12" x14ac:dyDescent="0.2">
      <c r="A1098" s="8" t="s">
        <v>32</v>
      </c>
      <c r="B1098" s="8" t="s">
        <v>105</v>
      </c>
      <c r="C1098" s="8" t="s">
        <v>226</v>
      </c>
      <c r="D1098" s="8" t="s">
        <v>227</v>
      </c>
      <c r="E1098" s="8" t="s">
        <v>66</v>
      </c>
      <c r="F1098" s="8" t="s">
        <v>67</v>
      </c>
      <c r="G1098" s="8" t="s">
        <v>7</v>
      </c>
      <c r="H1098" s="8" t="s">
        <v>38</v>
      </c>
      <c r="I1098" s="9"/>
    </row>
    <row r="1099" spans="1:12" x14ac:dyDescent="0.2">
      <c r="A1099" s="8" t="s">
        <v>32</v>
      </c>
      <c r="B1099" s="8" t="s">
        <v>105</v>
      </c>
      <c r="C1099" s="8" t="s">
        <v>226</v>
      </c>
      <c r="D1099" s="8" t="s">
        <v>227</v>
      </c>
      <c r="E1099" s="8" t="s">
        <v>45</v>
      </c>
      <c r="F1099" s="8" t="s">
        <v>46</v>
      </c>
      <c r="G1099" s="8" t="s">
        <v>7</v>
      </c>
      <c r="H1099" s="8" t="s">
        <v>38</v>
      </c>
      <c r="I1099" s="9">
        <v>29.170369000000001</v>
      </c>
      <c r="J1099">
        <v>44.738871914392</v>
      </c>
      <c r="K1099">
        <v>47.576529130437002</v>
      </c>
      <c r="L1099">
        <v>45.919393690309001</v>
      </c>
    </row>
    <row r="1100" spans="1:12" x14ac:dyDescent="0.2">
      <c r="A1100" s="8" t="s">
        <v>32</v>
      </c>
      <c r="B1100" s="8" t="s">
        <v>105</v>
      </c>
      <c r="C1100" s="8" t="s">
        <v>226</v>
      </c>
      <c r="D1100" s="8" t="s">
        <v>227</v>
      </c>
      <c r="E1100" s="8" t="s">
        <v>47</v>
      </c>
      <c r="F1100" s="8" t="s">
        <v>48</v>
      </c>
      <c r="G1100" s="8" t="s">
        <v>7</v>
      </c>
      <c r="H1100" s="8" t="s">
        <v>38</v>
      </c>
      <c r="I1100" s="9">
        <v>30.594450999999999</v>
      </c>
      <c r="J1100">
        <v>38.198689148023</v>
      </c>
      <c r="K1100">
        <v>40.621266973430998</v>
      </c>
      <c r="L1100">
        <v>40.429274743728001</v>
      </c>
    </row>
    <row r="1101" spans="1:12" x14ac:dyDescent="0.2">
      <c r="A1101" s="8" t="s">
        <v>32</v>
      </c>
      <c r="B1101" s="8" t="s">
        <v>105</v>
      </c>
      <c r="C1101" s="8" t="s">
        <v>226</v>
      </c>
      <c r="D1101" s="8" t="s">
        <v>227</v>
      </c>
      <c r="E1101" s="8" t="s">
        <v>49</v>
      </c>
      <c r="F1101" s="8" t="s">
        <v>50</v>
      </c>
      <c r="G1101" s="8" t="s">
        <v>7</v>
      </c>
      <c r="H1101" s="8" t="s">
        <v>38</v>
      </c>
      <c r="I1101" s="9">
        <v>137.99555000000001</v>
      </c>
      <c r="J1101">
        <v>169.92456571438001</v>
      </c>
      <c r="K1101">
        <v>180.70245465484001</v>
      </c>
      <c r="L1101">
        <v>179.84838313598999</v>
      </c>
    </row>
    <row r="1102" spans="1:12" x14ac:dyDescent="0.2">
      <c r="A1102" s="8" t="s">
        <v>32</v>
      </c>
      <c r="B1102" s="8" t="s">
        <v>105</v>
      </c>
      <c r="C1102" s="8" t="s">
        <v>226</v>
      </c>
      <c r="D1102" s="8" t="s">
        <v>227</v>
      </c>
      <c r="E1102" s="8" t="s">
        <v>51</v>
      </c>
      <c r="F1102" s="8" t="s">
        <v>52</v>
      </c>
      <c r="G1102" s="8" t="s">
        <v>7</v>
      </c>
      <c r="H1102" s="8" t="s">
        <v>38</v>
      </c>
      <c r="I1102" s="9">
        <v>6.3798900999999999</v>
      </c>
      <c r="J1102">
        <v>8.6086184349780996</v>
      </c>
      <c r="K1102">
        <v>9.1544798335071</v>
      </c>
      <c r="L1102">
        <v>9.1112121285348007</v>
      </c>
    </row>
    <row r="1103" spans="1:12" x14ac:dyDescent="0.2">
      <c r="A1103" s="8" t="s">
        <v>32</v>
      </c>
      <c r="B1103" s="8" t="s">
        <v>105</v>
      </c>
      <c r="C1103" s="8" t="s">
        <v>226</v>
      </c>
      <c r="D1103" s="8" t="s">
        <v>227</v>
      </c>
      <c r="E1103" s="8" t="s">
        <v>53</v>
      </c>
      <c r="F1103" s="8" t="s">
        <v>54</v>
      </c>
      <c r="G1103" s="8" t="s">
        <v>7</v>
      </c>
      <c r="H1103" s="8" t="s">
        <v>38</v>
      </c>
      <c r="I1103" s="9">
        <v>6.3099999999999997E-6</v>
      </c>
      <c r="J1103">
        <v>2.3972609876283002E-6</v>
      </c>
      <c r="K1103">
        <v>2.3773402435594001E-6</v>
      </c>
      <c r="L1103">
        <v>3.5321194045825999E-7</v>
      </c>
    </row>
    <row r="1104" spans="1:12" x14ac:dyDescent="0.2">
      <c r="A1104" s="8" t="s">
        <v>32</v>
      </c>
      <c r="B1104" s="8" t="s">
        <v>105</v>
      </c>
      <c r="C1104" s="8" t="s">
        <v>226</v>
      </c>
      <c r="D1104" s="8" t="s">
        <v>227</v>
      </c>
      <c r="E1104" s="8" t="s">
        <v>70</v>
      </c>
      <c r="F1104" s="8" t="s">
        <v>71</v>
      </c>
      <c r="G1104" s="8" t="s">
        <v>7</v>
      </c>
      <c r="H1104" s="8" t="s">
        <v>38</v>
      </c>
      <c r="I1104" s="9">
        <v>39.635258999999998</v>
      </c>
      <c r="J1104">
        <v>37.592203996000002</v>
      </c>
      <c r="K1104">
        <v>46.581644081999997</v>
      </c>
      <c r="L1104">
        <v>46.529093576313997</v>
      </c>
    </row>
    <row r="1105" spans="1:12" x14ac:dyDescent="0.2">
      <c r="A1105" s="8" t="s">
        <v>32</v>
      </c>
      <c r="B1105" s="8" t="s">
        <v>105</v>
      </c>
      <c r="C1105" s="8" t="s">
        <v>226</v>
      </c>
      <c r="D1105" s="8" t="s">
        <v>227</v>
      </c>
      <c r="E1105" s="8" t="s">
        <v>83</v>
      </c>
      <c r="F1105" s="8" t="s">
        <v>84</v>
      </c>
      <c r="G1105" s="8" t="s">
        <v>7</v>
      </c>
      <c r="H1105" s="8" t="s">
        <v>38</v>
      </c>
      <c r="I1105" s="9"/>
    </row>
    <row r="1106" spans="1:12" x14ac:dyDescent="0.2">
      <c r="A1106" s="8" t="s">
        <v>32</v>
      </c>
      <c r="B1106" s="8" t="s">
        <v>105</v>
      </c>
      <c r="C1106" s="8" t="s">
        <v>226</v>
      </c>
      <c r="D1106" s="8" t="s">
        <v>227</v>
      </c>
      <c r="E1106" s="8" t="s">
        <v>55</v>
      </c>
      <c r="F1106" s="8" t="s">
        <v>56</v>
      </c>
      <c r="G1106" s="8" t="s">
        <v>7</v>
      </c>
      <c r="H1106" s="8" t="s">
        <v>38</v>
      </c>
      <c r="I1106" s="9">
        <v>3.4826200000000002E-2</v>
      </c>
      <c r="J1106">
        <v>3.9006232164915999E-2</v>
      </c>
      <c r="K1106">
        <v>3.9006232164915999E-2</v>
      </c>
      <c r="L1106">
        <v>3.9006232164915999E-2</v>
      </c>
    </row>
    <row r="1107" spans="1:12" x14ac:dyDescent="0.2">
      <c r="A1107" s="8" t="s">
        <v>32</v>
      </c>
      <c r="B1107" s="8" t="s">
        <v>105</v>
      </c>
      <c r="C1107" s="8" t="s">
        <v>226</v>
      </c>
      <c r="D1107" s="8" t="s">
        <v>227</v>
      </c>
      <c r="E1107" s="8" t="s">
        <v>57</v>
      </c>
      <c r="F1107" s="8" t="s">
        <v>58</v>
      </c>
      <c r="G1107" s="8" t="s">
        <v>7</v>
      </c>
      <c r="H1107" s="8" t="s">
        <v>38</v>
      </c>
      <c r="I1107" s="9">
        <v>4.6594499999999997E-2</v>
      </c>
      <c r="J1107">
        <v>5.2187020458015002E-2</v>
      </c>
      <c r="K1107">
        <v>5.2187020458015002E-2</v>
      </c>
      <c r="L1107">
        <v>5.2187020458015002E-2</v>
      </c>
    </row>
    <row r="1108" spans="1:12" x14ac:dyDescent="0.2">
      <c r="A1108" s="8" t="s">
        <v>32</v>
      </c>
      <c r="B1108" s="8" t="s">
        <v>105</v>
      </c>
      <c r="C1108" s="8" t="s">
        <v>226</v>
      </c>
      <c r="D1108" s="8" t="s">
        <v>227</v>
      </c>
      <c r="E1108" s="8" t="s">
        <v>59</v>
      </c>
      <c r="F1108" s="8" t="s">
        <v>60</v>
      </c>
      <c r="G1108" s="8" t="s">
        <v>7</v>
      </c>
      <c r="H1108" s="8" t="s">
        <v>38</v>
      </c>
      <c r="I1108" s="9">
        <v>4.2971617000000002</v>
      </c>
      <c r="J1108">
        <v>4.7566228140996998</v>
      </c>
      <c r="K1108">
        <v>4.9245961541694001</v>
      </c>
      <c r="L1108">
        <v>4.6033694993556002</v>
      </c>
    </row>
    <row r="1109" spans="1:12" x14ac:dyDescent="0.2">
      <c r="A1109" s="8" t="s">
        <v>32</v>
      </c>
      <c r="B1109" s="8" t="s">
        <v>99</v>
      </c>
      <c r="C1109" s="8" t="s">
        <v>228</v>
      </c>
      <c r="D1109" s="8" t="s">
        <v>229</v>
      </c>
      <c r="E1109" s="8" t="s">
        <v>36</v>
      </c>
      <c r="F1109" s="8" t="s">
        <v>37</v>
      </c>
      <c r="G1109" s="8" t="s">
        <v>7</v>
      </c>
      <c r="H1109" s="8" t="s">
        <v>38</v>
      </c>
      <c r="I1109" s="9">
        <v>9.1045932999999994</v>
      </c>
      <c r="J1109">
        <v>8.4787743051694004</v>
      </c>
      <c r="K1109">
        <v>8.8313780217994999</v>
      </c>
      <c r="L1109">
        <v>9.6553894457224008</v>
      </c>
    </row>
    <row r="1110" spans="1:12" x14ac:dyDescent="0.2">
      <c r="A1110" s="8" t="s">
        <v>32</v>
      </c>
      <c r="B1110" s="8" t="s">
        <v>99</v>
      </c>
      <c r="C1110" s="8" t="s">
        <v>228</v>
      </c>
      <c r="D1110" s="8" t="s">
        <v>229</v>
      </c>
      <c r="E1110" s="8" t="s">
        <v>39</v>
      </c>
      <c r="F1110" s="8" t="s">
        <v>40</v>
      </c>
      <c r="G1110" s="8" t="s">
        <v>7</v>
      </c>
      <c r="H1110" s="8" t="s">
        <v>38</v>
      </c>
      <c r="I1110" s="9">
        <v>1.0382836</v>
      </c>
      <c r="J1110">
        <v>1.1463817469346</v>
      </c>
      <c r="K1110">
        <v>1.1940647733815</v>
      </c>
      <c r="L1110">
        <v>1.2127190189318</v>
      </c>
    </row>
    <row r="1111" spans="1:12" x14ac:dyDescent="0.2">
      <c r="A1111" s="8" t="s">
        <v>32</v>
      </c>
      <c r="B1111" s="8" t="s">
        <v>99</v>
      </c>
      <c r="C1111" s="8" t="s">
        <v>228</v>
      </c>
      <c r="D1111" s="8" t="s">
        <v>229</v>
      </c>
      <c r="E1111" s="8" t="s">
        <v>41</v>
      </c>
      <c r="F1111" s="8" t="s">
        <v>42</v>
      </c>
      <c r="G1111" s="8" t="s">
        <v>7</v>
      </c>
      <c r="H1111" s="8" t="s">
        <v>38</v>
      </c>
      <c r="I1111" s="9">
        <v>0.43844509999999998</v>
      </c>
      <c r="J1111">
        <v>0.41799656826235998</v>
      </c>
      <c r="K1111">
        <v>0.43538293869029998</v>
      </c>
      <c r="L1111">
        <v>0.4971069295212</v>
      </c>
    </row>
    <row r="1112" spans="1:12" x14ac:dyDescent="0.2">
      <c r="A1112" s="8" t="s">
        <v>32</v>
      </c>
      <c r="B1112" s="8" t="s">
        <v>99</v>
      </c>
      <c r="C1112" s="8" t="s">
        <v>228</v>
      </c>
      <c r="D1112" s="8" t="s">
        <v>229</v>
      </c>
      <c r="E1112" s="8" t="s">
        <v>43</v>
      </c>
      <c r="F1112" s="8" t="s">
        <v>44</v>
      </c>
      <c r="G1112" s="8" t="s">
        <v>7</v>
      </c>
      <c r="H1112" s="8" t="s">
        <v>38</v>
      </c>
      <c r="I1112" s="9">
        <v>5.0188853</v>
      </c>
      <c r="J1112">
        <v>4.7957412850586003</v>
      </c>
      <c r="K1112">
        <v>4.9952259640682</v>
      </c>
      <c r="L1112">
        <v>5.0732637504509999</v>
      </c>
    </row>
    <row r="1113" spans="1:12" x14ac:dyDescent="0.2">
      <c r="A1113" s="8" t="s">
        <v>32</v>
      </c>
      <c r="B1113" s="8" t="s">
        <v>99</v>
      </c>
      <c r="C1113" s="8" t="s">
        <v>228</v>
      </c>
      <c r="D1113" s="8" t="s">
        <v>229</v>
      </c>
      <c r="E1113" s="8" t="s">
        <v>45</v>
      </c>
      <c r="F1113" s="8" t="s">
        <v>46</v>
      </c>
      <c r="G1113" s="8" t="s">
        <v>7</v>
      </c>
      <c r="H1113" s="8" t="s">
        <v>38</v>
      </c>
      <c r="I1113" s="9">
        <v>0.38565319999999997</v>
      </c>
      <c r="J1113">
        <v>0.35846591560535002</v>
      </c>
      <c r="K1113">
        <v>0.37337967447303</v>
      </c>
      <c r="L1113">
        <v>0.39788157696565002</v>
      </c>
    </row>
    <row r="1114" spans="1:12" x14ac:dyDescent="0.2">
      <c r="A1114" s="8" t="s">
        <v>32</v>
      </c>
      <c r="B1114" s="8" t="s">
        <v>99</v>
      </c>
      <c r="C1114" s="8" t="s">
        <v>228</v>
      </c>
      <c r="D1114" s="8" t="s">
        <v>229</v>
      </c>
      <c r="E1114" s="8" t="s">
        <v>47</v>
      </c>
      <c r="F1114" s="8" t="s">
        <v>48</v>
      </c>
      <c r="G1114" s="8" t="s">
        <v>7</v>
      </c>
      <c r="H1114" s="8" t="s">
        <v>38</v>
      </c>
      <c r="I1114" s="9">
        <v>0.16560739999999999</v>
      </c>
      <c r="J1114">
        <v>0.14464292768727999</v>
      </c>
      <c r="K1114">
        <v>0.15066220201658001</v>
      </c>
      <c r="L1114">
        <v>0.1530159183092</v>
      </c>
    </row>
    <row r="1115" spans="1:12" x14ac:dyDescent="0.2">
      <c r="A1115" s="8" t="s">
        <v>32</v>
      </c>
      <c r="B1115" s="8" t="s">
        <v>99</v>
      </c>
      <c r="C1115" s="8" t="s">
        <v>228</v>
      </c>
      <c r="D1115" s="8" t="s">
        <v>229</v>
      </c>
      <c r="E1115" s="8" t="s">
        <v>49</v>
      </c>
      <c r="F1115" s="8" t="s">
        <v>50</v>
      </c>
      <c r="G1115" s="8" t="s">
        <v>7</v>
      </c>
      <c r="H1115" s="8" t="s">
        <v>38</v>
      </c>
      <c r="I1115" s="9">
        <v>1.3802916000000001</v>
      </c>
      <c r="J1115">
        <v>1.2810456196286</v>
      </c>
      <c r="K1115">
        <v>1.2907036021248</v>
      </c>
      <c r="L1115">
        <v>1.3108675852381</v>
      </c>
    </row>
    <row r="1116" spans="1:12" x14ac:dyDescent="0.2">
      <c r="A1116" s="8" t="s">
        <v>32</v>
      </c>
      <c r="B1116" s="8" t="s">
        <v>99</v>
      </c>
      <c r="C1116" s="8" t="s">
        <v>228</v>
      </c>
      <c r="D1116" s="8" t="s">
        <v>229</v>
      </c>
      <c r="E1116" s="8" t="s">
        <v>51</v>
      </c>
      <c r="F1116" s="8" t="s">
        <v>52</v>
      </c>
      <c r="G1116" s="8" t="s">
        <v>7</v>
      </c>
      <c r="H1116" s="8" t="s">
        <v>38</v>
      </c>
      <c r="I1116" s="9">
        <v>0.105932</v>
      </c>
      <c r="J1116">
        <v>0.10657531759298</v>
      </c>
      <c r="K1116">
        <v>0.11100735606514001</v>
      </c>
      <c r="L1116">
        <v>0.11274156556874999</v>
      </c>
    </row>
    <row r="1117" spans="1:12" x14ac:dyDescent="0.2">
      <c r="A1117" s="8" t="s">
        <v>32</v>
      </c>
      <c r="B1117" s="8" t="s">
        <v>99</v>
      </c>
      <c r="C1117" s="8" t="s">
        <v>228</v>
      </c>
      <c r="D1117" s="8" t="s">
        <v>229</v>
      </c>
      <c r="E1117" s="8" t="s">
        <v>53</v>
      </c>
      <c r="F1117" s="8" t="s">
        <v>54</v>
      </c>
      <c r="G1117" s="8" t="s">
        <v>7</v>
      </c>
      <c r="H1117" s="8" t="s">
        <v>38</v>
      </c>
      <c r="I1117" s="9"/>
    </row>
    <row r="1118" spans="1:12" x14ac:dyDescent="0.2">
      <c r="A1118" s="8" t="s">
        <v>32</v>
      </c>
      <c r="B1118" s="8" t="s">
        <v>99</v>
      </c>
      <c r="C1118" s="8" t="s">
        <v>228</v>
      </c>
      <c r="D1118" s="8" t="s">
        <v>229</v>
      </c>
      <c r="E1118" s="8" t="s">
        <v>55</v>
      </c>
      <c r="F1118" s="8" t="s">
        <v>56</v>
      </c>
      <c r="G1118" s="8" t="s">
        <v>7</v>
      </c>
      <c r="H1118" s="8" t="s">
        <v>38</v>
      </c>
      <c r="I1118" s="9">
        <v>1.4640000000000001E-4</v>
      </c>
      <c r="J1118">
        <v>1.4685310308317E-4</v>
      </c>
      <c r="K1118">
        <v>1.4732764930282E-4</v>
      </c>
      <c r="L1118">
        <v>1.4778299193437001E-4</v>
      </c>
    </row>
    <row r="1119" spans="1:12" x14ac:dyDescent="0.2">
      <c r="A1119" s="8" t="s">
        <v>32</v>
      </c>
      <c r="B1119" s="8" t="s">
        <v>99</v>
      </c>
      <c r="C1119" s="8" t="s">
        <v>228</v>
      </c>
      <c r="D1119" s="8" t="s">
        <v>229</v>
      </c>
      <c r="E1119" s="8" t="s">
        <v>59</v>
      </c>
      <c r="F1119" s="8" t="s">
        <v>60</v>
      </c>
      <c r="G1119" s="8" t="s">
        <v>7</v>
      </c>
      <c r="H1119" s="8" t="s">
        <v>38</v>
      </c>
      <c r="I1119" s="9">
        <v>4.9696799999999999E-2</v>
      </c>
      <c r="J1119">
        <v>4.6297979103600999E-2</v>
      </c>
      <c r="K1119">
        <v>4.8026683871586998E-2</v>
      </c>
      <c r="L1119">
        <v>4.8128651246921998E-2</v>
      </c>
    </row>
    <row r="1120" spans="1:12" x14ac:dyDescent="0.2">
      <c r="A1120" s="8" t="s">
        <v>32</v>
      </c>
      <c r="B1120" s="8" t="s">
        <v>99</v>
      </c>
      <c r="C1120" s="8" t="s">
        <v>228</v>
      </c>
      <c r="D1120" s="8" t="s">
        <v>229</v>
      </c>
      <c r="E1120" s="8" t="s">
        <v>92</v>
      </c>
      <c r="F1120" s="8" t="s">
        <v>93</v>
      </c>
      <c r="G1120" s="8" t="s">
        <v>7</v>
      </c>
      <c r="H1120" s="8" t="s">
        <v>38</v>
      </c>
      <c r="I1120" s="9">
        <v>2.8172000000000002E-3</v>
      </c>
      <c r="J1120">
        <v>2.8328685879999999E-3</v>
      </c>
      <c r="K1120">
        <v>2.8486242197979001E-3</v>
      </c>
      <c r="L1120">
        <v>2.8673902157573998E-3</v>
      </c>
    </row>
    <row r="1121" spans="1:12" x14ac:dyDescent="0.2">
      <c r="A1121" s="8" t="s">
        <v>110</v>
      </c>
      <c r="B1121" s="8" t="s">
        <v>115</v>
      </c>
      <c r="C1121" s="8" t="s">
        <v>230</v>
      </c>
      <c r="D1121" s="8" t="s">
        <v>231</v>
      </c>
      <c r="E1121" s="8" t="s">
        <v>36</v>
      </c>
      <c r="F1121" s="8" t="s">
        <v>37</v>
      </c>
      <c r="G1121" s="8" t="s">
        <v>7</v>
      </c>
      <c r="H1121" s="8" t="s">
        <v>38</v>
      </c>
      <c r="I1121" s="9">
        <v>32687.495999999999</v>
      </c>
      <c r="J1121">
        <v>34962.62118432</v>
      </c>
      <c r="K1121">
        <v>36869.235327969996</v>
      </c>
      <c r="L1121">
        <v>28220.835815189999</v>
      </c>
    </row>
    <row r="1122" spans="1:12" x14ac:dyDescent="0.2">
      <c r="A1122" s="8" t="s">
        <v>110</v>
      </c>
      <c r="B1122" s="8" t="s">
        <v>115</v>
      </c>
      <c r="C1122" s="8" t="s">
        <v>230</v>
      </c>
      <c r="D1122" s="8" t="s">
        <v>231</v>
      </c>
      <c r="E1122" s="8" t="s">
        <v>64</v>
      </c>
      <c r="F1122" s="8" t="s">
        <v>65</v>
      </c>
      <c r="G1122" s="8" t="s">
        <v>7</v>
      </c>
      <c r="H1122" s="8" t="s">
        <v>38</v>
      </c>
      <c r="I1122" s="9">
        <v>16076.078</v>
      </c>
      <c r="J1122">
        <v>17741.654056210002</v>
      </c>
      <c r="K1122">
        <v>18154.497212419999</v>
      </c>
      <c r="L1122">
        <v>16150.578542089999</v>
      </c>
    </row>
    <row r="1123" spans="1:12" x14ac:dyDescent="0.2">
      <c r="A1123" s="8" t="s">
        <v>110</v>
      </c>
      <c r="B1123" s="8" t="s">
        <v>115</v>
      </c>
      <c r="C1123" s="8" t="s">
        <v>230</v>
      </c>
      <c r="D1123" s="8" t="s">
        <v>231</v>
      </c>
      <c r="E1123" s="8" t="s">
        <v>39</v>
      </c>
      <c r="F1123" s="8" t="s">
        <v>40</v>
      </c>
      <c r="G1123" s="8" t="s">
        <v>7</v>
      </c>
      <c r="H1123" s="8" t="s">
        <v>38</v>
      </c>
      <c r="I1123" s="9">
        <v>34158.894999999997</v>
      </c>
      <c r="J1123">
        <v>44619.39719887</v>
      </c>
      <c r="K1123">
        <v>41116.779537189999</v>
      </c>
      <c r="L1123">
        <v>38304.973764797003</v>
      </c>
    </row>
    <row r="1124" spans="1:12" x14ac:dyDescent="0.2">
      <c r="A1124" s="8" t="s">
        <v>110</v>
      </c>
      <c r="B1124" s="8" t="s">
        <v>115</v>
      </c>
      <c r="C1124" s="8" t="s">
        <v>230</v>
      </c>
      <c r="D1124" s="8" t="s">
        <v>231</v>
      </c>
      <c r="E1124" s="8" t="s">
        <v>41</v>
      </c>
      <c r="F1124" s="8" t="s">
        <v>42</v>
      </c>
      <c r="G1124" s="8" t="s">
        <v>7</v>
      </c>
      <c r="H1124" s="8" t="s">
        <v>38</v>
      </c>
      <c r="I1124" s="9">
        <v>2982.6325999999999</v>
      </c>
      <c r="J1124">
        <v>3673.3533302001001</v>
      </c>
      <c r="K1124">
        <v>4691.0106067500001</v>
      </c>
      <c r="L1124">
        <v>4226.4461879879</v>
      </c>
    </row>
    <row r="1125" spans="1:12" x14ac:dyDescent="0.2">
      <c r="A1125" s="8" t="s">
        <v>110</v>
      </c>
      <c r="B1125" s="8" t="s">
        <v>115</v>
      </c>
      <c r="C1125" s="8" t="s">
        <v>230</v>
      </c>
      <c r="D1125" s="8" t="s">
        <v>231</v>
      </c>
      <c r="E1125" s="8" t="s">
        <v>43</v>
      </c>
      <c r="F1125" s="8" t="s">
        <v>44</v>
      </c>
      <c r="G1125" s="8" t="s">
        <v>7</v>
      </c>
      <c r="H1125" s="8" t="s">
        <v>38</v>
      </c>
      <c r="I1125" s="9">
        <v>101339.18</v>
      </c>
      <c r="J1125">
        <v>113361.71427021</v>
      </c>
      <c r="K1125">
        <v>116739.53348249001</v>
      </c>
      <c r="L1125">
        <v>113189.62858939001</v>
      </c>
    </row>
    <row r="1126" spans="1:12" x14ac:dyDescent="0.2">
      <c r="A1126" s="8" t="s">
        <v>110</v>
      </c>
      <c r="B1126" s="8" t="s">
        <v>115</v>
      </c>
      <c r="C1126" s="8" t="s">
        <v>230</v>
      </c>
      <c r="D1126" s="8" t="s">
        <v>231</v>
      </c>
      <c r="E1126" s="8" t="s">
        <v>66</v>
      </c>
      <c r="F1126" s="8" t="s">
        <v>67</v>
      </c>
      <c r="G1126" s="8" t="s">
        <v>7</v>
      </c>
      <c r="H1126" s="8" t="s">
        <v>38</v>
      </c>
      <c r="I1126" s="9">
        <v>301.47041000000002</v>
      </c>
      <c r="J1126">
        <v>343.43838360000001</v>
      </c>
      <c r="K1126">
        <v>356.83214385000002</v>
      </c>
      <c r="L1126">
        <v>336.54233285365001</v>
      </c>
    </row>
    <row r="1127" spans="1:12" x14ac:dyDescent="0.2">
      <c r="A1127" s="8" t="s">
        <v>110</v>
      </c>
      <c r="B1127" s="8" t="s">
        <v>115</v>
      </c>
      <c r="C1127" s="8" t="s">
        <v>230</v>
      </c>
      <c r="D1127" s="8" t="s">
        <v>231</v>
      </c>
      <c r="E1127" s="8" t="s">
        <v>45</v>
      </c>
      <c r="F1127" s="8" t="s">
        <v>46</v>
      </c>
      <c r="G1127" s="8" t="s">
        <v>7</v>
      </c>
      <c r="H1127" s="8" t="s">
        <v>38</v>
      </c>
      <c r="I1127" s="9">
        <v>1233.1199999999999</v>
      </c>
      <c r="J1127">
        <v>1412.6822973599999</v>
      </c>
      <c r="K1127">
        <v>1549.13899431</v>
      </c>
      <c r="L1127">
        <v>1525.648706902</v>
      </c>
    </row>
    <row r="1128" spans="1:12" x14ac:dyDescent="0.2">
      <c r="A1128" s="8" t="s">
        <v>110</v>
      </c>
      <c r="B1128" s="8" t="s">
        <v>115</v>
      </c>
      <c r="C1128" s="8" t="s">
        <v>230</v>
      </c>
      <c r="D1128" s="8" t="s">
        <v>231</v>
      </c>
      <c r="E1128" s="8" t="s">
        <v>47</v>
      </c>
      <c r="F1128" s="8" t="s">
        <v>48</v>
      </c>
      <c r="G1128" s="8" t="s">
        <v>7</v>
      </c>
      <c r="H1128" s="8" t="s">
        <v>38</v>
      </c>
      <c r="I1128" s="9">
        <v>1.8393394999999999</v>
      </c>
      <c r="J1128">
        <v>2.4876086399999999</v>
      </c>
      <c r="K1128">
        <v>0.50217354000000003</v>
      </c>
      <c r="L1128">
        <v>0.44254859905978999</v>
      </c>
    </row>
    <row r="1129" spans="1:12" x14ac:dyDescent="0.2">
      <c r="A1129" s="8" t="s">
        <v>110</v>
      </c>
      <c r="B1129" s="8" t="s">
        <v>115</v>
      </c>
      <c r="C1129" s="8" t="s">
        <v>230</v>
      </c>
      <c r="D1129" s="8" t="s">
        <v>231</v>
      </c>
      <c r="E1129" s="8" t="s">
        <v>49</v>
      </c>
      <c r="F1129" s="8" t="s">
        <v>50</v>
      </c>
      <c r="G1129" s="8" t="s">
        <v>7</v>
      </c>
      <c r="H1129" s="8" t="s">
        <v>38</v>
      </c>
      <c r="I1129" s="9">
        <v>70284.373999999996</v>
      </c>
      <c r="J1129">
        <v>72545.894015569997</v>
      </c>
      <c r="K1129">
        <v>61559.49675274</v>
      </c>
      <c r="L1129">
        <v>56418.742492502002</v>
      </c>
    </row>
    <row r="1130" spans="1:12" x14ac:dyDescent="0.2">
      <c r="A1130" s="8" t="s">
        <v>110</v>
      </c>
      <c r="B1130" s="8" t="s">
        <v>115</v>
      </c>
      <c r="C1130" s="8" t="s">
        <v>230</v>
      </c>
      <c r="D1130" s="8" t="s">
        <v>231</v>
      </c>
      <c r="E1130" s="8" t="s">
        <v>51</v>
      </c>
      <c r="F1130" s="8" t="s">
        <v>52</v>
      </c>
      <c r="G1130" s="8" t="s">
        <v>7</v>
      </c>
      <c r="H1130" s="8" t="s">
        <v>38</v>
      </c>
      <c r="I1130" s="9">
        <v>1290.0346</v>
      </c>
      <c r="J1130">
        <v>1891.17973925</v>
      </c>
      <c r="K1130">
        <v>1926.7169781699999</v>
      </c>
      <c r="L1130">
        <v>1926.7169781699999</v>
      </c>
    </row>
    <row r="1131" spans="1:12" x14ac:dyDescent="0.2">
      <c r="A1131" s="8" t="s">
        <v>110</v>
      </c>
      <c r="B1131" s="8" t="s">
        <v>115</v>
      </c>
      <c r="C1131" s="8" t="s">
        <v>230</v>
      </c>
      <c r="D1131" s="8" t="s">
        <v>231</v>
      </c>
      <c r="E1131" s="8" t="s">
        <v>68</v>
      </c>
      <c r="F1131" s="8" t="s">
        <v>69</v>
      </c>
      <c r="G1131" s="8" t="s">
        <v>7</v>
      </c>
      <c r="H1131" s="8" t="s">
        <v>38</v>
      </c>
      <c r="I1131" s="9">
        <v>1677.4514999999999</v>
      </c>
      <c r="J1131">
        <v>0</v>
      </c>
      <c r="K1131">
        <v>0</v>
      </c>
      <c r="L1131">
        <v>0</v>
      </c>
    </row>
    <row r="1132" spans="1:12" x14ac:dyDescent="0.2">
      <c r="A1132" s="8" t="s">
        <v>110</v>
      </c>
      <c r="B1132" s="8" t="s">
        <v>115</v>
      </c>
      <c r="C1132" s="8" t="s">
        <v>230</v>
      </c>
      <c r="D1132" s="8" t="s">
        <v>231</v>
      </c>
      <c r="E1132" s="8" t="s">
        <v>53</v>
      </c>
      <c r="F1132" s="8" t="s">
        <v>54</v>
      </c>
      <c r="G1132" s="8" t="s">
        <v>7</v>
      </c>
      <c r="H1132" s="8" t="s">
        <v>38</v>
      </c>
      <c r="I1132" s="9">
        <v>860.31904999999995</v>
      </c>
      <c r="J1132">
        <v>801.79954674303997</v>
      </c>
      <c r="K1132">
        <v>904.74871918450003</v>
      </c>
      <c r="L1132">
        <v>816.00024773331995</v>
      </c>
    </row>
    <row r="1133" spans="1:12" x14ac:dyDescent="0.2">
      <c r="A1133" s="8" t="s">
        <v>110</v>
      </c>
      <c r="B1133" s="8" t="s">
        <v>115</v>
      </c>
      <c r="C1133" s="8" t="s">
        <v>230</v>
      </c>
      <c r="D1133" s="8" t="s">
        <v>231</v>
      </c>
      <c r="E1133" s="8" t="s">
        <v>70</v>
      </c>
      <c r="F1133" s="8" t="s">
        <v>71</v>
      </c>
      <c r="G1133" s="8" t="s">
        <v>7</v>
      </c>
      <c r="H1133" s="8" t="s">
        <v>38</v>
      </c>
      <c r="I1133" s="9">
        <v>6724.9847</v>
      </c>
      <c r="J1133">
        <v>6805.5234170368003</v>
      </c>
      <c r="K1133">
        <v>6443.0990930526004</v>
      </c>
      <c r="L1133">
        <v>6435.8303904940003</v>
      </c>
    </row>
    <row r="1134" spans="1:12" x14ac:dyDescent="0.2">
      <c r="A1134" s="8" t="s">
        <v>110</v>
      </c>
      <c r="B1134" s="8" t="s">
        <v>115</v>
      </c>
      <c r="C1134" s="8" t="s">
        <v>230</v>
      </c>
      <c r="D1134" s="8" t="s">
        <v>231</v>
      </c>
      <c r="E1134" s="8" t="s">
        <v>83</v>
      </c>
      <c r="F1134" s="8" t="s">
        <v>84</v>
      </c>
      <c r="G1134" s="8" t="s">
        <v>7</v>
      </c>
      <c r="H1134" s="8" t="s">
        <v>38</v>
      </c>
      <c r="I1134" s="9">
        <v>2265</v>
      </c>
      <c r="J1134">
        <v>2615.25</v>
      </c>
      <c r="K1134">
        <v>2625</v>
      </c>
      <c r="L1134">
        <v>2625</v>
      </c>
    </row>
    <row r="1135" spans="1:12" x14ac:dyDescent="0.2">
      <c r="A1135" s="8" t="s">
        <v>110</v>
      </c>
      <c r="B1135" s="8" t="s">
        <v>115</v>
      </c>
      <c r="C1135" s="8" t="s">
        <v>230</v>
      </c>
      <c r="D1135" s="8" t="s">
        <v>231</v>
      </c>
      <c r="E1135" s="8" t="s">
        <v>55</v>
      </c>
      <c r="F1135" s="8" t="s">
        <v>56</v>
      </c>
      <c r="G1135" s="8" t="s">
        <v>7</v>
      </c>
      <c r="H1135" s="8" t="s">
        <v>38</v>
      </c>
      <c r="I1135" s="9">
        <v>418.25781999999998</v>
      </c>
      <c r="J1135">
        <v>420.24442902813001</v>
      </c>
      <c r="K1135">
        <v>420.24442902813001</v>
      </c>
      <c r="L1135">
        <v>420.24442902813001</v>
      </c>
    </row>
    <row r="1136" spans="1:12" x14ac:dyDescent="0.2">
      <c r="A1136" s="8" t="s">
        <v>110</v>
      </c>
      <c r="B1136" s="8" t="s">
        <v>115</v>
      </c>
      <c r="C1136" s="8" t="s">
        <v>230</v>
      </c>
      <c r="D1136" s="8" t="s">
        <v>231</v>
      </c>
      <c r="E1136" s="8" t="s">
        <v>57</v>
      </c>
      <c r="F1136" s="8" t="s">
        <v>58</v>
      </c>
      <c r="G1136" s="8" t="s">
        <v>7</v>
      </c>
      <c r="H1136" s="8" t="s">
        <v>38</v>
      </c>
      <c r="I1136" s="9">
        <v>1168.9846</v>
      </c>
      <c r="J1136">
        <v>1173.3495587047</v>
      </c>
      <c r="K1136">
        <v>1173.3495587047</v>
      </c>
      <c r="L1136">
        <v>1173.3495587047</v>
      </c>
    </row>
    <row r="1137" spans="1:12" x14ac:dyDescent="0.2">
      <c r="A1137" s="8" t="s">
        <v>110</v>
      </c>
      <c r="B1137" s="8" t="s">
        <v>115</v>
      </c>
      <c r="C1137" s="8" t="s">
        <v>230</v>
      </c>
      <c r="D1137" s="8" t="s">
        <v>231</v>
      </c>
      <c r="E1137" s="8" t="s">
        <v>72</v>
      </c>
      <c r="F1137" s="8" t="s">
        <v>73</v>
      </c>
      <c r="G1137" s="8" t="s">
        <v>7</v>
      </c>
      <c r="H1137" s="8" t="s">
        <v>38</v>
      </c>
      <c r="I1137" s="9">
        <v>6828.8633</v>
      </c>
      <c r="J1137">
        <v>6908.0632465950002</v>
      </c>
      <c r="K1137">
        <v>6300.2274365581998</v>
      </c>
      <c r="L1137">
        <v>5998.8831783904998</v>
      </c>
    </row>
    <row r="1138" spans="1:12" x14ac:dyDescent="0.2">
      <c r="A1138" s="8" t="s">
        <v>110</v>
      </c>
      <c r="B1138" s="8" t="s">
        <v>115</v>
      </c>
      <c r="C1138" s="8" t="s">
        <v>230</v>
      </c>
      <c r="D1138" s="8" t="s">
        <v>231</v>
      </c>
      <c r="E1138" s="8" t="s">
        <v>74</v>
      </c>
      <c r="F1138" s="8" t="s">
        <v>75</v>
      </c>
      <c r="G1138" s="8" t="s">
        <v>7</v>
      </c>
      <c r="H1138" s="8" t="s">
        <v>38</v>
      </c>
      <c r="I1138" s="9">
        <v>2099.6770999999999</v>
      </c>
      <c r="J1138">
        <v>2440.5486067910001</v>
      </c>
      <c r="K1138">
        <v>2195.7617155540001</v>
      </c>
      <c r="L1138">
        <v>1808.3678518062</v>
      </c>
    </row>
    <row r="1139" spans="1:12" x14ac:dyDescent="0.2">
      <c r="A1139" s="8" t="s">
        <v>110</v>
      </c>
      <c r="B1139" s="8" t="s">
        <v>115</v>
      </c>
      <c r="C1139" s="8" t="s">
        <v>230</v>
      </c>
      <c r="D1139" s="8" t="s">
        <v>231</v>
      </c>
      <c r="E1139" s="8" t="s">
        <v>59</v>
      </c>
      <c r="F1139" s="8" t="s">
        <v>60</v>
      </c>
      <c r="G1139" s="8" t="s">
        <v>7</v>
      </c>
      <c r="H1139" s="8" t="s">
        <v>38</v>
      </c>
      <c r="I1139" s="9">
        <v>1027.2227</v>
      </c>
      <c r="J1139">
        <v>1045.5109645534001</v>
      </c>
      <c r="K1139">
        <v>975.68211029958002</v>
      </c>
      <c r="L1139">
        <v>883.20610635676996</v>
      </c>
    </row>
    <row r="1140" spans="1:12" x14ac:dyDescent="0.2">
      <c r="A1140" s="8" t="s">
        <v>110</v>
      </c>
      <c r="B1140" s="8" t="s">
        <v>115</v>
      </c>
      <c r="C1140" s="8" t="s">
        <v>230</v>
      </c>
      <c r="D1140" s="8" t="s">
        <v>231</v>
      </c>
      <c r="E1140" s="8" t="s">
        <v>76</v>
      </c>
      <c r="F1140" s="8" t="s">
        <v>77</v>
      </c>
      <c r="G1140" s="8" t="s">
        <v>7</v>
      </c>
      <c r="H1140" s="8" t="s">
        <v>38</v>
      </c>
      <c r="I1140" s="9">
        <v>1430.9429</v>
      </c>
      <c r="J1140">
        <v>1415.5428572221999</v>
      </c>
      <c r="K1140">
        <v>1019.0190476796</v>
      </c>
      <c r="L1140">
        <v>1019.0190476796</v>
      </c>
    </row>
    <row r="1141" spans="1:12" x14ac:dyDescent="0.2">
      <c r="A1141" s="8" t="s">
        <v>110</v>
      </c>
      <c r="B1141" s="8" t="s">
        <v>115</v>
      </c>
      <c r="C1141" s="8" t="s">
        <v>230</v>
      </c>
      <c r="D1141" s="8" t="s">
        <v>231</v>
      </c>
      <c r="E1141" s="8" t="s">
        <v>78</v>
      </c>
      <c r="F1141" s="8" t="s">
        <v>79</v>
      </c>
      <c r="G1141" s="8" t="s">
        <v>7</v>
      </c>
      <c r="H1141" s="8" t="s">
        <v>38</v>
      </c>
      <c r="I1141" s="9">
        <v>493.27134000000001</v>
      </c>
      <c r="J1141">
        <v>622.44274397142999</v>
      </c>
      <c r="K1141">
        <v>886.59983880000004</v>
      </c>
      <c r="L1141">
        <v>912.08840559428995</v>
      </c>
    </row>
    <row r="1142" spans="1:12" x14ac:dyDescent="0.2">
      <c r="A1142" s="8" t="s">
        <v>110</v>
      </c>
      <c r="B1142" s="8" t="s">
        <v>115</v>
      </c>
      <c r="C1142" s="8" t="s">
        <v>230</v>
      </c>
      <c r="D1142" s="8" t="s">
        <v>231</v>
      </c>
      <c r="E1142" s="8" t="s">
        <v>92</v>
      </c>
      <c r="F1142" s="8" t="s">
        <v>93</v>
      </c>
      <c r="G1142" s="8" t="s">
        <v>7</v>
      </c>
      <c r="H1142" s="8" t="s">
        <v>38</v>
      </c>
      <c r="I1142" s="9">
        <v>1736.7098000000001</v>
      </c>
      <c r="J1142">
        <v>1901.7197216164</v>
      </c>
      <c r="K1142">
        <v>1772.7693228062999</v>
      </c>
      <c r="L1142">
        <v>1761.5680993415001</v>
      </c>
    </row>
    <row r="1143" spans="1:12" x14ac:dyDescent="0.2">
      <c r="A1143" s="8" t="s">
        <v>110</v>
      </c>
      <c r="B1143" s="8" t="s">
        <v>115</v>
      </c>
      <c r="C1143" s="8" t="s">
        <v>232</v>
      </c>
      <c r="D1143" s="8" t="s">
        <v>233</v>
      </c>
      <c r="E1143" s="8" t="s">
        <v>55</v>
      </c>
      <c r="F1143" s="8" t="s">
        <v>56</v>
      </c>
      <c r="G1143" s="8" t="s">
        <v>7</v>
      </c>
      <c r="H1143" s="8" t="s">
        <v>38</v>
      </c>
      <c r="I1143" s="9">
        <v>2.3874E-3</v>
      </c>
      <c r="J1143">
        <v>2.3828040233212998E-3</v>
      </c>
      <c r="K1143">
        <v>2.3782621343687999E-3</v>
      </c>
      <c r="L1143">
        <v>2.3737788567984E-3</v>
      </c>
    </row>
    <row r="1144" spans="1:12" x14ac:dyDescent="0.2">
      <c r="A1144" s="8" t="s">
        <v>110</v>
      </c>
      <c r="B1144" s="8" t="s">
        <v>115</v>
      </c>
      <c r="C1144" s="8" t="s">
        <v>232</v>
      </c>
      <c r="D1144" s="8" t="s">
        <v>233</v>
      </c>
      <c r="E1144" s="8" t="s">
        <v>57</v>
      </c>
      <c r="F1144" s="8" t="s">
        <v>58</v>
      </c>
      <c r="G1144" s="8" t="s">
        <v>7</v>
      </c>
      <c r="H1144" s="8" t="s">
        <v>38</v>
      </c>
      <c r="I1144" s="9"/>
    </row>
    <row r="1145" spans="1:12" x14ac:dyDescent="0.2">
      <c r="A1145" s="8" t="s">
        <v>110</v>
      </c>
      <c r="B1145" s="8" t="s">
        <v>115</v>
      </c>
      <c r="C1145" s="8" t="s">
        <v>232</v>
      </c>
      <c r="D1145" s="8" t="s">
        <v>233</v>
      </c>
      <c r="E1145" s="8" t="s">
        <v>59</v>
      </c>
      <c r="F1145" s="8" t="s">
        <v>60</v>
      </c>
      <c r="G1145" s="8" t="s">
        <v>7</v>
      </c>
      <c r="H1145" s="8" t="s">
        <v>38</v>
      </c>
      <c r="I1145" s="9">
        <v>0.1186628</v>
      </c>
      <c r="J1145">
        <v>0.11888720915615</v>
      </c>
      <c r="K1145">
        <v>0.12099403433927</v>
      </c>
      <c r="L1145">
        <v>0.12125748433927</v>
      </c>
    </row>
    <row r="1146" spans="1:12" x14ac:dyDescent="0.2">
      <c r="A1146" s="8" t="s">
        <v>110</v>
      </c>
      <c r="B1146" s="8" t="s">
        <v>115</v>
      </c>
      <c r="C1146" s="8" t="s">
        <v>232</v>
      </c>
      <c r="D1146" s="8" t="s">
        <v>233</v>
      </c>
      <c r="E1146" s="8" t="s">
        <v>92</v>
      </c>
      <c r="F1146" s="8" t="s">
        <v>93</v>
      </c>
      <c r="G1146" s="8" t="s">
        <v>7</v>
      </c>
      <c r="H1146" s="8" t="s">
        <v>38</v>
      </c>
      <c r="I1146" s="9">
        <v>1.9645745999999999</v>
      </c>
      <c r="J1146">
        <v>1.9762575361279999</v>
      </c>
      <c r="K1146">
        <v>1.9880099732165999</v>
      </c>
      <c r="L1146">
        <v>2.0016451898519998</v>
      </c>
    </row>
    <row r="1147" spans="1:12" x14ac:dyDescent="0.2">
      <c r="A1147" s="8" t="s">
        <v>32</v>
      </c>
      <c r="B1147" s="8" t="s">
        <v>105</v>
      </c>
      <c r="C1147" s="8" t="s">
        <v>234</v>
      </c>
      <c r="D1147" s="8" t="s">
        <v>235</v>
      </c>
      <c r="E1147" s="8" t="s">
        <v>59</v>
      </c>
      <c r="F1147" s="8" t="s">
        <v>60</v>
      </c>
      <c r="G1147" s="8" t="s">
        <v>7</v>
      </c>
      <c r="H1147" s="8" t="s">
        <v>38</v>
      </c>
      <c r="I1147" s="9">
        <v>0.17921860000000001</v>
      </c>
      <c r="J1147">
        <v>0.18048331175758001</v>
      </c>
      <c r="K1147">
        <v>0.18180378247602</v>
      </c>
      <c r="L1147">
        <v>0.18315462148683001</v>
      </c>
    </row>
    <row r="1148" spans="1:12" x14ac:dyDescent="0.2">
      <c r="A1148" s="8" t="s">
        <v>32</v>
      </c>
      <c r="B1148" s="8" t="s">
        <v>125</v>
      </c>
      <c r="C1148" s="8" t="s">
        <v>236</v>
      </c>
      <c r="D1148" s="8" t="s">
        <v>237</v>
      </c>
      <c r="E1148" s="8" t="s">
        <v>36</v>
      </c>
      <c r="F1148" s="8" t="s">
        <v>37</v>
      </c>
      <c r="G1148" s="8" t="s">
        <v>7</v>
      </c>
      <c r="H1148" s="8" t="s">
        <v>38</v>
      </c>
      <c r="I1148" s="9">
        <v>1304.6614</v>
      </c>
      <c r="J1148">
        <v>1396.4461704600001</v>
      </c>
      <c r="K1148">
        <v>1458.69178311</v>
      </c>
      <c r="L1148">
        <v>1418.3121613619001</v>
      </c>
    </row>
    <row r="1149" spans="1:12" x14ac:dyDescent="0.2">
      <c r="A1149" s="8" t="s">
        <v>32</v>
      </c>
      <c r="B1149" s="8" t="s">
        <v>125</v>
      </c>
      <c r="C1149" s="8" t="s">
        <v>236</v>
      </c>
      <c r="D1149" s="8" t="s">
        <v>237</v>
      </c>
      <c r="E1149" s="8" t="s">
        <v>64</v>
      </c>
      <c r="F1149" s="8" t="s">
        <v>65</v>
      </c>
      <c r="G1149" s="8" t="s">
        <v>7</v>
      </c>
      <c r="H1149" s="8" t="s">
        <v>38</v>
      </c>
      <c r="I1149" s="9">
        <v>252.69215</v>
      </c>
      <c r="J1149">
        <v>284.70136022000003</v>
      </c>
      <c r="K1149">
        <v>288.52879438000002</v>
      </c>
      <c r="L1149">
        <v>261.64898407748001</v>
      </c>
    </row>
    <row r="1150" spans="1:12" x14ac:dyDescent="0.2">
      <c r="A1150" s="8" t="s">
        <v>32</v>
      </c>
      <c r="B1150" s="8" t="s">
        <v>125</v>
      </c>
      <c r="C1150" s="8" t="s">
        <v>236</v>
      </c>
      <c r="D1150" s="8" t="s">
        <v>237</v>
      </c>
      <c r="E1150" s="8" t="s">
        <v>39</v>
      </c>
      <c r="F1150" s="8" t="s">
        <v>40</v>
      </c>
      <c r="G1150" s="8" t="s">
        <v>7</v>
      </c>
      <c r="H1150" s="8" t="s">
        <v>38</v>
      </c>
      <c r="I1150" s="9">
        <v>478.81646999999998</v>
      </c>
      <c r="J1150">
        <v>455.16196554999999</v>
      </c>
      <c r="K1150">
        <v>460.37215925999999</v>
      </c>
      <c r="L1150">
        <v>474.09268105843</v>
      </c>
    </row>
    <row r="1151" spans="1:12" x14ac:dyDescent="0.2">
      <c r="A1151" s="8" t="s">
        <v>32</v>
      </c>
      <c r="B1151" s="8" t="s">
        <v>125</v>
      </c>
      <c r="C1151" s="8" t="s">
        <v>236</v>
      </c>
      <c r="D1151" s="8" t="s">
        <v>237</v>
      </c>
      <c r="E1151" s="8" t="s">
        <v>41</v>
      </c>
      <c r="F1151" s="8" t="s">
        <v>42</v>
      </c>
      <c r="G1151" s="8" t="s">
        <v>7</v>
      </c>
      <c r="H1151" s="8" t="s">
        <v>38</v>
      </c>
      <c r="I1151" s="9">
        <v>0.64721090000000003</v>
      </c>
      <c r="J1151">
        <v>5.4306180499999996</v>
      </c>
      <c r="K1151">
        <v>6.0972840499999998</v>
      </c>
      <c r="L1151">
        <v>6.8719103057717001</v>
      </c>
    </row>
    <row r="1152" spans="1:12" x14ac:dyDescent="0.2">
      <c r="A1152" s="8" t="s">
        <v>32</v>
      </c>
      <c r="B1152" s="8" t="s">
        <v>125</v>
      </c>
      <c r="C1152" s="8" t="s">
        <v>236</v>
      </c>
      <c r="D1152" s="8" t="s">
        <v>237</v>
      </c>
      <c r="E1152" s="8" t="s">
        <v>43</v>
      </c>
      <c r="F1152" s="8" t="s">
        <v>44</v>
      </c>
      <c r="G1152" s="8" t="s">
        <v>7</v>
      </c>
      <c r="H1152" s="8" t="s">
        <v>38</v>
      </c>
      <c r="I1152" s="9">
        <v>168.80994999999999</v>
      </c>
      <c r="J1152">
        <v>171.36386292</v>
      </c>
      <c r="K1152">
        <v>182.11480907999999</v>
      </c>
      <c r="L1152">
        <v>187.85356464506</v>
      </c>
    </row>
    <row r="1153" spans="1:12" x14ac:dyDescent="0.2">
      <c r="A1153" s="8" t="s">
        <v>32</v>
      </c>
      <c r="B1153" s="8" t="s">
        <v>125</v>
      </c>
      <c r="C1153" s="8" t="s">
        <v>236</v>
      </c>
      <c r="D1153" s="8" t="s">
        <v>237</v>
      </c>
      <c r="E1153" s="8" t="s">
        <v>49</v>
      </c>
      <c r="F1153" s="8" t="s">
        <v>50</v>
      </c>
      <c r="G1153" s="8" t="s">
        <v>7</v>
      </c>
      <c r="H1153" s="8" t="s">
        <v>38</v>
      </c>
      <c r="I1153" s="9">
        <v>170.85982999999999</v>
      </c>
      <c r="J1153">
        <v>148.76352704999999</v>
      </c>
      <c r="K1153">
        <v>148.99164415000001</v>
      </c>
      <c r="L1153">
        <v>153.68663096262</v>
      </c>
    </row>
    <row r="1154" spans="1:12" x14ac:dyDescent="0.2">
      <c r="A1154" s="8" t="s">
        <v>32</v>
      </c>
      <c r="B1154" s="8" t="s">
        <v>125</v>
      </c>
      <c r="C1154" s="8" t="s">
        <v>236</v>
      </c>
      <c r="D1154" s="8" t="s">
        <v>237</v>
      </c>
      <c r="E1154" s="8" t="s">
        <v>51</v>
      </c>
      <c r="F1154" s="8" t="s">
        <v>52</v>
      </c>
      <c r="G1154" s="8" t="s">
        <v>7</v>
      </c>
      <c r="H1154" s="8" t="s">
        <v>38</v>
      </c>
      <c r="I1154" s="9">
        <v>7.9294909000000002</v>
      </c>
      <c r="J1154">
        <v>6.6824009200000001</v>
      </c>
      <c r="K1154">
        <v>6.7404771800000001</v>
      </c>
      <c r="L1154">
        <v>6.9528813832785001</v>
      </c>
    </row>
    <row r="1155" spans="1:12" x14ac:dyDescent="0.2">
      <c r="A1155" s="8" t="s">
        <v>32</v>
      </c>
      <c r="B1155" s="8" t="s">
        <v>125</v>
      </c>
      <c r="C1155" s="8" t="s">
        <v>236</v>
      </c>
      <c r="D1155" s="8" t="s">
        <v>237</v>
      </c>
      <c r="E1155" s="8" t="s">
        <v>53</v>
      </c>
      <c r="F1155" s="8" t="s">
        <v>54</v>
      </c>
      <c r="G1155" s="8" t="s">
        <v>7</v>
      </c>
      <c r="H1155" s="8" t="s">
        <v>38</v>
      </c>
      <c r="I1155" s="9">
        <v>2924.3049000000001</v>
      </c>
      <c r="J1155">
        <v>2666.9824549284999</v>
      </c>
      <c r="K1155">
        <v>2794.5897562585001</v>
      </c>
      <c r="L1155">
        <v>2373.8379837962998</v>
      </c>
    </row>
    <row r="1156" spans="1:12" x14ac:dyDescent="0.2">
      <c r="A1156" s="8" t="s">
        <v>32</v>
      </c>
      <c r="B1156" s="8" t="s">
        <v>125</v>
      </c>
      <c r="C1156" s="8" t="s">
        <v>236</v>
      </c>
      <c r="D1156" s="8" t="s">
        <v>237</v>
      </c>
      <c r="E1156" s="8" t="s">
        <v>70</v>
      </c>
      <c r="F1156" s="8" t="s">
        <v>71</v>
      </c>
      <c r="G1156" s="8" t="s">
        <v>7</v>
      </c>
      <c r="H1156" s="8" t="s">
        <v>38</v>
      </c>
      <c r="I1156" s="9">
        <v>207.02952999999999</v>
      </c>
      <c r="J1156">
        <v>214.84196635000001</v>
      </c>
      <c r="K1156">
        <v>222.65440149</v>
      </c>
      <c r="L1156">
        <v>222.40321668057001</v>
      </c>
    </row>
    <row r="1157" spans="1:12" x14ac:dyDescent="0.2">
      <c r="A1157" s="8" t="s">
        <v>32</v>
      </c>
      <c r="B1157" s="8" t="s">
        <v>125</v>
      </c>
      <c r="C1157" s="8" t="s">
        <v>236</v>
      </c>
      <c r="D1157" s="8" t="s">
        <v>237</v>
      </c>
      <c r="E1157" s="8" t="s">
        <v>55</v>
      </c>
      <c r="F1157" s="8" t="s">
        <v>56</v>
      </c>
      <c r="G1157" s="8" t="s">
        <v>7</v>
      </c>
      <c r="H1157" s="8" t="s">
        <v>38</v>
      </c>
      <c r="I1157" s="9">
        <v>8.5504200000000002E-2</v>
      </c>
      <c r="J1157">
        <v>9.5766927988145997E-2</v>
      </c>
      <c r="K1157">
        <v>9.5766927988145997E-2</v>
      </c>
      <c r="L1157">
        <v>9.5766927988145997E-2</v>
      </c>
    </row>
    <row r="1158" spans="1:12" x14ac:dyDescent="0.2">
      <c r="A1158" s="8" t="s">
        <v>32</v>
      </c>
      <c r="B1158" s="8" t="s">
        <v>125</v>
      </c>
      <c r="C1158" s="8" t="s">
        <v>236</v>
      </c>
      <c r="D1158" s="8" t="s">
        <v>237</v>
      </c>
      <c r="E1158" s="8" t="s">
        <v>57</v>
      </c>
      <c r="F1158" s="8" t="s">
        <v>58</v>
      </c>
      <c r="G1158" s="8" t="s">
        <v>7</v>
      </c>
      <c r="H1158" s="8" t="s">
        <v>38</v>
      </c>
      <c r="I1158" s="9"/>
    </row>
    <row r="1159" spans="1:12" x14ac:dyDescent="0.2">
      <c r="A1159" s="8" t="s">
        <v>32</v>
      </c>
      <c r="B1159" s="8" t="s">
        <v>125</v>
      </c>
      <c r="C1159" s="8" t="s">
        <v>236</v>
      </c>
      <c r="D1159" s="8" t="s">
        <v>237</v>
      </c>
      <c r="E1159" s="8" t="s">
        <v>74</v>
      </c>
      <c r="F1159" s="8" t="s">
        <v>75</v>
      </c>
      <c r="G1159" s="8" t="s">
        <v>7</v>
      </c>
      <c r="H1159" s="8" t="s">
        <v>38</v>
      </c>
      <c r="I1159" s="9">
        <v>1.52</v>
      </c>
      <c r="J1159">
        <v>1.76</v>
      </c>
      <c r="K1159">
        <v>1.72</v>
      </c>
      <c r="L1159">
        <v>1.72</v>
      </c>
    </row>
    <row r="1160" spans="1:12" x14ac:dyDescent="0.2">
      <c r="A1160" s="8" t="s">
        <v>32</v>
      </c>
      <c r="B1160" s="8" t="s">
        <v>125</v>
      </c>
      <c r="C1160" s="8" t="s">
        <v>236</v>
      </c>
      <c r="D1160" s="8" t="s">
        <v>237</v>
      </c>
      <c r="E1160" s="8" t="s">
        <v>59</v>
      </c>
      <c r="F1160" s="8" t="s">
        <v>60</v>
      </c>
      <c r="G1160" s="8" t="s">
        <v>7</v>
      </c>
      <c r="H1160" s="8" t="s">
        <v>38</v>
      </c>
      <c r="I1160" s="9">
        <v>11.070731</v>
      </c>
      <c r="J1160">
        <v>12.175891993494</v>
      </c>
      <c r="K1160">
        <v>12.386031557893</v>
      </c>
      <c r="L1160">
        <v>12.666983287522999</v>
      </c>
    </row>
    <row r="1161" spans="1:12" x14ac:dyDescent="0.2">
      <c r="A1161" s="8" t="s">
        <v>32</v>
      </c>
      <c r="B1161" s="8" t="s">
        <v>125</v>
      </c>
      <c r="C1161" s="8" t="s">
        <v>236</v>
      </c>
      <c r="D1161" s="8" t="s">
        <v>237</v>
      </c>
      <c r="E1161" s="8" t="s">
        <v>92</v>
      </c>
      <c r="F1161" s="8" t="s">
        <v>93</v>
      </c>
      <c r="G1161" s="8" t="s">
        <v>7</v>
      </c>
      <c r="H1161" s="8" t="s">
        <v>38</v>
      </c>
      <c r="I1161" s="9">
        <v>0.31106669999999997</v>
      </c>
      <c r="J1161">
        <v>0.31842731106495997</v>
      </c>
      <c r="K1161">
        <v>0.32597069998634998</v>
      </c>
      <c r="L1161">
        <v>0.33336948792806997</v>
      </c>
    </row>
    <row r="1162" spans="1:12" x14ac:dyDescent="0.2">
      <c r="A1162" s="8" t="s">
        <v>110</v>
      </c>
      <c r="B1162" s="8" t="s">
        <v>115</v>
      </c>
      <c r="C1162" s="8" t="s">
        <v>238</v>
      </c>
      <c r="D1162" s="8" t="s">
        <v>239</v>
      </c>
      <c r="E1162" s="8" t="s">
        <v>36</v>
      </c>
      <c r="F1162" s="8" t="s">
        <v>37</v>
      </c>
      <c r="G1162" s="8" t="s">
        <v>7</v>
      </c>
      <c r="H1162" s="8" t="s">
        <v>38</v>
      </c>
      <c r="I1162" s="9">
        <v>62712.891000000003</v>
      </c>
      <c r="J1162">
        <v>67847.944096000996</v>
      </c>
      <c r="K1162">
        <v>67887.782372000001</v>
      </c>
      <c r="L1162">
        <v>54076.226112197997</v>
      </c>
    </row>
    <row r="1163" spans="1:12" x14ac:dyDescent="0.2">
      <c r="A1163" s="8" t="s">
        <v>110</v>
      </c>
      <c r="B1163" s="8" t="s">
        <v>115</v>
      </c>
      <c r="C1163" s="8" t="s">
        <v>238</v>
      </c>
      <c r="D1163" s="8" t="s">
        <v>239</v>
      </c>
      <c r="E1163" s="8" t="s">
        <v>64</v>
      </c>
      <c r="F1163" s="8" t="s">
        <v>65</v>
      </c>
      <c r="G1163" s="8" t="s">
        <v>7</v>
      </c>
      <c r="H1163" s="8" t="s">
        <v>38</v>
      </c>
      <c r="I1163" s="9">
        <v>23707.315999999999</v>
      </c>
      <c r="J1163">
        <v>22199.443488000001</v>
      </c>
      <c r="K1163">
        <v>22441.031589999999</v>
      </c>
      <c r="L1163">
        <v>21575.567446063</v>
      </c>
    </row>
    <row r="1164" spans="1:12" x14ac:dyDescent="0.2">
      <c r="A1164" s="8" t="s">
        <v>110</v>
      </c>
      <c r="B1164" s="8" t="s">
        <v>115</v>
      </c>
      <c r="C1164" s="8" t="s">
        <v>238</v>
      </c>
      <c r="D1164" s="8" t="s">
        <v>239</v>
      </c>
      <c r="E1164" s="8" t="s">
        <v>39</v>
      </c>
      <c r="F1164" s="8" t="s">
        <v>40</v>
      </c>
      <c r="G1164" s="8" t="s">
        <v>7</v>
      </c>
      <c r="H1164" s="8" t="s">
        <v>38</v>
      </c>
      <c r="I1164" s="9">
        <v>32218.492999999999</v>
      </c>
      <c r="J1164">
        <v>32629.075917999999</v>
      </c>
      <c r="K1164">
        <v>30991.535358000001</v>
      </c>
      <c r="L1164">
        <v>31679.476302808998</v>
      </c>
    </row>
    <row r="1165" spans="1:12" x14ac:dyDescent="0.2">
      <c r="A1165" s="8" t="s">
        <v>110</v>
      </c>
      <c r="B1165" s="8" t="s">
        <v>115</v>
      </c>
      <c r="C1165" s="8" t="s">
        <v>238</v>
      </c>
      <c r="D1165" s="8" t="s">
        <v>239</v>
      </c>
      <c r="E1165" s="8" t="s">
        <v>41</v>
      </c>
      <c r="F1165" s="8" t="s">
        <v>42</v>
      </c>
      <c r="G1165" s="8" t="s">
        <v>7</v>
      </c>
      <c r="H1165" s="8" t="s">
        <v>38</v>
      </c>
      <c r="I1165" s="9">
        <v>1100.6765</v>
      </c>
      <c r="J1165">
        <v>1057.6334999999999</v>
      </c>
      <c r="K1165">
        <v>2066.0695000000001</v>
      </c>
      <c r="L1165">
        <v>2396.5183939076001</v>
      </c>
    </row>
    <row r="1166" spans="1:12" x14ac:dyDescent="0.2">
      <c r="A1166" s="8" t="s">
        <v>110</v>
      </c>
      <c r="B1166" s="8" t="s">
        <v>115</v>
      </c>
      <c r="C1166" s="8" t="s">
        <v>238</v>
      </c>
      <c r="D1166" s="8" t="s">
        <v>239</v>
      </c>
      <c r="E1166" s="8" t="s">
        <v>43</v>
      </c>
      <c r="F1166" s="8" t="s">
        <v>44</v>
      </c>
      <c r="G1166" s="8" t="s">
        <v>7</v>
      </c>
      <c r="H1166" s="8" t="s">
        <v>38</v>
      </c>
      <c r="I1166" s="9">
        <v>90053.69</v>
      </c>
      <c r="J1166">
        <v>99642.033150000003</v>
      </c>
      <c r="K1166">
        <v>100915.10917</v>
      </c>
      <c r="L1166">
        <v>99677.874704347007</v>
      </c>
    </row>
    <row r="1167" spans="1:12" x14ac:dyDescent="0.2">
      <c r="A1167" s="8" t="s">
        <v>110</v>
      </c>
      <c r="B1167" s="8" t="s">
        <v>115</v>
      </c>
      <c r="C1167" s="8" t="s">
        <v>238</v>
      </c>
      <c r="D1167" s="8" t="s">
        <v>239</v>
      </c>
      <c r="E1167" s="8" t="s">
        <v>66</v>
      </c>
      <c r="F1167" s="8" t="s">
        <v>67</v>
      </c>
      <c r="G1167" s="8" t="s">
        <v>7</v>
      </c>
      <c r="H1167" s="8" t="s">
        <v>38</v>
      </c>
      <c r="I1167" s="9">
        <v>1404.0908999999999</v>
      </c>
      <c r="J1167">
        <v>1633.4270260000001</v>
      </c>
      <c r="K1167">
        <v>1744.0445999999999</v>
      </c>
      <c r="L1167">
        <v>1742.530268983</v>
      </c>
    </row>
    <row r="1168" spans="1:12" x14ac:dyDescent="0.2">
      <c r="A1168" s="8" t="s">
        <v>110</v>
      </c>
      <c r="B1168" s="8" t="s">
        <v>115</v>
      </c>
      <c r="C1168" s="8" t="s">
        <v>238</v>
      </c>
      <c r="D1168" s="8" t="s">
        <v>239</v>
      </c>
      <c r="E1168" s="8" t="s">
        <v>45</v>
      </c>
      <c r="F1168" s="8" t="s">
        <v>46</v>
      </c>
      <c r="G1168" s="8" t="s">
        <v>7</v>
      </c>
      <c r="H1168" s="8" t="s">
        <v>38</v>
      </c>
      <c r="I1168" s="9">
        <v>1663.3778</v>
      </c>
      <c r="J1168">
        <v>1641.4631999999999</v>
      </c>
      <c r="K1168">
        <v>2420.4303</v>
      </c>
      <c r="L1168">
        <v>2429.6890532099001</v>
      </c>
    </row>
    <row r="1169" spans="1:12" x14ac:dyDescent="0.2">
      <c r="A1169" s="8" t="s">
        <v>110</v>
      </c>
      <c r="B1169" s="8" t="s">
        <v>115</v>
      </c>
      <c r="C1169" s="8" t="s">
        <v>238</v>
      </c>
      <c r="D1169" s="8" t="s">
        <v>239</v>
      </c>
      <c r="E1169" s="8" t="s">
        <v>49</v>
      </c>
      <c r="F1169" s="8" t="s">
        <v>50</v>
      </c>
      <c r="G1169" s="8" t="s">
        <v>7</v>
      </c>
      <c r="H1169" s="8" t="s">
        <v>38</v>
      </c>
      <c r="I1169" s="9">
        <v>78389.923999999999</v>
      </c>
      <c r="J1169">
        <v>82283.730135000005</v>
      </c>
      <c r="K1169">
        <v>71549.235847000004</v>
      </c>
      <c r="L1169">
        <v>66977.495698928993</v>
      </c>
    </row>
    <row r="1170" spans="1:12" x14ac:dyDescent="0.2">
      <c r="A1170" s="8" t="s">
        <v>110</v>
      </c>
      <c r="B1170" s="8" t="s">
        <v>115</v>
      </c>
      <c r="C1170" s="8" t="s">
        <v>238</v>
      </c>
      <c r="D1170" s="8" t="s">
        <v>239</v>
      </c>
      <c r="E1170" s="8" t="s">
        <v>51</v>
      </c>
      <c r="F1170" s="8" t="s">
        <v>52</v>
      </c>
      <c r="G1170" s="8" t="s">
        <v>7</v>
      </c>
      <c r="H1170" s="8" t="s">
        <v>38</v>
      </c>
      <c r="I1170" s="9">
        <v>9779.6205000000009</v>
      </c>
      <c r="J1170">
        <v>10306.432785999999</v>
      </c>
      <c r="K1170">
        <v>9405.7122500000005</v>
      </c>
      <c r="L1170">
        <v>9223.3018510607999</v>
      </c>
    </row>
    <row r="1171" spans="1:12" x14ac:dyDescent="0.2">
      <c r="A1171" s="8" t="s">
        <v>110</v>
      </c>
      <c r="B1171" s="8" t="s">
        <v>115</v>
      </c>
      <c r="C1171" s="8" t="s">
        <v>238</v>
      </c>
      <c r="D1171" s="8" t="s">
        <v>239</v>
      </c>
      <c r="E1171" s="8" t="s">
        <v>68</v>
      </c>
      <c r="F1171" s="8" t="s">
        <v>69</v>
      </c>
      <c r="G1171" s="8" t="s">
        <v>7</v>
      </c>
      <c r="H1171" s="8" t="s">
        <v>38</v>
      </c>
      <c r="I1171" s="9">
        <v>400.07436000000001</v>
      </c>
      <c r="J1171">
        <v>356.20225877027002</v>
      </c>
      <c r="K1171">
        <v>258.19336413904</v>
      </c>
      <c r="L1171">
        <v>297.35576191197998</v>
      </c>
    </row>
    <row r="1172" spans="1:12" x14ac:dyDescent="0.2">
      <c r="A1172" s="8" t="s">
        <v>110</v>
      </c>
      <c r="B1172" s="8" t="s">
        <v>115</v>
      </c>
      <c r="C1172" s="8" t="s">
        <v>238</v>
      </c>
      <c r="D1172" s="8" t="s">
        <v>239</v>
      </c>
      <c r="E1172" s="8" t="s">
        <v>53</v>
      </c>
      <c r="F1172" s="8" t="s">
        <v>54</v>
      </c>
      <c r="G1172" s="8" t="s">
        <v>7</v>
      </c>
      <c r="H1172" s="8" t="s">
        <v>38</v>
      </c>
      <c r="I1172" s="9">
        <v>3549.9436000000001</v>
      </c>
      <c r="J1172">
        <v>3844.3212019402999</v>
      </c>
      <c r="K1172">
        <v>2344.9271898238999</v>
      </c>
      <c r="L1172">
        <v>2446.8811899492998</v>
      </c>
    </row>
    <row r="1173" spans="1:12" x14ac:dyDescent="0.2">
      <c r="A1173" s="8" t="s">
        <v>110</v>
      </c>
      <c r="B1173" s="8" t="s">
        <v>115</v>
      </c>
      <c r="C1173" s="8" t="s">
        <v>238</v>
      </c>
      <c r="D1173" s="8" t="s">
        <v>239</v>
      </c>
      <c r="E1173" s="8" t="s">
        <v>70</v>
      </c>
      <c r="F1173" s="8" t="s">
        <v>71</v>
      </c>
      <c r="G1173" s="8" t="s">
        <v>7</v>
      </c>
      <c r="H1173" s="8" t="s">
        <v>38</v>
      </c>
      <c r="I1173" s="9">
        <v>3524.2366999999999</v>
      </c>
      <c r="J1173">
        <v>3740.5971174757001</v>
      </c>
      <c r="K1173">
        <v>3485.2166526392002</v>
      </c>
      <c r="L1173">
        <v>3481.2848485749</v>
      </c>
    </row>
    <row r="1174" spans="1:12" x14ac:dyDescent="0.2">
      <c r="A1174" s="8" t="s">
        <v>110</v>
      </c>
      <c r="B1174" s="8" t="s">
        <v>115</v>
      </c>
      <c r="C1174" s="8" t="s">
        <v>238</v>
      </c>
      <c r="D1174" s="8" t="s">
        <v>239</v>
      </c>
      <c r="E1174" s="8" t="s">
        <v>83</v>
      </c>
      <c r="F1174" s="8" t="s">
        <v>84</v>
      </c>
      <c r="G1174" s="8" t="s">
        <v>7</v>
      </c>
      <c r="H1174" s="8" t="s">
        <v>38</v>
      </c>
      <c r="I1174" s="9">
        <v>1125</v>
      </c>
      <c r="J1174">
        <v>1125</v>
      </c>
      <c r="K1174">
        <v>1050</v>
      </c>
      <c r="L1174">
        <v>1050</v>
      </c>
    </row>
    <row r="1175" spans="1:12" x14ac:dyDescent="0.2">
      <c r="A1175" s="8" t="s">
        <v>110</v>
      </c>
      <c r="B1175" s="8" t="s">
        <v>115</v>
      </c>
      <c r="C1175" s="8" t="s">
        <v>238</v>
      </c>
      <c r="D1175" s="8" t="s">
        <v>239</v>
      </c>
      <c r="E1175" s="8" t="s">
        <v>55</v>
      </c>
      <c r="F1175" s="8" t="s">
        <v>56</v>
      </c>
      <c r="G1175" s="8" t="s">
        <v>7</v>
      </c>
      <c r="H1175" s="8" t="s">
        <v>38</v>
      </c>
      <c r="I1175" s="9">
        <v>258.49838</v>
      </c>
      <c r="J1175">
        <v>289.40509953705998</v>
      </c>
      <c r="K1175">
        <v>289.40509953705998</v>
      </c>
      <c r="L1175">
        <v>289.40509953705998</v>
      </c>
    </row>
    <row r="1176" spans="1:12" x14ac:dyDescent="0.2">
      <c r="A1176" s="8" t="s">
        <v>110</v>
      </c>
      <c r="B1176" s="8" t="s">
        <v>115</v>
      </c>
      <c r="C1176" s="8" t="s">
        <v>238</v>
      </c>
      <c r="D1176" s="8" t="s">
        <v>239</v>
      </c>
      <c r="E1176" s="8" t="s">
        <v>57</v>
      </c>
      <c r="F1176" s="8" t="s">
        <v>58</v>
      </c>
      <c r="G1176" s="8" t="s">
        <v>7</v>
      </c>
      <c r="H1176" s="8" t="s">
        <v>38</v>
      </c>
      <c r="I1176" s="9">
        <v>393.71559000000002</v>
      </c>
      <c r="J1176">
        <v>440.78921506721002</v>
      </c>
      <c r="K1176">
        <v>440.78921506721002</v>
      </c>
      <c r="L1176">
        <v>440.78921506721002</v>
      </c>
    </row>
    <row r="1177" spans="1:12" x14ac:dyDescent="0.2">
      <c r="A1177" s="8" t="s">
        <v>110</v>
      </c>
      <c r="B1177" s="8" t="s">
        <v>115</v>
      </c>
      <c r="C1177" s="8" t="s">
        <v>238</v>
      </c>
      <c r="D1177" s="8" t="s">
        <v>239</v>
      </c>
      <c r="E1177" s="8" t="s">
        <v>72</v>
      </c>
      <c r="F1177" s="8" t="s">
        <v>73</v>
      </c>
      <c r="G1177" s="8" t="s">
        <v>7</v>
      </c>
      <c r="H1177" s="8" t="s">
        <v>38</v>
      </c>
      <c r="I1177" s="9">
        <v>5860.1522999999997</v>
      </c>
      <c r="J1177">
        <v>5622.4525186177998</v>
      </c>
      <c r="K1177">
        <v>4668.6513595695997</v>
      </c>
      <c r="L1177">
        <v>3978.1777607250001</v>
      </c>
    </row>
    <row r="1178" spans="1:12" x14ac:dyDescent="0.2">
      <c r="A1178" s="8" t="s">
        <v>110</v>
      </c>
      <c r="B1178" s="8" t="s">
        <v>115</v>
      </c>
      <c r="C1178" s="8" t="s">
        <v>238</v>
      </c>
      <c r="D1178" s="8" t="s">
        <v>239</v>
      </c>
      <c r="E1178" s="8" t="s">
        <v>74</v>
      </c>
      <c r="F1178" s="8" t="s">
        <v>75</v>
      </c>
      <c r="G1178" s="8" t="s">
        <v>7</v>
      </c>
      <c r="H1178" s="8" t="s">
        <v>38</v>
      </c>
      <c r="I1178" s="9">
        <v>728.28260999999998</v>
      </c>
      <c r="J1178">
        <v>741.40171945204997</v>
      </c>
      <c r="K1178">
        <v>619.15637110475996</v>
      </c>
      <c r="L1178">
        <v>587.70198094430998</v>
      </c>
    </row>
    <row r="1179" spans="1:12" x14ac:dyDescent="0.2">
      <c r="A1179" s="8" t="s">
        <v>110</v>
      </c>
      <c r="B1179" s="8" t="s">
        <v>115</v>
      </c>
      <c r="C1179" s="8" t="s">
        <v>238</v>
      </c>
      <c r="D1179" s="8" t="s">
        <v>239</v>
      </c>
      <c r="E1179" s="8" t="s">
        <v>59</v>
      </c>
      <c r="F1179" s="8" t="s">
        <v>60</v>
      </c>
      <c r="G1179" s="8" t="s">
        <v>7</v>
      </c>
      <c r="H1179" s="8" t="s">
        <v>38</v>
      </c>
      <c r="I1179" s="9">
        <v>716.35643000000005</v>
      </c>
      <c r="J1179">
        <v>703.20423281049</v>
      </c>
      <c r="K1179">
        <v>655.79590544196003</v>
      </c>
      <c r="L1179">
        <v>654.22156906811006</v>
      </c>
    </row>
    <row r="1180" spans="1:12" x14ac:dyDescent="0.2">
      <c r="A1180" s="8" t="s">
        <v>110</v>
      </c>
      <c r="B1180" s="8" t="s">
        <v>115</v>
      </c>
      <c r="C1180" s="8" t="s">
        <v>238</v>
      </c>
      <c r="D1180" s="8" t="s">
        <v>239</v>
      </c>
      <c r="E1180" s="8" t="s">
        <v>76</v>
      </c>
      <c r="F1180" s="8" t="s">
        <v>77</v>
      </c>
      <c r="G1180" s="8" t="s">
        <v>7</v>
      </c>
      <c r="H1180" s="8" t="s">
        <v>38</v>
      </c>
      <c r="I1180" s="9">
        <v>1621.7143000000001</v>
      </c>
      <c r="J1180">
        <v>1397.5238096273999</v>
      </c>
      <c r="K1180">
        <v>1123.0476191405</v>
      </c>
      <c r="L1180">
        <v>1123.0476191405</v>
      </c>
    </row>
    <row r="1181" spans="1:12" x14ac:dyDescent="0.2">
      <c r="A1181" s="8" t="s">
        <v>110</v>
      </c>
      <c r="B1181" s="8" t="s">
        <v>115</v>
      </c>
      <c r="C1181" s="8" t="s">
        <v>238</v>
      </c>
      <c r="D1181" s="8" t="s">
        <v>239</v>
      </c>
      <c r="E1181" s="8" t="s">
        <v>78</v>
      </c>
      <c r="F1181" s="8" t="s">
        <v>79</v>
      </c>
      <c r="G1181" s="8" t="s">
        <v>7</v>
      </c>
      <c r="H1181" s="8" t="s">
        <v>38</v>
      </c>
      <c r="I1181" s="9">
        <v>215.28568000000001</v>
      </c>
      <c r="J1181">
        <v>164.99996999999999</v>
      </c>
      <c r="K1181">
        <v>384.99993000000001</v>
      </c>
      <c r="L1181">
        <v>410.77135388571003</v>
      </c>
    </row>
    <row r="1182" spans="1:12" x14ac:dyDescent="0.2">
      <c r="A1182" s="8" t="s">
        <v>110</v>
      </c>
      <c r="B1182" s="8" t="s">
        <v>115</v>
      </c>
      <c r="C1182" s="8" t="s">
        <v>238</v>
      </c>
      <c r="D1182" s="8" t="s">
        <v>239</v>
      </c>
      <c r="E1182" s="8" t="s">
        <v>92</v>
      </c>
      <c r="F1182" s="8" t="s">
        <v>93</v>
      </c>
      <c r="G1182" s="8" t="s">
        <v>7</v>
      </c>
      <c r="H1182" s="8" t="s">
        <v>38</v>
      </c>
      <c r="I1182" s="9">
        <v>273.07756999999998</v>
      </c>
      <c r="J1182">
        <v>247.76290206900001</v>
      </c>
      <c r="K1182">
        <v>253.72258819613</v>
      </c>
      <c r="L1182">
        <v>248.29504329397</v>
      </c>
    </row>
    <row r="1183" spans="1:12" x14ac:dyDescent="0.2">
      <c r="A1183" s="8" t="s">
        <v>32</v>
      </c>
      <c r="B1183" s="8" t="s">
        <v>102</v>
      </c>
      <c r="C1183" s="8" t="s">
        <v>240</v>
      </c>
      <c r="D1183" s="8" t="s">
        <v>241</v>
      </c>
      <c r="E1183" s="8" t="s">
        <v>36</v>
      </c>
      <c r="F1183" s="8" t="s">
        <v>37</v>
      </c>
      <c r="G1183" s="8" t="s">
        <v>7</v>
      </c>
      <c r="H1183" s="8" t="s">
        <v>38</v>
      </c>
      <c r="I1183" s="9">
        <v>1221.6251</v>
      </c>
      <c r="J1183">
        <v>984.75406524000005</v>
      </c>
      <c r="K1183">
        <v>1495.37054304</v>
      </c>
      <c r="L1183">
        <v>1515.4981013419999</v>
      </c>
    </row>
    <row r="1184" spans="1:12" x14ac:dyDescent="0.2">
      <c r="A1184" s="8" t="s">
        <v>32</v>
      </c>
      <c r="B1184" s="8" t="s">
        <v>102</v>
      </c>
      <c r="C1184" s="8" t="s">
        <v>240</v>
      </c>
      <c r="D1184" s="8" t="s">
        <v>241</v>
      </c>
      <c r="E1184" s="8" t="s">
        <v>64</v>
      </c>
      <c r="F1184" s="8" t="s">
        <v>65</v>
      </c>
      <c r="G1184" s="8" t="s">
        <v>7</v>
      </c>
      <c r="H1184" s="8" t="s">
        <v>38</v>
      </c>
      <c r="I1184" s="9">
        <v>0.84658199999999995</v>
      </c>
      <c r="J1184">
        <v>1.1848714</v>
      </c>
      <c r="K1184">
        <v>1.1984054</v>
      </c>
      <c r="L1184">
        <v>1.2981967641129</v>
      </c>
    </row>
    <row r="1185" spans="1:12" x14ac:dyDescent="0.2">
      <c r="A1185" s="8" t="s">
        <v>32</v>
      </c>
      <c r="B1185" s="8" t="s">
        <v>102</v>
      </c>
      <c r="C1185" s="8" t="s">
        <v>240</v>
      </c>
      <c r="D1185" s="8" t="s">
        <v>241</v>
      </c>
      <c r="E1185" s="8" t="s">
        <v>39</v>
      </c>
      <c r="F1185" s="8" t="s">
        <v>40</v>
      </c>
      <c r="G1185" s="8" t="s">
        <v>7</v>
      </c>
      <c r="H1185" s="8" t="s">
        <v>38</v>
      </c>
      <c r="I1185" s="9">
        <v>1664.6996999999999</v>
      </c>
      <c r="J1185">
        <v>1724.4574496499999</v>
      </c>
      <c r="K1185">
        <v>1887.6078944000001</v>
      </c>
      <c r="L1185">
        <v>1653.3983858767001</v>
      </c>
    </row>
    <row r="1186" spans="1:12" x14ac:dyDescent="0.2">
      <c r="A1186" s="8" t="s">
        <v>32</v>
      </c>
      <c r="B1186" s="8" t="s">
        <v>102</v>
      </c>
      <c r="C1186" s="8" t="s">
        <v>240</v>
      </c>
      <c r="D1186" s="8" t="s">
        <v>241</v>
      </c>
      <c r="E1186" s="8" t="s">
        <v>41</v>
      </c>
      <c r="F1186" s="8" t="s">
        <v>42</v>
      </c>
      <c r="G1186" s="8" t="s">
        <v>7</v>
      </c>
      <c r="H1186" s="8" t="s">
        <v>38</v>
      </c>
      <c r="I1186" s="9">
        <v>0.3227081</v>
      </c>
      <c r="J1186">
        <v>1.85391635</v>
      </c>
      <c r="K1186">
        <v>1.48510505</v>
      </c>
      <c r="L1186">
        <v>2.8992116254610001</v>
      </c>
    </row>
    <row r="1187" spans="1:12" x14ac:dyDescent="0.2">
      <c r="A1187" s="8" t="s">
        <v>32</v>
      </c>
      <c r="B1187" s="8" t="s">
        <v>102</v>
      </c>
      <c r="C1187" s="8" t="s">
        <v>240</v>
      </c>
      <c r="D1187" s="8" t="s">
        <v>241</v>
      </c>
      <c r="E1187" s="8" t="s">
        <v>43</v>
      </c>
      <c r="F1187" s="8" t="s">
        <v>44</v>
      </c>
      <c r="G1187" s="8" t="s">
        <v>7</v>
      </c>
      <c r="H1187" s="8" t="s">
        <v>38</v>
      </c>
      <c r="I1187" s="9">
        <v>3401.645</v>
      </c>
      <c r="J1187">
        <v>3631.0499854499999</v>
      </c>
      <c r="K1187">
        <v>3735.33866614</v>
      </c>
      <c r="L1187">
        <v>3959.6276116696999</v>
      </c>
    </row>
    <row r="1188" spans="1:12" x14ac:dyDescent="0.2">
      <c r="A1188" s="8" t="s">
        <v>32</v>
      </c>
      <c r="B1188" s="8" t="s">
        <v>102</v>
      </c>
      <c r="C1188" s="8" t="s">
        <v>240</v>
      </c>
      <c r="D1188" s="8" t="s">
        <v>241</v>
      </c>
      <c r="E1188" s="8" t="s">
        <v>66</v>
      </c>
      <c r="F1188" s="8" t="s">
        <v>67</v>
      </c>
      <c r="G1188" s="8" t="s">
        <v>7</v>
      </c>
      <c r="H1188" s="8" t="s">
        <v>38</v>
      </c>
      <c r="I1188" s="9">
        <v>6.3941886999999999</v>
      </c>
      <c r="J1188">
        <v>5.8780233600000003</v>
      </c>
      <c r="K1188">
        <v>3.9741978900000001</v>
      </c>
      <c r="L1188">
        <v>5.8461826996333999</v>
      </c>
    </row>
    <row r="1189" spans="1:12" x14ac:dyDescent="0.2">
      <c r="A1189" s="8" t="s">
        <v>32</v>
      </c>
      <c r="B1189" s="8" t="s">
        <v>102</v>
      </c>
      <c r="C1189" s="8" t="s">
        <v>240</v>
      </c>
      <c r="D1189" s="8" t="s">
        <v>241</v>
      </c>
      <c r="E1189" s="8" t="s">
        <v>45</v>
      </c>
      <c r="F1189" s="8" t="s">
        <v>46</v>
      </c>
      <c r="G1189" s="8" t="s">
        <v>7</v>
      </c>
      <c r="H1189" s="8" t="s">
        <v>38</v>
      </c>
      <c r="I1189" s="9">
        <v>0.67880790000000002</v>
      </c>
      <c r="J1189">
        <v>0.72906990000000005</v>
      </c>
      <c r="K1189">
        <v>1.0070486400000001</v>
      </c>
      <c r="L1189">
        <v>1.8056478448035</v>
      </c>
    </row>
    <row r="1190" spans="1:12" x14ac:dyDescent="0.2">
      <c r="A1190" s="8" t="s">
        <v>32</v>
      </c>
      <c r="B1190" s="8" t="s">
        <v>102</v>
      </c>
      <c r="C1190" s="8" t="s">
        <v>240</v>
      </c>
      <c r="D1190" s="8" t="s">
        <v>241</v>
      </c>
      <c r="E1190" s="8" t="s">
        <v>47</v>
      </c>
      <c r="F1190" s="8" t="s">
        <v>48</v>
      </c>
      <c r="G1190" s="8" t="s">
        <v>7</v>
      </c>
      <c r="H1190" s="8" t="s">
        <v>38</v>
      </c>
      <c r="I1190" s="9">
        <v>363.61944</v>
      </c>
      <c r="J1190">
        <v>526.06171721999999</v>
      </c>
      <c r="K1190">
        <v>658.73310821999996</v>
      </c>
      <c r="L1190">
        <v>714.66843779752003</v>
      </c>
    </row>
    <row r="1191" spans="1:12" x14ac:dyDescent="0.2">
      <c r="A1191" s="8" t="s">
        <v>32</v>
      </c>
      <c r="B1191" s="8" t="s">
        <v>102</v>
      </c>
      <c r="C1191" s="8" t="s">
        <v>240</v>
      </c>
      <c r="D1191" s="8" t="s">
        <v>241</v>
      </c>
      <c r="E1191" s="8" t="s">
        <v>49</v>
      </c>
      <c r="F1191" s="8" t="s">
        <v>50</v>
      </c>
      <c r="G1191" s="8" t="s">
        <v>7</v>
      </c>
      <c r="H1191" s="8" t="s">
        <v>38</v>
      </c>
      <c r="I1191" s="9">
        <v>2647.6552999999999</v>
      </c>
      <c r="J1191">
        <v>3008.5782737</v>
      </c>
      <c r="K1191">
        <v>3233.8484533599999</v>
      </c>
      <c r="L1191">
        <v>3239.1396923868001</v>
      </c>
    </row>
    <row r="1192" spans="1:12" x14ac:dyDescent="0.2">
      <c r="A1192" s="8" t="s">
        <v>32</v>
      </c>
      <c r="B1192" s="8" t="s">
        <v>102</v>
      </c>
      <c r="C1192" s="8" t="s">
        <v>240</v>
      </c>
      <c r="D1192" s="8" t="s">
        <v>241</v>
      </c>
      <c r="E1192" s="8" t="s">
        <v>51</v>
      </c>
      <c r="F1192" s="8" t="s">
        <v>52</v>
      </c>
      <c r="G1192" s="8" t="s">
        <v>7</v>
      </c>
      <c r="H1192" s="8" t="s">
        <v>38</v>
      </c>
      <c r="I1192" s="9"/>
    </row>
    <row r="1193" spans="1:12" x14ac:dyDescent="0.2">
      <c r="A1193" s="8" t="s">
        <v>32</v>
      </c>
      <c r="B1193" s="8" t="s">
        <v>102</v>
      </c>
      <c r="C1193" s="8" t="s">
        <v>240</v>
      </c>
      <c r="D1193" s="8" t="s">
        <v>241</v>
      </c>
      <c r="E1193" s="8" t="s">
        <v>68</v>
      </c>
      <c r="F1193" s="8" t="s">
        <v>69</v>
      </c>
      <c r="G1193" s="8" t="s">
        <v>7</v>
      </c>
      <c r="H1193" s="8" t="s">
        <v>38</v>
      </c>
      <c r="I1193" s="9">
        <v>4.7143299999999999E-2</v>
      </c>
      <c r="J1193">
        <v>7.0181890118620999E-2</v>
      </c>
      <c r="K1193">
        <v>6.9454754857930998E-2</v>
      </c>
      <c r="L1193">
        <v>7.0253550981839996E-2</v>
      </c>
    </row>
    <row r="1194" spans="1:12" x14ac:dyDescent="0.2">
      <c r="A1194" s="8" t="s">
        <v>32</v>
      </c>
      <c r="B1194" s="8" t="s">
        <v>102</v>
      </c>
      <c r="C1194" s="8" t="s">
        <v>240</v>
      </c>
      <c r="D1194" s="8" t="s">
        <v>241</v>
      </c>
      <c r="E1194" s="8" t="s">
        <v>53</v>
      </c>
      <c r="F1194" s="8" t="s">
        <v>54</v>
      </c>
      <c r="G1194" s="8" t="s">
        <v>7</v>
      </c>
      <c r="H1194" s="8" t="s">
        <v>38</v>
      </c>
      <c r="I1194" s="9">
        <v>185.51167000000001</v>
      </c>
      <c r="J1194">
        <v>179.11020887500001</v>
      </c>
      <c r="K1194">
        <v>184.70771171901001</v>
      </c>
      <c r="L1194">
        <v>202.04087998745001</v>
      </c>
    </row>
    <row r="1195" spans="1:12" x14ac:dyDescent="0.2">
      <c r="A1195" s="8" t="s">
        <v>32</v>
      </c>
      <c r="B1195" s="8" t="s">
        <v>102</v>
      </c>
      <c r="C1195" s="8" t="s">
        <v>240</v>
      </c>
      <c r="D1195" s="8" t="s">
        <v>241</v>
      </c>
      <c r="E1195" s="8" t="s">
        <v>70</v>
      </c>
      <c r="F1195" s="8" t="s">
        <v>71</v>
      </c>
      <c r="G1195" s="8" t="s">
        <v>7</v>
      </c>
      <c r="H1195" s="8" t="s">
        <v>38</v>
      </c>
      <c r="I1195" s="9">
        <v>1050.7581</v>
      </c>
      <c r="J1195">
        <v>1160.301619436</v>
      </c>
      <c r="K1195">
        <v>1076.9626656519999</v>
      </c>
      <c r="L1195">
        <v>1075.7477035398001</v>
      </c>
    </row>
    <row r="1196" spans="1:12" x14ac:dyDescent="0.2">
      <c r="A1196" s="8" t="s">
        <v>32</v>
      </c>
      <c r="B1196" s="8" t="s">
        <v>102</v>
      </c>
      <c r="C1196" s="8" t="s">
        <v>240</v>
      </c>
      <c r="D1196" s="8" t="s">
        <v>241</v>
      </c>
      <c r="E1196" s="8" t="s">
        <v>83</v>
      </c>
      <c r="F1196" s="8" t="s">
        <v>84</v>
      </c>
      <c r="G1196" s="8" t="s">
        <v>7</v>
      </c>
      <c r="H1196" s="8" t="s">
        <v>38</v>
      </c>
      <c r="I1196" s="9">
        <v>30</v>
      </c>
      <c r="J1196">
        <v>30</v>
      </c>
      <c r="K1196">
        <v>30</v>
      </c>
      <c r="L1196">
        <v>30</v>
      </c>
    </row>
    <row r="1197" spans="1:12" x14ac:dyDescent="0.2">
      <c r="A1197" s="8" t="s">
        <v>32</v>
      </c>
      <c r="B1197" s="8" t="s">
        <v>102</v>
      </c>
      <c r="C1197" s="8" t="s">
        <v>240</v>
      </c>
      <c r="D1197" s="8" t="s">
        <v>241</v>
      </c>
      <c r="E1197" s="8" t="s">
        <v>55</v>
      </c>
      <c r="F1197" s="8" t="s">
        <v>56</v>
      </c>
      <c r="G1197" s="8" t="s">
        <v>7</v>
      </c>
      <c r="H1197" s="8" t="s">
        <v>38</v>
      </c>
      <c r="I1197" s="9">
        <v>0.1776047</v>
      </c>
      <c r="J1197">
        <v>0.19892188541641001</v>
      </c>
      <c r="K1197">
        <v>0.19892188541641001</v>
      </c>
      <c r="L1197">
        <v>0.19892188541641001</v>
      </c>
    </row>
    <row r="1198" spans="1:12" x14ac:dyDescent="0.2">
      <c r="A1198" s="8" t="s">
        <v>32</v>
      </c>
      <c r="B1198" s="8" t="s">
        <v>102</v>
      </c>
      <c r="C1198" s="8" t="s">
        <v>240</v>
      </c>
      <c r="D1198" s="8" t="s">
        <v>241</v>
      </c>
      <c r="E1198" s="8" t="s">
        <v>57</v>
      </c>
      <c r="F1198" s="8" t="s">
        <v>58</v>
      </c>
      <c r="G1198" s="8" t="s">
        <v>7</v>
      </c>
      <c r="H1198" s="8" t="s">
        <v>38</v>
      </c>
      <c r="I1198" s="9">
        <v>5.0484010000000001</v>
      </c>
      <c r="J1198">
        <v>5.6543400751421</v>
      </c>
      <c r="K1198">
        <v>5.6543400751421</v>
      </c>
      <c r="L1198">
        <v>5.6543400751421</v>
      </c>
    </row>
    <row r="1199" spans="1:12" x14ac:dyDescent="0.2">
      <c r="A1199" s="8" t="s">
        <v>32</v>
      </c>
      <c r="B1199" s="8" t="s">
        <v>102</v>
      </c>
      <c r="C1199" s="8" t="s">
        <v>240</v>
      </c>
      <c r="D1199" s="8" t="s">
        <v>241</v>
      </c>
      <c r="E1199" s="8" t="s">
        <v>72</v>
      </c>
      <c r="F1199" s="8" t="s">
        <v>73</v>
      </c>
      <c r="G1199" s="8" t="s">
        <v>7</v>
      </c>
      <c r="H1199" s="8" t="s">
        <v>38</v>
      </c>
      <c r="I1199" s="9">
        <v>510.05900000000003</v>
      </c>
      <c r="J1199">
        <v>459.06489609387</v>
      </c>
      <c r="K1199">
        <v>459.06489612477998</v>
      </c>
      <c r="L1199">
        <v>459.06135910214999</v>
      </c>
    </row>
    <row r="1200" spans="1:12" x14ac:dyDescent="0.2">
      <c r="A1200" s="8" t="s">
        <v>32</v>
      </c>
      <c r="B1200" s="8" t="s">
        <v>102</v>
      </c>
      <c r="C1200" s="8" t="s">
        <v>240</v>
      </c>
      <c r="D1200" s="8" t="s">
        <v>241</v>
      </c>
      <c r="E1200" s="8" t="s">
        <v>74</v>
      </c>
      <c r="F1200" s="8" t="s">
        <v>75</v>
      </c>
      <c r="G1200" s="8" t="s">
        <v>7</v>
      </c>
      <c r="H1200" s="8" t="s">
        <v>38</v>
      </c>
      <c r="I1200" s="9">
        <v>304.5</v>
      </c>
      <c r="J1200">
        <v>498.82</v>
      </c>
      <c r="K1200">
        <v>556.78</v>
      </c>
      <c r="L1200">
        <v>556.78</v>
      </c>
    </row>
    <row r="1201" spans="1:12" x14ac:dyDescent="0.2">
      <c r="A1201" s="8" t="s">
        <v>32</v>
      </c>
      <c r="B1201" s="8" t="s">
        <v>102</v>
      </c>
      <c r="C1201" s="8" t="s">
        <v>240</v>
      </c>
      <c r="D1201" s="8" t="s">
        <v>241</v>
      </c>
      <c r="E1201" s="8" t="s">
        <v>59</v>
      </c>
      <c r="F1201" s="8" t="s">
        <v>60</v>
      </c>
      <c r="G1201" s="8" t="s">
        <v>7</v>
      </c>
      <c r="H1201" s="8" t="s">
        <v>38</v>
      </c>
      <c r="I1201" s="9">
        <v>44.020252999999997</v>
      </c>
      <c r="J1201">
        <v>41.287752455297003</v>
      </c>
      <c r="K1201">
        <v>44.541862596534003</v>
      </c>
      <c r="L1201">
        <v>45.224692585244</v>
      </c>
    </row>
    <row r="1202" spans="1:12" x14ac:dyDescent="0.2">
      <c r="A1202" s="8" t="s">
        <v>32</v>
      </c>
      <c r="B1202" s="8" t="s">
        <v>102</v>
      </c>
      <c r="C1202" s="8" t="s">
        <v>240</v>
      </c>
      <c r="D1202" s="8" t="s">
        <v>241</v>
      </c>
      <c r="E1202" s="8" t="s">
        <v>76</v>
      </c>
      <c r="F1202" s="8" t="s">
        <v>77</v>
      </c>
      <c r="G1202" s="8" t="s">
        <v>7</v>
      </c>
      <c r="H1202" s="8" t="s">
        <v>38</v>
      </c>
      <c r="I1202" s="9">
        <v>95.123810000000006</v>
      </c>
      <c r="J1202">
        <v>76.266666668368003</v>
      </c>
      <c r="K1202">
        <v>80.142857146395997</v>
      </c>
      <c r="L1202">
        <v>80.142857146395997</v>
      </c>
    </row>
    <row r="1203" spans="1:12" x14ac:dyDescent="0.2">
      <c r="A1203" s="8" t="s">
        <v>32</v>
      </c>
      <c r="B1203" s="8" t="s">
        <v>102</v>
      </c>
      <c r="C1203" s="8" t="s">
        <v>240</v>
      </c>
      <c r="D1203" s="8" t="s">
        <v>241</v>
      </c>
      <c r="E1203" s="8" t="s">
        <v>78</v>
      </c>
      <c r="F1203" s="8" t="s">
        <v>79</v>
      </c>
      <c r="G1203" s="8" t="s">
        <v>7</v>
      </c>
      <c r="H1203" s="8" t="s">
        <v>38</v>
      </c>
      <c r="I1203" s="9">
        <v>7.8571413999999997</v>
      </c>
      <c r="J1203">
        <v>7.8571414285714001</v>
      </c>
      <c r="K1203">
        <v>6.2857131428570998</v>
      </c>
      <c r="L1203">
        <v>7.2285701142857004</v>
      </c>
    </row>
    <row r="1204" spans="1:12" x14ac:dyDescent="0.2">
      <c r="A1204" s="8" t="s">
        <v>32</v>
      </c>
      <c r="B1204" s="8" t="s">
        <v>125</v>
      </c>
      <c r="C1204" s="8" t="s">
        <v>242</v>
      </c>
      <c r="D1204" s="8" t="s">
        <v>243</v>
      </c>
      <c r="E1204" s="8" t="s">
        <v>36</v>
      </c>
      <c r="F1204" s="8" t="s">
        <v>37</v>
      </c>
      <c r="G1204" s="8" t="s">
        <v>7</v>
      </c>
      <c r="H1204" s="8" t="s">
        <v>38</v>
      </c>
      <c r="I1204" s="9">
        <v>6563.0771000000004</v>
      </c>
      <c r="J1204">
        <v>6430.7253226500998</v>
      </c>
      <c r="K1204">
        <v>7025.0348722900999</v>
      </c>
      <c r="L1204">
        <v>6938.4148639365003</v>
      </c>
    </row>
    <row r="1205" spans="1:12" x14ac:dyDescent="0.2">
      <c r="A1205" s="8" t="s">
        <v>32</v>
      </c>
      <c r="B1205" s="8" t="s">
        <v>125</v>
      </c>
      <c r="C1205" s="8" t="s">
        <v>242</v>
      </c>
      <c r="D1205" s="8" t="s">
        <v>243</v>
      </c>
      <c r="E1205" s="8" t="s">
        <v>64</v>
      </c>
      <c r="F1205" s="8" t="s">
        <v>65</v>
      </c>
      <c r="G1205" s="8" t="s">
        <v>7</v>
      </c>
      <c r="H1205" s="8" t="s">
        <v>38</v>
      </c>
      <c r="I1205" s="9">
        <v>210.01103000000001</v>
      </c>
      <c r="J1205">
        <v>194.37211991999999</v>
      </c>
      <c r="K1205">
        <v>158.91184913999999</v>
      </c>
      <c r="L1205">
        <v>195.34581907705001</v>
      </c>
    </row>
    <row r="1206" spans="1:12" x14ac:dyDescent="0.2">
      <c r="A1206" s="8" t="s">
        <v>32</v>
      </c>
      <c r="B1206" s="8" t="s">
        <v>125</v>
      </c>
      <c r="C1206" s="8" t="s">
        <v>242</v>
      </c>
      <c r="D1206" s="8" t="s">
        <v>243</v>
      </c>
      <c r="E1206" s="8" t="s">
        <v>39</v>
      </c>
      <c r="F1206" s="8" t="s">
        <v>40</v>
      </c>
      <c r="G1206" s="8" t="s">
        <v>7</v>
      </c>
      <c r="H1206" s="8" t="s">
        <v>38</v>
      </c>
      <c r="I1206" s="9">
        <v>1706.7733000000001</v>
      </c>
      <c r="J1206">
        <v>1961.6519193900001</v>
      </c>
      <c r="K1206">
        <v>2013.3000722300001</v>
      </c>
      <c r="L1206">
        <v>1939.9313159395999</v>
      </c>
    </row>
    <row r="1207" spans="1:12" x14ac:dyDescent="0.2">
      <c r="A1207" s="8" t="s">
        <v>32</v>
      </c>
      <c r="B1207" s="8" t="s">
        <v>125</v>
      </c>
      <c r="C1207" s="8" t="s">
        <v>242</v>
      </c>
      <c r="D1207" s="8" t="s">
        <v>243</v>
      </c>
      <c r="E1207" s="8" t="s">
        <v>41</v>
      </c>
      <c r="F1207" s="8" t="s">
        <v>42</v>
      </c>
      <c r="G1207" s="8" t="s">
        <v>7</v>
      </c>
      <c r="H1207" s="8" t="s">
        <v>38</v>
      </c>
      <c r="I1207" s="9">
        <v>31.074072000000001</v>
      </c>
      <c r="J1207">
        <v>40.083793749999998</v>
      </c>
      <c r="K1207">
        <v>58.374158700000002</v>
      </c>
      <c r="L1207">
        <v>65.790273090734999</v>
      </c>
    </row>
    <row r="1208" spans="1:12" x14ac:dyDescent="0.2">
      <c r="A1208" s="8" t="s">
        <v>32</v>
      </c>
      <c r="B1208" s="8" t="s">
        <v>125</v>
      </c>
      <c r="C1208" s="8" t="s">
        <v>242</v>
      </c>
      <c r="D1208" s="8" t="s">
        <v>243</v>
      </c>
      <c r="E1208" s="8" t="s">
        <v>43</v>
      </c>
      <c r="F1208" s="8" t="s">
        <v>44</v>
      </c>
      <c r="G1208" s="8" t="s">
        <v>7</v>
      </c>
      <c r="H1208" s="8" t="s">
        <v>38</v>
      </c>
      <c r="I1208" s="9">
        <v>9051.9292000000005</v>
      </c>
      <c r="J1208">
        <v>9841.4801987299998</v>
      </c>
      <c r="K1208">
        <v>9226.6847901399997</v>
      </c>
      <c r="L1208">
        <v>8822.8872092741003</v>
      </c>
    </row>
    <row r="1209" spans="1:12" x14ac:dyDescent="0.2">
      <c r="A1209" s="8" t="s">
        <v>32</v>
      </c>
      <c r="B1209" s="8" t="s">
        <v>125</v>
      </c>
      <c r="C1209" s="8" t="s">
        <v>242</v>
      </c>
      <c r="D1209" s="8" t="s">
        <v>243</v>
      </c>
      <c r="E1209" s="8" t="s">
        <v>66</v>
      </c>
      <c r="F1209" s="8" t="s">
        <v>67</v>
      </c>
      <c r="G1209" s="8" t="s">
        <v>7</v>
      </c>
      <c r="H1209" s="8" t="s">
        <v>38</v>
      </c>
      <c r="I1209" s="9">
        <v>296.67592999999999</v>
      </c>
      <c r="J1209">
        <v>312.47283092999999</v>
      </c>
      <c r="K1209">
        <v>286.85957313</v>
      </c>
      <c r="L1209">
        <v>274.30542130702997</v>
      </c>
    </row>
    <row r="1210" spans="1:12" x14ac:dyDescent="0.2">
      <c r="A1210" s="8" t="s">
        <v>32</v>
      </c>
      <c r="B1210" s="8" t="s">
        <v>125</v>
      </c>
      <c r="C1210" s="8" t="s">
        <v>242</v>
      </c>
      <c r="D1210" s="8" t="s">
        <v>243</v>
      </c>
      <c r="E1210" s="8" t="s">
        <v>45</v>
      </c>
      <c r="F1210" s="8" t="s">
        <v>46</v>
      </c>
      <c r="G1210" s="8" t="s">
        <v>7</v>
      </c>
      <c r="H1210" s="8" t="s">
        <v>38</v>
      </c>
      <c r="I1210" s="9">
        <v>356.01218</v>
      </c>
      <c r="J1210">
        <v>374.96733339000002</v>
      </c>
      <c r="K1210">
        <v>344.23415090999998</v>
      </c>
      <c r="L1210">
        <v>322.48468022050002</v>
      </c>
    </row>
    <row r="1211" spans="1:12" x14ac:dyDescent="0.2">
      <c r="A1211" s="8" t="s">
        <v>32</v>
      </c>
      <c r="B1211" s="8" t="s">
        <v>125</v>
      </c>
      <c r="C1211" s="8" t="s">
        <v>242</v>
      </c>
      <c r="D1211" s="8" t="s">
        <v>243</v>
      </c>
      <c r="E1211" s="8" t="s">
        <v>49</v>
      </c>
      <c r="F1211" s="8" t="s">
        <v>50</v>
      </c>
      <c r="G1211" s="8" t="s">
        <v>7</v>
      </c>
      <c r="H1211" s="8" t="s">
        <v>38</v>
      </c>
      <c r="I1211" s="9">
        <v>1114.6702</v>
      </c>
      <c r="J1211">
        <v>1164.4544168100001</v>
      </c>
      <c r="K1211">
        <v>764.40359323999996</v>
      </c>
      <c r="L1211">
        <v>730.95015587045998</v>
      </c>
    </row>
    <row r="1212" spans="1:12" x14ac:dyDescent="0.2">
      <c r="A1212" s="8" t="s">
        <v>32</v>
      </c>
      <c r="B1212" s="8" t="s">
        <v>125</v>
      </c>
      <c r="C1212" s="8" t="s">
        <v>242</v>
      </c>
      <c r="D1212" s="8" t="s">
        <v>243</v>
      </c>
      <c r="E1212" s="8" t="s">
        <v>53</v>
      </c>
      <c r="F1212" s="8" t="s">
        <v>54</v>
      </c>
      <c r="G1212" s="8" t="s">
        <v>7</v>
      </c>
      <c r="H1212" s="8" t="s">
        <v>38</v>
      </c>
      <c r="I1212" s="9">
        <v>834.60757999999998</v>
      </c>
      <c r="J1212">
        <v>1267.1979510458</v>
      </c>
      <c r="K1212">
        <v>977.08576084968001</v>
      </c>
      <c r="L1212">
        <v>1002.1067943285</v>
      </c>
    </row>
    <row r="1213" spans="1:12" x14ac:dyDescent="0.2">
      <c r="A1213" s="8" t="s">
        <v>32</v>
      </c>
      <c r="B1213" s="8" t="s">
        <v>125</v>
      </c>
      <c r="C1213" s="8" t="s">
        <v>242</v>
      </c>
      <c r="D1213" s="8" t="s">
        <v>243</v>
      </c>
      <c r="E1213" s="8" t="s">
        <v>70</v>
      </c>
      <c r="F1213" s="8" t="s">
        <v>71</v>
      </c>
      <c r="G1213" s="8" t="s">
        <v>7</v>
      </c>
      <c r="H1213" s="8" t="s">
        <v>38</v>
      </c>
      <c r="I1213" s="9">
        <v>2617.1658000000002</v>
      </c>
      <c r="J1213">
        <v>2734.3522990000001</v>
      </c>
      <c r="K1213">
        <v>2734.3522990000001</v>
      </c>
      <c r="L1213">
        <v>2731.2675732702</v>
      </c>
    </row>
    <row r="1214" spans="1:12" x14ac:dyDescent="0.2">
      <c r="A1214" s="8" t="s">
        <v>32</v>
      </c>
      <c r="B1214" s="8" t="s">
        <v>125</v>
      </c>
      <c r="C1214" s="8" t="s">
        <v>242</v>
      </c>
      <c r="D1214" s="8" t="s">
        <v>243</v>
      </c>
      <c r="E1214" s="8" t="s">
        <v>55</v>
      </c>
      <c r="F1214" s="8" t="s">
        <v>56</v>
      </c>
      <c r="G1214" s="8" t="s">
        <v>7</v>
      </c>
      <c r="H1214" s="8" t="s">
        <v>38</v>
      </c>
      <c r="I1214" s="9">
        <v>1.4823172</v>
      </c>
      <c r="J1214">
        <v>1.6602336918738001</v>
      </c>
      <c r="K1214">
        <v>1.6602336918738001</v>
      </c>
      <c r="L1214">
        <v>1.6602336918738001</v>
      </c>
    </row>
    <row r="1215" spans="1:12" x14ac:dyDescent="0.2">
      <c r="A1215" s="8" t="s">
        <v>32</v>
      </c>
      <c r="B1215" s="8" t="s">
        <v>125</v>
      </c>
      <c r="C1215" s="8" t="s">
        <v>242</v>
      </c>
      <c r="D1215" s="8" t="s">
        <v>243</v>
      </c>
      <c r="E1215" s="8" t="s">
        <v>57</v>
      </c>
      <c r="F1215" s="8" t="s">
        <v>58</v>
      </c>
      <c r="G1215" s="8" t="s">
        <v>7</v>
      </c>
      <c r="H1215" s="8" t="s">
        <v>38</v>
      </c>
      <c r="I1215" s="9">
        <v>3.0041525</v>
      </c>
      <c r="J1215">
        <v>3.3647287316021002</v>
      </c>
      <c r="K1215">
        <v>3.3647287316021002</v>
      </c>
      <c r="L1215">
        <v>3.3647287316021002</v>
      </c>
    </row>
    <row r="1216" spans="1:12" x14ac:dyDescent="0.2">
      <c r="A1216" s="8" t="s">
        <v>32</v>
      </c>
      <c r="B1216" s="8" t="s">
        <v>125</v>
      </c>
      <c r="C1216" s="8" t="s">
        <v>242</v>
      </c>
      <c r="D1216" s="8" t="s">
        <v>243</v>
      </c>
      <c r="E1216" s="8" t="s">
        <v>74</v>
      </c>
      <c r="F1216" s="8" t="s">
        <v>75</v>
      </c>
      <c r="G1216" s="8" t="s">
        <v>7</v>
      </c>
      <c r="H1216" s="8" t="s">
        <v>38</v>
      </c>
      <c r="I1216" s="9">
        <v>81.305599999999998</v>
      </c>
      <c r="J1216">
        <v>85.779520000000005</v>
      </c>
      <c r="K1216">
        <v>113.40916</v>
      </c>
      <c r="L1216">
        <v>114.89491200000001</v>
      </c>
    </row>
    <row r="1217" spans="1:12" x14ac:dyDescent="0.2">
      <c r="A1217" s="8" t="s">
        <v>32</v>
      </c>
      <c r="B1217" s="8" t="s">
        <v>125</v>
      </c>
      <c r="C1217" s="8" t="s">
        <v>242</v>
      </c>
      <c r="D1217" s="8" t="s">
        <v>243</v>
      </c>
      <c r="E1217" s="8" t="s">
        <v>59</v>
      </c>
      <c r="F1217" s="8" t="s">
        <v>60</v>
      </c>
      <c r="G1217" s="8" t="s">
        <v>7</v>
      </c>
      <c r="H1217" s="8" t="s">
        <v>38</v>
      </c>
      <c r="I1217" s="9">
        <v>77.978138000000001</v>
      </c>
      <c r="J1217">
        <v>79.017328133663</v>
      </c>
      <c r="K1217">
        <v>80.152403873739999</v>
      </c>
      <c r="L1217">
        <v>81.198538949324998</v>
      </c>
    </row>
    <row r="1218" spans="1:12" x14ac:dyDescent="0.2">
      <c r="A1218" s="8" t="s">
        <v>32</v>
      </c>
      <c r="B1218" s="8" t="s">
        <v>115</v>
      </c>
      <c r="C1218" s="8" t="s">
        <v>244</v>
      </c>
      <c r="D1218" s="8" t="s">
        <v>245</v>
      </c>
      <c r="E1218" s="8" t="s">
        <v>36</v>
      </c>
      <c r="F1218" s="8" t="s">
        <v>37</v>
      </c>
      <c r="G1218" s="8" t="s">
        <v>7</v>
      </c>
      <c r="H1218" s="8" t="s">
        <v>38</v>
      </c>
      <c r="I1218" s="9">
        <v>108.30857</v>
      </c>
      <c r="J1218">
        <v>112.58454867</v>
      </c>
      <c r="K1218">
        <v>106.43093967</v>
      </c>
      <c r="L1218">
        <v>106.74051192035</v>
      </c>
    </row>
    <row r="1219" spans="1:12" x14ac:dyDescent="0.2">
      <c r="A1219" s="8" t="s">
        <v>32</v>
      </c>
      <c r="B1219" s="8" t="s">
        <v>115</v>
      </c>
      <c r="C1219" s="8" t="s">
        <v>244</v>
      </c>
      <c r="D1219" s="8" t="s">
        <v>245</v>
      </c>
      <c r="E1219" s="8" t="s">
        <v>43</v>
      </c>
      <c r="F1219" s="8" t="s">
        <v>44</v>
      </c>
      <c r="G1219" s="8" t="s">
        <v>7</v>
      </c>
      <c r="H1219" s="8" t="s">
        <v>38</v>
      </c>
      <c r="I1219" s="9">
        <v>530.43291999999997</v>
      </c>
      <c r="J1219">
        <v>528.31161105000001</v>
      </c>
      <c r="K1219">
        <v>528.57750018000002</v>
      </c>
      <c r="L1219">
        <v>521.80285922552002</v>
      </c>
    </row>
    <row r="1220" spans="1:12" x14ac:dyDescent="0.2">
      <c r="A1220" s="8" t="s">
        <v>32</v>
      </c>
      <c r="B1220" s="8" t="s">
        <v>115</v>
      </c>
      <c r="C1220" s="8" t="s">
        <v>244</v>
      </c>
      <c r="D1220" s="8" t="s">
        <v>245</v>
      </c>
      <c r="E1220" s="8" t="s">
        <v>55</v>
      </c>
      <c r="F1220" s="8" t="s">
        <v>56</v>
      </c>
      <c r="G1220" s="8" t="s">
        <v>7</v>
      </c>
      <c r="H1220" s="8" t="s">
        <v>38</v>
      </c>
      <c r="I1220" s="9">
        <v>1.6741E-3</v>
      </c>
      <c r="J1220">
        <v>1.6887517600783E-3</v>
      </c>
      <c r="K1220">
        <v>1.7035201752485E-3</v>
      </c>
      <c r="L1220">
        <v>1.7180215437181999E-3</v>
      </c>
    </row>
    <row r="1221" spans="1:12" x14ac:dyDescent="0.2">
      <c r="A1221" s="8" t="s">
        <v>32</v>
      </c>
      <c r="B1221" s="8" t="s">
        <v>115</v>
      </c>
      <c r="C1221" s="8" t="s">
        <v>244</v>
      </c>
      <c r="D1221" s="8" t="s">
        <v>245</v>
      </c>
      <c r="E1221" s="8" t="s">
        <v>59</v>
      </c>
      <c r="F1221" s="8" t="s">
        <v>60</v>
      </c>
      <c r="G1221" s="8" t="s">
        <v>7</v>
      </c>
      <c r="H1221" s="8" t="s">
        <v>38</v>
      </c>
      <c r="I1221" s="9">
        <v>6.0340900000000003E-2</v>
      </c>
      <c r="J1221">
        <v>6.0340881409303E-2</v>
      </c>
      <c r="K1221">
        <v>6.0340881409303E-2</v>
      </c>
      <c r="L1221">
        <v>6.0340881409303E-2</v>
      </c>
    </row>
    <row r="1222" spans="1:12" x14ac:dyDescent="0.2">
      <c r="A1222" s="8" t="s">
        <v>32</v>
      </c>
      <c r="B1222" s="8" t="s">
        <v>115</v>
      </c>
      <c r="C1222" s="8" t="s">
        <v>244</v>
      </c>
      <c r="D1222" s="8" t="s">
        <v>245</v>
      </c>
      <c r="E1222" s="8" t="s">
        <v>92</v>
      </c>
      <c r="F1222" s="8" t="s">
        <v>93</v>
      </c>
      <c r="G1222" s="8" t="s">
        <v>7</v>
      </c>
      <c r="H1222" s="8" t="s">
        <v>38</v>
      </c>
      <c r="I1222" s="9">
        <v>0.61125099999999999</v>
      </c>
      <c r="J1222">
        <v>0.61331878031200004</v>
      </c>
      <c r="K1222">
        <v>0.61539355564801002</v>
      </c>
      <c r="L1222">
        <v>0.61772052694560997</v>
      </c>
    </row>
    <row r="1223" spans="1:12" x14ac:dyDescent="0.2">
      <c r="A1223" s="8" t="s">
        <v>32</v>
      </c>
      <c r="B1223" s="8" t="s">
        <v>125</v>
      </c>
      <c r="C1223" s="8" t="s">
        <v>246</v>
      </c>
      <c r="D1223" s="8" t="s">
        <v>247</v>
      </c>
      <c r="E1223" s="8" t="s">
        <v>36</v>
      </c>
      <c r="F1223" s="8" t="s">
        <v>37</v>
      </c>
      <c r="G1223" s="8" t="s">
        <v>7</v>
      </c>
      <c r="H1223" s="8" t="s">
        <v>38</v>
      </c>
      <c r="I1223" s="9">
        <v>995.67971</v>
      </c>
      <c r="J1223">
        <v>844.87766659073998</v>
      </c>
      <c r="K1223">
        <v>850.46450113095</v>
      </c>
      <c r="L1223">
        <v>813.24468534877997</v>
      </c>
    </row>
    <row r="1224" spans="1:12" x14ac:dyDescent="0.2">
      <c r="A1224" s="8" t="s">
        <v>32</v>
      </c>
      <c r="B1224" s="8" t="s">
        <v>125</v>
      </c>
      <c r="C1224" s="8" t="s">
        <v>246</v>
      </c>
      <c r="D1224" s="8" t="s">
        <v>247</v>
      </c>
      <c r="E1224" s="8" t="s">
        <v>64</v>
      </c>
      <c r="F1224" s="8" t="s">
        <v>65</v>
      </c>
      <c r="G1224" s="8" t="s">
        <v>7</v>
      </c>
      <c r="H1224" s="8" t="s">
        <v>38</v>
      </c>
      <c r="I1224" s="9"/>
    </row>
    <row r="1225" spans="1:12" x14ac:dyDescent="0.2">
      <c r="A1225" s="8" t="s">
        <v>32</v>
      </c>
      <c r="B1225" s="8" t="s">
        <v>125</v>
      </c>
      <c r="C1225" s="8" t="s">
        <v>246</v>
      </c>
      <c r="D1225" s="8" t="s">
        <v>247</v>
      </c>
      <c r="E1225" s="8" t="s">
        <v>39</v>
      </c>
      <c r="F1225" s="8" t="s">
        <v>40</v>
      </c>
      <c r="G1225" s="8" t="s">
        <v>7</v>
      </c>
      <c r="H1225" s="8" t="s">
        <v>38</v>
      </c>
      <c r="I1225" s="9">
        <v>598.51063999999997</v>
      </c>
      <c r="J1225">
        <v>544.44831873191004</v>
      </c>
      <c r="K1225">
        <v>549.50429217957003</v>
      </c>
      <c r="L1225">
        <v>525.45572989480002</v>
      </c>
    </row>
    <row r="1226" spans="1:12" x14ac:dyDescent="0.2">
      <c r="A1226" s="8" t="s">
        <v>32</v>
      </c>
      <c r="B1226" s="8" t="s">
        <v>125</v>
      </c>
      <c r="C1226" s="8" t="s">
        <v>246</v>
      </c>
      <c r="D1226" s="8" t="s">
        <v>247</v>
      </c>
      <c r="E1226" s="8" t="s">
        <v>41</v>
      </c>
      <c r="F1226" s="8" t="s">
        <v>42</v>
      </c>
      <c r="G1226" s="8" t="s">
        <v>7</v>
      </c>
      <c r="H1226" s="8" t="s">
        <v>38</v>
      </c>
      <c r="I1226" s="9">
        <v>21.191222</v>
      </c>
      <c r="J1226">
        <v>21.503811752320001</v>
      </c>
      <c r="K1226">
        <v>21.131265743265001</v>
      </c>
      <c r="L1226">
        <v>23.815876322038999</v>
      </c>
    </row>
    <row r="1227" spans="1:12" x14ac:dyDescent="0.2">
      <c r="A1227" s="8" t="s">
        <v>32</v>
      </c>
      <c r="B1227" s="8" t="s">
        <v>125</v>
      </c>
      <c r="C1227" s="8" t="s">
        <v>246</v>
      </c>
      <c r="D1227" s="8" t="s">
        <v>247</v>
      </c>
      <c r="E1227" s="8" t="s">
        <v>43</v>
      </c>
      <c r="F1227" s="8" t="s">
        <v>44</v>
      </c>
      <c r="G1227" s="8" t="s">
        <v>7</v>
      </c>
      <c r="H1227" s="8" t="s">
        <v>38</v>
      </c>
      <c r="I1227" s="9">
        <v>2471.8395</v>
      </c>
      <c r="J1227">
        <v>2441.7526830231</v>
      </c>
      <c r="K1227">
        <v>2476.4637337120998</v>
      </c>
      <c r="L1227">
        <v>2368.0835205023</v>
      </c>
    </row>
    <row r="1228" spans="1:12" x14ac:dyDescent="0.2">
      <c r="A1228" s="8" t="s">
        <v>32</v>
      </c>
      <c r="B1228" s="8" t="s">
        <v>125</v>
      </c>
      <c r="C1228" s="8" t="s">
        <v>246</v>
      </c>
      <c r="D1228" s="8" t="s">
        <v>247</v>
      </c>
      <c r="E1228" s="8" t="s">
        <v>66</v>
      </c>
      <c r="F1228" s="8" t="s">
        <v>67</v>
      </c>
      <c r="G1228" s="8" t="s">
        <v>7</v>
      </c>
      <c r="H1228" s="8" t="s">
        <v>38</v>
      </c>
      <c r="I1228" s="9">
        <v>120.26018000000001</v>
      </c>
      <c r="J1228">
        <v>110.05284954605</v>
      </c>
      <c r="K1228">
        <v>105.46588361194</v>
      </c>
      <c r="L1228">
        <v>100.85026384872</v>
      </c>
    </row>
    <row r="1229" spans="1:12" x14ac:dyDescent="0.2">
      <c r="A1229" s="8" t="s">
        <v>32</v>
      </c>
      <c r="B1229" s="8" t="s">
        <v>125</v>
      </c>
      <c r="C1229" s="8" t="s">
        <v>246</v>
      </c>
      <c r="D1229" s="8" t="s">
        <v>247</v>
      </c>
      <c r="E1229" s="8" t="s">
        <v>45</v>
      </c>
      <c r="F1229" s="8" t="s">
        <v>46</v>
      </c>
      <c r="G1229" s="8" t="s">
        <v>7</v>
      </c>
      <c r="H1229" s="8" t="s">
        <v>38</v>
      </c>
      <c r="I1229" s="9">
        <v>25.974471000000001</v>
      </c>
      <c r="J1229">
        <v>23.849059286940001</v>
      </c>
      <c r="K1229">
        <v>23.274216663878001</v>
      </c>
      <c r="L1229">
        <v>21.803700470717999</v>
      </c>
    </row>
    <row r="1230" spans="1:12" x14ac:dyDescent="0.2">
      <c r="A1230" s="8" t="s">
        <v>32</v>
      </c>
      <c r="B1230" s="8" t="s">
        <v>125</v>
      </c>
      <c r="C1230" s="8" t="s">
        <v>246</v>
      </c>
      <c r="D1230" s="8" t="s">
        <v>247</v>
      </c>
      <c r="E1230" s="8" t="s">
        <v>47</v>
      </c>
      <c r="F1230" s="8" t="s">
        <v>48</v>
      </c>
      <c r="G1230" s="8" t="s">
        <v>7</v>
      </c>
      <c r="H1230" s="8" t="s">
        <v>38</v>
      </c>
      <c r="I1230" s="9">
        <v>29.713671999999999</v>
      </c>
      <c r="J1230">
        <v>30.218360326540001</v>
      </c>
      <c r="K1230">
        <v>31.530523578661999</v>
      </c>
      <c r="L1230">
        <v>30.150618506137</v>
      </c>
    </row>
    <row r="1231" spans="1:12" x14ac:dyDescent="0.2">
      <c r="A1231" s="8" t="s">
        <v>32</v>
      </c>
      <c r="B1231" s="8" t="s">
        <v>125</v>
      </c>
      <c r="C1231" s="8" t="s">
        <v>246</v>
      </c>
      <c r="D1231" s="8" t="s">
        <v>247</v>
      </c>
      <c r="E1231" s="8" t="s">
        <v>49</v>
      </c>
      <c r="F1231" s="8" t="s">
        <v>50</v>
      </c>
      <c r="G1231" s="8" t="s">
        <v>7</v>
      </c>
      <c r="H1231" s="8" t="s">
        <v>38</v>
      </c>
      <c r="I1231" s="9">
        <v>267.03681999999998</v>
      </c>
      <c r="J1231">
        <v>252.34570862212999</v>
      </c>
      <c r="K1231">
        <v>270.88174320831001</v>
      </c>
      <c r="L1231">
        <v>259.02684677517999</v>
      </c>
    </row>
    <row r="1232" spans="1:12" x14ac:dyDescent="0.2">
      <c r="A1232" s="8" t="s">
        <v>32</v>
      </c>
      <c r="B1232" s="8" t="s">
        <v>125</v>
      </c>
      <c r="C1232" s="8" t="s">
        <v>246</v>
      </c>
      <c r="D1232" s="8" t="s">
        <v>247</v>
      </c>
      <c r="E1232" s="8" t="s">
        <v>51</v>
      </c>
      <c r="F1232" s="8" t="s">
        <v>52</v>
      </c>
      <c r="G1232" s="8" t="s">
        <v>7</v>
      </c>
      <c r="H1232" s="8" t="s">
        <v>38</v>
      </c>
      <c r="I1232" s="9">
        <v>205.76097999999999</v>
      </c>
      <c r="J1232">
        <v>151.71427040508999</v>
      </c>
      <c r="K1232">
        <v>195.74849808099</v>
      </c>
      <c r="L1232">
        <v>187.18174070486</v>
      </c>
    </row>
    <row r="1233" spans="1:12" x14ac:dyDescent="0.2">
      <c r="A1233" s="8" t="s">
        <v>32</v>
      </c>
      <c r="B1233" s="8" t="s">
        <v>125</v>
      </c>
      <c r="C1233" s="8" t="s">
        <v>246</v>
      </c>
      <c r="D1233" s="8" t="s">
        <v>247</v>
      </c>
      <c r="E1233" s="8" t="s">
        <v>53</v>
      </c>
      <c r="F1233" s="8" t="s">
        <v>54</v>
      </c>
      <c r="G1233" s="8" t="s">
        <v>7</v>
      </c>
      <c r="H1233" s="8" t="s">
        <v>38</v>
      </c>
      <c r="I1233" s="9"/>
    </row>
    <row r="1234" spans="1:12" x14ac:dyDescent="0.2">
      <c r="A1234" s="8" t="s">
        <v>32</v>
      </c>
      <c r="B1234" s="8" t="s">
        <v>125</v>
      </c>
      <c r="C1234" s="8" t="s">
        <v>246</v>
      </c>
      <c r="D1234" s="8" t="s">
        <v>247</v>
      </c>
      <c r="E1234" s="8" t="s">
        <v>70</v>
      </c>
      <c r="F1234" s="8" t="s">
        <v>71</v>
      </c>
      <c r="G1234" s="8" t="s">
        <v>7</v>
      </c>
      <c r="H1234" s="8" t="s">
        <v>38</v>
      </c>
      <c r="I1234" s="9">
        <v>624.99481000000003</v>
      </c>
      <c r="J1234">
        <v>624.99481119999996</v>
      </c>
      <c r="K1234">
        <v>664.05698689999997</v>
      </c>
      <c r="L1234">
        <v>663.30783922275998</v>
      </c>
    </row>
    <row r="1235" spans="1:12" x14ac:dyDescent="0.2">
      <c r="A1235" s="8" t="s">
        <v>32</v>
      </c>
      <c r="B1235" s="8" t="s">
        <v>125</v>
      </c>
      <c r="C1235" s="8" t="s">
        <v>246</v>
      </c>
      <c r="D1235" s="8" t="s">
        <v>247</v>
      </c>
      <c r="E1235" s="8" t="s">
        <v>55</v>
      </c>
      <c r="F1235" s="8" t="s">
        <v>56</v>
      </c>
      <c r="G1235" s="8" t="s">
        <v>7</v>
      </c>
      <c r="H1235" s="8" t="s">
        <v>38</v>
      </c>
      <c r="I1235" s="9">
        <v>0.68485529999999994</v>
      </c>
      <c r="J1235">
        <v>0.76705572236535002</v>
      </c>
      <c r="K1235">
        <v>0.76705572236535002</v>
      </c>
      <c r="L1235">
        <v>0.76705572236535002</v>
      </c>
    </row>
    <row r="1236" spans="1:12" x14ac:dyDescent="0.2">
      <c r="A1236" s="8" t="s">
        <v>32</v>
      </c>
      <c r="B1236" s="8" t="s">
        <v>125</v>
      </c>
      <c r="C1236" s="8" t="s">
        <v>246</v>
      </c>
      <c r="D1236" s="8" t="s">
        <v>247</v>
      </c>
      <c r="E1236" s="8" t="s">
        <v>57</v>
      </c>
      <c r="F1236" s="8" t="s">
        <v>58</v>
      </c>
      <c r="G1236" s="8" t="s">
        <v>7</v>
      </c>
      <c r="H1236" s="8" t="s">
        <v>38</v>
      </c>
      <c r="I1236" s="9"/>
    </row>
    <row r="1237" spans="1:12" x14ac:dyDescent="0.2">
      <c r="A1237" s="8" t="s">
        <v>32</v>
      </c>
      <c r="B1237" s="8" t="s">
        <v>125</v>
      </c>
      <c r="C1237" s="8" t="s">
        <v>246</v>
      </c>
      <c r="D1237" s="8" t="s">
        <v>247</v>
      </c>
      <c r="E1237" s="8" t="s">
        <v>59</v>
      </c>
      <c r="F1237" s="8" t="s">
        <v>60</v>
      </c>
      <c r="G1237" s="8" t="s">
        <v>7</v>
      </c>
      <c r="H1237" s="8" t="s">
        <v>38</v>
      </c>
      <c r="I1237" s="9">
        <v>31.801380999999999</v>
      </c>
      <c r="J1237">
        <v>31.144574568621</v>
      </c>
      <c r="K1237">
        <v>31.508500699184001</v>
      </c>
      <c r="L1237">
        <v>32.707711264425001</v>
      </c>
    </row>
    <row r="1238" spans="1:12" x14ac:dyDescent="0.2">
      <c r="A1238" s="8" t="s">
        <v>32</v>
      </c>
      <c r="B1238" s="8" t="s">
        <v>33</v>
      </c>
      <c r="C1238" s="8" t="s">
        <v>248</v>
      </c>
      <c r="D1238" s="8" t="s">
        <v>249</v>
      </c>
      <c r="E1238" s="8" t="s">
        <v>36</v>
      </c>
      <c r="F1238" s="8" t="s">
        <v>37</v>
      </c>
      <c r="G1238" s="8" t="s">
        <v>7</v>
      </c>
      <c r="H1238" s="8" t="s">
        <v>38</v>
      </c>
      <c r="I1238" s="9">
        <v>524.30925999999999</v>
      </c>
      <c r="J1238">
        <v>524.30926457146995</v>
      </c>
      <c r="K1238">
        <v>524.30926457146995</v>
      </c>
      <c r="L1238">
        <v>523.24759751906004</v>
      </c>
    </row>
    <row r="1239" spans="1:12" x14ac:dyDescent="0.2">
      <c r="A1239" s="8" t="s">
        <v>32</v>
      </c>
      <c r="B1239" s="8" t="s">
        <v>33</v>
      </c>
      <c r="C1239" s="8" t="s">
        <v>248</v>
      </c>
      <c r="D1239" s="8" t="s">
        <v>249</v>
      </c>
      <c r="E1239" s="8" t="s">
        <v>39</v>
      </c>
      <c r="F1239" s="8" t="s">
        <v>40</v>
      </c>
      <c r="G1239" s="8" t="s">
        <v>7</v>
      </c>
      <c r="H1239" s="8" t="s">
        <v>38</v>
      </c>
      <c r="I1239" s="9">
        <v>30.452608999999999</v>
      </c>
      <c r="J1239">
        <v>30.452608799650999</v>
      </c>
      <c r="K1239">
        <v>30.452608799650999</v>
      </c>
      <c r="L1239">
        <v>30.390945705734001</v>
      </c>
    </row>
    <row r="1240" spans="1:12" x14ac:dyDescent="0.2">
      <c r="A1240" s="8" t="s">
        <v>32</v>
      </c>
      <c r="B1240" s="8" t="s">
        <v>33</v>
      </c>
      <c r="C1240" s="8" t="s">
        <v>248</v>
      </c>
      <c r="D1240" s="8" t="s">
        <v>249</v>
      </c>
      <c r="E1240" s="8" t="s">
        <v>41</v>
      </c>
      <c r="F1240" s="8" t="s">
        <v>42</v>
      </c>
      <c r="G1240" s="8" t="s">
        <v>7</v>
      </c>
      <c r="H1240" s="8" t="s">
        <v>38</v>
      </c>
      <c r="I1240" s="9">
        <v>29.409230000000001</v>
      </c>
      <c r="J1240">
        <v>29.409229838687999</v>
      </c>
      <c r="K1240">
        <v>29.409229838687999</v>
      </c>
      <c r="L1240">
        <v>33.578559574867</v>
      </c>
    </row>
    <row r="1241" spans="1:12" x14ac:dyDescent="0.2">
      <c r="A1241" s="8" t="s">
        <v>32</v>
      </c>
      <c r="B1241" s="8" t="s">
        <v>33</v>
      </c>
      <c r="C1241" s="8" t="s">
        <v>248</v>
      </c>
      <c r="D1241" s="8" t="s">
        <v>249</v>
      </c>
      <c r="E1241" s="8" t="s">
        <v>43</v>
      </c>
      <c r="F1241" s="8" t="s">
        <v>44</v>
      </c>
      <c r="G1241" s="8" t="s">
        <v>7</v>
      </c>
      <c r="H1241" s="8" t="s">
        <v>38</v>
      </c>
      <c r="I1241" s="9">
        <v>322.59658000000002</v>
      </c>
      <c r="J1241">
        <v>322.59657894958002</v>
      </c>
      <c r="K1241">
        <v>322.59657894958002</v>
      </c>
      <c r="L1241">
        <v>321.94335730687999</v>
      </c>
    </row>
    <row r="1242" spans="1:12" x14ac:dyDescent="0.2">
      <c r="A1242" s="8" t="s">
        <v>32</v>
      </c>
      <c r="B1242" s="8" t="s">
        <v>33</v>
      </c>
      <c r="C1242" s="8" t="s">
        <v>248</v>
      </c>
      <c r="D1242" s="8" t="s">
        <v>249</v>
      </c>
      <c r="E1242" s="8" t="s">
        <v>45</v>
      </c>
      <c r="F1242" s="8" t="s">
        <v>46</v>
      </c>
      <c r="G1242" s="8" t="s">
        <v>7</v>
      </c>
      <c r="H1242" s="8" t="s">
        <v>38</v>
      </c>
      <c r="I1242" s="9">
        <v>8.4949390999999999</v>
      </c>
      <c r="J1242">
        <v>8.4949391462233006</v>
      </c>
      <c r="K1242">
        <v>8.4949391462233006</v>
      </c>
      <c r="L1242">
        <v>9.0523936218461003</v>
      </c>
    </row>
    <row r="1243" spans="1:12" x14ac:dyDescent="0.2">
      <c r="A1243" s="8" t="s">
        <v>32</v>
      </c>
      <c r="B1243" s="8" t="s">
        <v>33</v>
      </c>
      <c r="C1243" s="8" t="s">
        <v>248</v>
      </c>
      <c r="D1243" s="8" t="s">
        <v>249</v>
      </c>
      <c r="E1243" s="8" t="s">
        <v>47</v>
      </c>
      <c r="F1243" s="8" t="s">
        <v>48</v>
      </c>
      <c r="G1243" s="8" t="s">
        <v>7</v>
      </c>
      <c r="H1243" s="8" t="s">
        <v>38</v>
      </c>
      <c r="I1243" s="9">
        <v>9.5058120000000006</v>
      </c>
      <c r="J1243">
        <v>9.5058119748057006</v>
      </c>
      <c r="K1243">
        <v>9.5058119748057006</v>
      </c>
      <c r="L1243">
        <v>9.4865637790137995</v>
      </c>
    </row>
    <row r="1244" spans="1:12" x14ac:dyDescent="0.2">
      <c r="A1244" s="8" t="s">
        <v>32</v>
      </c>
      <c r="B1244" s="8" t="s">
        <v>33</v>
      </c>
      <c r="C1244" s="8" t="s">
        <v>248</v>
      </c>
      <c r="D1244" s="8" t="s">
        <v>249</v>
      </c>
      <c r="E1244" s="8" t="s">
        <v>49</v>
      </c>
      <c r="F1244" s="8" t="s">
        <v>50</v>
      </c>
      <c r="G1244" s="8" t="s">
        <v>7</v>
      </c>
      <c r="H1244" s="8" t="s">
        <v>38</v>
      </c>
      <c r="I1244" s="9">
        <v>54.079073000000001</v>
      </c>
      <c r="J1244">
        <v>54.079072587866001</v>
      </c>
      <c r="K1244">
        <v>54.079072587866001</v>
      </c>
      <c r="L1244">
        <v>53.969568572831001</v>
      </c>
    </row>
    <row r="1245" spans="1:12" x14ac:dyDescent="0.2">
      <c r="A1245" s="8" t="s">
        <v>32</v>
      </c>
      <c r="B1245" s="8" t="s">
        <v>33</v>
      </c>
      <c r="C1245" s="8" t="s">
        <v>248</v>
      </c>
      <c r="D1245" s="8" t="s">
        <v>249</v>
      </c>
      <c r="E1245" s="8" t="s">
        <v>51</v>
      </c>
      <c r="F1245" s="8" t="s">
        <v>52</v>
      </c>
      <c r="G1245" s="8" t="s">
        <v>7</v>
      </c>
      <c r="H1245" s="8" t="s">
        <v>38</v>
      </c>
      <c r="I1245" s="9">
        <v>10.210535999999999</v>
      </c>
      <c r="J1245">
        <v>10.210536161641</v>
      </c>
      <c r="K1245">
        <v>10.210536161641</v>
      </c>
      <c r="L1245">
        <v>10.189860978953</v>
      </c>
    </row>
    <row r="1246" spans="1:12" x14ac:dyDescent="0.2">
      <c r="A1246" s="8" t="s">
        <v>32</v>
      </c>
      <c r="B1246" s="8" t="s">
        <v>33</v>
      </c>
      <c r="C1246" s="8" t="s">
        <v>248</v>
      </c>
      <c r="D1246" s="8" t="s">
        <v>249</v>
      </c>
      <c r="E1246" s="8" t="s">
        <v>53</v>
      </c>
      <c r="F1246" s="8" t="s">
        <v>54</v>
      </c>
      <c r="G1246" s="8" t="s">
        <v>7</v>
      </c>
      <c r="H1246" s="8" t="s">
        <v>38</v>
      </c>
      <c r="I1246" s="9">
        <v>3.3799999999999998E-4</v>
      </c>
      <c r="J1246">
        <v>3.3804783723837998E-4</v>
      </c>
      <c r="K1246">
        <v>3.3804783723837998E-4</v>
      </c>
      <c r="L1246">
        <v>3.3804783723837998E-4</v>
      </c>
    </row>
    <row r="1247" spans="1:12" x14ac:dyDescent="0.2">
      <c r="A1247" s="8" t="s">
        <v>32</v>
      </c>
      <c r="B1247" s="8" t="s">
        <v>33</v>
      </c>
      <c r="C1247" s="8" t="s">
        <v>248</v>
      </c>
      <c r="D1247" s="8" t="s">
        <v>249</v>
      </c>
      <c r="E1247" s="8" t="s">
        <v>70</v>
      </c>
      <c r="F1247" s="8" t="s">
        <v>71</v>
      </c>
      <c r="G1247" s="8" t="s">
        <v>7</v>
      </c>
      <c r="H1247" s="8" t="s">
        <v>38</v>
      </c>
      <c r="I1247" s="9">
        <v>115.73215999999999</v>
      </c>
      <c r="J1247">
        <v>115.73216205</v>
      </c>
      <c r="K1247">
        <v>115.73216205</v>
      </c>
      <c r="L1247">
        <v>115.60160024267</v>
      </c>
    </row>
    <row r="1248" spans="1:12" x14ac:dyDescent="0.2">
      <c r="A1248" s="8" t="s">
        <v>32</v>
      </c>
      <c r="B1248" s="8" t="s">
        <v>33</v>
      </c>
      <c r="C1248" s="8" t="s">
        <v>248</v>
      </c>
      <c r="D1248" s="8" t="s">
        <v>249</v>
      </c>
      <c r="E1248" s="8" t="s">
        <v>83</v>
      </c>
      <c r="F1248" s="8" t="s">
        <v>84</v>
      </c>
      <c r="G1248" s="8" t="s">
        <v>7</v>
      </c>
      <c r="H1248" s="8" t="s">
        <v>38</v>
      </c>
      <c r="I1248" s="9">
        <v>7.5</v>
      </c>
      <c r="J1248">
        <v>7.5</v>
      </c>
      <c r="K1248">
        <v>7.5</v>
      </c>
      <c r="L1248">
        <v>7.5</v>
      </c>
    </row>
    <row r="1249" spans="1:12" x14ac:dyDescent="0.2">
      <c r="A1249" s="8" t="s">
        <v>32</v>
      </c>
      <c r="B1249" s="8" t="s">
        <v>33</v>
      </c>
      <c r="C1249" s="8" t="s">
        <v>248</v>
      </c>
      <c r="D1249" s="8" t="s">
        <v>249</v>
      </c>
      <c r="E1249" s="8" t="s">
        <v>55</v>
      </c>
      <c r="F1249" s="8" t="s">
        <v>56</v>
      </c>
      <c r="G1249" s="8" t="s">
        <v>7</v>
      </c>
      <c r="H1249" s="8" t="s">
        <v>38</v>
      </c>
      <c r="I1249" s="9">
        <v>2.3691E-2</v>
      </c>
      <c r="J1249">
        <v>2.6534479683603E-2</v>
      </c>
      <c r="K1249">
        <v>2.6534479683603E-2</v>
      </c>
      <c r="L1249">
        <v>2.6534479683603E-2</v>
      </c>
    </row>
    <row r="1250" spans="1:12" x14ac:dyDescent="0.2">
      <c r="A1250" s="8" t="s">
        <v>32</v>
      </c>
      <c r="B1250" s="8" t="s">
        <v>33</v>
      </c>
      <c r="C1250" s="8" t="s">
        <v>248</v>
      </c>
      <c r="D1250" s="8" t="s">
        <v>249</v>
      </c>
      <c r="E1250" s="8" t="s">
        <v>57</v>
      </c>
      <c r="F1250" s="8" t="s">
        <v>58</v>
      </c>
      <c r="G1250" s="8" t="s">
        <v>7</v>
      </c>
      <c r="H1250" s="8" t="s">
        <v>38</v>
      </c>
      <c r="I1250" s="9"/>
    </row>
    <row r="1251" spans="1:12" x14ac:dyDescent="0.2">
      <c r="A1251" s="8" t="s">
        <v>32</v>
      </c>
      <c r="B1251" s="8" t="s">
        <v>33</v>
      </c>
      <c r="C1251" s="8" t="s">
        <v>248</v>
      </c>
      <c r="D1251" s="8" t="s">
        <v>249</v>
      </c>
      <c r="E1251" s="8" t="s">
        <v>59</v>
      </c>
      <c r="F1251" s="8" t="s">
        <v>60</v>
      </c>
      <c r="G1251" s="8" t="s">
        <v>7</v>
      </c>
      <c r="H1251" s="8" t="s">
        <v>38</v>
      </c>
      <c r="I1251" s="9">
        <v>2.4525657000000001</v>
      </c>
      <c r="J1251">
        <v>2.4519216664617001</v>
      </c>
      <c r="K1251">
        <v>2.4518974983467001</v>
      </c>
      <c r="L1251">
        <v>2.4518685640792</v>
      </c>
    </row>
    <row r="1252" spans="1:12" x14ac:dyDescent="0.2">
      <c r="A1252" s="8" t="s">
        <v>32</v>
      </c>
      <c r="B1252" s="8" t="s">
        <v>125</v>
      </c>
      <c r="C1252" s="8" t="s">
        <v>250</v>
      </c>
      <c r="D1252" s="8" t="s">
        <v>251</v>
      </c>
      <c r="E1252" s="8" t="s">
        <v>36</v>
      </c>
      <c r="F1252" s="8" t="s">
        <v>37</v>
      </c>
      <c r="G1252" s="8" t="s">
        <v>7</v>
      </c>
      <c r="H1252" s="8" t="s">
        <v>38</v>
      </c>
      <c r="I1252" s="9">
        <v>87.684415999999999</v>
      </c>
      <c r="J1252">
        <v>90.346637385758996</v>
      </c>
      <c r="K1252">
        <v>92.106583398373004</v>
      </c>
      <c r="L1252">
        <v>88.075621421885003</v>
      </c>
    </row>
    <row r="1253" spans="1:12" x14ac:dyDescent="0.2">
      <c r="A1253" s="8" t="s">
        <v>32</v>
      </c>
      <c r="B1253" s="8" t="s">
        <v>125</v>
      </c>
      <c r="C1253" s="8" t="s">
        <v>250</v>
      </c>
      <c r="D1253" s="8" t="s">
        <v>251</v>
      </c>
      <c r="E1253" s="8" t="s">
        <v>64</v>
      </c>
      <c r="F1253" s="8" t="s">
        <v>65</v>
      </c>
      <c r="G1253" s="8" t="s">
        <v>7</v>
      </c>
      <c r="H1253" s="8" t="s">
        <v>38</v>
      </c>
      <c r="I1253" s="9"/>
    </row>
    <row r="1254" spans="1:12" x14ac:dyDescent="0.2">
      <c r="A1254" s="8" t="s">
        <v>32</v>
      </c>
      <c r="B1254" s="8" t="s">
        <v>125</v>
      </c>
      <c r="C1254" s="8" t="s">
        <v>250</v>
      </c>
      <c r="D1254" s="8" t="s">
        <v>251</v>
      </c>
      <c r="E1254" s="8" t="s">
        <v>39</v>
      </c>
      <c r="F1254" s="8" t="s">
        <v>40</v>
      </c>
      <c r="G1254" s="8" t="s">
        <v>7</v>
      </c>
      <c r="H1254" s="8" t="s">
        <v>38</v>
      </c>
      <c r="I1254" s="9">
        <v>52.707768999999999</v>
      </c>
      <c r="J1254">
        <v>58.220351623502999</v>
      </c>
      <c r="K1254">
        <v>59.512140539782003</v>
      </c>
      <c r="L1254">
        <v>56.907645108464997</v>
      </c>
    </row>
    <row r="1255" spans="1:12" x14ac:dyDescent="0.2">
      <c r="A1255" s="8" t="s">
        <v>32</v>
      </c>
      <c r="B1255" s="8" t="s">
        <v>125</v>
      </c>
      <c r="C1255" s="8" t="s">
        <v>250</v>
      </c>
      <c r="D1255" s="8" t="s">
        <v>251</v>
      </c>
      <c r="E1255" s="8" t="s">
        <v>41</v>
      </c>
      <c r="F1255" s="8" t="s">
        <v>42</v>
      </c>
      <c r="G1255" s="8" t="s">
        <v>7</v>
      </c>
      <c r="H1255" s="8" t="s">
        <v>38</v>
      </c>
      <c r="I1255" s="9">
        <v>1.8662023999999999</v>
      </c>
      <c r="J1255">
        <v>2.2995010515995999</v>
      </c>
      <c r="K1255">
        <v>2.288547832281</v>
      </c>
      <c r="L1255">
        <v>2.5792951919148002</v>
      </c>
    </row>
    <row r="1256" spans="1:12" x14ac:dyDescent="0.2">
      <c r="A1256" s="8" t="s">
        <v>32</v>
      </c>
      <c r="B1256" s="8" t="s">
        <v>125</v>
      </c>
      <c r="C1256" s="8" t="s">
        <v>250</v>
      </c>
      <c r="D1256" s="8" t="s">
        <v>251</v>
      </c>
      <c r="E1256" s="8" t="s">
        <v>43</v>
      </c>
      <c r="F1256" s="8" t="s">
        <v>44</v>
      </c>
      <c r="G1256" s="8" t="s">
        <v>7</v>
      </c>
      <c r="H1256" s="8" t="s">
        <v>38</v>
      </c>
      <c r="I1256" s="9">
        <v>217.68225000000001</v>
      </c>
      <c r="J1256">
        <v>261.10779461005001</v>
      </c>
      <c r="K1256">
        <v>268.20474354764002</v>
      </c>
      <c r="L1256">
        <v>256.46700360262003</v>
      </c>
    </row>
    <row r="1257" spans="1:12" x14ac:dyDescent="0.2">
      <c r="A1257" s="8" t="s">
        <v>32</v>
      </c>
      <c r="B1257" s="8" t="s">
        <v>125</v>
      </c>
      <c r="C1257" s="8" t="s">
        <v>250</v>
      </c>
      <c r="D1257" s="8" t="s">
        <v>251</v>
      </c>
      <c r="E1257" s="8" t="s">
        <v>66</v>
      </c>
      <c r="F1257" s="8" t="s">
        <v>67</v>
      </c>
      <c r="G1257" s="8" t="s">
        <v>7</v>
      </c>
      <c r="H1257" s="8" t="s">
        <v>38</v>
      </c>
      <c r="I1257" s="9">
        <v>10.590699000000001</v>
      </c>
      <c r="J1257">
        <v>11.768455108214001</v>
      </c>
      <c r="K1257">
        <v>11.422113670433999</v>
      </c>
      <c r="L1257">
        <v>10.922235114549</v>
      </c>
    </row>
    <row r="1258" spans="1:12" x14ac:dyDescent="0.2">
      <c r="A1258" s="8" t="s">
        <v>32</v>
      </c>
      <c r="B1258" s="8" t="s">
        <v>125</v>
      </c>
      <c r="C1258" s="8" t="s">
        <v>250</v>
      </c>
      <c r="D1258" s="8" t="s">
        <v>251</v>
      </c>
      <c r="E1258" s="8" t="s">
        <v>45</v>
      </c>
      <c r="F1258" s="8" t="s">
        <v>46</v>
      </c>
      <c r="G1258" s="8" t="s">
        <v>7</v>
      </c>
      <c r="H1258" s="8" t="s">
        <v>38</v>
      </c>
      <c r="I1258" s="9">
        <v>2.2874387</v>
      </c>
      <c r="J1258">
        <v>2.5502891088163002</v>
      </c>
      <c r="K1258">
        <v>2.5206326370266998</v>
      </c>
      <c r="L1258">
        <v>2.3613735236787998</v>
      </c>
    </row>
    <row r="1259" spans="1:12" x14ac:dyDescent="0.2">
      <c r="A1259" s="8" t="s">
        <v>32</v>
      </c>
      <c r="B1259" s="8" t="s">
        <v>125</v>
      </c>
      <c r="C1259" s="8" t="s">
        <v>250</v>
      </c>
      <c r="D1259" s="8" t="s">
        <v>251</v>
      </c>
      <c r="E1259" s="8" t="s">
        <v>47</v>
      </c>
      <c r="F1259" s="8" t="s">
        <v>48</v>
      </c>
      <c r="G1259" s="8" t="s">
        <v>7</v>
      </c>
      <c r="H1259" s="8" t="s">
        <v>38</v>
      </c>
      <c r="I1259" s="9">
        <v>2.6167310000000001</v>
      </c>
      <c r="J1259">
        <v>3.2313876325203998</v>
      </c>
      <c r="K1259">
        <v>3.4148030819985999</v>
      </c>
      <c r="L1259">
        <v>3.2653572891697</v>
      </c>
    </row>
    <row r="1260" spans="1:12" x14ac:dyDescent="0.2">
      <c r="A1260" s="8" t="s">
        <v>32</v>
      </c>
      <c r="B1260" s="8" t="s">
        <v>125</v>
      </c>
      <c r="C1260" s="8" t="s">
        <v>250</v>
      </c>
      <c r="D1260" s="8" t="s">
        <v>251</v>
      </c>
      <c r="E1260" s="8" t="s">
        <v>49</v>
      </c>
      <c r="F1260" s="8" t="s">
        <v>50</v>
      </c>
      <c r="G1260" s="8" t="s">
        <v>7</v>
      </c>
      <c r="H1260" s="8" t="s">
        <v>38</v>
      </c>
      <c r="I1260" s="9">
        <v>23.516566000000001</v>
      </c>
      <c r="J1260">
        <v>26.984482054937001</v>
      </c>
      <c r="K1260">
        <v>29.336899822079001</v>
      </c>
      <c r="L1260">
        <v>28.052996724953001</v>
      </c>
    </row>
    <row r="1261" spans="1:12" x14ac:dyDescent="0.2">
      <c r="A1261" s="8" t="s">
        <v>32</v>
      </c>
      <c r="B1261" s="8" t="s">
        <v>125</v>
      </c>
      <c r="C1261" s="8" t="s">
        <v>250</v>
      </c>
      <c r="D1261" s="8" t="s">
        <v>251</v>
      </c>
      <c r="E1261" s="8" t="s">
        <v>51</v>
      </c>
      <c r="F1261" s="8" t="s">
        <v>52</v>
      </c>
      <c r="G1261" s="8" t="s">
        <v>7</v>
      </c>
      <c r="H1261" s="8" t="s">
        <v>38</v>
      </c>
      <c r="I1261" s="9">
        <v>18.120315999999999</v>
      </c>
      <c r="J1261">
        <v>16.223501598574</v>
      </c>
      <c r="K1261">
        <v>21.199856477992</v>
      </c>
      <c r="L1261">
        <v>20.272063781566001</v>
      </c>
    </row>
    <row r="1262" spans="1:12" x14ac:dyDescent="0.2">
      <c r="A1262" s="8" t="s">
        <v>32</v>
      </c>
      <c r="B1262" s="8" t="s">
        <v>125</v>
      </c>
      <c r="C1262" s="8" t="s">
        <v>250</v>
      </c>
      <c r="D1262" s="8" t="s">
        <v>251</v>
      </c>
      <c r="E1262" s="8" t="s">
        <v>53</v>
      </c>
      <c r="F1262" s="8" t="s">
        <v>54</v>
      </c>
      <c r="G1262" s="8" t="s">
        <v>7</v>
      </c>
      <c r="H1262" s="8" t="s">
        <v>38</v>
      </c>
      <c r="I1262" s="9"/>
    </row>
    <row r="1263" spans="1:12" x14ac:dyDescent="0.2">
      <c r="A1263" s="8" t="s">
        <v>32</v>
      </c>
      <c r="B1263" s="8" t="s">
        <v>125</v>
      </c>
      <c r="C1263" s="8" t="s">
        <v>250</v>
      </c>
      <c r="D1263" s="8" t="s">
        <v>251</v>
      </c>
      <c r="E1263" s="8" t="s">
        <v>55</v>
      </c>
      <c r="F1263" s="8" t="s">
        <v>56</v>
      </c>
      <c r="G1263" s="8" t="s">
        <v>7</v>
      </c>
      <c r="H1263" s="8" t="s">
        <v>38</v>
      </c>
      <c r="I1263" s="9">
        <v>0.10898190000000001</v>
      </c>
      <c r="J1263">
        <v>0.1116506494691</v>
      </c>
      <c r="K1263">
        <v>0.11438474313565</v>
      </c>
      <c r="L1263">
        <v>0.11701585915102999</v>
      </c>
    </row>
    <row r="1264" spans="1:12" x14ac:dyDescent="0.2">
      <c r="A1264" s="8" t="s">
        <v>32</v>
      </c>
      <c r="B1264" s="8" t="s">
        <v>125</v>
      </c>
      <c r="C1264" s="8" t="s">
        <v>250</v>
      </c>
      <c r="D1264" s="8" t="s">
        <v>251</v>
      </c>
      <c r="E1264" s="8" t="s">
        <v>57</v>
      </c>
      <c r="F1264" s="8" t="s">
        <v>58</v>
      </c>
      <c r="G1264" s="8" t="s">
        <v>7</v>
      </c>
      <c r="H1264" s="8" t="s">
        <v>38</v>
      </c>
      <c r="I1264" s="9">
        <v>3.0660000000000001E-5</v>
      </c>
      <c r="J1264">
        <v>1.9202072671242999E-5</v>
      </c>
      <c r="K1264">
        <v>1.2024225475489999E-5</v>
      </c>
      <c r="L1264">
        <v>1.2024225475489999E-5</v>
      </c>
    </row>
    <row r="1265" spans="1:12" x14ac:dyDescent="0.2">
      <c r="A1265" s="8" t="s">
        <v>32</v>
      </c>
      <c r="B1265" s="8" t="s">
        <v>125</v>
      </c>
      <c r="C1265" s="8" t="s">
        <v>250</v>
      </c>
      <c r="D1265" s="8" t="s">
        <v>251</v>
      </c>
      <c r="E1265" s="8" t="s">
        <v>59</v>
      </c>
      <c r="F1265" s="8" t="s">
        <v>60</v>
      </c>
      <c r="G1265" s="8" t="s">
        <v>7</v>
      </c>
      <c r="H1265" s="8" t="s">
        <v>38</v>
      </c>
      <c r="I1265" s="9">
        <v>4.8334799000000004</v>
      </c>
      <c r="J1265">
        <v>4.8023917994916996</v>
      </c>
      <c r="K1265">
        <v>4.8026552737630004</v>
      </c>
      <c r="L1265">
        <v>4.8132717664631004</v>
      </c>
    </row>
    <row r="1266" spans="1:12" x14ac:dyDescent="0.2">
      <c r="A1266" s="8" t="s">
        <v>32</v>
      </c>
      <c r="B1266" s="8" t="s">
        <v>125</v>
      </c>
      <c r="C1266" s="8" t="s">
        <v>252</v>
      </c>
      <c r="D1266" s="8" t="s">
        <v>253</v>
      </c>
      <c r="E1266" s="8" t="s">
        <v>36</v>
      </c>
      <c r="F1266" s="8" t="s">
        <v>37</v>
      </c>
      <c r="G1266" s="8" t="s">
        <v>7</v>
      </c>
      <c r="H1266" s="8" t="s">
        <v>38</v>
      </c>
      <c r="I1266" s="9">
        <v>69.836375000000004</v>
      </c>
      <c r="J1266">
        <v>63.431544287944</v>
      </c>
      <c r="K1266">
        <v>63.846708562061004</v>
      </c>
      <c r="L1266">
        <v>61.052514650597999</v>
      </c>
    </row>
    <row r="1267" spans="1:12" x14ac:dyDescent="0.2">
      <c r="A1267" s="8" t="s">
        <v>32</v>
      </c>
      <c r="B1267" s="8" t="s">
        <v>125</v>
      </c>
      <c r="C1267" s="8" t="s">
        <v>252</v>
      </c>
      <c r="D1267" s="8" t="s">
        <v>253</v>
      </c>
      <c r="E1267" s="8" t="s">
        <v>64</v>
      </c>
      <c r="F1267" s="8" t="s">
        <v>65</v>
      </c>
      <c r="G1267" s="8" t="s">
        <v>7</v>
      </c>
      <c r="H1267" s="8" t="s">
        <v>38</v>
      </c>
      <c r="I1267" s="9"/>
    </row>
    <row r="1268" spans="1:12" x14ac:dyDescent="0.2">
      <c r="A1268" s="8" t="s">
        <v>32</v>
      </c>
      <c r="B1268" s="8" t="s">
        <v>125</v>
      </c>
      <c r="C1268" s="8" t="s">
        <v>252</v>
      </c>
      <c r="D1268" s="8" t="s">
        <v>253</v>
      </c>
      <c r="E1268" s="8" t="s">
        <v>39</v>
      </c>
      <c r="F1268" s="8" t="s">
        <v>40</v>
      </c>
      <c r="G1268" s="8" t="s">
        <v>7</v>
      </c>
      <c r="H1268" s="8" t="s">
        <v>38</v>
      </c>
      <c r="I1268" s="9">
        <v>41.979176000000002</v>
      </c>
      <c r="J1268">
        <v>40.875974129481001</v>
      </c>
      <c r="K1268">
        <v>41.252798147055003</v>
      </c>
      <c r="L1268">
        <v>39.447406451703998</v>
      </c>
    </row>
    <row r="1269" spans="1:12" x14ac:dyDescent="0.2">
      <c r="A1269" s="8" t="s">
        <v>32</v>
      </c>
      <c r="B1269" s="8" t="s">
        <v>125</v>
      </c>
      <c r="C1269" s="8" t="s">
        <v>252</v>
      </c>
      <c r="D1269" s="8" t="s">
        <v>253</v>
      </c>
      <c r="E1269" s="8" t="s">
        <v>41</v>
      </c>
      <c r="F1269" s="8" t="s">
        <v>42</v>
      </c>
      <c r="G1269" s="8" t="s">
        <v>7</v>
      </c>
      <c r="H1269" s="8" t="s">
        <v>38</v>
      </c>
      <c r="I1269" s="9">
        <v>1.4863394999999999</v>
      </c>
      <c r="J1269">
        <v>1.6144585677486001</v>
      </c>
      <c r="K1269">
        <v>1.5863822224955999</v>
      </c>
      <c r="L1269">
        <v>1.7879233203281999</v>
      </c>
    </row>
    <row r="1270" spans="1:12" x14ac:dyDescent="0.2">
      <c r="A1270" s="8" t="s">
        <v>32</v>
      </c>
      <c r="B1270" s="8" t="s">
        <v>125</v>
      </c>
      <c r="C1270" s="8" t="s">
        <v>252</v>
      </c>
      <c r="D1270" s="8" t="s">
        <v>253</v>
      </c>
      <c r="E1270" s="8" t="s">
        <v>43</v>
      </c>
      <c r="F1270" s="8" t="s">
        <v>44</v>
      </c>
      <c r="G1270" s="8" t="s">
        <v>7</v>
      </c>
      <c r="H1270" s="8" t="s">
        <v>38</v>
      </c>
      <c r="I1270" s="9">
        <v>173.37333000000001</v>
      </c>
      <c r="J1270">
        <v>183.32138435895999</v>
      </c>
      <c r="K1270">
        <v>185.91494184715</v>
      </c>
      <c r="L1270">
        <v>177.77854123608</v>
      </c>
    </row>
    <row r="1271" spans="1:12" x14ac:dyDescent="0.2">
      <c r="A1271" s="8" t="s">
        <v>32</v>
      </c>
      <c r="B1271" s="8" t="s">
        <v>125</v>
      </c>
      <c r="C1271" s="8" t="s">
        <v>252</v>
      </c>
      <c r="D1271" s="8" t="s">
        <v>253</v>
      </c>
      <c r="E1271" s="8" t="s">
        <v>66</v>
      </c>
      <c r="F1271" s="8" t="s">
        <v>67</v>
      </c>
      <c r="G1271" s="8" t="s">
        <v>7</v>
      </c>
      <c r="H1271" s="8" t="s">
        <v>38</v>
      </c>
      <c r="I1271" s="9">
        <v>8.4349766000000006</v>
      </c>
      <c r="J1271">
        <v>8.2625242399452006</v>
      </c>
      <c r="K1271">
        <v>7.9176138748384002</v>
      </c>
      <c r="L1271">
        <v>7.5711066079696998</v>
      </c>
    </row>
    <row r="1272" spans="1:12" x14ac:dyDescent="0.2">
      <c r="A1272" s="8" t="s">
        <v>32</v>
      </c>
      <c r="B1272" s="8" t="s">
        <v>125</v>
      </c>
      <c r="C1272" s="8" t="s">
        <v>252</v>
      </c>
      <c r="D1272" s="8" t="s">
        <v>253</v>
      </c>
      <c r="E1272" s="8" t="s">
        <v>45</v>
      </c>
      <c r="F1272" s="8" t="s">
        <v>46</v>
      </c>
      <c r="G1272" s="8" t="s">
        <v>7</v>
      </c>
      <c r="H1272" s="8" t="s">
        <v>38</v>
      </c>
      <c r="I1272" s="9">
        <v>1.8218338000000001</v>
      </c>
      <c r="J1272">
        <v>1.7905345592690001</v>
      </c>
      <c r="K1272">
        <v>1.7472594404268</v>
      </c>
      <c r="L1272">
        <v>1.6368637464317</v>
      </c>
    </row>
    <row r="1273" spans="1:12" x14ac:dyDescent="0.2">
      <c r="A1273" s="8" t="s">
        <v>32</v>
      </c>
      <c r="B1273" s="8" t="s">
        <v>125</v>
      </c>
      <c r="C1273" s="8" t="s">
        <v>252</v>
      </c>
      <c r="D1273" s="8" t="s">
        <v>253</v>
      </c>
      <c r="E1273" s="8" t="s">
        <v>47</v>
      </c>
      <c r="F1273" s="8" t="s">
        <v>48</v>
      </c>
      <c r="G1273" s="8" t="s">
        <v>7</v>
      </c>
      <c r="H1273" s="8" t="s">
        <v>38</v>
      </c>
      <c r="I1273" s="9">
        <v>2.0840990000000001</v>
      </c>
      <c r="J1273">
        <v>2.2687275769716999</v>
      </c>
      <c r="K1273">
        <v>2.3670831023034</v>
      </c>
      <c r="L1273">
        <v>2.2634898342816001</v>
      </c>
    </row>
    <row r="1274" spans="1:12" x14ac:dyDescent="0.2">
      <c r="A1274" s="8" t="s">
        <v>32</v>
      </c>
      <c r="B1274" s="8" t="s">
        <v>125</v>
      </c>
      <c r="C1274" s="8" t="s">
        <v>252</v>
      </c>
      <c r="D1274" s="8" t="s">
        <v>253</v>
      </c>
      <c r="E1274" s="8" t="s">
        <v>49</v>
      </c>
      <c r="F1274" s="8" t="s">
        <v>50</v>
      </c>
      <c r="G1274" s="8" t="s">
        <v>7</v>
      </c>
      <c r="H1274" s="8" t="s">
        <v>38</v>
      </c>
      <c r="I1274" s="9">
        <v>18.729801999999999</v>
      </c>
      <c r="J1274">
        <v>18.945557002266</v>
      </c>
      <c r="K1274">
        <v>20.335837287042001</v>
      </c>
      <c r="L1274">
        <v>19.445857615234999</v>
      </c>
    </row>
    <row r="1275" spans="1:12" x14ac:dyDescent="0.2">
      <c r="A1275" s="8" t="s">
        <v>32</v>
      </c>
      <c r="B1275" s="8" t="s">
        <v>125</v>
      </c>
      <c r="C1275" s="8" t="s">
        <v>252</v>
      </c>
      <c r="D1275" s="8" t="s">
        <v>253</v>
      </c>
      <c r="E1275" s="8" t="s">
        <v>51</v>
      </c>
      <c r="F1275" s="8" t="s">
        <v>52</v>
      </c>
      <c r="G1275" s="8" t="s">
        <v>7</v>
      </c>
      <c r="H1275" s="8" t="s">
        <v>38</v>
      </c>
      <c r="I1275" s="9">
        <v>14.431951</v>
      </c>
      <c r="J1275">
        <v>11.390371461878001</v>
      </c>
      <c r="K1275">
        <v>14.695377986758</v>
      </c>
      <c r="L1275">
        <v>14.052247955123001</v>
      </c>
    </row>
    <row r="1276" spans="1:12" x14ac:dyDescent="0.2">
      <c r="A1276" s="8" t="s">
        <v>32</v>
      </c>
      <c r="B1276" s="8" t="s">
        <v>125</v>
      </c>
      <c r="C1276" s="8" t="s">
        <v>252</v>
      </c>
      <c r="D1276" s="8" t="s">
        <v>253</v>
      </c>
      <c r="E1276" s="8" t="s">
        <v>53</v>
      </c>
      <c r="F1276" s="8" t="s">
        <v>54</v>
      </c>
      <c r="G1276" s="8" t="s">
        <v>7</v>
      </c>
      <c r="H1276" s="8" t="s">
        <v>38</v>
      </c>
      <c r="I1276" s="9"/>
    </row>
    <row r="1277" spans="1:12" x14ac:dyDescent="0.2">
      <c r="A1277" s="8" t="s">
        <v>32</v>
      </c>
      <c r="B1277" s="8" t="s">
        <v>125</v>
      </c>
      <c r="C1277" s="8" t="s">
        <v>252</v>
      </c>
      <c r="D1277" s="8" t="s">
        <v>253</v>
      </c>
      <c r="E1277" s="8" t="s">
        <v>55</v>
      </c>
      <c r="F1277" s="8" t="s">
        <v>56</v>
      </c>
      <c r="G1277" s="8" t="s">
        <v>7</v>
      </c>
      <c r="H1277" s="8" t="s">
        <v>38</v>
      </c>
      <c r="I1277" s="9">
        <v>9.8855200000000004E-2</v>
      </c>
      <c r="J1277">
        <v>0.10072628365621</v>
      </c>
      <c r="K1277">
        <v>0.10263282013154</v>
      </c>
      <c r="L1277">
        <v>0.10447893464858</v>
      </c>
    </row>
    <row r="1278" spans="1:12" x14ac:dyDescent="0.2">
      <c r="A1278" s="8" t="s">
        <v>32</v>
      </c>
      <c r="B1278" s="8" t="s">
        <v>125</v>
      </c>
      <c r="C1278" s="8" t="s">
        <v>252</v>
      </c>
      <c r="D1278" s="8" t="s">
        <v>253</v>
      </c>
      <c r="E1278" s="8" t="s">
        <v>57</v>
      </c>
      <c r="F1278" s="8" t="s">
        <v>58</v>
      </c>
      <c r="G1278" s="8" t="s">
        <v>7</v>
      </c>
      <c r="H1278" s="8" t="s">
        <v>38</v>
      </c>
      <c r="I1278" s="9"/>
    </row>
    <row r="1279" spans="1:12" x14ac:dyDescent="0.2">
      <c r="A1279" s="8" t="s">
        <v>32</v>
      </c>
      <c r="B1279" s="8" t="s">
        <v>125</v>
      </c>
      <c r="C1279" s="8" t="s">
        <v>252</v>
      </c>
      <c r="D1279" s="8" t="s">
        <v>253</v>
      </c>
      <c r="E1279" s="8" t="s">
        <v>59</v>
      </c>
      <c r="F1279" s="8" t="s">
        <v>60</v>
      </c>
      <c r="G1279" s="8" t="s">
        <v>7</v>
      </c>
      <c r="H1279" s="8" t="s">
        <v>38</v>
      </c>
      <c r="I1279" s="9">
        <v>4.0184540999999996</v>
      </c>
      <c r="J1279">
        <v>4.0438903024585997</v>
      </c>
      <c r="K1279">
        <v>4.1008718334129997</v>
      </c>
      <c r="L1279">
        <v>4.1729878705523999</v>
      </c>
    </row>
    <row r="1280" spans="1:12" x14ac:dyDescent="0.2">
      <c r="A1280" s="8" t="s">
        <v>32</v>
      </c>
      <c r="B1280" s="8" t="s">
        <v>125</v>
      </c>
      <c r="C1280" s="8" t="s">
        <v>254</v>
      </c>
      <c r="D1280" s="8" t="s">
        <v>255</v>
      </c>
      <c r="E1280" s="8" t="s">
        <v>36</v>
      </c>
      <c r="F1280" s="8" t="s">
        <v>37</v>
      </c>
      <c r="G1280" s="8" t="s">
        <v>7</v>
      </c>
      <c r="H1280" s="8" t="s">
        <v>38</v>
      </c>
      <c r="I1280" s="9">
        <v>560.08370000000002</v>
      </c>
      <c r="J1280">
        <v>592.06700765999994</v>
      </c>
      <c r="K1280">
        <v>629.49927824999997</v>
      </c>
      <c r="L1280">
        <v>570.10669575993995</v>
      </c>
    </row>
    <row r="1281" spans="1:12" x14ac:dyDescent="0.2">
      <c r="A1281" s="8" t="s">
        <v>32</v>
      </c>
      <c r="B1281" s="8" t="s">
        <v>125</v>
      </c>
      <c r="C1281" s="8" t="s">
        <v>254</v>
      </c>
      <c r="D1281" s="8" t="s">
        <v>255</v>
      </c>
      <c r="E1281" s="8" t="s">
        <v>64</v>
      </c>
      <c r="F1281" s="8" t="s">
        <v>65</v>
      </c>
      <c r="G1281" s="8" t="s">
        <v>7</v>
      </c>
      <c r="H1281" s="8" t="s">
        <v>38</v>
      </c>
      <c r="I1281" s="9">
        <v>685.92559000000006</v>
      </c>
      <c r="J1281">
        <v>733.93589642999996</v>
      </c>
      <c r="K1281">
        <v>848.32831248000002</v>
      </c>
      <c r="L1281">
        <v>766.81805112299003</v>
      </c>
    </row>
    <row r="1282" spans="1:12" x14ac:dyDescent="0.2">
      <c r="A1282" s="8" t="s">
        <v>32</v>
      </c>
      <c r="B1282" s="8" t="s">
        <v>125</v>
      </c>
      <c r="C1282" s="8" t="s">
        <v>254</v>
      </c>
      <c r="D1282" s="8" t="s">
        <v>255</v>
      </c>
      <c r="E1282" s="8" t="s">
        <v>39</v>
      </c>
      <c r="F1282" s="8" t="s">
        <v>40</v>
      </c>
      <c r="G1282" s="8" t="s">
        <v>7</v>
      </c>
      <c r="H1282" s="8" t="s">
        <v>38</v>
      </c>
      <c r="I1282" s="9">
        <v>1039.7302</v>
      </c>
      <c r="J1282">
        <v>1103.71078719</v>
      </c>
      <c r="K1282">
        <v>1148.0022260999999</v>
      </c>
      <c r="L1282">
        <v>1049.1420487318001</v>
      </c>
    </row>
    <row r="1283" spans="1:12" x14ac:dyDescent="0.2">
      <c r="A1283" s="8" t="s">
        <v>32</v>
      </c>
      <c r="B1283" s="8" t="s">
        <v>125</v>
      </c>
      <c r="C1283" s="8" t="s">
        <v>254</v>
      </c>
      <c r="D1283" s="8" t="s">
        <v>255</v>
      </c>
      <c r="E1283" s="8" t="s">
        <v>41</v>
      </c>
      <c r="F1283" s="8" t="s">
        <v>42</v>
      </c>
      <c r="G1283" s="8" t="s">
        <v>7</v>
      </c>
      <c r="H1283" s="8" t="s">
        <v>38</v>
      </c>
      <c r="I1283" s="9">
        <v>15.667109</v>
      </c>
      <c r="J1283">
        <v>16.1963659</v>
      </c>
      <c r="K1283">
        <v>20.335565249999998</v>
      </c>
      <c r="L1283">
        <v>22.919086476735</v>
      </c>
    </row>
    <row r="1284" spans="1:12" x14ac:dyDescent="0.2">
      <c r="A1284" s="8" t="s">
        <v>32</v>
      </c>
      <c r="B1284" s="8" t="s">
        <v>125</v>
      </c>
      <c r="C1284" s="8" t="s">
        <v>254</v>
      </c>
      <c r="D1284" s="8" t="s">
        <v>255</v>
      </c>
      <c r="E1284" s="8" t="s">
        <v>43</v>
      </c>
      <c r="F1284" s="8" t="s">
        <v>44</v>
      </c>
      <c r="G1284" s="8" t="s">
        <v>7</v>
      </c>
      <c r="H1284" s="8" t="s">
        <v>38</v>
      </c>
      <c r="I1284" s="9">
        <v>417.02848999999998</v>
      </c>
      <c r="J1284">
        <v>421.76274855000003</v>
      </c>
      <c r="K1284">
        <v>405.38532443999998</v>
      </c>
      <c r="L1284">
        <v>418.15972372346999</v>
      </c>
    </row>
    <row r="1285" spans="1:12" x14ac:dyDescent="0.2">
      <c r="A1285" s="8" t="s">
        <v>32</v>
      </c>
      <c r="B1285" s="8" t="s">
        <v>125</v>
      </c>
      <c r="C1285" s="8" t="s">
        <v>254</v>
      </c>
      <c r="D1285" s="8" t="s">
        <v>255</v>
      </c>
      <c r="E1285" s="8" t="s">
        <v>49</v>
      </c>
      <c r="F1285" s="8" t="s">
        <v>50</v>
      </c>
      <c r="G1285" s="8" t="s">
        <v>7</v>
      </c>
      <c r="H1285" s="8" t="s">
        <v>38</v>
      </c>
      <c r="I1285" s="9">
        <v>100.7715</v>
      </c>
      <c r="J1285">
        <v>98.310491850000005</v>
      </c>
      <c r="K1285">
        <v>122.21717633999999</v>
      </c>
      <c r="L1285">
        <v>126.06845292980999</v>
      </c>
    </row>
    <row r="1286" spans="1:12" x14ac:dyDescent="0.2">
      <c r="A1286" s="8" t="s">
        <v>32</v>
      </c>
      <c r="B1286" s="8" t="s">
        <v>125</v>
      </c>
      <c r="C1286" s="8" t="s">
        <v>254</v>
      </c>
      <c r="D1286" s="8" t="s">
        <v>255</v>
      </c>
      <c r="E1286" s="8" t="s">
        <v>53</v>
      </c>
      <c r="F1286" s="8" t="s">
        <v>54</v>
      </c>
      <c r="G1286" s="8" t="s">
        <v>7</v>
      </c>
      <c r="H1286" s="8" t="s">
        <v>38</v>
      </c>
      <c r="I1286" s="9">
        <v>1282.5263</v>
      </c>
      <c r="J1286">
        <v>1171.6184389957</v>
      </c>
      <c r="K1286">
        <v>1106.4020502284</v>
      </c>
      <c r="L1286">
        <v>1080.47416223</v>
      </c>
    </row>
    <row r="1287" spans="1:12" x14ac:dyDescent="0.2">
      <c r="A1287" s="8" t="s">
        <v>32</v>
      </c>
      <c r="B1287" s="8" t="s">
        <v>125</v>
      </c>
      <c r="C1287" s="8" t="s">
        <v>254</v>
      </c>
      <c r="D1287" s="8" t="s">
        <v>255</v>
      </c>
      <c r="E1287" s="8" t="s">
        <v>55</v>
      </c>
      <c r="F1287" s="8" t="s">
        <v>56</v>
      </c>
      <c r="G1287" s="8" t="s">
        <v>7</v>
      </c>
      <c r="H1287" s="8" t="s">
        <v>38</v>
      </c>
      <c r="I1287" s="9">
        <v>4.5974899999999999E-2</v>
      </c>
      <c r="J1287">
        <v>4.7016841577901002E-2</v>
      </c>
      <c r="K1287">
        <v>4.8082419707854998E-2</v>
      </c>
      <c r="L1287">
        <v>4.9110346886847997E-2</v>
      </c>
    </row>
    <row r="1288" spans="1:12" x14ac:dyDescent="0.2">
      <c r="A1288" s="8" t="s">
        <v>32</v>
      </c>
      <c r="B1288" s="8" t="s">
        <v>125</v>
      </c>
      <c r="C1288" s="8" t="s">
        <v>254</v>
      </c>
      <c r="D1288" s="8" t="s">
        <v>255</v>
      </c>
      <c r="E1288" s="8" t="s">
        <v>72</v>
      </c>
      <c r="F1288" s="8" t="s">
        <v>73</v>
      </c>
      <c r="G1288" s="8" t="s">
        <v>7</v>
      </c>
      <c r="H1288" s="8" t="s">
        <v>38</v>
      </c>
      <c r="I1288" s="9">
        <v>804.24933999999996</v>
      </c>
      <c r="J1288">
        <v>888.90716901758003</v>
      </c>
      <c r="K1288">
        <v>804.24934339686001</v>
      </c>
      <c r="L1288">
        <v>726.97433888259002</v>
      </c>
    </row>
    <row r="1289" spans="1:12" x14ac:dyDescent="0.2">
      <c r="A1289" s="8" t="s">
        <v>32</v>
      </c>
      <c r="B1289" s="8" t="s">
        <v>125</v>
      </c>
      <c r="C1289" s="8" t="s">
        <v>254</v>
      </c>
      <c r="D1289" s="8" t="s">
        <v>255</v>
      </c>
      <c r="E1289" s="8" t="s">
        <v>59</v>
      </c>
      <c r="F1289" s="8" t="s">
        <v>60</v>
      </c>
      <c r="G1289" s="8" t="s">
        <v>7</v>
      </c>
      <c r="H1289" s="8" t="s">
        <v>38</v>
      </c>
      <c r="I1289" s="9">
        <v>4.0975292999999997</v>
      </c>
      <c r="J1289">
        <v>4.2519744471849004</v>
      </c>
      <c r="K1289">
        <v>4.2876310865651996</v>
      </c>
      <c r="L1289">
        <v>4.3659654036265003</v>
      </c>
    </row>
    <row r="1290" spans="1:12" x14ac:dyDescent="0.2">
      <c r="A1290" s="8" t="s">
        <v>110</v>
      </c>
      <c r="B1290" s="8" t="s">
        <v>115</v>
      </c>
      <c r="C1290" s="8" t="s">
        <v>256</v>
      </c>
      <c r="D1290" s="8" t="s">
        <v>257</v>
      </c>
      <c r="E1290" s="8" t="s">
        <v>36</v>
      </c>
      <c r="F1290" s="8" t="s">
        <v>37</v>
      </c>
      <c r="G1290" s="8" t="s">
        <v>7</v>
      </c>
      <c r="H1290" s="8" t="s">
        <v>38</v>
      </c>
      <c r="I1290" s="9">
        <v>18196.597000000002</v>
      </c>
      <c r="J1290">
        <v>18852.10349043</v>
      </c>
      <c r="K1290">
        <v>17978.27167564</v>
      </c>
      <c r="L1290">
        <v>14836.45784612</v>
      </c>
    </row>
    <row r="1291" spans="1:12" x14ac:dyDescent="0.2">
      <c r="A1291" s="8" t="s">
        <v>110</v>
      </c>
      <c r="B1291" s="8" t="s">
        <v>115</v>
      </c>
      <c r="C1291" s="8" t="s">
        <v>256</v>
      </c>
      <c r="D1291" s="8" t="s">
        <v>257</v>
      </c>
      <c r="E1291" s="8" t="s">
        <v>64</v>
      </c>
      <c r="F1291" s="8" t="s">
        <v>65</v>
      </c>
      <c r="G1291" s="8" t="s">
        <v>7</v>
      </c>
      <c r="H1291" s="8" t="s">
        <v>38</v>
      </c>
      <c r="I1291" s="9">
        <v>4065.6095999999998</v>
      </c>
      <c r="J1291">
        <v>4514.2399903100004</v>
      </c>
      <c r="K1291">
        <v>4237.6559110099997</v>
      </c>
      <c r="L1291">
        <v>4429.5941313665999</v>
      </c>
    </row>
    <row r="1292" spans="1:12" x14ac:dyDescent="0.2">
      <c r="A1292" s="8" t="s">
        <v>110</v>
      </c>
      <c r="B1292" s="8" t="s">
        <v>115</v>
      </c>
      <c r="C1292" s="8" t="s">
        <v>256</v>
      </c>
      <c r="D1292" s="8" t="s">
        <v>257</v>
      </c>
      <c r="E1292" s="8" t="s">
        <v>39</v>
      </c>
      <c r="F1292" s="8" t="s">
        <v>40</v>
      </c>
      <c r="G1292" s="8" t="s">
        <v>7</v>
      </c>
      <c r="H1292" s="8" t="s">
        <v>38</v>
      </c>
      <c r="I1292" s="9">
        <v>4191.6288999999997</v>
      </c>
      <c r="J1292">
        <v>4344.8725906899999</v>
      </c>
      <c r="K1292">
        <v>4363.1763504600003</v>
      </c>
      <c r="L1292">
        <v>4238.1099294255</v>
      </c>
    </row>
    <row r="1293" spans="1:12" x14ac:dyDescent="0.2">
      <c r="A1293" s="8" t="s">
        <v>110</v>
      </c>
      <c r="B1293" s="8" t="s">
        <v>115</v>
      </c>
      <c r="C1293" s="8" t="s">
        <v>256</v>
      </c>
      <c r="D1293" s="8" t="s">
        <v>257</v>
      </c>
      <c r="E1293" s="8" t="s">
        <v>41</v>
      </c>
      <c r="F1293" s="8" t="s">
        <v>42</v>
      </c>
      <c r="G1293" s="8" t="s">
        <v>7</v>
      </c>
      <c r="H1293" s="8" t="s">
        <v>38</v>
      </c>
      <c r="I1293" s="9">
        <v>271.01240000000001</v>
      </c>
      <c r="J1293">
        <v>453.09375925000001</v>
      </c>
      <c r="K1293">
        <v>684.82579009999995</v>
      </c>
      <c r="L1293">
        <v>842.10277952603997</v>
      </c>
    </row>
    <row r="1294" spans="1:12" x14ac:dyDescent="0.2">
      <c r="A1294" s="8" t="s">
        <v>110</v>
      </c>
      <c r="B1294" s="8" t="s">
        <v>115</v>
      </c>
      <c r="C1294" s="8" t="s">
        <v>256</v>
      </c>
      <c r="D1294" s="8" t="s">
        <v>257</v>
      </c>
      <c r="E1294" s="8" t="s">
        <v>43</v>
      </c>
      <c r="F1294" s="8" t="s">
        <v>44</v>
      </c>
      <c r="G1294" s="8" t="s">
        <v>7</v>
      </c>
      <c r="H1294" s="8" t="s">
        <v>38</v>
      </c>
      <c r="I1294" s="9">
        <v>12904.403</v>
      </c>
      <c r="J1294">
        <v>13652.72262835</v>
      </c>
      <c r="K1294">
        <v>14947.160276119999</v>
      </c>
      <c r="L1294">
        <v>15510.867322485999</v>
      </c>
    </row>
    <row r="1295" spans="1:12" x14ac:dyDescent="0.2">
      <c r="A1295" s="8" t="s">
        <v>110</v>
      </c>
      <c r="B1295" s="8" t="s">
        <v>115</v>
      </c>
      <c r="C1295" s="8" t="s">
        <v>256</v>
      </c>
      <c r="D1295" s="8" t="s">
        <v>257</v>
      </c>
      <c r="E1295" s="8" t="s">
        <v>66</v>
      </c>
      <c r="F1295" s="8" t="s">
        <v>67</v>
      </c>
      <c r="G1295" s="8" t="s">
        <v>7</v>
      </c>
      <c r="H1295" s="8" t="s">
        <v>38</v>
      </c>
      <c r="I1295" s="9">
        <v>22.999469000000001</v>
      </c>
      <c r="J1295">
        <v>20.811955709999999</v>
      </c>
      <c r="K1295">
        <v>21.575771100000001</v>
      </c>
      <c r="L1295">
        <v>12.967499999999999</v>
      </c>
    </row>
    <row r="1296" spans="1:12" x14ac:dyDescent="0.2">
      <c r="A1296" s="8" t="s">
        <v>110</v>
      </c>
      <c r="B1296" s="8" t="s">
        <v>115</v>
      </c>
      <c r="C1296" s="8" t="s">
        <v>256</v>
      </c>
      <c r="D1296" s="8" t="s">
        <v>257</v>
      </c>
      <c r="E1296" s="8" t="s">
        <v>45</v>
      </c>
      <c r="F1296" s="8" t="s">
        <v>46</v>
      </c>
      <c r="G1296" s="8" t="s">
        <v>7</v>
      </c>
      <c r="H1296" s="8" t="s">
        <v>38</v>
      </c>
      <c r="I1296" s="9">
        <v>1636.2642000000001</v>
      </c>
      <c r="J1296">
        <v>1822.71216839</v>
      </c>
      <c r="K1296">
        <v>1960.4068985700001</v>
      </c>
      <c r="L1296">
        <v>2025.908556916</v>
      </c>
    </row>
    <row r="1297" spans="1:12" x14ac:dyDescent="0.2">
      <c r="A1297" s="8" t="s">
        <v>110</v>
      </c>
      <c r="B1297" s="8" t="s">
        <v>115</v>
      </c>
      <c r="C1297" s="8" t="s">
        <v>256</v>
      </c>
      <c r="D1297" s="8" t="s">
        <v>257</v>
      </c>
      <c r="E1297" s="8" t="s">
        <v>47</v>
      </c>
      <c r="F1297" s="8" t="s">
        <v>48</v>
      </c>
      <c r="G1297" s="8" t="s">
        <v>7</v>
      </c>
      <c r="H1297" s="8" t="s">
        <v>38</v>
      </c>
      <c r="I1297" s="9">
        <v>1.4247318</v>
      </c>
      <c r="J1297">
        <v>2.4216080500000001</v>
      </c>
      <c r="K1297">
        <v>5.2956459200000001</v>
      </c>
      <c r="L1297">
        <v>10.059951989756</v>
      </c>
    </row>
    <row r="1298" spans="1:12" x14ac:dyDescent="0.2">
      <c r="A1298" s="8" t="s">
        <v>110</v>
      </c>
      <c r="B1298" s="8" t="s">
        <v>115</v>
      </c>
      <c r="C1298" s="8" t="s">
        <v>256</v>
      </c>
      <c r="D1298" s="8" t="s">
        <v>257</v>
      </c>
      <c r="E1298" s="8" t="s">
        <v>49</v>
      </c>
      <c r="F1298" s="8" t="s">
        <v>50</v>
      </c>
      <c r="G1298" s="8" t="s">
        <v>7</v>
      </c>
      <c r="H1298" s="8" t="s">
        <v>38</v>
      </c>
      <c r="I1298" s="9">
        <v>5724.9668000000001</v>
      </c>
      <c r="J1298">
        <v>5452.7754552500001</v>
      </c>
      <c r="K1298">
        <v>5812.2904124999995</v>
      </c>
      <c r="L1298">
        <v>4413.7938274646003</v>
      </c>
    </row>
    <row r="1299" spans="1:12" x14ac:dyDescent="0.2">
      <c r="A1299" s="8" t="s">
        <v>110</v>
      </c>
      <c r="B1299" s="8" t="s">
        <v>115</v>
      </c>
      <c r="C1299" s="8" t="s">
        <v>256</v>
      </c>
      <c r="D1299" s="8" t="s">
        <v>257</v>
      </c>
      <c r="E1299" s="8" t="s">
        <v>51</v>
      </c>
      <c r="F1299" s="8" t="s">
        <v>52</v>
      </c>
      <c r="G1299" s="8" t="s">
        <v>7</v>
      </c>
      <c r="H1299" s="8" t="s">
        <v>38</v>
      </c>
      <c r="I1299" s="9">
        <v>1013.0861</v>
      </c>
      <c r="J1299">
        <v>548.92839765999997</v>
      </c>
      <c r="K1299">
        <v>813.05321270000002</v>
      </c>
      <c r="L1299">
        <v>738.22378271081004</v>
      </c>
    </row>
    <row r="1300" spans="1:12" x14ac:dyDescent="0.2">
      <c r="A1300" s="8" t="s">
        <v>110</v>
      </c>
      <c r="B1300" s="8" t="s">
        <v>115</v>
      </c>
      <c r="C1300" s="8" t="s">
        <v>256</v>
      </c>
      <c r="D1300" s="8" t="s">
        <v>257</v>
      </c>
      <c r="E1300" s="8" t="s">
        <v>68</v>
      </c>
      <c r="F1300" s="8" t="s">
        <v>69</v>
      </c>
      <c r="G1300" s="8" t="s">
        <v>7</v>
      </c>
      <c r="H1300" s="8" t="s">
        <v>38</v>
      </c>
      <c r="I1300" s="9">
        <v>2.9592426999999999</v>
      </c>
      <c r="J1300">
        <v>2.7897834358455</v>
      </c>
      <c r="K1300">
        <v>4.8976630240828003</v>
      </c>
      <c r="L1300">
        <v>5.0525154330959001</v>
      </c>
    </row>
    <row r="1301" spans="1:12" x14ac:dyDescent="0.2">
      <c r="A1301" s="8" t="s">
        <v>110</v>
      </c>
      <c r="B1301" s="8" t="s">
        <v>115</v>
      </c>
      <c r="C1301" s="8" t="s">
        <v>256</v>
      </c>
      <c r="D1301" s="8" t="s">
        <v>257</v>
      </c>
      <c r="E1301" s="8" t="s">
        <v>53</v>
      </c>
      <c r="F1301" s="8" t="s">
        <v>54</v>
      </c>
      <c r="G1301" s="8" t="s">
        <v>7</v>
      </c>
      <c r="H1301" s="8" t="s">
        <v>38</v>
      </c>
      <c r="I1301" s="9">
        <v>35.961601000000002</v>
      </c>
      <c r="J1301">
        <v>44.275501647585003</v>
      </c>
      <c r="K1301">
        <v>24.303150440812999</v>
      </c>
      <c r="L1301">
        <v>29.481144680326999</v>
      </c>
    </row>
    <row r="1302" spans="1:12" x14ac:dyDescent="0.2">
      <c r="A1302" s="8" t="s">
        <v>110</v>
      </c>
      <c r="B1302" s="8" t="s">
        <v>115</v>
      </c>
      <c r="C1302" s="8" t="s">
        <v>256</v>
      </c>
      <c r="D1302" s="8" t="s">
        <v>257</v>
      </c>
      <c r="E1302" s="8" t="s">
        <v>70</v>
      </c>
      <c r="F1302" s="8" t="s">
        <v>71</v>
      </c>
      <c r="G1302" s="8" t="s">
        <v>7</v>
      </c>
      <c r="H1302" s="8" t="s">
        <v>38</v>
      </c>
      <c r="I1302" s="9">
        <v>2987.2175000000002</v>
      </c>
      <c r="J1302">
        <v>2742.2920054808001</v>
      </c>
      <c r="K1302">
        <v>2886.6231636641</v>
      </c>
      <c r="L1302">
        <v>2883.3666554413999</v>
      </c>
    </row>
    <row r="1303" spans="1:12" x14ac:dyDescent="0.2">
      <c r="A1303" s="8" t="s">
        <v>110</v>
      </c>
      <c r="B1303" s="8" t="s">
        <v>115</v>
      </c>
      <c r="C1303" s="8" t="s">
        <v>256</v>
      </c>
      <c r="D1303" s="8" t="s">
        <v>257</v>
      </c>
      <c r="E1303" s="8" t="s">
        <v>83</v>
      </c>
      <c r="F1303" s="8" t="s">
        <v>84</v>
      </c>
      <c r="G1303" s="8" t="s">
        <v>7</v>
      </c>
      <c r="H1303" s="8" t="s">
        <v>38</v>
      </c>
      <c r="I1303" s="9">
        <v>232.5</v>
      </c>
      <c r="J1303">
        <v>232.5</v>
      </c>
      <c r="K1303">
        <v>240</v>
      </c>
      <c r="L1303">
        <v>232.5</v>
      </c>
    </row>
    <row r="1304" spans="1:12" x14ac:dyDescent="0.2">
      <c r="A1304" s="8" t="s">
        <v>110</v>
      </c>
      <c r="B1304" s="8" t="s">
        <v>115</v>
      </c>
      <c r="C1304" s="8" t="s">
        <v>256</v>
      </c>
      <c r="D1304" s="8" t="s">
        <v>257</v>
      </c>
      <c r="E1304" s="8" t="s">
        <v>55</v>
      </c>
      <c r="F1304" s="8" t="s">
        <v>56</v>
      </c>
      <c r="G1304" s="8" t="s">
        <v>7</v>
      </c>
      <c r="H1304" s="8" t="s">
        <v>38</v>
      </c>
      <c r="I1304" s="9">
        <v>14.102928</v>
      </c>
      <c r="J1304">
        <v>17.109104155044999</v>
      </c>
      <c r="K1304">
        <v>17.109104155044999</v>
      </c>
      <c r="L1304">
        <v>17.109104155044999</v>
      </c>
    </row>
    <row r="1305" spans="1:12" x14ac:dyDescent="0.2">
      <c r="A1305" s="8" t="s">
        <v>110</v>
      </c>
      <c r="B1305" s="8" t="s">
        <v>115</v>
      </c>
      <c r="C1305" s="8" t="s">
        <v>256</v>
      </c>
      <c r="D1305" s="8" t="s">
        <v>257</v>
      </c>
      <c r="E1305" s="8" t="s">
        <v>57</v>
      </c>
      <c r="F1305" s="8" t="s">
        <v>58</v>
      </c>
      <c r="G1305" s="8" t="s">
        <v>7</v>
      </c>
      <c r="H1305" s="8" t="s">
        <v>38</v>
      </c>
      <c r="I1305" s="9">
        <v>119.21319</v>
      </c>
      <c r="J1305">
        <v>144.62464194086999</v>
      </c>
      <c r="K1305">
        <v>144.62464194086999</v>
      </c>
      <c r="L1305">
        <v>144.62464194086999</v>
      </c>
    </row>
    <row r="1306" spans="1:12" x14ac:dyDescent="0.2">
      <c r="A1306" s="8" t="s">
        <v>110</v>
      </c>
      <c r="B1306" s="8" t="s">
        <v>115</v>
      </c>
      <c r="C1306" s="8" t="s">
        <v>256</v>
      </c>
      <c r="D1306" s="8" t="s">
        <v>257</v>
      </c>
      <c r="E1306" s="8" t="s">
        <v>72</v>
      </c>
      <c r="F1306" s="8" t="s">
        <v>73</v>
      </c>
      <c r="G1306" s="8" t="s">
        <v>7</v>
      </c>
      <c r="H1306" s="8" t="s">
        <v>38</v>
      </c>
      <c r="I1306" s="9">
        <v>240.90629000000001</v>
      </c>
      <c r="J1306">
        <v>231.32159232385999</v>
      </c>
      <c r="K1306">
        <v>303.52972687277003</v>
      </c>
      <c r="L1306">
        <v>179.98395994092999</v>
      </c>
    </row>
    <row r="1307" spans="1:12" x14ac:dyDescent="0.2">
      <c r="A1307" s="8" t="s">
        <v>110</v>
      </c>
      <c r="B1307" s="8" t="s">
        <v>115</v>
      </c>
      <c r="C1307" s="8" t="s">
        <v>256</v>
      </c>
      <c r="D1307" s="8" t="s">
        <v>257</v>
      </c>
      <c r="E1307" s="8" t="s">
        <v>74</v>
      </c>
      <c r="F1307" s="8" t="s">
        <v>75</v>
      </c>
      <c r="G1307" s="8" t="s">
        <v>7</v>
      </c>
      <c r="H1307" s="8" t="s">
        <v>38</v>
      </c>
      <c r="I1307" s="9">
        <v>397.39794999999998</v>
      </c>
      <c r="J1307">
        <v>380.55903999999998</v>
      </c>
      <c r="K1307">
        <v>386.92738000000003</v>
      </c>
      <c r="L1307">
        <v>402.71609609157002</v>
      </c>
    </row>
    <row r="1308" spans="1:12" x14ac:dyDescent="0.2">
      <c r="A1308" s="8" t="s">
        <v>110</v>
      </c>
      <c r="B1308" s="8" t="s">
        <v>115</v>
      </c>
      <c r="C1308" s="8" t="s">
        <v>256</v>
      </c>
      <c r="D1308" s="8" t="s">
        <v>257</v>
      </c>
      <c r="E1308" s="8" t="s">
        <v>59</v>
      </c>
      <c r="F1308" s="8" t="s">
        <v>60</v>
      </c>
      <c r="G1308" s="8" t="s">
        <v>7</v>
      </c>
      <c r="H1308" s="8" t="s">
        <v>38</v>
      </c>
      <c r="I1308" s="9">
        <v>106.91033</v>
      </c>
      <c r="J1308">
        <v>104.85741525197</v>
      </c>
      <c r="K1308">
        <v>112.16838534311999</v>
      </c>
      <c r="L1308">
        <v>114.86445743319</v>
      </c>
    </row>
    <row r="1309" spans="1:12" x14ac:dyDescent="0.2">
      <c r="A1309" s="8" t="s">
        <v>110</v>
      </c>
      <c r="B1309" s="8" t="s">
        <v>115</v>
      </c>
      <c r="C1309" s="8" t="s">
        <v>256</v>
      </c>
      <c r="D1309" s="8" t="s">
        <v>257</v>
      </c>
      <c r="E1309" s="8" t="s">
        <v>76</v>
      </c>
      <c r="F1309" s="8" t="s">
        <v>77</v>
      </c>
      <c r="G1309" s="8" t="s">
        <v>7</v>
      </c>
      <c r="H1309" s="8" t="s">
        <v>38</v>
      </c>
      <c r="I1309" s="9">
        <v>125.92381</v>
      </c>
      <c r="J1309">
        <v>90.619047631596004</v>
      </c>
      <c r="K1309">
        <v>104.13333334774001</v>
      </c>
      <c r="L1309">
        <v>100.87916668062</v>
      </c>
    </row>
    <row r="1310" spans="1:12" x14ac:dyDescent="0.2">
      <c r="A1310" s="8" t="s">
        <v>110</v>
      </c>
      <c r="B1310" s="8" t="s">
        <v>115</v>
      </c>
      <c r="C1310" s="8" t="s">
        <v>256</v>
      </c>
      <c r="D1310" s="8" t="s">
        <v>257</v>
      </c>
      <c r="E1310" s="8" t="s">
        <v>78</v>
      </c>
      <c r="F1310" s="8" t="s">
        <v>79</v>
      </c>
      <c r="G1310" s="8" t="s">
        <v>7</v>
      </c>
      <c r="H1310" s="8" t="s">
        <v>38</v>
      </c>
      <c r="I1310" s="9">
        <v>67.571415999999999</v>
      </c>
      <c r="J1310">
        <v>57.357132428570999</v>
      </c>
      <c r="K1310">
        <v>66.157130828570999</v>
      </c>
      <c r="L1310">
        <v>67.131416365714003</v>
      </c>
    </row>
    <row r="1311" spans="1:12" x14ac:dyDescent="0.2">
      <c r="A1311" s="8" t="s">
        <v>110</v>
      </c>
      <c r="B1311" s="8" t="s">
        <v>115</v>
      </c>
      <c r="C1311" s="8" t="s">
        <v>256</v>
      </c>
      <c r="D1311" s="8" t="s">
        <v>257</v>
      </c>
      <c r="E1311" s="8" t="s">
        <v>92</v>
      </c>
      <c r="F1311" s="8" t="s">
        <v>93</v>
      </c>
      <c r="G1311" s="8" t="s">
        <v>7</v>
      </c>
      <c r="H1311" s="8" t="s">
        <v>38</v>
      </c>
      <c r="I1311" s="9">
        <v>1.9297327</v>
      </c>
      <c r="J1311">
        <v>2.0923942717115001</v>
      </c>
      <c r="K1311">
        <v>2.2081924652143998</v>
      </c>
      <c r="L1311">
        <v>2.0942946459773002</v>
      </c>
    </row>
    <row r="1312" spans="1:12" x14ac:dyDescent="0.2">
      <c r="A1312" s="8" t="s">
        <v>32</v>
      </c>
      <c r="B1312" s="8" t="s">
        <v>33</v>
      </c>
      <c r="C1312" s="8" t="s">
        <v>258</v>
      </c>
      <c r="D1312" s="8" t="s">
        <v>259</v>
      </c>
      <c r="E1312" s="8" t="s">
        <v>36</v>
      </c>
      <c r="F1312" s="8" t="s">
        <v>37</v>
      </c>
      <c r="G1312" s="8" t="s">
        <v>7</v>
      </c>
      <c r="H1312" s="8" t="s">
        <v>38</v>
      </c>
      <c r="I1312" s="9">
        <v>78.949522000000002</v>
      </c>
      <c r="J1312">
        <v>81.158927249390999</v>
      </c>
      <c r="K1312">
        <v>85.702031165318999</v>
      </c>
      <c r="L1312">
        <v>85.528494230231004</v>
      </c>
    </row>
    <row r="1313" spans="1:12" x14ac:dyDescent="0.2">
      <c r="A1313" s="8" t="s">
        <v>32</v>
      </c>
      <c r="B1313" s="8" t="s">
        <v>33</v>
      </c>
      <c r="C1313" s="8" t="s">
        <v>258</v>
      </c>
      <c r="D1313" s="8" t="s">
        <v>259</v>
      </c>
      <c r="E1313" s="8" t="s">
        <v>39</v>
      </c>
      <c r="F1313" s="8" t="s">
        <v>40</v>
      </c>
      <c r="G1313" s="8" t="s">
        <v>7</v>
      </c>
      <c r="H1313" s="8" t="s">
        <v>38</v>
      </c>
      <c r="I1313" s="9">
        <v>9.0033670000000008</v>
      </c>
      <c r="J1313">
        <v>10.973179548224</v>
      </c>
      <c r="K1313">
        <v>11.587520788845</v>
      </c>
      <c r="L1313">
        <v>11.564057367785001</v>
      </c>
    </row>
    <row r="1314" spans="1:12" x14ac:dyDescent="0.2">
      <c r="A1314" s="8" t="s">
        <v>32</v>
      </c>
      <c r="B1314" s="8" t="s">
        <v>33</v>
      </c>
      <c r="C1314" s="8" t="s">
        <v>258</v>
      </c>
      <c r="D1314" s="8" t="s">
        <v>259</v>
      </c>
      <c r="E1314" s="8" t="s">
        <v>41</v>
      </c>
      <c r="F1314" s="8" t="s">
        <v>42</v>
      </c>
      <c r="G1314" s="8" t="s">
        <v>7</v>
      </c>
      <c r="H1314" s="8" t="s">
        <v>38</v>
      </c>
      <c r="I1314" s="9">
        <v>3.8019303</v>
      </c>
      <c r="J1314">
        <v>4.0010680616201997</v>
      </c>
      <c r="K1314">
        <v>4.2250713408914002</v>
      </c>
      <c r="L1314">
        <v>4.8240572944742004</v>
      </c>
    </row>
    <row r="1315" spans="1:12" x14ac:dyDescent="0.2">
      <c r="A1315" s="8" t="s">
        <v>32</v>
      </c>
      <c r="B1315" s="8" t="s">
        <v>33</v>
      </c>
      <c r="C1315" s="8" t="s">
        <v>258</v>
      </c>
      <c r="D1315" s="8" t="s">
        <v>259</v>
      </c>
      <c r="E1315" s="8" t="s">
        <v>43</v>
      </c>
      <c r="F1315" s="8" t="s">
        <v>44</v>
      </c>
      <c r="G1315" s="8" t="s">
        <v>7</v>
      </c>
      <c r="H1315" s="8" t="s">
        <v>38</v>
      </c>
      <c r="I1315" s="9">
        <v>43.520735000000002</v>
      </c>
      <c r="J1315">
        <v>45.904891916236998</v>
      </c>
      <c r="K1315">
        <v>48.474995656810997</v>
      </c>
      <c r="L1315">
        <v>48.376839264711997</v>
      </c>
    </row>
    <row r="1316" spans="1:12" x14ac:dyDescent="0.2">
      <c r="A1316" s="8" t="s">
        <v>32</v>
      </c>
      <c r="B1316" s="8" t="s">
        <v>33</v>
      </c>
      <c r="C1316" s="8" t="s">
        <v>258</v>
      </c>
      <c r="D1316" s="8" t="s">
        <v>259</v>
      </c>
      <c r="E1316" s="8" t="s">
        <v>45</v>
      </c>
      <c r="F1316" s="8" t="s">
        <v>46</v>
      </c>
      <c r="G1316" s="8" t="s">
        <v>7</v>
      </c>
      <c r="H1316" s="8" t="s">
        <v>38</v>
      </c>
      <c r="I1316" s="9">
        <v>3.3441513</v>
      </c>
      <c r="J1316">
        <v>3.4312399550797998</v>
      </c>
      <c r="K1316">
        <v>3.6233752444065002</v>
      </c>
      <c r="L1316">
        <v>3.8611481951113</v>
      </c>
    </row>
    <row r="1317" spans="1:12" x14ac:dyDescent="0.2">
      <c r="A1317" s="8" t="s">
        <v>32</v>
      </c>
      <c r="B1317" s="8" t="s">
        <v>33</v>
      </c>
      <c r="C1317" s="8" t="s">
        <v>258</v>
      </c>
      <c r="D1317" s="8" t="s">
        <v>259</v>
      </c>
      <c r="E1317" s="8" t="s">
        <v>47</v>
      </c>
      <c r="F1317" s="8" t="s">
        <v>48</v>
      </c>
      <c r="G1317" s="8" t="s">
        <v>7</v>
      </c>
      <c r="H1317" s="8" t="s">
        <v>38</v>
      </c>
      <c r="I1317" s="9">
        <v>1.4360472</v>
      </c>
      <c r="J1317">
        <v>1.3845238029456</v>
      </c>
      <c r="K1317">
        <v>1.4620659087165</v>
      </c>
      <c r="L1317">
        <v>1.4591053903571001</v>
      </c>
    </row>
    <row r="1318" spans="1:12" x14ac:dyDescent="0.2">
      <c r="A1318" s="8" t="s">
        <v>32</v>
      </c>
      <c r="B1318" s="8" t="s">
        <v>33</v>
      </c>
      <c r="C1318" s="8" t="s">
        <v>258</v>
      </c>
      <c r="D1318" s="8" t="s">
        <v>259</v>
      </c>
      <c r="E1318" s="8" t="s">
        <v>49</v>
      </c>
      <c r="F1318" s="8" t="s">
        <v>50</v>
      </c>
      <c r="G1318" s="8" t="s">
        <v>7</v>
      </c>
      <c r="H1318" s="8" t="s">
        <v>38</v>
      </c>
      <c r="I1318" s="9">
        <v>11.969053000000001</v>
      </c>
      <c r="J1318">
        <v>12.26218371955</v>
      </c>
      <c r="K1318">
        <v>12.525329576137</v>
      </c>
      <c r="L1318">
        <v>12.499967198186001</v>
      </c>
    </row>
    <row r="1319" spans="1:12" x14ac:dyDescent="0.2">
      <c r="A1319" s="8" t="s">
        <v>32</v>
      </c>
      <c r="B1319" s="8" t="s">
        <v>33</v>
      </c>
      <c r="C1319" s="8" t="s">
        <v>258</v>
      </c>
      <c r="D1319" s="8" t="s">
        <v>259</v>
      </c>
      <c r="E1319" s="8" t="s">
        <v>51</v>
      </c>
      <c r="F1319" s="8" t="s">
        <v>52</v>
      </c>
      <c r="G1319" s="8" t="s">
        <v>7</v>
      </c>
      <c r="H1319" s="8" t="s">
        <v>38</v>
      </c>
      <c r="I1319" s="9">
        <v>0.91857800000000001</v>
      </c>
      <c r="J1319">
        <v>1.0201401919421</v>
      </c>
      <c r="K1319">
        <v>1.0772447816854001</v>
      </c>
      <c r="L1319">
        <v>1.0750634826519001</v>
      </c>
    </row>
    <row r="1320" spans="1:12" x14ac:dyDescent="0.2">
      <c r="A1320" s="8" t="s">
        <v>32</v>
      </c>
      <c r="B1320" s="8" t="s">
        <v>33</v>
      </c>
      <c r="C1320" s="8" t="s">
        <v>258</v>
      </c>
      <c r="D1320" s="8" t="s">
        <v>259</v>
      </c>
      <c r="E1320" s="8" t="s">
        <v>53</v>
      </c>
      <c r="F1320" s="8" t="s">
        <v>54</v>
      </c>
      <c r="G1320" s="8" t="s">
        <v>7</v>
      </c>
      <c r="H1320" s="8" t="s">
        <v>38</v>
      </c>
      <c r="I1320" s="9"/>
    </row>
    <row r="1321" spans="1:12" x14ac:dyDescent="0.2">
      <c r="A1321" s="8" t="s">
        <v>32</v>
      </c>
      <c r="B1321" s="8" t="s">
        <v>33</v>
      </c>
      <c r="C1321" s="8" t="s">
        <v>258</v>
      </c>
      <c r="D1321" s="8" t="s">
        <v>259</v>
      </c>
      <c r="E1321" s="8" t="s">
        <v>55</v>
      </c>
      <c r="F1321" s="8" t="s">
        <v>56</v>
      </c>
      <c r="G1321" s="8" t="s">
        <v>7</v>
      </c>
      <c r="H1321" s="8" t="s">
        <v>38</v>
      </c>
      <c r="I1321" s="9">
        <v>5.4000000000000003E-3</v>
      </c>
      <c r="J1321">
        <v>5.4177159652871003E-3</v>
      </c>
      <c r="K1321">
        <v>5.4354717383749999E-3</v>
      </c>
      <c r="L1321">
        <v>5.4530035358059999E-3</v>
      </c>
    </row>
    <row r="1322" spans="1:12" x14ac:dyDescent="0.2">
      <c r="A1322" s="8" t="s">
        <v>32</v>
      </c>
      <c r="B1322" s="8" t="s">
        <v>33</v>
      </c>
      <c r="C1322" s="8" t="s">
        <v>258</v>
      </c>
      <c r="D1322" s="8" t="s">
        <v>259</v>
      </c>
      <c r="E1322" s="8" t="s">
        <v>57</v>
      </c>
      <c r="F1322" s="8" t="s">
        <v>58</v>
      </c>
      <c r="G1322" s="8" t="s">
        <v>7</v>
      </c>
      <c r="H1322" s="8" t="s">
        <v>38</v>
      </c>
      <c r="I1322" s="9">
        <v>1.573E-4</v>
      </c>
      <c r="J1322">
        <v>1.5728500000000001E-4</v>
      </c>
      <c r="K1322">
        <v>1.5728500000000001E-4</v>
      </c>
      <c r="L1322">
        <v>1.5728500000000001E-4</v>
      </c>
    </row>
    <row r="1323" spans="1:12" x14ac:dyDescent="0.2">
      <c r="A1323" s="8" t="s">
        <v>32</v>
      </c>
      <c r="B1323" s="8" t="s">
        <v>33</v>
      </c>
      <c r="C1323" s="8" t="s">
        <v>258</v>
      </c>
      <c r="D1323" s="8" t="s">
        <v>259</v>
      </c>
      <c r="E1323" s="8" t="s">
        <v>59</v>
      </c>
      <c r="F1323" s="8" t="s">
        <v>60</v>
      </c>
      <c r="G1323" s="8" t="s">
        <v>7</v>
      </c>
      <c r="H1323" s="8" t="s">
        <v>38</v>
      </c>
      <c r="I1323" s="9">
        <v>0.68767540000000005</v>
      </c>
      <c r="J1323">
        <v>0.70264721404677</v>
      </c>
      <c r="K1323">
        <v>0.73138065713818001</v>
      </c>
      <c r="L1323">
        <v>0.74955504552430996</v>
      </c>
    </row>
    <row r="1324" spans="1:12" x14ac:dyDescent="0.2">
      <c r="A1324" s="8" t="s">
        <v>110</v>
      </c>
      <c r="B1324" s="8" t="s">
        <v>115</v>
      </c>
      <c r="C1324" s="8" t="s">
        <v>260</v>
      </c>
      <c r="D1324" s="8" t="s">
        <v>261</v>
      </c>
      <c r="E1324" s="8" t="s">
        <v>36</v>
      </c>
      <c r="F1324" s="8" t="s">
        <v>37</v>
      </c>
      <c r="G1324" s="8" t="s">
        <v>7</v>
      </c>
      <c r="H1324" s="8" t="s">
        <v>38</v>
      </c>
      <c r="I1324" s="9">
        <v>88.169366999999994</v>
      </c>
      <c r="J1324">
        <v>88.516154999999998</v>
      </c>
      <c r="K1324">
        <v>86.615489999999994</v>
      </c>
      <c r="L1324">
        <v>85.505361692137996</v>
      </c>
    </row>
    <row r="1325" spans="1:12" x14ac:dyDescent="0.2">
      <c r="A1325" s="8" t="s">
        <v>110</v>
      </c>
      <c r="B1325" s="8" t="s">
        <v>115</v>
      </c>
      <c r="C1325" s="8" t="s">
        <v>260</v>
      </c>
      <c r="D1325" s="8" t="s">
        <v>261</v>
      </c>
      <c r="E1325" s="8" t="s">
        <v>39</v>
      </c>
      <c r="F1325" s="8" t="s">
        <v>40</v>
      </c>
      <c r="G1325" s="8" t="s">
        <v>7</v>
      </c>
      <c r="H1325" s="8" t="s">
        <v>38</v>
      </c>
      <c r="I1325" s="9">
        <v>32.701354000000002</v>
      </c>
      <c r="J1325">
        <v>43.013950000000001</v>
      </c>
      <c r="K1325">
        <v>51.305928000000002</v>
      </c>
      <c r="L1325">
        <v>50.648353205542001</v>
      </c>
    </row>
    <row r="1326" spans="1:12" x14ac:dyDescent="0.2">
      <c r="A1326" s="8" t="s">
        <v>110</v>
      </c>
      <c r="B1326" s="8" t="s">
        <v>115</v>
      </c>
      <c r="C1326" s="8" t="s">
        <v>260</v>
      </c>
      <c r="D1326" s="8" t="s">
        <v>261</v>
      </c>
      <c r="E1326" s="8" t="s">
        <v>41</v>
      </c>
      <c r="F1326" s="8" t="s">
        <v>42</v>
      </c>
      <c r="G1326" s="8" t="s">
        <v>7</v>
      </c>
      <c r="H1326" s="8" t="s">
        <v>38</v>
      </c>
      <c r="I1326" s="9">
        <v>8.3312729999999995</v>
      </c>
      <c r="J1326">
        <v>10.453614</v>
      </c>
      <c r="K1326">
        <v>14.979855000000001</v>
      </c>
      <c r="L1326">
        <v>17.157945553287</v>
      </c>
    </row>
    <row r="1327" spans="1:12" x14ac:dyDescent="0.2">
      <c r="A1327" s="8" t="s">
        <v>110</v>
      </c>
      <c r="B1327" s="8" t="s">
        <v>115</v>
      </c>
      <c r="C1327" s="8" t="s">
        <v>260</v>
      </c>
      <c r="D1327" s="8" t="s">
        <v>261</v>
      </c>
      <c r="E1327" s="8" t="s">
        <v>43</v>
      </c>
      <c r="F1327" s="8" t="s">
        <v>44</v>
      </c>
      <c r="G1327" s="8" t="s">
        <v>7</v>
      </c>
      <c r="H1327" s="8" t="s">
        <v>38</v>
      </c>
      <c r="I1327" s="9">
        <v>39.660314</v>
      </c>
      <c r="J1327">
        <v>41.191656000000002</v>
      </c>
      <c r="K1327">
        <v>51.236409000000002</v>
      </c>
      <c r="L1327">
        <v>50.579725212562998</v>
      </c>
    </row>
    <row r="1328" spans="1:12" x14ac:dyDescent="0.2">
      <c r="A1328" s="8" t="s">
        <v>110</v>
      </c>
      <c r="B1328" s="8" t="s">
        <v>115</v>
      </c>
      <c r="C1328" s="8" t="s">
        <v>260</v>
      </c>
      <c r="D1328" s="8" t="s">
        <v>261</v>
      </c>
      <c r="E1328" s="8" t="s">
        <v>45</v>
      </c>
      <c r="F1328" s="8" t="s">
        <v>46</v>
      </c>
      <c r="G1328" s="8" t="s">
        <v>7</v>
      </c>
      <c r="H1328" s="8" t="s">
        <v>38</v>
      </c>
      <c r="I1328" s="9">
        <v>26.325426</v>
      </c>
      <c r="J1328">
        <v>28.740231000000001</v>
      </c>
      <c r="K1328">
        <v>30.125340000000001</v>
      </c>
      <c r="L1328">
        <v>29.547219106850999</v>
      </c>
    </row>
    <row r="1329" spans="1:12" x14ac:dyDescent="0.2">
      <c r="A1329" s="8" t="s">
        <v>110</v>
      </c>
      <c r="B1329" s="8" t="s">
        <v>115</v>
      </c>
      <c r="C1329" s="8" t="s">
        <v>260</v>
      </c>
      <c r="D1329" s="8" t="s">
        <v>261</v>
      </c>
      <c r="E1329" s="8" t="s">
        <v>47</v>
      </c>
      <c r="F1329" s="8" t="s">
        <v>48</v>
      </c>
      <c r="G1329" s="8" t="s">
        <v>7</v>
      </c>
      <c r="H1329" s="8" t="s">
        <v>38</v>
      </c>
      <c r="I1329" s="9">
        <v>4.2308570000000003</v>
      </c>
      <c r="J1329">
        <v>5.0244489999999997</v>
      </c>
      <c r="K1329">
        <v>4.6705110000000003</v>
      </c>
      <c r="L1329">
        <v>4.6106502698550997</v>
      </c>
    </row>
    <row r="1330" spans="1:12" x14ac:dyDescent="0.2">
      <c r="A1330" s="8" t="s">
        <v>110</v>
      </c>
      <c r="B1330" s="8" t="s">
        <v>115</v>
      </c>
      <c r="C1330" s="8" t="s">
        <v>260</v>
      </c>
      <c r="D1330" s="8" t="s">
        <v>261</v>
      </c>
      <c r="E1330" s="8" t="s">
        <v>49</v>
      </c>
      <c r="F1330" s="8" t="s">
        <v>50</v>
      </c>
      <c r="G1330" s="8" t="s">
        <v>7</v>
      </c>
      <c r="H1330" s="8" t="s">
        <v>38</v>
      </c>
      <c r="I1330" s="9">
        <v>316.95229</v>
      </c>
      <c r="J1330">
        <v>319.87382500000001</v>
      </c>
      <c r="K1330">
        <v>340.62516599999998</v>
      </c>
      <c r="L1330">
        <v>336.25946144594002</v>
      </c>
    </row>
    <row r="1331" spans="1:12" x14ac:dyDescent="0.2">
      <c r="A1331" s="8" t="s">
        <v>110</v>
      </c>
      <c r="B1331" s="8" t="s">
        <v>115</v>
      </c>
      <c r="C1331" s="8" t="s">
        <v>260</v>
      </c>
      <c r="D1331" s="8" t="s">
        <v>261</v>
      </c>
      <c r="E1331" s="8" t="s">
        <v>53</v>
      </c>
      <c r="F1331" s="8" t="s">
        <v>54</v>
      </c>
      <c r="G1331" s="8" t="s">
        <v>7</v>
      </c>
      <c r="H1331" s="8" t="s">
        <v>38</v>
      </c>
      <c r="I1331" s="9">
        <v>9.9695850000000004</v>
      </c>
      <c r="J1331">
        <v>10.399647</v>
      </c>
      <c r="K1331">
        <v>9.6182400000000001</v>
      </c>
      <c r="L1331">
        <v>9.3990393111048007</v>
      </c>
    </row>
    <row r="1332" spans="1:12" x14ac:dyDescent="0.2">
      <c r="A1332" s="8" t="s">
        <v>110</v>
      </c>
      <c r="B1332" s="8" t="s">
        <v>115</v>
      </c>
      <c r="C1332" s="8" t="s">
        <v>260</v>
      </c>
      <c r="D1332" s="8" t="s">
        <v>261</v>
      </c>
      <c r="E1332" s="8" t="s">
        <v>55</v>
      </c>
      <c r="F1332" s="8" t="s">
        <v>56</v>
      </c>
      <c r="G1332" s="8" t="s">
        <v>7</v>
      </c>
      <c r="H1332" s="8" t="s">
        <v>38</v>
      </c>
      <c r="I1332" s="9">
        <v>2.7881999999999998E-3</v>
      </c>
      <c r="J1332">
        <v>2.7841370448884999E-3</v>
      </c>
      <c r="K1332">
        <v>2.7801162388115998E-3</v>
      </c>
      <c r="L1332">
        <v>2.7761065080438999E-3</v>
      </c>
    </row>
    <row r="1333" spans="1:12" x14ac:dyDescent="0.2">
      <c r="A1333" s="8" t="s">
        <v>110</v>
      </c>
      <c r="B1333" s="8" t="s">
        <v>115</v>
      </c>
      <c r="C1333" s="8" t="s">
        <v>260</v>
      </c>
      <c r="D1333" s="8" t="s">
        <v>261</v>
      </c>
      <c r="E1333" s="8" t="s">
        <v>57</v>
      </c>
      <c r="F1333" s="8" t="s">
        <v>58</v>
      </c>
      <c r="G1333" s="8" t="s">
        <v>7</v>
      </c>
      <c r="H1333" s="8" t="s">
        <v>38</v>
      </c>
      <c r="I1333" s="9">
        <v>5.9527E-3</v>
      </c>
      <c r="J1333">
        <v>6.3135173286454002E-3</v>
      </c>
      <c r="K1333">
        <v>6.6962311341779998E-3</v>
      </c>
      <c r="L1333">
        <v>6.9021123610136003E-3</v>
      </c>
    </row>
    <row r="1334" spans="1:12" x14ac:dyDescent="0.2">
      <c r="A1334" s="8" t="s">
        <v>110</v>
      </c>
      <c r="B1334" s="8" t="s">
        <v>115</v>
      </c>
      <c r="C1334" s="8" t="s">
        <v>260</v>
      </c>
      <c r="D1334" s="8" t="s">
        <v>261</v>
      </c>
      <c r="E1334" s="8" t="s">
        <v>59</v>
      </c>
      <c r="F1334" s="8" t="s">
        <v>60</v>
      </c>
      <c r="G1334" s="8" t="s">
        <v>7</v>
      </c>
      <c r="H1334" s="8" t="s">
        <v>38</v>
      </c>
      <c r="I1334" s="9">
        <v>0.1141422</v>
      </c>
      <c r="J1334">
        <v>0.11453177970079</v>
      </c>
      <c r="K1334">
        <v>0.11452827378065999</v>
      </c>
      <c r="L1334">
        <v>0.11478731049071</v>
      </c>
    </row>
    <row r="1335" spans="1:12" x14ac:dyDescent="0.2">
      <c r="A1335" s="8" t="s">
        <v>110</v>
      </c>
      <c r="B1335" s="8" t="s">
        <v>115</v>
      </c>
      <c r="C1335" s="8" t="s">
        <v>260</v>
      </c>
      <c r="D1335" s="8" t="s">
        <v>261</v>
      </c>
      <c r="E1335" s="8" t="s">
        <v>92</v>
      </c>
      <c r="F1335" s="8" t="s">
        <v>93</v>
      </c>
      <c r="G1335" s="8" t="s">
        <v>7</v>
      </c>
      <c r="H1335" s="8" t="s">
        <v>38</v>
      </c>
      <c r="I1335" s="9">
        <v>1.0458276</v>
      </c>
      <c r="J1335">
        <v>1.0494625597439999</v>
      </c>
      <c r="K1335">
        <v>1.0531102026571999</v>
      </c>
      <c r="L1335">
        <v>1.0573761388206</v>
      </c>
    </row>
    <row r="1336" spans="1:12" x14ac:dyDescent="0.2">
      <c r="A1336" s="8" t="s">
        <v>32</v>
      </c>
      <c r="B1336" s="8" t="s">
        <v>33</v>
      </c>
      <c r="C1336" s="8" t="s">
        <v>262</v>
      </c>
      <c r="D1336" s="8" t="s">
        <v>263</v>
      </c>
      <c r="E1336" s="8" t="s">
        <v>36</v>
      </c>
      <c r="F1336" s="8" t="s">
        <v>37</v>
      </c>
      <c r="G1336" s="8" t="s">
        <v>7</v>
      </c>
      <c r="H1336" s="8" t="s">
        <v>38</v>
      </c>
      <c r="I1336" s="9">
        <v>3863.0237000000002</v>
      </c>
      <c r="J1336">
        <v>4084.6868249600002</v>
      </c>
      <c r="K1336">
        <v>1913.3623594799999</v>
      </c>
      <c r="L1336">
        <v>2181.8004211112998</v>
      </c>
    </row>
    <row r="1337" spans="1:12" x14ac:dyDescent="0.2">
      <c r="A1337" s="8" t="s">
        <v>32</v>
      </c>
      <c r="B1337" s="8" t="s">
        <v>33</v>
      </c>
      <c r="C1337" s="8" t="s">
        <v>262</v>
      </c>
      <c r="D1337" s="8" t="s">
        <v>263</v>
      </c>
      <c r="E1337" s="8" t="s">
        <v>64</v>
      </c>
      <c r="F1337" s="8" t="s">
        <v>65</v>
      </c>
      <c r="G1337" s="8" t="s">
        <v>7</v>
      </c>
      <c r="H1337" s="8" t="s">
        <v>38</v>
      </c>
      <c r="I1337" s="9">
        <v>156.78818000000001</v>
      </c>
      <c r="J1337">
        <v>171.14927388000001</v>
      </c>
      <c r="K1337">
        <v>181.27246761000001</v>
      </c>
      <c r="L1337">
        <v>174.23077538634999</v>
      </c>
    </row>
    <row r="1338" spans="1:12" x14ac:dyDescent="0.2">
      <c r="A1338" s="8" t="s">
        <v>32</v>
      </c>
      <c r="B1338" s="8" t="s">
        <v>33</v>
      </c>
      <c r="C1338" s="8" t="s">
        <v>262</v>
      </c>
      <c r="D1338" s="8" t="s">
        <v>263</v>
      </c>
      <c r="E1338" s="8" t="s">
        <v>39</v>
      </c>
      <c r="F1338" s="8" t="s">
        <v>40</v>
      </c>
      <c r="G1338" s="8" t="s">
        <v>7</v>
      </c>
      <c r="H1338" s="8" t="s">
        <v>38</v>
      </c>
      <c r="I1338" s="9">
        <v>1992.6669999999999</v>
      </c>
      <c r="J1338">
        <v>2579.2494225700002</v>
      </c>
      <c r="K1338">
        <v>3662.3576973899999</v>
      </c>
      <c r="L1338">
        <v>3882.5027585121002</v>
      </c>
    </row>
    <row r="1339" spans="1:12" x14ac:dyDescent="0.2">
      <c r="A1339" s="8" t="s">
        <v>32</v>
      </c>
      <c r="B1339" s="8" t="s">
        <v>33</v>
      </c>
      <c r="C1339" s="8" t="s">
        <v>262</v>
      </c>
      <c r="D1339" s="8" t="s">
        <v>263</v>
      </c>
      <c r="E1339" s="8" t="s">
        <v>41</v>
      </c>
      <c r="F1339" s="8" t="s">
        <v>42</v>
      </c>
      <c r="G1339" s="8" t="s">
        <v>7</v>
      </c>
      <c r="H1339" s="8" t="s">
        <v>38</v>
      </c>
      <c r="I1339" s="9">
        <v>4.4996236999999999</v>
      </c>
      <c r="J1339">
        <v>7.5928709999999997</v>
      </c>
      <c r="K1339">
        <v>9.8536080500000001</v>
      </c>
      <c r="L1339">
        <v>11.250548441736999</v>
      </c>
    </row>
    <row r="1340" spans="1:12" x14ac:dyDescent="0.2">
      <c r="A1340" s="8" t="s">
        <v>32</v>
      </c>
      <c r="B1340" s="8" t="s">
        <v>33</v>
      </c>
      <c r="C1340" s="8" t="s">
        <v>262</v>
      </c>
      <c r="D1340" s="8" t="s">
        <v>263</v>
      </c>
      <c r="E1340" s="8" t="s">
        <v>43</v>
      </c>
      <c r="F1340" s="8" t="s">
        <v>44</v>
      </c>
      <c r="G1340" s="8" t="s">
        <v>7</v>
      </c>
      <c r="H1340" s="8" t="s">
        <v>38</v>
      </c>
      <c r="I1340" s="9">
        <v>8544.7203000000009</v>
      </c>
      <c r="J1340">
        <v>10236.613637099999</v>
      </c>
      <c r="K1340">
        <v>9995.9270101198999</v>
      </c>
      <c r="L1340">
        <v>10596.784202246001</v>
      </c>
    </row>
    <row r="1341" spans="1:12" x14ac:dyDescent="0.2">
      <c r="A1341" s="8" t="s">
        <v>32</v>
      </c>
      <c r="B1341" s="8" t="s">
        <v>33</v>
      </c>
      <c r="C1341" s="8" t="s">
        <v>262</v>
      </c>
      <c r="D1341" s="8" t="s">
        <v>263</v>
      </c>
      <c r="E1341" s="8" t="s">
        <v>47</v>
      </c>
      <c r="F1341" s="8" t="s">
        <v>48</v>
      </c>
      <c r="G1341" s="8" t="s">
        <v>7</v>
      </c>
      <c r="H1341" s="8" t="s">
        <v>38</v>
      </c>
      <c r="I1341" s="9">
        <v>13.096544</v>
      </c>
      <c r="J1341">
        <v>15.07847696</v>
      </c>
      <c r="K1341">
        <v>15.93497112</v>
      </c>
      <c r="L1341">
        <v>16.892825453478</v>
      </c>
    </row>
    <row r="1342" spans="1:12" x14ac:dyDescent="0.2">
      <c r="A1342" s="8" t="s">
        <v>32</v>
      </c>
      <c r="B1342" s="8" t="s">
        <v>33</v>
      </c>
      <c r="C1342" s="8" t="s">
        <v>262</v>
      </c>
      <c r="D1342" s="8" t="s">
        <v>263</v>
      </c>
      <c r="E1342" s="8" t="s">
        <v>49</v>
      </c>
      <c r="F1342" s="8" t="s">
        <v>50</v>
      </c>
      <c r="G1342" s="8" t="s">
        <v>7</v>
      </c>
      <c r="H1342" s="8" t="s">
        <v>38</v>
      </c>
      <c r="I1342" s="9">
        <v>1035.6699000000001</v>
      </c>
      <c r="J1342">
        <v>1191.1239030500001</v>
      </c>
      <c r="K1342">
        <v>1258.7317544299999</v>
      </c>
      <c r="L1342">
        <v>1334.3943744992</v>
      </c>
    </row>
    <row r="1343" spans="1:12" x14ac:dyDescent="0.2">
      <c r="A1343" s="8" t="s">
        <v>32</v>
      </c>
      <c r="B1343" s="8" t="s">
        <v>33</v>
      </c>
      <c r="C1343" s="8" t="s">
        <v>262</v>
      </c>
      <c r="D1343" s="8" t="s">
        <v>263</v>
      </c>
      <c r="E1343" s="8" t="s">
        <v>53</v>
      </c>
      <c r="F1343" s="8" t="s">
        <v>54</v>
      </c>
      <c r="G1343" s="8" t="s">
        <v>7</v>
      </c>
      <c r="H1343" s="8" t="s">
        <v>38</v>
      </c>
      <c r="I1343" s="9">
        <v>118.35093000000001</v>
      </c>
      <c r="J1343">
        <v>97.983821380501993</v>
      </c>
      <c r="K1343">
        <v>101.9298827149</v>
      </c>
      <c r="L1343">
        <v>114.5723255157</v>
      </c>
    </row>
    <row r="1344" spans="1:12" x14ac:dyDescent="0.2">
      <c r="A1344" s="8" t="s">
        <v>32</v>
      </c>
      <c r="B1344" s="8" t="s">
        <v>33</v>
      </c>
      <c r="C1344" s="8" t="s">
        <v>262</v>
      </c>
      <c r="D1344" s="8" t="s">
        <v>263</v>
      </c>
      <c r="E1344" s="8" t="s">
        <v>70</v>
      </c>
      <c r="F1344" s="8" t="s">
        <v>71</v>
      </c>
      <c r="G1344" s="8" t="s">
        <v>7</v>
      </c>
      <c r="H1344" s="8" t="s">
        <v>38</v>
      </c>
      <c r="I1344" s="9">
        <v>1205.8544999999999</v>
      </c>
      <c r="J1344">
        <v>1261.8538959</v>
      </c>
      <c r="K1344">
        <v>1301.4268287299999</v>
      </c>
      <c r="L1344">
        <v>1299.9586401481999</v>
      </c>
    </row>
    <row r="1345" spans="1:12" x14ac:dyDescent="0.2">
      <c r="A1345" s="8" t="s">
        <v>32</v>
      </c>
      <c r="B1345" s="8" t="s">
        <v>33</v>
      </c>
      <c r="C1345" s="8" t="s">
        <v>262</v>
      </c>
      <c r="D1345" s="8" t="s">
        <v>263</v>
      </c>
      <c r="E1345" s="8" t="s">
        <v>83</v>
      </c>
      <c r="F1345" s="8" t="s">
        <v>84</v>
      </c>
      <c r="G1345" s="8" t="s">
        <v>7</v>
      </c>
      <c r="H1345" s="8" t="s">
        <v>38</v>
      </c>
      <c r="I1345" s="9"/>
    </row>
    <row r="1346" spans="1:12" x14ac:dyDescent="0.2">
      <c r="A1346" s="8" t="s">
        <v>32</v>
      </c>
      <c r="B1346" s="8" t="s">
        <v>33</v>
      </c>
      <c r="C1346" s="8" t="s">
        <v>262</v>
      </c>
      <c r="D1346" s="8" t="s">
        <v>263</v>
      </c>
      <c r="E1346" s="8" t="s">
        <v>55</v>
      </c>
      <c r="F1346" s="8" t="s">
        <v>56</v>
      </c>
      <c r="G1346" s="8" t="s">
        <v>7</v>
      </c>
      <c r="H1346" s="8" t="s">
        <v>38</v>
      </c>
      <c r="I1346" s="9">
        <v>0.9555247</v>
      </c>
      <c r="J1346">
        <v>1.0702124100014001</v>
      </c>
      <c r="K1346">
        <v>1.0702124100014001</v>
      </c>
      <c r="L1346">
        <v>1.0702124100014001</v>
      </c>
    </row>
    <row r="1347" spans="1:12" x14ac:dyDescent="0.2">
      <c r="A1347" s="8" t="s">
        <v>32</v>
      </c>
      <c r="B1347" s="8" t="s">
        <v>33</v>
      </c>
      <c r="C1347" s="8" t="s">
        <v>262</v>
      </c>
      <c r="D1347" s="8" t="s">
        <v>263</v>
      </c>
      <c r="E1347" s="8" t="s">
        <v>57</v>
      </c>
      <c r="F1347" s="8" t="s">
        <v>58</v>
      </c>
      <c r="G1347" s="8" t="s">
        <v>7</v>
      </c>
      <c r="H1347" s="8" t="s">
        <v>38</v>
      </c>
      <c r="I1347" s="9">
        <v>23.760994</v>
      </c>
      <c r="J1347">
        <v>26.612929833340001</v>
      </c>
      <c r="K1347">
        <v>26.612929833340001</v>
      </c>
      <c r="L1347">
        <v>26.612929833340001</v>
      </c>
    </row>
    <row r="1348" spans="1:12" x14ac:dyDescent="0.2">
      <c r="A1348" s="8" t="s">
        <v>32</v>
      </c>
      <c r="B1348" s="8" t="s">
        <v>33</v>
      </c>
      <c r="C1348" s="8" t="s">
        <v>262</v>
      </c>
      <c r="D1348" s="8" t="s">
        <v>263</v>
      </c>
      <c r="E1348" s="8" t="s">
        <v>74</v>
      </c>
      <c r="F1348" s="8" t="s">
        <v>75</v>
      </c>
      <c r="G1348" s="8" t="s">
        <v>7</v>
      </c>
      <c r="H1348" s="8" t="s">
        <v>38</v>
      </c>
      <c r="I1348" s="9">
        <v>13.892760000000001</v>
      </c>
      <c r="J1348">
        <v>16.256959999999999</v>
      </c>
      <c r="K1348">
        <v>14.563560000000001</v>
      </c>
      <c r="L1348">
        <v>13.37368</v>
      </c>
    </row>
    <row r="1349" spans="1:12" x14ac:dyDescent="0.2">
      <c r="A1349" s="8" t="s">
        <v>32</v>
      </c>
      <c r="B1349" s="8" t="s">
        <v>33</v>
      </c>
      <c r="C1349" s="8" t="s">
        <v>262</v>
      </c>
      <c r="D1349" s="8" t="s">
        <v>263</v>
      </c>
      <c r="E1349" s="8" t="s">
        <v>59</v>
      </c>
      <c r="F1349" s="8" t="s">
        <v>60</v>
      </c>
      <c r="G1349" s="8" t="s">
        <v>7</v>
      </c>
      <c r="H1349" s="8" t="s">
        <v>38</v>
      </c>
      <c r="I1349" s="9">
        <v>77.050079999999994</v>
      </c>
      <c r="J1349">
        <v>80.759647023675996</v>
      </c>
      <c r="K1349">
        <v>88.411139745834006</v>
      </c>
      <c r="L1349">
        <v>89.569642889456006</v>
      </c>
    </row>
    <row r="1350" spans="1:12" x14ac:dyDescent="0.2">
      <c r="A1350" s="8" t="s">
        <v>32</v>
      </c>
      <c r="B1350" s="8" t="s">
        <v>33</v>
      </c>
      <c r="C1350" s="8" t="s">
        <v>262</v>
      </c>
      <c r="D1350" s="8" t="s">
        <v>263</v>
      </c>
      <c r="E1350" s="8" t="s">
        <v>76</v>
      </c>
      <c r="F1350" s="8" t="s">
        <v>77</v>
      </c>
      <c r="G1350" s="8" t="s">
        <v>7</v>
      </c>
      <c r="H1350" s="8" t="s">
        <v>38</v>
      </c>
      <c r="I1350" s="9">
        <v>410.45713999999998</v>
      </c>
      <c r="J1350">
        <v>287.46666671994001</v>
      </c>
      <c r="K1350">
        <v>221.46666670348</v>
      </c>
      <c r="L1350">
        <v>221.46666670348</v>
      </c>
    </row>
    <row r="1351" spans="1:12" x14ac:dyDescent="0.2">
      <c r="A1351" s="8" t="s">
        <v>32</v>
      </c>
      <c r="B1351" s="8" t="s">
        <v>33</v>
      </c>
      <c r="C1351" s="8" t="s">
        <v>262</v>
      </c>
      <c r="D1351" s="8" t="s">
        <v>263</v>
      </c>
      <c r="E1351" s="8" t="s">
        <v>78</v>
      </c>
      <c r="F1351" s="8" t="s">
        <v>79</v>
      </c>
      <c r="G1351" s="8" t="s">
        <v>7</v>
      </c>
      <c r="H1351" s="8" t="s">
        <v>38</v>
      </c>
      <c r="I1351" s="9">
        <v>157.92854</v>
      </c>
      <c r="J1351">
        <v>147.24283037142999</v>
      </c>
      <c r="K1351">
        <v>158.87139968571</v>
      </c>
      <c r="L1351">
        <v>163.39711314857001</v>
      </c>
    </row>
    <row r="1352" spans="1:12" x14ac:dyDescent="0.2">
      <c r="A1352" s="8" t="s">
        <v>32</v>
      </c>
      <c r="B1352" s="8" t="s">
        <v>99</v>
      </c>
      <c r="C1352" s="8" t="s">
        <v>264</v>
      </c>
      <c r="D1352" s="8" t="s">
        <v>265</v>
      </c>
      <c r="E1352" s="8" t="s">
        <v>36</v>
      </c>
      <c r="F1352" s="8" t="s">
        <v>37</v>
      </c>
      <c r="G1352" s="8" t="s">
        <v>7</v>
      </c>
      <c r="H1352" s="8" t="s">
        <v>38</v>
      </c>
      <c r="I1352" s="9">
        <v>172.17617000000001</v>
      </c>
      <c r="J1352">
        <v>172.17616517061001</v>
      </c>
      <c r="K1352">
        <v>172.17616517061001</v>
      </c>
      <c r="L1352">
        <v>188.24105636625001</v>
      </c>
    </row>
    <row r="1353" spans="1:12" x14ac:dyDescent="0.2">
      <c r="A1353" s="8" t="s">
        <v>32</v>
      </c>
      <c r="B1353" s="8" t="s">
        <v>99</v>
      </c>
      <c r="C1353" s="8" t="s">
        <v>264</v>
      </c>
      <c r="D1353" s="8" t="s">
        <v>265</v>
      </c>
      <c r="E1353" s="8" t="s">
        <v>39</v>
      </c>
      <c r="F1353" s="8" t="s">
        <v>40</v>
      </c>
      <c r="G1353" s="8" t="s">
        <v>7</v>
      </c>
      <c r="H1353" s="8" t="s">
        <v>38</v>
      </c>
      <c r="I1353" s="9">
        <v>10.00023</v>
      </c>
      <c r="J1353">
        <v>10.000230316071001</v>
      </c>
      <c r="K1353">
        <v>10.000230316071001</v>
      </c>
      <c r="L1353">
        <v>10.156458651445</v>
      </c>
    </row>
    <row r="1354" spans="1:12" x14ac:dyDescent="0.2">
      <c r="A1354" s="8" t="s">
        <v>32</v>
      </c>
      <c r="B1354" s="8" t="s">
        <v>99</v>
      </c>
      <c r="C1354" s="8" t="s">
        <v>264</v>
      </c>
      <c r="D1354" s="8" t="s">
        <v>265</v>
      </c>
      <c r="E1354" s="8" t="s">
        <v>41</v>
      </c>
      <c r="F1354" s="8" t="s">
        <v>42</v>
      </c>
      <c r="G1354" s="8" t="s">
        <v>7</v>
      </c>
      <c r="H1354" s="8" t="s">
        <v>38</v>
      </c>
      <c r="I1354" s="9">
        <v>9.6575986</v>
      </c>
      <c r="J1354">
        <v>9.6575985899937002</v>
      </c>
      <c r="K1354">
        <v>9.6575985899937002</v>
      </c>
      <c r="L1354">
        <v>11.026750832409</v>
      </c>
    </row>
    <row r="1355" spans="1:12" x14ac:dyDescent="0.2">
      <c r="A1355" s="8" t="s">
        <v>32</v>
      </c>
      <c r="B1355" s="8" t="s">
        <v>99</v>
      </c>
      <c r="C1355" s="8" t="s">
        <v>264</v>
      </c>
      <c r="D1355" s="8" t="s">
        <v>265</v>
      </c>
      <c r="E1355" s="8" t="s">
        <v>43</v>
      </c>
      <c r="F1355" s="8" t="s">
        <v>44</v>
      </c>
      <c r="G1355" s="8" t="s">
        <v>7</v>
      </c>
      <c r="H1355" s="8" t="s">
        <v>38</v>
      </c>
      <c r="I1355" s="9">
        <v>105.93641</v>
      </c>
      <c r="J1355">
        <v>105.93641122496</v>
      </c>
      <c r="K1355">
        <v>105.93641122496</v>
      </c>
      <c r="L1355">
        <v>107.59140002602</v>
      </c>
    </row>
    <row r="1356" spans="1:12" x14ac:dyDescent="0.2">
      <c r="A1356" s="8" t="s">
        <v>32</v>
      </c>
      <c r="B1356" s="8" t="s">
        <v>99</v>
      </c>
      <c r="C1356" s="8" t="s">
        <v>264</v>
      </c>
      <c r="D1356" s="8" t="s">
        <v>265</v>
      </c>
      <c r="E1356" s="8" t="s">
        <v>45</v>
      </c>
      <c r="F1356" s="8" t="s">
        <v>46</v>
      </c>
      <c r="G1356" s="8" t="s">
        <v>7</v>
      </c>
      <c r="H1356" s="8" t="s">
        <v>38</v>
      </c>
      <c r="I1356" s="9">
        <v>2.7896245999999998</v>
      </c>
      <c r="J1356">
        <v>2.7896246440539998</v>
      </c>
      <c r="K1356">
        <v>2.7896246440539998</v>
      </c>
      <c r="L1356">
        <v>2.9726852541851998</v>
      </c>
    </row>
    <row r="1357" spans="1:12" x14ac:dyDescent="0.2">
      <c r="A1357" s="8" t="s">
        <v>32</v>
      </c>
      <c r="B1357" s="8" t="s">
        <v>99</v>
      </c>
      <c r="C1357" s="8" t="s">
        <v>264</v>
      </c>
      <c r="D1357" s="8" t="s">
        <v>265</v>
      </c>
      <c r="E1357" s="8" t="s">
        <v>47</v>
      </c>
      <c r="F1357" s="8" t="s">
        <v>48</v>
      </c>
      <c r="G1357" s="8" t="s">
        <v>7</v>
      </c>
      <c r="H1357" s="8" t="s">
        <v>38</v>
      </c>
      <c r="I1357" s="9">
        <v>3.1215818</v>
      </c>
      <c r="J1357">
        <v>3.1215817900768998</v>
      </c>
      <c r="K1357">
        <v>3.1215817900768998</v>
      </c>
      <c r="L1357">
        <v>3.1703486195782999</v>
      </c>
    </row>
    <row r="1358" spans="1:12" x14ac:dyDescent="0.2">
      <c r="A1358" s="8" t="s">
        <v>32</v>
      </c>
      <c r="B1358" s="8" t="s">
        <v>99</v>
      </c>
      <c r="C1358" s="8" t="s">
        <v>264</v>
      </c>
      <c r="D1358" s="8" t="s">
        <v>265</v>
      </c>
      <c r="E1358" s="8" t="s">
        <v>49</v>
      </c>
      <c r="F1358" s="8" t="s">
        <v>50</v>
      </c>
      <c r="G1358" s="8" t="s">
        <v>7</v>
      </c>
      <c r="H1358" s="8" t="s">
        <v>38</v>
      </c>
      <c r="I1358" s="9">
        <v>17.758845999999998</v>
      </c>
      <c r="J1358">
        <v>17.758845710597999</v>
      </c>
      <c r="K1358">
        <v>17.758845710597999</v>
      </c>
      <c r="L1358">
        <v>18.036282811128999</v>
      </c>
    </row>
    <row r="1359" spans="1:12" x14ac:dyDescent="0.2">
      <c r="A1359" s="8" t="s">
        <v>32</v>
      </c>
      <c r="B1359" s="8" t="s">
        <v>99</v>
      </c>
      <c r="C1359" s="8" t="s">
        <v>264</v>
      </c>
      <c r="D1359" s="8" t="s">
        <v>265</v>
      </c>
      <c r="E1359" s="8" t="s">
        <v>51</v>
      </c>
      <c r="F1359" s="8" t="s">
        <v>52</v>
      </c>
      <c r="G1359" s="8" t="s">
        <v>7</v>
      </c>
      <c r="H1359" s="8" t="s">
        <v>38</v>
      </c>
      <c r="I1359" s="9">
        <v>3.3530038000000002</v>
      </c>
      <c r="J1359">
        <v>3.3530038079415001</v>
      </c>
      <c r="K1359">
        <v>3.3530038079415001</v>
      </c>
      <c r="L1359">
        <v>3.4053860218368999</v>
      </c>
    </row>
    <row r="1360" spans="1:12" x14ac:dyDescent="0.2">
      <c r="A1360" s="8" t="s">
        <v>32</v>
      </c>
      <c r="B1360" s="8" t="s">
        <v>99</v>
      </c>
      <c r="C1360" s="8" t="s">
        <v>264</v>
      </c>
      <c r="D1360" s="8" t="s">
        <v>265</v>
      </c>
      <c r="E1360" s="8" t="s">
        <v>53</v>
      </c>
      <c r="F1360" s="8" t="s">
        <v>54</v>
      </c>
      <c r="G1360" s="8" t="s">
        <v>7</v>
      </c>
      <c r="H1360" s="8" t="s">
        <v>38</v>
      </c>
      <c r="I1360" s="9">
        <v>1.11E-4</v>
      </c>
      <c r="J1360">
        <v>1.1101039823795E-4</v>
      </c>
      <c r="K1360">
        <v>1.1101039823795E-4</v>
      </c>
      <c r="L1360">
        <v>1.0245858029944E-4</v>
      </c>
    </row>
    <row r="1361" spans="1:12" x14ac:dyDescent="0.2">
      <c r="A1361" s="8" t="s">
        <v>32</v>
      </c>
      <c r="B1361" s="8" t="s">
        <v>99</v>
      </c>
      <c r="C1361" s="8" t="s">
        <v>264</v>
      </c>
      <c r="D1361" s="8" t="s">
        <v>265</v>
      </c>
      <c r="E1361" s="8" t="s">
        <v>70</v>
      </c>
      <c r="F1361" s="8" t="s">
        <v>71</v>
      </c>
      <c r="G1361" s="8" t="s">
        <v>7</v>
      </c>
      <c r="H1361" s="8" t="s">
        <v>38</v>
      </c>
      <c r="I1361" s="9">
        <v>34.484160000000003</v>
      </c>
      <c r="J1361">
        <v>38.315733100000003</v>
      </c>
      <c r="K1361">
        <v>38.315733100000003</v>
      </c>
      <c r="L1361">
        <v>38.272507679561997</v>
      </c>
    </row>
    <row r="1362" spans="1:12" x14ac:dyDescent="0.2">
      <c r="A1362" s="8" t="s">
        <v>32</v>
      </c>
      <c r="B1362" s="8" t="s">
        <v>99</v>
      </c>
      <c r="C1362" s="8" t="s">
        <v>264</v>
      </c>
      <c r="D1362" s="8" t="s">
        <v>265</v>
      </c>
      <c r="E1362" s="8" t="s">
        <v>55</v>
      </c>
      <c r="F1362" s="8" t="s">
        <v>56</v>
      </c>
      <c r="G1362" s="8" t="s">
        <v>7</v>
      </c>
      <c r="H1362" s="8" t="s">
        <v>38</v>
      </c>
      <c r="I1362" s="9">
        <v>1.35043E-2</v>
      </c>
      <c r="J1362">
        <v>1.5125133779081E-2</v>
      </c>
      <c r="K1362">
        <v>1.5125133779081E-2</v>
      </c>
      <c r="L1362">
        <v>1.5125133779081E-2</v>
      </c>
    </row>
    <row r="1363" spans="1:12" x14ac:dyDescent="0.2">
      <c r="A1363" s="8" t="s">
        <v>32</v>
      </c>
      <c r="B1363" s="8" t="s">
        <v>99</v>
      </c>
      <c r="C1363" s="8" t="s">
        <v>264</v>
      </c>
      <c r="D1363" s="8" t="s">
        <v>265</v>
      </c>
      <c r="E1363" s="8" t="s">
        <v>57</v>
      </c>
      <c r="F1363" s="8" t="s">
        <v>58</v>
      </c>
      <c r="G1363" s="8" t="s">
        <v>7</v>
      </c>
      <c r="H1363" s="8" t="s">
        <v>38</v>
      </c>
      <c r="I1363" s="9"/>
    </row>
    <row r="1364" spans="1:12" x14ac:dyDescent="0.2">
      <c r="A1364" s="8" t="s">
        <v>32</v>
      </c>
      <c r="B1364" s="8" t="s">
        <v>99</v>
      </c>
      <c r="C1364" s="8" t="s">
        <v>264</v>
      </c>
      <c r="D1364" s="8" t="s">
        <v>265</v>
      </c>
      <c r="E1364" s="8" t="s">
        <v>59</v>
      </c>
      <c r="F1364" s="8" t="s">
        <v>60</v>
      </c>
      <c r="G1364" s="8" t="s">
        <v>7</v>
      </c>
      <c r="H1364" s="8" t="s">
        <v>38</v>
      </c>
      <c r="I1364" s="9">
        <v>1.0396418999999999</v>
      </c>
      <c r="J1364">
        <v>1.0502716177033</v>
      </c>
      <c r="K1364">
        <v>1.0623394594063</v>
      </c>
      <c r="L1364">
        <v>1.0729820296192001</v>
      </c>
    </row>
    <row r="1365" spans="1:12" x14ac:dyDescent="0.2">
      <c r="A1365" s="8" t="s">
        <v>32</v>
      </c>
      <c r="B1365" s="8" t="s">
        <v>99</v>
      </c>
      <c r="C1365" s="8" t="s">
        <v>264</v>
      </c>
      <c r="D1365" s="8" t="s">
        <v>265</v>
      </c>
      <c r="E1365" s="8" t="s">
        <v>92</v>
      </c>
      <c r="F1365" s="8" t="s">
        <v>93</v>
      </c>
      <c r="G1365" s="8" t="s">
        <v>7</v>
      </c>
      <c r="H1365" s="8" t="s">
        <v>38</v>
      </c>
      <c r="I1365" s="9">
        <v>9.7026799999999996E-2</v>
      </c>
      <c r="J1365">
        <v>9.9050908660000006E-2</v>
      </c>
      <c r="K1365">
        <v>0.10111722827779</v>
      </c>
      <c r="L1365">
        <v>0.10346072481335</v>
      </c>
    </row>
    <row r="1366" spans="1:12" x14ac:dyDescent="0.2">
      <c r="A1366" s="8" t="s">
        <v>32</v>
      </c>
      <c r="B1366" s="8" t="s">
        <v>105</v>
      </c>
      <c r="C1366" s="8" t="s">
        <v>266</v>
      </c>
      <c r="D1366" s="8" t="s">
        <v>267</v>
      </c>
      <c r="E1366" s="8" t="s">
        <v>59</v>
      </c>
      <c r="F1366" s="8" t="s">
        <v>60</v>
      </c>
      <c r="G1366" s="8" t="s">
        <v>7</v>
      </c>
      <c r="H1366" s="8" t="s">
        <v>38</v>
      </c>
      <c r="I1366" s="9">
        <v>0.36189650000000001</v>
      </c>
      <c r="J1366">
        <v>0.32342648521120998</v>
      </c>
      <c r="K1366">
        <v>0.30473789983010002</v>
      </c>
      <c r="L1366">
        <v>0.30622771444899</v>
      </c>
    </row>
    <row r="1367" spans="1:12" x14ac:dyDescent="0.2">
      <c r="A1367" s="8" t="s">
        <v>32</v>
      </c>
      <c r="B1367" s="8" t="s">
        <v>99</v>
      </c>
      <c r="C1367" s="8" t="s">
        <v>268</v>
      </c>
      <c r="D1367" s="8" t="s">
        <v>269</v>
      </c>
      <c r="E1367" s="8" t="s">
        <v>36</v>
      </c>
      <c r="F1367" s="8" t="s">
        <v>37</v>
      </c>
      <c r="G1367" s="8" t="s">
        <v>7</v>
      </c>
      <c r="H1367" s="8" t="s">
        <v>38</v>
      </c>
      <c r="I1367" s="9">
        <v>927.07960000000003</v>
      </c>
      <c r="J1367">
        <v>930.53220909000004</v>
      </c>
      <c r="K1367">
        <v>1045.5162268500001</v>
      </c>
      <c r="L1367">
        <v>1143.0255131037</v>
      </c>
    </row>
    <row r="1368" spans="1:12" x14ac:dyDescent="0.2">
      <c r="A1368" s="8" t="s">
        <v>32</v>
      </c>
      <c r="B1368" s="8" t="s">
        <v>99</v>
      </c>
      <c r="C1368" s="8" t="s">
        <v>268</v>
      </c>
      <c r="D1368" s="8" t="s">
        <v>269</v>
      </c>
      <c r="E1368" s="8" t="s">
        <v>39</v>
      </c>
      <c r="F1368" s="8" t="s">
        <v>40</v>
      </c>
      <c r="G1368" s="8" t="s">
        <v>7</v>
      </c>
      <c r="H1368" s="8" t="s">
        <v>38</v>
      </c>
      <c r="I1368" s="9">
        <v>495.77300000000002</v>
      </c>
      <c r="J1368">
        <v>619.42272115000003</v>
      </c>
      <c r="K1368">
        <v>752.76134518000003</v>
      </c>
      <c r="L1368">
        <v>764.52133951759004</v>
      </c>
    </row>
    <row r="1369" spans="1:12" x14ac:dyDescent="0.2">
      <c r="A1369" s="8" t="s">
        <v>32</v>
      </c>
      <c r="B1369" s="8" t="s">
        <v>99</v>
      </c>
      <c r="C1369" s="8" t="s">
        <v>268</v>
      </c>
      <c r="D1369" s="8" t="s">
        <v>269</v>
      </c>
      <c r="E1369" s="8" t="s">
        <v>41</v>
      </c>
      <c r="F1369" s="8" t="s">
        <v>42</v>
      </c>
      <c r="G1369" s="8" t="s">
        <v>7</v>
      </c>
      <c r="H1369" s="8" t="s">
        <v>38</v>
      </c>
      <c r="I1369" s="9">
        <v>2.532467</v>
      </c>
      <c r="J1369">
        <v>2.470923</v>
      </c>
      <c r="K1369">
        <v>2.1385770000000002</v>
      </c>
      <c r="L1369">
        <v>2.4417618412256998</v>
      </c>
    </row>
    <row r="1370" spans="1:12" x14ac:dyDescent="0.2">
      <c r="A1370" s="8" t="s">
        <v>32</v>
      </c>
      <c r="B1370" s="8" t="s">
        <v>99</v>
      </c>
      <c r="C1370" s="8" t="s">
        <v>268</v>
      </c>
      <c r="D1370" s="8" t="s">
        <v>269</v>
      </c>
      <c r="E1370" s="8" t="s">
        <v>43</v>
      </c>
      <c r="F1370" s="8" t="s">
        <v>44</v>
      </c>
      <c r="G1370" s="8" t="s">
        <v>7</v>
      </c>
      <c r="H1370" s="8" t="s">
        <v>38</v>
      </c>
      <c r="I1370" s="9">
        <v>865.90354000000002</v>
      </c>
      <c r="J1370">
        <v>1006.36079166</v>
      </c>
      <c r="K1370">
        <v>1067.74053942</v>
      </c>
      <c r="L1370">
        <v>1084.4212879441</v>
      </c>
    </row>
    <row r="1371" spans="1:12" x14ac:dyDescent="0.2">
      <c r="A1371" s="8" t="s">
        <v>32</v>
      </c>
      <c r="B1371" s="8" t="s">
        <v>99</v>
      </c>
      <c r="C1371" s="8" t="s">
        <v>268</v>
      </c>
      <c r="D1371" s="8" t="s">
        <v>269</v>
      </c>
      <c r="E1371" s="8" t="s">
        <v>49</v>
      </c>
      <c r="F1371" s="8" t="s">
        <v>50</v>
      </c>
      <c r="G1371" s="8" t="s">
        <v>7</v>
      </c>
      <c r="H1371" s="8" t="s">
        <v>38</v>
      </c>
      <c r="I1371" s="9">
        <v>319.49630999999999</v>
      </c>
      <c r="J1371">
        <v>278.61773382000001</v>
      </c>
      <c r="K1371">
        <v>213.71682533000001</v>
      </c>
      <c r="L1371">
        <v>217.05561081869001</v>
      </c>
    </row>
    <row r="1372" spans="1:12" x14ac:dyDescent="0.2">
      <c r="A1372" s="8" t="s">
        <v>32</v>
      </c>
      <c r="B1372" s="8" t="s">
        <v>99</v>
      </c>
      <c r="C1372" s="8" t="s">
        <v>268</v>
      </c>
      <c r="D1372" s="8" t="s">
        <v>269</v>
      </c>
      <c r="E1372" s="8" t="s">
        <v>53</v>
      </c>
      <c r="F1372" s="8" t="s">
        <v>54</v>
      </c>
      <c r="G1372" s="8" t="s">
        <v>7</v>
      </c>
      <c r="H1372" s="8" t="s">
        <v>38</v>
      </c>
      <c r="I1372" s="9">
        <v>564.34902999999997</v>
      </c>
      <c r="J1372">
        <v>283.01433917105999</v>
      </c>
      <c r="K1372">
        <v>382.28637378607999</v>
      </c>
      <c r="L1372">
        <v>309.39026792267998</v>
      </c>
    </row>
    <row r="1373" spans="1:12" x14ac:dyDescent="0.2">
      <c r="A1373" s="8" t="s">
        <v>32</v>
      </c>
      <c r="B1373" s="8" t="s">
        <v>99</v>
      </c>
      <c r="C1373" s="8" t="s">
        <v>268</v>
      </c>
      <c r="D1373" s="8" t="s">
        <v>269</v>
      </c>
      <c r="E1373" s="8" t="s">
        <v>70</v>
      </c>
      <c r="F1373" s="8" t="s">
        <v>71</v>
      </c>
      <c r="G1373" s="8" t="s">
        <v>7</v>
      </c>
      <c r="H1373" s="8" t="s">
        <v>38</v>
      </c>
      <c r="I1373" s="9">
        <v>153.26293000000001</v>
      </c>
      <c r="J1373">
        <v>199.24181211999999</v>
      </c>
      <c r="K1373">
        <v>218.39967866999999</v>
      </c>
      <c r="L1373">
        <v>218.1532937735</v>
      </c>
    </row>
    <row r="1374" spans="1:12" x14ac:dyDescent="0.2">
      <c r="A1374" s="8" t="s">
        <v>32</v>
      </c>
      <c r="B1374" s="8" t="s">
        <v>99</v>
      </c>
      <c r="C1374" s="8" t="s">
        <v>268</v>
      </c>
      <c r="D1374" s="8" t="s">
        <v>269</v>
      </c>
      <c r="E1374" s="8" t="s">
        <v>55</v>
      </c>
      <c r="F1374" s="8" t="s">
        <v>56</v>
      </c>
      <c r="G1374" s="8" t="s">
        <v>7</v>
      </c>
      <c r="H1374" s="8" t="s">
        <v>38</v>
      </c>
      <c r="I1374" s="9">
        <v>3.7649299999999997E-2</v>
      </c>
      <c r="J1374">
        <v>4.2168217513705003E-2</v>
      </c>
      <c r="K1374">
        <v>4.2168217513705003E-2</v>
      </c>
      <c r="L1374">
        <v>4.2168217513705003E-2</v>
      </c>
    </row>
    <row r="1375" spans="1:12" x14ac:dyDescent="0.2">
      <c r="A1375" s="8" t="s">
        <v>32</v>
      </c>
      <c r="B1375" s="8" t="s">
        <v>99</v>
      </c>
      <c r="C1375" s="8" t="s">
        <v>268</v>
      </c>
      <c r="D1375" s="8" t="s">
        <v>269</v>
      </c>
      <c r="E1375" s="8" t="s">
        <v>57</v>
      </c>
      <c r="F1375" s="8" t="s">
        <v>58</v>
      </c>
      <c r="G1375" s="8" t="s">
        <v>7</v>
      </c>
      <c r="H1375" s="8" t="s">
        <v>38</v>
      </c>
      <c r="I1375" s="9"/>
    </row>
    <row r="1376" spans="1:12" x14ac:dyDescent="0.2">
      <c r="A1376" s="8" t="s">
        <v>32</v>
      </c>
      <c r="B1376" s="8" t="s">
        <v>99</v>
      </c>
      <c r="C1376" s="8" t="s">
        <v>268</v>
      </c>
      <c r="D1376" s="8" t="s">
        <v>269</v>
      </c>
      <c r="E1376" s="8" t="s">
        <v>59</v>
      </c>
      <c r="F1376" s="8" t="s">
        <v>60</v>
      </c>
      <c r="G1376" s="8" t="s">
        <v>7</v>
      </c>
      <c r="H1376" s="8" t="s">
        <v>38</v>
      </c>
      <c r="I1376" s="9">
        <v>1.2879016999999999</v>
      </c>
      <c r="J1376">
        <v>1.2919102076214</v>
      </c>
      <c r="K1376">
        <v>1.2941204070496</v>
      </c>
      <c r="L1376">
        <v>1.2999516219359</v>
      </c>
    </row>
    <row r="1377" spans="1:12" x14ac:dyDescent="0.2">
      <c r="A1377" s="8" t="s">
        <v>32</v>
      </c>
      <c r="B1377" s="8" t="s">
        <v>99</v>
      </c>
      <c r="C1377" s="8" t="s">
        <v>268</v>
      </c>
      <c r="D1377" s="8" t="s">
        <v>269</v>
      </c>
      <c r="E1377" s="8" t="s">
        <v>92</v>
      </c>
      <c r="F1377" s="8" t="s">
        <v>93</v>
      </c>
      <c r="G1377" s="8" t="s">
        <v>7</v>
      </c>
      <c r="H1377" s="8" t="s">
        <v>38</v>
      </c>
      <c r="I1377" s="9">
        <v>0.125662</v>
      </c>
      <c r="J1377">
        <v>0.12647085202399999</v>
      </c>
      <c r="K1377">
        <v>0.12728489170949001</v>
      </c>
      <c r="L1377">
        <v>0.12821127332338</v>
      </c>
    </row>
    <row r="1378" spans="1:12" x14ac:dyDescent="0.2">
      <c r="A1378" s="8" t="s">
        <v>32</v>
      </c>
      <c r="B1378" s="8" t="s">
        <v>168</v>
      </c>
      <c r="C1378" s="8" t="s">
        <v>270</v>
      </c>
      <c r="D1378" s="8" t="s">
        <v>271</v>
      </c>
      <c r="E1378" s="8" t="s">
        <v>36</v>
      </c>
      <c r="F1378" s="8" t="s">
        <v>37</v>
      </c>
      <c r="G1378" s="8" t="s">
        <v>7</v>
      </c>
      <c r="H1378" s="8" t="s">
        <v>38</v>
      </c>
      <c r="I1378" s="9">
        <v>22078.556</v>
      </c>
      <c r="J1378">
        <v>23533.70963279</v>
      </c>
      <c r="K1378">
        <v>23231.611581900001</v>
      </c>
      <c r="L1378">
        <v>23588.487001853999</v>
      </c>
    </row>
    <row r="1379" spans="1:12" x14ac:dyDescent="0.2">
      <c r="A1379" s="8" t="s">
        <v>32</v>
      </c>
      <c r="B1379" s="8" t="s">
        <v>168</v>
      </c>
      <c r="C1379" s="8" t="s">
        <v>270</v>
      </c>
      <c r="D1379" s="8" t="s">
        <v>271</v>
      </c>
      <c r="E1379" s="8" t="s">
        <v>64</v>
      </c>
      <c r="F1379" s="8" t="s">
        <v>65</v>
      </c>
      <c r="G1379" s="8" t="s">
        <v>7</v>
      </c>
      <c r="H1379" s="8" t="s">
        <v>38</v>
      </c>
      <c r="I1379" s="9"/>
    </row>
    <row r="1380" spans="1:12" x14ac:dyDescent="0.2">
      <c r="A1380" s="8" t="s">
        <v>32</v>
      </c>
      <c r="B1380" s="8" t="s">
        <v>168</v>
      </c>
      <c r="C1380" s="8" t="s">
        <v>270</v>
      </c>
      <c r="D1380" s="8" t="s">
        <v>271</v>
      </c>
      <c r="E1380" s="8" t="s">
        <v>39</v>
      </c>
      <c r="F1380" s="8" t="s">
        <v>40</v>
      </c>
      <c r="G1380" s="8" t="s">
        <v>7</v>
      </c>
      <c r="H1380" s="8" t="s">
        <v>38</v>
      </c>
      <c r="I1380" s="9">
        <v>602.68813</v>
      </c>
      <c r="J1380">
        <v>505.05133311999998</v>
      </c>
      <c r="K1380">
        <v>391.43209077</v>
      </c>
      <c r="L1380">
        <v>471.24481933746</v>
      </c>
    </row>
    <row r="1381" spans="1:12" x14ac:dyDescent="0.2">
      <c r="A1381" s="8" t="s">
        <v>32</v>
      </c>
      <c r="B1381" s="8" t="s">
        <v>168</v>
      </c>
      <c r="C1381" s="8" t="s">
        <v>270</v>
      </c>
      <c r="D1381" s="8" t="s">
        <v>271</v>
      </c>
      <c r="E1381" s="8" t="s">
        <v>41</v>
      </c>
      <c r="F1381" s="8" t="s">
        <v>42</v>
      </c>
      <c r="G1381" s="8" t="s">
        <v>7</v>
      </c>
      <c r="H1381" s="8" t="s">
        <v>38</v>
      </c>
      <c r="I1381" s="9">
        <v>12.49722</v>
      </c>
      <c r="J1381">
        <v>11.083965750000001</v>
      </c>
      <c r="K1381">
        <v>23.42462265</v>
      </c>
      <c r="L1381">
        <v>31.196377487345998</v>
      </c>
    </row>
    <row r="1382" spans="1:12" x14ac:dyDescent="0.2">
      <c r="A1382" s="8" t="s">
        <v>32</v>
      </c>
      <c r="B1382" s="8" t="s">
        <v>168</v>
      </c>
      <c r="C1382" s="8" t="s">
        <v>270</v>
      </c>
      <c r="D1382" s="8" t="s">
        <v>271</v>
      </c>
      <c r="E1382" s="8" t="s">
        <v>43</v>
      </c>
      <c r="F1382" s="8" t="s">
        <v>44</v>
      </c>
      <c r="G1382" s="8" t="s">
        <v>7</v>
      </c>
      <c r="H1382" s="8" t="s">
        <v>38</v>
      </c>
      <c r="I1382" s="9">
        <v>8378.6551999999992</v>
      </c>
      <c r="J1382">
        <v>7423.2823225900001</v>
      </c>
      <c r="K1382">
        <v>5569.0304933199004</v>
      </c>
      <c r="L1382">
        <v>6915.6996393787003</v>
      </c>
    </row>
    <row r="1383" spans="1:12" x14ac:dyDescent="0.2">
      <c r="A1383" s="8" t="s">
        <v>32</v>
      </c>
      <c r="B1383" s="8" t="s">
        <v>168</v>
      </c>
      <c r="C1383" s="8" t="s">
        <v>270</v>
      </c>
      <c r="D1383" s="8" t="s">
        <v>271</v>
      </c>
      <c r="E1383" s="8" t="s">
        <v>66</v>
      </c>
      <c r="F1383" s="8" t="s">
        <v>67</v>
      </c>
      <c r="G1383" s="8" t="s">
        <v>7</v>
      </c>
      <c r="H1383" s="8" t="s">
        <v>38</v>
      </c>
      <c r="I1383" s="9">
        <v>399.46681999999998</v>
      </c>
      <c r="J1383">
        <v>398.58201786000001</v>
      </c>
      <c r="K1383">
        <v>277.78189335000002</v>
      </c>
      <c r="L1383">
        <v>344.95342447322997</v>
      </c>
    </row>
    <row r="1384" spans="1:12" x14ac:dyDescent="0.2">
      <c r="A1384" s="8" t="s">
        <v>32</v>
      </c>
      <c r="B1384" s="8" t="s">
        <v>168</v>
      </c>
      <c r="C1384" s="8" t="s">
        <v>270</v>
      </c>
      <c r="D1384" s="8" t="s">
        <v>271</v>
      </c>
      <c r="E1384" s="8" t="s">
        <v>45</v>
      </c>
      <c r="F1384" s="8" t="s">
        <v>46</v>
      </c>
      <c r="G1384" s="8" t="s">
        <v>7</v>
      </c>
      <c r="H1384" s="8" t="s">
        <v>38</v>
      </c>
      <c r="I1384" s="9">
        <v>118.04152999999999</v>
      </c>
      <c r="J1384">
        <v>124.08002838</v>
      </c>
      <c r="K1384">
        <v>124.24988526999999</v>
      </c>
      <c r="L1384">
        <v>119.92214442642999</v>
      </c>
    </row>
    <row r="1385" spans="1:12" x14ac:dyDescent="0.2">
      <c r="A1385" s="8" t="s">
        <v>32</v>
      </c>
      <c r="B1385" s="8" t="s">
        <v>168</v>
      </c>
      <c r="C1385" s="8" t="s">
        <v>270</v>
      </c>
      <c r="D1385" s="8" t="s">
        <v>271</v>
      </c>
      <c r="E1385" s="8" t="s">
        <v>49</v>
      </c>
      <c r="F1385" s="8" t="s">
        <v>50</v>
      </c>
      <c r="G1385" s="8" t="s">
        <v>7</v>
      </c>
      <c r="H1385" s="8" t="s">
        <v>38</v>
      </c>
      <c r="I1385" s="9">
        <v>1555.7601</v>
      </c>
      <c r="J1385">
        <v>1557.2306407999999</v>
      </c>
      <c r="K1385">
        <v>1494.83313542</v>
      </c>
      <c r="L1385">
        <v>1632.5224750330001</v>
      </c>
    </row>
    <row r="1386" spans="1:12" x14ac:dyDescent="0.2">
      <c r="A1386" s="8" t="s">
        <v>32</v>
      </c>
      <c r="B1386" s="8" t="s">
        <v>168</v>
      </c>
      <c r="C1386" s="8" t="s">
        <v>270</v>
      </c>
      <c r="D1386" s="8" t="s">
        <v>271</v>
      </c>
      <c r="E1386" s="8" t="s">
        <v>53</v>
      </c>
      <c r="F1386" s="8" t="s">
        <v>54</v>
      </c>
      <c r="G1386" s="8" t="s">
        <v>7</v>
      </c>
      <c r="H1386" s="8" t="s">
        <v>38</v>
      </c>
      <c r="I1386" s="9">
        <v>280.06087000000002</v>
      </c>
      <c r="J1386">
        <v>347.80674661</v>
      </c>
      <c r="K1386">
        <v>344.30156865999999</v>
      </c>
      <c r="L1386">
        <v>339.34874289342002</v>
      </c>
    </row>
    <row r="1387" spans="1:12" x14ac:dyDescent="0.2">
      <c r="A1387" s="8" t="s">
        <v>32</v>
      </c>
      <c r="B1387" s="8" t="s">
        <v>168</v>
      </c>
      <c r="C1387" s="8" t="s">
        <v>270</v>
      </c>
      <c r="D1387" s="8" t="s">
        <v>271</v>
      </c>
      <c r="E1387" s="8" t="s">
        <v>70</v>
      </c>
      <c r="F1387" s="8" t="s">
        <v>71</v>
      </c>
      <c r="G1387" s="8" t="s">
        <v>7</v>
      </c>
      <c r="H1387" s="8" t="s">
        <v>38</v>
      </c>
      <c r="I1387" s="9">
        <v>559.99432999999999</v>
      </c>
      <c r="J1387">
        <v>559.99433250000004</v>
      </c>
      <c r="K1387">
        <v>597.32728799999995</v>
      </c>
      <c r="L1387">
        <v>596.65342060730995</v>
      </c>
    </row>
    <row r="1388" spans="1:12" x14ac:dyDescent="0.2">
      <c r="A1388" s="8" t="s">
        <v>32</v>
      </c>
      <c r="B1388" s="8" t="s">
        <v>168</v>
      </c>
      <c r="C1388" s="8" t="s">
        <v>270</v>
      </c>
      <c r="D1388" s="8" t="s">
        <v>271</v>
      </c>
      <c r="E1388" s="8" t="s">
        <v>55</v>
      </c>
      <c r="F1388" s="8" t="s">
        <v>56</v>
      </c>
      <c r="G1388" s="8" t="s">
        <v>7</v>
      </c>
      <c r="H1388" s="8" t="s">
        <v>38</v>
      </c>
      <c r="I1388" s="9">
        <v>0.34778009999999998</v>
      </c>
      <c r="J1388">
        <v>0.38952270393325</v>
      </c>
      <c r="K1388">
        <v>0.38952270393325</v>
      </c>
      <c r="L1388">
        <v>0.38952270393325</v>
      </c>
    </row>
    <row r="1389" spans="1:12" x14ac:dyDescent="0.2">
      <c r="A1389" s="8" t="s">
        <v>32</v>
      </c>
      <c r="B1389" s="8" t="s">
        <v>168</v>
      </c>
      <c r="C1389" s="8" t="s">
        <v>270</v>
      </c>
      <c r="D1389" s="8" t="s">
        <v>271</v>
      </c>
      <c r="E1389" s="8" t="s">
        <v>57</v>
      </c>
      <c r="F1389" s="8" t="s">
        <v>58</v>
      </c>
      <c r="G1389" s="8" t="s">
        <v>7</v>
      </c>
      <c r="H1389" s="8" t="s">
        <v>38</v>
      </c>
      <c r="I1389" s="9">
        <v>0.5888101</v>
      </c>
      <c r="J1389">
        <v>0.65948258708655005</v>
      </c>
      <c r="K1389">
        <v>0.65948258708655005</v>
      </c>
      <c r="L1389">
        <v>0.65948258708655005</v>
      </c>
    </row>
    <row r="1390" spans="1:12" x14ac:dyDescent="0.2">
      <c r="A1390" s="8" t="s">
        <v>32</v>
      </c>
      <c r="B1390" s="8" t="s">
        <v>168</v>
      </c>
      <c r="C1390" s="8" t="s">
        <v>270</v>
      </c>
      <c r="D1390" s="8" t="s">
        <v>271</v>
      </c>
      <c r="E1390" s="8" t="s">
        <v>74</v>
      </c>
      <c r="F1390" s="8" t="s">
        <v>75</v>
      </c>
      <c r="G1390" s="8" t="s">
        <v>7</v>
      </c>
      <c r="H1390" s="8" t="s">
        <v>38</v>
      </c>
      <c r="I1390" s="9"/>
    </row>
    <row r="1391" spans="1:12" x14ac:dyDescent="0.2">
      <c r="A1391" s="8" t="s">
        <v>32</v>
      </c>
      <c r="B1391" s="8" t="s">
        <v>168</v>
      </c>
      <c r="C1391" s="8" t="s">
        <v>270</v>
      </c>
      <c r="D1391" s="8" t="s">
        <v>271</v>
      </c>
      <c r="E1391" s="8" t="s">
        <v>59</v>
      </c>
      <c r="F1391" s="8" t="s">
        <v>60</v>
      </c>
      <c r="G1391" s="8" t="s">
        <v>7</v>
      </c>
      <c r="H1391" s="8" t="s">
        <v>38</v>
      </c>
      <c r="I1391" s="9">
        <v>64.245400000000004</v>
      </c>
      <c r="J1391">
        <v>64.423491663769994</v>
      </c>
      <c r="K1391">
        <v>65.993012714303006</v>
      </c>
      <c r="L1391">
        <v>67.109215892525995</v>
      </c>
    </row>
    <row r="1392" spans="1:12" x14ac:dyDescent="0.2">
      <c r="A1392" s="8" t="s">
        <v>32</v>
      </c>
      <c r="B1392" s="8" t="s">
        <v>168</v>
      </c>
      <c r="C1392" s="8" t="s">
        <v>270</v>
      </c>
      <c r="D1392" s="8" t="s">
        <v>271</v>
      </c>
      <c r="E1392" s="8" t="s">
        <v>92</v>
      </c>
      <c r="F1392" s="8" t="s">
        <v>93</v>
      </c>
      <c r="G1392" s="8" t="s">
        <v>7</v>
      </c>
      <c r="H1392" s="8" t="s">
        <v>38</v>
      </c>
      <c r="I1392" s="9">
        <v>10.974138</v>
      </c>
      <c r="J1392">
        <v>11.045327939533999</v>
      </c>
      <c r="K1392">
        <v>11.116980136975</v>
      </c>
      <c r="L1392">
        <v>11.198698048323999</v>
      </c>
    </row>
    <row r="1393" spans="1:12" x14ac:dyDescent="0.2">
      <c r="A1393" s="8" t="s">
        <v>32</v>
      </c>
      <c r="B1393" s="8" t="s">
        <v>33</v>
      </c>
      <c r="C1393" s="8" t="s">
        <v>272</v>
      </c>
      <c r="D1393" s="8" t="s">
        <v>273</v>
      </c>
      <c r="E1393" s="8" t="s">
        <v>36</v>
      </c>
      <c r="F1393" s="8" t="s">
        <v>37</v>
      </c>
      <c r="G1393" s="8" t="s">
        <v>7</v>
      </c>
      <c r="H1393" s="8" t="s">
        <v>38</v>
      </c>
      <c r="I1393" s="9">
        <v>3269.0882999999999</v>
      </c>
      <c r="J1393">
        <v>3041.42212728</v>
      </c>
      <c r="K1393">
        <v>3245.98074645</v>
      </c>
      <c r="L1393">
        <v>3966.1900925242999</v>
      </c>
    </row>
    <row r="1394" spans="1:12" x14ac:dyDescent="0.2">
      <c r="A1394" s="8" t="s">
        <v>32</v>
      </c>
      <c r="B1394" s="8" t="s">
        <v>33</v>
      </c>
      <c r="C1394" s="8" t="s">
        <v>272</v>
      </c>
      <c r="D1394" s="8" t="s">
        <v>273</v>
      </c>
      <c r="E1394" s="8" t="s">
        <v>64</v>
      </c>
      <c r="F1394" s="8" t="s">
        <v>65</v>
      </c>
      <c r="G1394" s="8" t="s">
        <v>7</v>
      </c>
      <c r="H1394" s="8" t="s">
        <v>38</v>
      </c>
      <c r="I1394" s="9"/>
    </row>
    <row r="1395" spans="1:12" x14ac:dyDescent="0.2">
      <c r="A1395" s="8" t="s">
        <v>32</v>
      </c>
      <c r="B1395" s="8" t="s">
        <v>33</v>
      </c>
      <c r="C1395" s="8" t="s">
        <v>272</v>
      </c>
      <c r="D1395" s="8" t="s">
        <v>273</v>
      </c>
      <c r="E1395" s="8" t="s">
        <v>39</v>
      </c>
      <c r="F1395" s="8" t="s">
        <v>40</v>
      </c>
      <c r="G1395" s="8" t="s">
        <v>7</v>
      </c>
      <c r="H1395" s="8" t="s">
        <v>38</v>
      </c>
      <c r="I1395" s="9">
        <v>1230.6931999999999</v>
      </c>
      <c r="J1395">
        <v>1316.54007632</v>
      </c>
      <c r="K1395">
        <v>1381.17972646</v>
      </c>
      <c r="L1395">
        <v>1395.5124875858</v>
      </c>
    </row>
    <row r="1396" spans="1:12" x14ac:dyDescent="0.2">
      <c r="A1396" s="8" t="s">
        <v>32</v>
      </c>
      <c r="B1396" s="8" t="s">
        <v>33</v>
      </c>
      <c r="C1396" s="8" t="s">
        <v>272</v>
      </c>
      <c r="D1396" s="8" t="s">
        <v>273</v>
      </c>
      <c r="E1396" s="8" t="s">
        <v>41</v>
      </c>
      <c r="F1396" s="8" t="s">
        <v>42</v>
      </c>
      <c r="G1396" s="8" t="s">
        <v>7</v>
      </c>
      <c r="H1396" s="8" t="s">
        <v>38</v>
      </c>
      <c r="I1396" s="9">
        <v>6.9453598999999997</v>
      </c>
      <c r="J1396">
        <v>12.749279400000001</v>
      </c>
      <c r="K1396">
        <v>16.4514207</v>
      </c>
      <c r="L1396">
        <v>18.221473161424999</v>
      </c>
    </row>
    <row r="1397" spans="1:12" x14ac:dyDescent="0.2">
      <c r="A1397" s="8" t="s">
        <v>32</v>
      </c>
      <c r="B1397" s="8" t="s">
        <v>33</v>
      </c>
      <c r="C1397" s="8" t="s">
        <v>272</v>
      </c>
      <c r="D1397" s="8" t="s">
        <v>273</v>
      </c>
      <c r="E1397" s="8" t="s">
        <v>43</v>
      </c>
      <c r="F1397" s="8" t="s">
        <v>44</v>
      </c>
      <c r="G1397" s="8" t="s">
        <v>7</v>
      </c>
      <c r="H1397" s="8" t="s">
        <v>38</v>
      </c>
      <c r="I1397" s="9">
        <v>3512.4461000000001</v>
      </c>
      <c r="J1397">
        <v>4511.4414311500004</v>
      </c>
      <c r="K1397">
        <v>4567.9658327799998</v>
      </c>
      <c r="L1397">
        <v>5110.1625215961003</v>
      </c>
    </row>
    <row r="1398" spans="1:12" x14ac:dyDescent="0.2">
      <c r="A1398" s="8" t="s">
        <v>32</v>
      </c>
      <c r="B1398" s="8" t="s">
        <v>33</v>
      </c>
      <c r="C1398" s="8" t="s">
        <v>272</v>
      </c>
      <c r="D1398" s="8" t="s">
        <v>273</v>
      </c>
      <c r="E1398" s="8" t="s">
        <v>45</v>
      </c>
      <c r="F1398" s="8" t="s">
        <v>46</v>
      </c>
      <c r="G1398" s="8" t="s">
        <v>7</v>
      </c>
      <c r="H1398" s="8" t="s">
        <v>38</v>
      </c>
      <c r="I1398" s="9">
        <v>11.840396</v>
      </c>
      <c r="J1398">
        <v>69.698944620000006</v>
      </c>
      <c r="K1398">
        <v>15.949625879999999</v>
      </c>
      <c r="L1398">
        <v>18.420249684643998</v>
      </c>
    </row>
    <row r="1399" spans="1:12" x14ac:dyDescent="0.2">
      <c r="A1399" s="8" t="s">
        <v>32</v>
      </c>
      <c r="B1399" s="8" t="s">
        <v>33</v>
      </c>
      <c r="C1399" s="8" t="s">
        <v>272</v>
      </c>
      <c r="D1399" s="8" t="s">
        <v>273</v>
      </c>
      <c r="E1399" s="8" t="s">
        <v>47</v>
      </c>
      <c r="F1399" s="8" t="s">
        <v>48</v>
      </c>
      <c r="G1399" s="8" t="s">
        <v>7</v>
      </c>
      <c r="H1399" s="8" t="s">
        <v>38</v>
      </c>
      <c r="I1399" s="9">
        <v>3.5744438000000001</v>
      </c>
      <c r="J1399">
        <v>3.4483096199999999</v>
      </c>
      <c r="K1399">
        <v>1.5940009900000001</v>
      </c>
      <c r="L1399">
        <v>4.4999571786542999E-2</v>
      </c>
    </row>
    <row r="1400" spans="1:12" x14ac:dyDescent="0.2">
      <c r="A1400" s="8" t="s">
        <v>32</v>
      </c>
      <c r="B1400" s="8" t="s">
        <v>33</v>
      </c>
      <c r="C1400" s="8" t="s">
        <v>272</v>
      </c>
      <c r="D1400" s="8" t="s">
        <v>273</v>
      </c>
      <c r="E1400" s="8" t="s">
        <v>49</v>
      </c>
      <c r="F1400" s="8" t="s">
        <v>50</v>
      </c>
      <c r="G1400" s="8" t="s">
        <v>7</v>
      </c>
      <c r="H1400" s="8" t="s">
        <v>38</v>
      </c>
      <c r="I1400" s="9">
        <v>566.25957000000005</v>
      </c>
      <c r="J1400">
        <v>711.75919885999997</v>
      </c>
      <c r="K1400">
        <v>620.99097436</v>
      </c>
      <c r="L1400">
        <v>611.81001736603002</v>
      </c>
    </row>
    <row r="1401" spans="1:12" x14ac:dyDescent="0.2">
      <c r="A1401" s="8" t="s">
        <v>32</v>
      </c>
      <c r="B1401" s="8" t="s">
        <v>33</v>
      </c>
      <c r="C1401" s="8" t="s">
        <v>272</v>
      </c>
      <c r="D1401" s="8" t="s">
        <v>273</v>
      </c>
      <c r="E1401" s="8" t="s">
        <v>51</v>
      </c>
      <c r="F1401" s="8" t="s">
        <v>52</v>
      </c>
      <c r="G1401" s="8" t="s">
        <v>7</v>
      </c>
      <c r="H1401" s="8" t="s">
        <v>38</v>
      </c>
      <c r="I1401" s="9"/>
      <c r="K1401">
        <v>1.4823334500000001</v>
      </c>
    </row>
    <row r="1402" spans="1:12" x14ac:dyDescent="0.2">
      <c r="A1402" s="8" t="s">
        <v>32</v>
      </c>
      <c r="B1402" s="8" t="s">
        <v>33</v>
      </c>
      <c r="C1402" s="8" t="s">
        <v>272</v>
      </c>
      <c r="D1402" s="8" t="s">
        <v>273</v>
      </c>
      <c r="E1402" s="8" t="s">
        <v>53</v>
      </c>
      <c r="F1402" s="8" t="s">
        <v>54</v>
      </c>
      <c r="G1402" s="8" t="s">
        <v>7</v>
      </c>
      <c r="H1402" s="8" t="s">
        <v>38</v>
      </c>
      <c r="I1402" s="9"/>
      <c r="J1402">
        <v>21.705841960000001</v>
      </c>
      <c r="K1402">
        <v>17.6331688</v>
      </c>
      <c r="L1402">
        <v>26.497456799999998</v>
      </c>
    </row>
    <row r="1403" spans="1:12" x14ac:dyDescent="0.2">
      <c r="A1403" s="8" t="s">
        <v>32</v>
      </c>
      <c r="B1403" s="8" t="s">
        <v>33</v>
      </c>
      <c r="C1403" s="8" t="s">
        <v>272</v>
      </c>
      <c r="D1403" s="8" t="s">
        <v>273</v>
      </c>
      <c r="E1403" s="8" t="s">
        <v>70</v>
      </c>
      <c r="F1403" s="8" t="s">
        <v>71</v>
      </c>
      <c r="G1403" s="8" t="s">
        <v>7</v>
      </c>
      <c r="H1403" s="8" t="s">
        <v>38</v>
      </c>
      <c r="I1403" s="9">
        <v>556.26103999999998</v>
      </c>
      <c r="J1403">
        <v>615.99376574999997</v>
      </c>
      <c r="K1403">
        <v>634.66024349999998</v>
      </c>
      <c r="L1403">
        <v>633.94425939527002</v>
      </c>
    </row>
    <row r="1404" spans="1:12" x14ac:dyDescent="0.2">
      <c r="A1404" s="8" t="s">
        <v>32</v>
      </c>
      <c r="B1404" s="8" t="s">
        <v>33</v>
      </c>
      <c r="C1404" s="8" t="s">
        <v>272</v>
      </c>
      <c r="D1404" s="8" t="s">
        <v>273</v>
      </c>
      <c r="E1404" s="8" t="s">
        <v>55</v>
      </c>
      <c r="F1404" s="8" t="s">
        <v>56</v>
      </c>
      <c r="G1404" s="8" t="s">
        <v>7</v>
      </c>
      <c r="H1404" s="8" t="s">
        <v>38</v>
      </c>
      <c r="I1404" s="9">
        <v>0.34549879999999999</v>
      </c>
      <c r="J1404">
        <v>0.38696757565265</v>
      </c>
      <c r="K1404">
        <v>0.38696757565265</v>
      </c>
      <c r="L1404">
        <v>0.38696757565265</v>
      </c>
    </row>
    <row r="1405" spans="1:12" x14ac:dyDescent="0.2">
      <c r="A1405" s="8" t="s">
        <v>32</v>
      </c>
      <c r="B1405" s="8" t="s">
        <v>33</v>
      </c>
      <c r="C1405" s="8" t="s">
        <v>272</v>
      </c>
      <c r="D1405" s="8" t="s">
        <v>273</v>
      </c>
      <c r="E1405" s="8" t="s">
        <v>57</v>
      </c>
      <c r="F1405" s="8" t="s">
        <v>58</v>
      </c>
      <c r="G1405" s="8" t="s">
        <v>7</v>
      </c>
      <c r="H1405" s="8" t="s">
        <v>38</v>
      </c>
      <c r="I1405" s="9">
        <v>1.9360789</v>
      </c>
      <c r="J1405">
        <v>2.1684586050256001</v>
      </c>
      <c r="K1405">
        <v>2.1684586050256001</v>
      </c>
      <c r="L1405">
        <v>2.1684586050256001</v>
      </c>
    </row>
    <row r="1406" spans="1:12" x14ac:dyDescent="0.2">
      <c r="A1406" s="8" t="s">
        <v>32</v>
      </c>
      <c r="B1406" s="8" t="s">
        <v>33</v>
      </c>
      <c r="C1406" s="8" t="s">
        <v>272</v>
      </c>
      <c r="D1406" s="8" t="s">
        <v>273</v>
      </c>
      <c r="E1406" s="8" t="s">
        <v>74</v>
      </c>
      <c r="F1406" s="8" t="s">
        <v>75</v>
      </c>
      <c r="G1406" s="8" t="s">
        <v>7</v>
      </c>
      <c r="H1406" s="8" t="s">
        <v>38</v>
      </c>
      <c r="I1406" s="9">
        <v>2.08</v>
      </c>
      <c r="J1406">
        <v>3.12</v>
      </c>
      <c r="K1406">
        <v>3.12</v>
      </c>
      <c r="L1406">
        <v>3.2759999999999998</v>
      </c>
    </row>
    <row r="1407" spans="1:12" x14ac:dyDescent="0.2">
      <c r="A1407" s="8" t="s">
        <v>32</v>
      </c>
      <c r="B1407" s="8" t="s">
        <v>33</v>
      </c>
      <c r="C1407" s="8" t="s">
        <v>272</v>
      </c>
      <c r="D1407" s="8" t="s">
        <v>273</v>
      </c>
      <c r="E1407" s="8" t="s">
        <v>59</v>
      </c>
      <c r="F1407" s="8" t="s">
        <v>60</v>
      </c>
      <c r="G1407" s="8" t="s">
        <v>7</v>
      </c>
      <c r="H1407" s="8" t="s">
        <v>38</v>
      </c>
      <c r="I1407" s="9">
        <v>29.591072</v>
      </c>
      <c r="J1407">
        <v>28.406418037664</v>
      </c>
      <c r="K1407">
        <v>28.533304083925</v>
      </c>
      <c r="L1407">
        <v>29.078898224222002</v>
      </c>
    </row>
    <row r="1408" spans="1:12" x14ac:dyDescent="0.2">
      <c r="A1408" s="8" t="s">
        <v>32</v>
      </c>
      <c r="B1408" s="8" t="s">
        <v>33</v>
      </c>
      <c r="C1408" s="8" t="s">
        <v>272</v>
      </c>
      <c r="D1408" s="8" t="s">
        <v>273</v>
      </c>
      <c r="E1408" s="8" t="s">
        <v>92</v>
      </c>
      <c r="F1408" s="8" t="s">
        <v>93</v>
      </c>
      <c r="G1408" s="8" t="s">
        <v>7</v>
      </c>
      <c r="H1408" s="8" t="s">
        <v>38</v>
      </c>
      <c r="I1408" s="9">
        <v>30.960381999999999</v>
      </c>
      <c r="J1408">
        <v>31.773390158921998</v>
      </c>
      <c r="K1408">
        <v>32.586692879018997</v>
      </c>
      <c r="L1408">
        <v>33.395123672986003</v>
      </c>
    </row>
    <row r="1409" spans="1:12" x14ac:dyDescent="0.2">
      <c r="A1409" s="8" t="s">
        <v>110</v>
      </c>
      <c r="B1409" s="8" t="s">
        <v>89</v>
      </c>
      <c r="C1409" s="8" t="s">
        <v>274</v>
      </c>
      <c r="D1409" s="8" t="s">
        <v>275</v>
      </c>
      <c r="E1409" s="8" t="s">
        <v>36</v>
      </c>
      <c r="F1409" s="8" t="s">
        <v>37</v>
      </c>
      <c r="G1409" s="8" t="s">
        <v>7</v>
      </c>
      <c r="H1409" s="8" t="s">
        <v>38</v>
      </c>
      <c r="I1409" s="9">
        <v>2844.8897000000002</v>
      </c>
      <c r="J1409">
        <v>2936.7477770099999</v>
      </c>
      <c r="K1409">
        <v>3242.5007858600002</v>
      </c>
      <c r="L1409">
        <v>3229.1955286027001</v>
      </c>
    </row>
    <row r="1410" spans="1:12" x14ac:dyDescent="0.2">
      <c r="A1410" s="8" t="s">
        <v>110</v>
      </c>
      <c r="B1410" s="8" t="s">
        <v>89</v>
      </c>
      <c r="C1410" s="8" t="s">
        <v>274</v>
      </c>
      <c r="D1410" s="8" t="s">
        <v>275</v>
      </c>
      <c r="E1410" s="8" t="s">
        <v>64</v>
      </c>
      <c r="F1410" s="8" t="s">
        <v>65</v>
      </c>
      <c r="G1410" s="8" t="s">
        <v>7</v>
      </c>
      <c r="H1410" s="8" t="s">
        <v>38</v>
      </c>
      <c r="I1410" s="9">
        <v>800.81518000000005</v>
      </c>
      <c r="J1410">
        <v>763.06783785000005</v>
      </c>
      <c r="K1410">
        <v>777.96693696</v>
      </c>
      <c r="L1410">
        <v>790.25093057874994</v>
      </c>
    </row>
    <row r="1411" spans="1:12" x14ac:dyDescent="0.2">
      <c r="A1411" s="8" t="s">
        <v>110</v>
      </c>
      <c r="B1411" s="8" t="s">
        <v>89</v>
      </c>
      <c r="C1411" s="8" t="s">
        <v>274</v>
      </c>
      <c r="D1411" s="8" t="s">
        <v>275</v>
      </c>
      <c r="E1411" s="8" t="s">
        <v>39</v>
      </c>
      <c r="F1411" s="8" t="s">
        <v>40</v>
      </c>
      <c r="G1411" s="8" t="s">
        <v>7</v>
      </c>
      <c r="H1411" s="8" t="s">
        <v>38</v>
      </c>
      <c r="I1411" s="9">
        <v>2333.3730999999998</v>
      </c>
      <c r="J1411">
        <v>2366.8549752399999</v>
      </c>
      <c r="K1411">
        <v>2281.9154136299999</v>
      </c>
      <c r="L1411">
        <v>2425.5522306755001</v>
      </c>
    </row>
    <row r="1412" spans="1:12" x14ac:dyDescent="0.2">
      <c r="A1412" s="8" t="s">
        <v>110</v>
      </c>
      <c r="B1412" s="8" t="s">
        <v>89</v>
      </c>
      <c r="C1412" s="8" t="s">
        <v>274</v>
      </c>
      <c r="D1412" s="8" t="s">
        <v>275</v>
      </c>
      <c r="E1412" s="8" t="s">
        <v>41</v>
      </c>
      <c r="F1412" s="8" t="s">
        <v>42</v>
      </c>
      <c r="G1412" s="8" t="s">
        <v>7</v>
      </c>
      <c r="H1412" s="8" t="s">
        <v>38</v>
      </c>
      <c r="I1412" s="9">
        <v>16.649785000000001</v>
      </c>
      <c r="J1412">
        <v>22.305417349999999</v>
      </c>
      <c r="K1412">
        <v>25.764883600000001</v>
      </c>
      <c r="L1412">
        <v>30.163239866862</v>
      </c>
    </row>
    <row r="1413" spans="1:12" x14ac:dyDescent="0.2">
      <c r="A1413" s="8" t="s">
        <v>110</v>
      </c>
      <c r="B1413" s="8" t="s">
        <v>89</v>
      </c>
      <c r="C1413" s="8" t="s">
        <v>274</v>
      </c>
      <c r="D1413" s="8" t="s">
        <v>275</v>
      </c>
      <c r="E1413" s="8" t="s">
        <v>43</v>
      </c>
      <c r="F1413" s="8" t="s">
        <v>44</v>
      </c>
      <c r="G1413" s="8" t="s">
        <v>7</v>
      </c>
      <c r="H1413" s="8" t="s">
        <v>38</v>
      </c>
      <c r="I1413" s="9">
        <v>5519.5522000000001</v>
      </c>
      <c r="J1413">
        <v>5946.1786550200004</v>
      </c>
      <c r="K1413">
        <v>6420.0445065499998</v>
      </c>
      <c r="L1413">
        <v>7267.1584633349003</v>
      </c>
    </row>
    <row r="1414" spans="1:12" x14ac:dyDescent="0.2">
      <c r="A1414" s="8" t="s">
        <v>110</v>
      </c>
      <c r="B1414" s="8" t="s">
        <v>89</v>
      </c>
      <c r="C1414" s="8" t="s">
        <v>274</v>
      </c>
      <c r="D1414" s="8" t="s">
        <v>275</v>
      </c>
      <c r="E1414" s="8" t="s">
        <v>66</v>
      </c>
      <c r="F1414" s="8" t="s">
        <v>67</v>
      </c>
      <c r="G1414" s="8" t="s">
        <v>7</v>
      </c>
      <c r="H1414" s="8" t="s">
        <v>38</v>
      </c>
      <c r="I1414" s="9">
        <v>42.092067999999998</v>
      </c>
      <c r="J1414">
        <v>45.25684176</v>
      </c>
      <c r="K1414">
        <v>46.522632780000002</v>
      </c>
      <c r="L1414">
        <v>38.294052701251999</v>
      </c>
    </row>
    <row r="1415" spans="1:12" x14ac:dyDescent="0.2">
      <c r="A1415" s="8" t="s">
        <v>110</v>
      </c>
      <c r="B1415" s="8" t="s">
        <v>89</v>
      </c>
      <c r="C1415" s="8" t="s">
        <v>274</v>
      </c>
      <c r="D1415" s="8" t="s">
        <v>275</v>
      </c>
      <c r="E1415" s="8" t="s">
        <v>45</v>
      </c>
      <c r="F1415" s="8" t="s">
        <v>46</v>
      </c>
      <c r="G1415" s="8" t="s">
        <v>7</v>
      </c>
      <c r="H1415" s="8" t="s">
        <v>38</v>
      </c>
      <c r="I1415" s="9">
        <v>127.22554</v>
      </c>
      <c r="J1415">
        <v>148.42964330999999</v>
      </c>
      <c r="K1415">
        <v>153.10603051999999</v>
      </c>
      <c r="L1415">
        <v>148.04225882</v>
      </c>
    </row>
    <row r="1416" spans="1:12" x14ac:dyDescent="0.2">
      <c r="A1416" s="8" t="s">
        <v>110</v>
      </c>
      <c r="B1416" s="8" t="s">
        <v>89</v>
      </c>
      <c r="C1416" s="8" t="s">
        <v>274</v>
      </c>
      <c r="D1416" s="8" t="s">
        <v>275</v>
      </c>
      <c r="E1416" s="8" t="s">
        <v>47</v>
      </c>
      <c r="F1416" s="8" t="s">
        <v>48</v>
      </c>
      <c r="G1416" s="8" t="s">
        <v>7</v>
      </c>
      <c r="H1416" s="8" t="s">
        <v>38</v>
      </c>
      <c r="I1416" s="9"/>
    </row>
    <row r="1417" spans="1:12" x14ac:dyDescent="0.2">
      <c r="A1417" s="8" t="s">
        <v>110</v>
      </c>
      <c r="B1417" s="8" t="s">
        <v>89</v>
      </c>
      <c r="C1417" s="8" t="s">
        <v>274</v>
      </c>
      <c r="D1417" s="8" t="s">
        <v>275</v>
      </c>
      <c r="E1417" s="8" t="s">
        <v>49</v>
      </c>
      <c r="F1417" s="8" t="s">
        <v>50</v>
      </c>
      <c r="G1417" s="8" t="s">
        <v>7</v>
      </c>
      <c r="H1417" s="8" t="s">
        <v>38</v>
      </c>
      <c r="I1417" s="9">
        <v>2729.1230999999998</v>
      </c>
      <c r="J1417">
        <v>2858.12141664</v>
      </c>
      <c r="K1417">
        <v>2722.9907389700002</v>
      </c>
      <c r="L1417">
        <v>2599.3442454335</v>
      </c>
    </row>
    <row r="1418" spans="1:12" x14ac:dyDescent="0.2">
      <c r="A1418" s="8" t="s">
        <v>110</v>
      </c>
      <c r="B1418" s="8" t="s">
        <v>89</v>
      </c>
      <c r="C1418" s="8" t="s">
        <v>274</v>
      </c>
      <c r="D1418" s="8" t="s">
        <v>275</v>
      </c>
      <c r="E1418" s="8" t="s">
        <v>51</v>
      </c>
      <c r="F1418" s="8" t="s">
        <v>52</v>
      </c>
      <c r="G1418" s="8" t="s">
        <v>7</v>
      </c>
      <c r="H1418" s="8" t="s">
        <v>38</v>
      </c>
      <c r="I1418" s="9"/>
    </row>
    <row r="1419" spans="1:12" x14ac:dyDescent="0.2">
      <c r="A1419" s="8" t="s">
        <v>110</v>
      </c>
      <c r="B1419" s="8" t="s">
        <v>89</v>
      </c>
      <c r="C1419" s="8" t="s">
        <v>274</v>
      </c>
      <c r="D1419" s="8" t="s">
        <v>275</v>
      </c>
      <c r="E1419" s="8" t="s">
        <v>68</v>
      </c>
      <c r="F1419" s="8" t="s">
        <v>69</v>
      </c>
      <c r="G1419" s="8" t="s">
        <v>7</v>
      </c>
      <c r="H1419" s="8" t="s">
        <v>38</v>
      </c>
      <c r="I1419" s="9"/>
    </row>
    <row r="1420" spans="1:12" x14ac:dyDescent="0.2">
      <c r="A1420" s="8" t="s">
        <v>110</v>
      </c>
      <c r="B1420" s="8" t="s">
        <v>89</v>
      </c>
      <c r="C1420" s="8" t="s">
        <v>274</v>
      </c>
      <c r="D1420" s="8" t="s">
        <v>275</v>
      </c>
      <c r="E1420" s="8" t="s">
        <v>53</v>
      </c>
      <c r="F1420" s="8" t="s">
        <v>54</v>
      </c>
      <c r="G1420" s="8" t="s">
        <v>7</v>
      </c>
      <c r="H1420" s="8" t="s">
        <v>38</v>
      </c>
      <c r="I1420" s="9">
        <v>79.648769999999999</v>
      </c>
      <c r="J1420">
        <v>136.43020303822999</v>
      </c>
      <c r="K1420">
        <v>91.229719506345006</v>
      </c>
      <c r="L1420">
        <v>96.638879330763004</v>
      </c>
    </row>
    <row r="1421" spans="1:12" x14ac:dyDescent="0.2">
      <c r="A1421" s="8" t="s">
        <v>110</v>
      </c>
      <c r="B1421" s="8" t="s">
        <v>89</v>
      </c>
      <c r="C1421" s="8" t="s">
        <v>274</v>
      </c>
      <c r="D1421" s="8" t="s">
        <v>275</v>
      </c>
      <c r="E1421" s="8" t="s">
        <v>70</v>
      </c>
      <c r="F1421" s="8" t="s">
        <v>71</v>
      </c>
      <c r="G1421" s="8" t="s">
        <v>7</v>
      </c>
      <c r="H1421" s="8" t="s">
        <v>38</v>
      </c>
      <c r="I1421" s="9">
        <v>1332.9885999999999</v>
      </c>
      <c r="J1421">
        <v>1238.0310691389</v>
      </c>
      <c r="K1421">
        <v>1294.4680860388</v>
      </c>
      <c r="L1421">
        <v>1293.0077478764999</v>
      </c>
    </row>
    <row r="1422" spans="1:12" x14ac:dyDescent="0.2">
      <c r="A1422" s="8" t="s">
        <v>110</v>
      </c>
      <c r="B1422" s="8" t="s">
        <v>89</v>
      </c>
      <c r="C1422" s="8" t="s">
        <v>274</v>
      </c>
      <c r="D1422" s="8" t="s">
        <v>275</v>
      </c>
      <c r="E1422" s="8" t="s">
        <v>83</v>
      </c>
      <c r="F1422" s="8" t="s">
        <v>84</v>
      </c>
      <c r="G1422" s="8" t="s">
        <v>7</v>
      </c>
      <c r="H1422" s="8" t="s">
        <v>38</v>
      </c>
      <c r="I1422" s="9">
        <v>137.25</v>
      </c>
      <c r="J1422">
        <v>153.75</v>
      </c>
      <c r="K1422">
        <v>138</v>
      </c>
      <c r="L1422">
        <v>135</v>
      </c>
    </row>
    <row r="1423" spans="1:12" x14ac:dyDescent="0.2">
      <c r="A1423" s="8" t="s">
        <v>110</v>
      </c>
      <c r="B1423" s="8" t="s">
        <v>89</v>
      </c>
      <c r="C1423" s="8" t="s">
        <v>274</v>
      </c>
      <c r="D1423" s="8" t="s">
        <v>275</v>
      </c>
      <c r="E1423" s="8" t="s">
        <v>55</v>
      </c>
      <c r="F1423" s="8" t="s">
        <v>56</v>
      </c>
      <c r="G1423" s="8" t="s">
        <v>7</v>
      </c>
      <c r="H1423" s="8" t="s">
        <v>38</v>
      </c>
      <c r="I1423" s="9">
        <v>5.9205268000000002</v>
      </c>
      <c r="J1423">
        <v>6.1933649950478999</v>
      </c>
      <c r="K1423">
        <v>6.1933649950478999</v>
      </c>
      <c r="L1423">
        <v>6.1933649950478999</v>
      </c>
    </row>
    <row r="1424" spans="1:12" x14ac:dyDescent="0.2">
      <c r="A1424" s="8" t="s">
        <v>110</v>
      </c>
      <c r="B1424" s="8" t="s">
        <v>89</v>
      </c>
      <c r="C1424" s="8" t="s">
        <v>274</v>
      </c>
      <c r="D1424" s="8" t="s">
        <v>275</v>
      </c>
      <c r="E1424" s="8" t="s">
        <v>57</v>
      </c>
      <c r="F1424" s="8" t="s">
        <v>58</v>
      </c>
      <c r="G1424" s="8" t="s">
        <v>7</v>
      </c>
      <c r="H1424" s="8" t="s">
        <v>38</v>
      </c>
      <c r="I1424" s="9">
        <v>74.107311999999993</v>
      </c>
      <c r="J1424">
        <v>77.522431586460002</v>
      </c>
      <c r="K1424">
        <v>77.522431586460002</v>
      </c>
      <c r="L1424">
        <v>77.522431586460002</v>
      </c>
    </row>
    <row r="1425" spans="1:12" x14ac:dyDescent="0.2">
      <c r="A1425" s="8" t="s">
        <v>110</v>
      </c>
      <c r="B1425" s="8" t="s">
        <v>89</v>
      </c>
      <c r="C1425" s="8" t="s">
        <v>274</v>
      </c>
      <c r="D1425" s="8" t="s">
        <v>275</v>
      </c>
      <c r="E1425" s="8" t="s">
        <v>72</v>
      </c>
      <c r="F1425" s="8" t="s">
        <v>73</v>
      </c>
      <c r="G1425" s="8" t="s">
        <v>7</v>
      </c>
      <c r="H1425" s="8" t="s">
        <v>38</v>
      </c>
      <c r="I1425" s="9">
        <v>974.52917000000002</v>
      </c>
      <c r="J1425">
        <v>664.78144660493001</v>
      </c>
      <c r="K1425">
        <v>251.63441822723999</v>
      </c>
      <c r="L1425">
        <v>430.60867653393001</v>
      </c>
    </row>
    <row r="1426" spans="1:12" x14ac:dyDescent="0.2">
      <c r="A1426" s="8" t="s">
        <v>110</v>
      </c>
      <c r="B1426" s="8" t="s">
        <v>89</v>
      </c>
      <c r="C1426" s="8" t="s">
        <v>274</v>
      </c>
      <c r="D1426" s="8" t="s">
        <v>275</v>
      </c>
      <c r="E1426" s="8" t="s">
        <v>74</v>
      </c>
      <c r="F1426" s="8" t="s">
        <v>75</v>
      </c>
      <c r="G1426" s="8" t="s">
        <v>7</v>
      </c>
      <c r="H1426" s="8" t="s">
        <v>38</v>
      </c>
      <c r="I1426" s="9">
        <v>4.9319199999999999</v>
      </c>
      <c r="J1426">
        <v>10.68276</v>
      </c>
      <c r="K1426">
        <v>9.7303999999999995</v>
      </c>
      <c r="L1426">
        <v>11.273724395543001</v>
      </c>
    </row>
    <row r="1427" spans="1:12" x14ac:dyDescent="0.2">
      <c r="A1427" s="8" t="s">
        <v>110</v>
      </c>
      <c r="B1427" s="8" t="s">
        <v>89</v>
      </c>
      <c r="C1427" s="8" t="s">
        <v>274</v>
      </c>
      <c r="D1427" s="8" t="s">
        <v>275</v>
      </c>
      <c r="E1427" s="8" t="s">
        <v>59</v>
      </c>
      <c r="F1427" s="8" t="s">
        <v>60</v>
      </c>
      <c r="G1427" s="8" t="s">
        <v>7</v>
      </c>
      <c r="H1427" s="8" t="s">
        <v>38</v>
      </c>
      <c r="I1427" s="9">
        <v>69.996058000000005</v>
      </c>
      <c r="J1427">
        <v>60.710461451249998</v>
      </c>
      <c r="K1427">
        <v>59.446569679177003</v>
      </c>
      <c r="L1427">
        <v>61.336718974412001</v>
      </c>
    </row>
    <row r="1428" spans="1:12" x14ac:dyDescent="0.2">
      <c r="A1428" s="8" t="s">
        <v>110</v>
      </c>
      <c r="B1428" s="8" t="s">
        <v>89</v>
      </c>
      <c r="C1428" s="8" t="s">
        <v>274</v>
      </c>
      <c r="D1428" s="8" t="s">
        <v>275</v>
      </c>
      <c r="E1428" s="8" t="s">
        <v>76</v>
      </c>
      <c r="F1428" s="8" t="s">
        <v>77</v>
      </c>
      <c r="G1428" s="8" t="s">
        <v>7</v>
      </c>
      <c r="H1428" s="8" t="s">
        <v>38</v>
      </c>
      <c r="I1428" s="9">
        <v>5.6571429000000002</v>
      </c>
      <c r="J1428">
        <v>5.0285714300800004</v>
      </c>
      <c r="K1428">
        <v>5.0285714300800004</v>
      </c>
      <c r="L1428">
        <v>4.9192546598608997</v>
      </c>
    </row>
    <row r="1429" spans="1:12" x14ac:dyDescent="0.2">
      <c r="A1429" s="8" t="s">
        <v>110</v>
      </c>
      <c r="B1429" s="8" t="s">
        <v>89</v>
      </c>
      <c r="C1429" s="8" t="s">
        <v>274</v>
      </c>
      <c r="D1429" s="8" t="s">
        <v>275</v>
      </c>
      <c r="E1429" s="8" t="s">
        <v>78</v>
      </c>
      <c r="F1429" s="8" t="s">
        <v>79</v>
      </c>
      <c r="G1429" s="8" t="s">
        <v>7</v>
      </c>
      <c r="H1429" s="8" t="s">
        <v>38</v>
      </c>
      <c r="I1429" s="9">
        <v>92.714269000000002</v>
      </c>
      <c r="J1429">
        <v>66.628559314285994</v>
      </c>
      <c r="K1429">
        <v>30.485708742857</v>
      </c>
      <c r="L1429">
        <v>19.925710662857</v>
      </c>
    </row>
    <row r="1430" spans="1:12" x14ac:dyDescent="0.2">
      <c r="A1430" s="8" t="s">
        <v>110</v>
      </c>
      <c r="B1430" s="8" t="s">
        <v>89</v>
      </c>
      <c r="C1430" s="8" t="s">
        <v>274</v>
      </c>
      <c r="D1430" s="8" t="s">
        <v>275</v>
      </c>
      <c r="E1430" s="8" t="s">
        <v>92</v>
      </c>
      <c r="F1430" s="8" t="s">
        <v>93</v>
      </c>
      <c r="G1430" s="8" t="s">
        <v>7</v>
      </c>
      <c r="H1430" s="8" t="s">
        <v>38</v>
      </c>
      <c r="I1430" s="9"/>
    </row>
    <row r="1431" spans="1:12" x14ac:dyDescent="0.2">
      <c r="A1431" s="8" t="s">
        <v>32</v>
      </c>
      <c r="B1431" s="8" t="s">
        <v>33</v>
      </c>
      <c r="C1431" s="8" t="s">
        <v>276</v>
      </c>
      <c r="D1431" s="8" t="s">
        <v>277</v>
      </c>
      <c r="E1431" s="8" t="s">
        <v>36</v>
      </c>
      <c r="F1431" s="8" t="s">
        <v>37</v>
      </c>
      <c r="G1431" s="8" t="s">
        <v>7</v>
      </c>
      <c r="H1431" s="8" t="s">
        <v>38</v>
      </c>
      <c r="I1431" s="9">
        <v>838.80346999999995</v>
      </c>
      <c r="J1431">
        <v>843.79980350999995</v>
      </c>
      <c r="K1431">
        <v>826.92400841999995</v>
      </c>
      <c r="L1431">
        <v>825.24958068449996</v>
      </c>
    </row>
    <row r="1432" spans="1:12" x14ac:dyDescent="0.2">
      <c r="A1432" s="8" t="s">
        <v>32</v>
      </c>
      <c r="B1432" s="8" t="s">
        <v>33</v>
      </c>
      <c r="C1432" s="8" t="s">
        <v>276</v>
      </c>
      <c r="D1432" s="8" t="s">
        <v>277</v>
      </c>
      <c r="E1432" s="8" t="s">
        <v>64</v>
      </c>
      <c r="F1432" s="8" t="s">
        <v>65</v>
      </c>
      <c r="G1432" s="8" t="s">
        <v>7</v>
      </c>
      <c r="H1432" s="8" t="s">
        <v>38</v>
      </c>
      <c r="I1432" s="9">
        <v>0.4077808</v>
      </c>
      <c r="J1432">
        <v>0.39857986000000001</v>
      </c>
      <c r="K1432">
        <v>1.73972956</v>
      </c>
      <c r="L1432">
        <v>1.9064553808600999</v>
      </c>
    </row>
    <row r="1433" spans="1:12" x14ac:dyDescent="0.2">
      <c r="A1433" s="8" t="s">
        <v>32</v>
      </c>
      <c r="B1433" s="8" t="s">
        <v>33</v>
      </c>
      <c r="C1433" s="8" t="s">
        <v>276</v>
      </c>
      <c r="D1433" s="8" t="s">
        <v>277</v>
      </c>
      <c r="E1433" s="8" t="s">
        <v>39</v>
      </c>
      <c r="F1433" s="8" t="s">
        <v>40</v>
      </c>
      <c r="G1433" s="8" t="s">
        <v>7</v>
      </c>
      <c r="H1433" s="8" t="s">
        <v>38</v>
      </c>
      <c r="I1433" s="9">
        <v>606.98721</v>
      </c>
      <c r="J1433">
        <v>596.04760891000001</v>
      </c>
      <c r="K1433">
        <v>584.12472514000001</v>
      </c>
      <c r="L1433">
        <v>582.94193853469005</v>
      </c>
    </row>
    <row r="1434" spans="1:12" x14ac:dyDescent="0.2">
      <c r="A1434" s="8" t="s">
        <v>32</v>
      </c>
      <c r="B1434" s="8" t="s">
        <v>33</v>
      </c>
      <c r="C1434" s="8" t="s">
        <v>276</v>
      </c>
      <c r="D1434" s="8" t="s">
        <v>277</v>
      </c>
      <c r="E1434" s="8" t="s">
        <v>43</v>
      </c>
      <c r="F1434" s="8" t="s">
        <v>44</v>
      </c>
      <c r="G1434" s="8" t="s">
        <v>7</v>
      </c>
      <c r="H1434" s="8" t="s">
        <v>38</v>
      </c>
      <c r="I1434" s="9">
        <v>1419.1668999999999</v>
      </c>
      <c r="J1434">
        <v>1393.58787297</v>
      </c>
      <c r="K1434">
        <v>1365.71512704</v>
      </c>
      <c r="L1434">
        <v>1362.9497081330001</v>
      </c>
    </row>
    <row r="1435" spans="1:12" x14ac:dyDescent="0.2">
      <c r="A1435" s="8" t="s">
        <v>32</v>
      </c>
      <c r="B1435" s="8" t="s">
        <v>33</v>
      </c>
      <c r="C1435" s="8" t="s">
        <v>276</v>
      </c>
      <c r="D1435" s="8" t="s">
        <v>277</v>
      </c>
      <c r="E1435" s="8" t="s">
        <v>47</v>
      </c>
      <c r="F1435" s="8" t="s">
        <v>48</v>
      </c>
      <c r="G1435" s="8" t="s">
        <v>7</v>
      </c>
      <c r="H1435" s="8" t="s">
        <v>38</v>
      </c>
      <c r="I1435" s="9">
        <v>1.4384969999999999</v>
      </c>
      <c r="J1435">
        <v>1.4147209300000001</v>
      </c>
      <c r="K1435">
        <v>1.38486832</v>
      </c>
      <c r="L1435">
        <v>1.3820641180402</v>
      </c>
    </row>
    <row r="1436" spans="1:12" x14ac:dyDescent="0.2">
      <c r="A1436" s="8" t="s">
        <v>32</v>
      </c>
      <c r="B1436" s="8" t="s">
        <v>33</v>
      </c>
      <c r="C1436" s="8" t="s">
        <v>276</v>
      </c>
      <c r="D1436" s="8" t="s">
        <v>277</v>
      </c>
      <c r="E1436" s="8" t="s">
        <v>49</v>
      </c>
      <c r="F1436" s="8" t="s">
        <v>50</v>
      </c>
      <c r="G1436" s="8" t="s">
        <v>7</v>
      </c>
      <c r="H1436" s="8" t="s">
        <v>38</v>
      </c>
      <c r="I1436" s="9">
        <v>264.71629000000001</v>
      </c>
      <c r="J1436">
        <v>259.94488393</v>
      </c>
      <c r="K1436">
        <v>262.47283850999997</v>
      </c>
      <c r="L1436">
        <v>261.94136065213002</v>
      </c>
    </row>
    <row r="1437" spans="1:12" x14ac:dyDescent="0.2">
      <c r="A1437" s="8" t="s">
        <v>32</v>
      </c>
      <c r="B1437" s="8" t="s">
        <v>33</v>
      </c>
      <c r="C1437" s="8" t="s">
        <v>276</v>
      </c>
      <c r="D1437" s="8" t="s">
        <v>277</v>
      </c>
      <c r="E1437" s="8" t="s">
        <v>53</v>
      </c>
      <c r="F1437" s="8" t="s">
        <v>54</v>
      </c>
      <c r="G1437" s="8" t="s">
        <v>7</v>
      </c>
      <c r="H1437" s="8" t="s">
        <v>38</v>
      </c>
      <c r="I1437" s="9">
        <v>16.968416999999999</v>
      </c>
      <c r="J1437">
        <v>16.66097834</v>
      </c>
      <c r="K1437">
        <v>43.239144090000003</v>
      </c>
      <c r="L1437">
        <v>47.382938595448998</v>
      </c>
    </row>
    <row r="1438" spans="1:12" x14ac:dyDescent="0.2">
      <c r="A1438" s="8" t="s">
        <v>32</v>
      </c>
      <c r="B1438" s="8" t="s">
        <v>33</v>
      </c>
      <c r="C1438" s="8" t="s">
        <v>276</v>
      </c>
      <c r="D1438" s="8" t="s">
        <v>277</v>
      </c>
      <c r="E1438" s="8" t="s">
        <v>70</v>
      </c>
      <c r="F1438" s="8" t="s">
        <v>71</v>
      </c>
      <c r="G1438" s="8" t="s">
        <v>7</v>
      </c>
      <c r="H1438" s="8" t="s">
        <v>38</v>
      </c>
      <c r="I1438" s="9">
        <v>111.99887</v>
      </c>
      <c r="J1438">
        <v>111.99886650000001</v>
      </c>
      <c r="K1438">
        <v>111.99886650000001</v>
      </c>
      <c r="L1438">
        <v>111.87251636387001</v>
      </c>
    </row>
    <row r="1439" spans="1:12" x14ac:dyDescent="0.2">
      <c r="A1439" s="8" t="s">
        <v>32</v>
      </c>
      <c r="B1439" s="8" t="s">
        <v>33</v>
      </c>
      <c r="C1439" s="8" t="s">
        <v>276</v>
      </c>
      <c r="D1439" s="8" t="s">
        <v>277</v>
      </c>
      <c r="E1439" s="8" t="s">
        <v>83</v>
      </c>
      <c r="F1439" s="8" t="s">
        <v>84</v>
      </c>
      <c r="G1439" s="8" t="s">
        <v>7</v>
      </c>
      <c r="H1439" s="8" t="s">
        <v>38</v>
      </c>
      <c r="I1439" s="9">
        <v>157.5</v>
      </c>
      <c r="J1439">
        <v>157.5</v>
      </c>
      <c r="K1439">
        <v>165</v>
      </c>
      <c r="L1439">
        <v>157.5</v>
      </c>
    </row>
    <row r="1440" spans="1:12" x14ac:dyDescent="0.2">
      <c r="A1440" s="8" t="s">
        <v>32</v>
      </c>
      <c r="B1440" s="8" t="s">
        <v>33</v>
      </c>
      <c r="C1440" s="8" t="s">
        <v>276</v>
      </c>
      <c r="D1440" s="8" t="s">
        <v>277</v>
      </c>
      <c r="E1440" s="8" t="s">
        <v>55</v>
      </c>
      <c r="F1440" s="8" t="s">
        <v>56</v>
      </c>
      <c r="G1440" s="8" t="s">
        <v>7</v>
      </c>
      <c r="H1440" s="8" t="s">
        <v>38</v>
      </c>
      <c r="I1440" s="9">
        <v>0.56109299999999995</v>
      </c>
      <c r="J1440">
        <v>0.62843868193246999</v>
      </c>
      <c r="K1440">
        <v>0.62843868193246999</v>
      </c>
      <c r="L1440">
        <v>0.62843868193246999</v>
      </c>
    </row>
    <row r="1441" spans="1:12" x14ac:dyDescent="0.2">
      <c r="A1441" s="8" t="s">
        <v>32</v>
      </c>
      <c r="B1441" s="8" t="s">
        <v>33</v>
      </c>
      <c r="C1441" s="8" t="s">
        <v>276</v>
      </c>
      <c r="D1441" s="8" t="s">
        <v>277</v>
      </c>
      <c r="E1441" s="8" t="s">
        <v>59</v>
      </c>
      <c r="F1441" s="8" t="s">
        <v>60</v>
      </c>
      <c r="G1441" s="8" t="s">
        <v>7</v>
      </c>
      <c r="H1441" s="8" t="s">
        <v>38</v>
      </c>
      <c r="I1441" s="9">
        <v>25.988067999999998</v>
      </c>
      <c r="J1441">
        <v>26.28519231309</v>
      </c>
      <c r="K1441">
        <v>26.120805211512</v>
      </c>
      <c r="L1441">
        <v>26.782513418608001</v>
      </c>
    </row>
    <row r="1442" spans="1:12" x14ac:dyDescent="0.2">
      <c r="A1442" s="8" t="s">
        <v>110</v>
      </c>
      <c r="B1442" s="8" t="s">
        <v>89</v>
      </c>
      <c r="C1442" s="8" t="s">
        <v>278</v>
      </c>
      <c r="D1442" s="8" t="s">
        <v>279</v>
      </c>
      <c r="E1442" s="8" t="s">
        <v>36</v>
      </c>
      <c r="F1442" s="8" t="s">
        <v>37</v>
      </c>
      <c r="G1442" s="8" t="s">
        <v>7</v>
      </c>
      <c r="H1442" s="8" t="s">
        <v>38</v>
      </c>
      <c r="I1442" s="9">
        <v>10751.89</v>
      </c>
      <c r="J1442">
        <v>10023.18575015</v>
      </c>
      <c r="K1442">
        <v>9346.3660145499998</v>
      </c>
      <c r="L1442">
        <v>7828.5747232328004</v>
      </c>
    </row>
    <row r="1443" spans="1:12" x14ac:dyDescent="0.2">
      <c r="A1443" s="8" t="s">
        <v>110</v>
      </c>
      <c r="B1443" s="8" t="s">
        <v>89</v>
      </c>
      <c r="C1443" s="8" t="s">
        <v>278</v>
      </c>
      <c r="D1443" s="8" t="s">
        <v>279</v>
      </c>
      <c r="E1443" s="8" t="s">
        <v>64</v>
      </c>
      <c r="F1443" s="8" t="s">
        <v>65</v>
      </c>
      <c r="G1443" s="8" t="s">
        <v>7</v>
      </c>
      <c r="H1443" s="8" t="s">
        <v>38</v>
      </c>
      <c r="I1443" s="9">
        <v>2248.5417000000002</v>
      </c>
      <c r="J1443">
        <v>1959.1158489300001</v>
      </c>
      <c r="K1443">
        <v>1800.5290571999999</v>
      </c>
      <c r="L1443">
        <v>1742.1207837855</v>
      </c>
    </row>
    <row r="1444" spans="1:12" x14ac:dyDescent="0.2">
      <c r="A1444" s="8" t="s">
        <v>110</v>
      </c>
      <c r="B1444" s="8" t="s">
        <v>89</v>
      </c>
      <c r="C1444" s="8" t="s">
        <v>278</v>
      </c>
      <c r="D1444" s="8" t="s">
        <v>279</v>
      </c>
      <c r="E1444" s="8" t="s">
        <v>39</v>
      </c>
      <c r="F1444" s="8" t="s">
        <v>40</v>
      </c>
      <c r="G1444" s="8" t="s">
        <v>7</v>
      </c>
      <c r="H1444" s="8" t="s">
        <v>38</v>
      </c>
      <c r="I1444" s="9">
        <v>6589.6252000000004</v>
      </c>
      <c r="J1444">
        <v>6882.0672219500002</v>
      </c>
      <c r="K1444">
        <v>5926.6330421900002</v>
      </c>
      <c r="L1444">
        <v>5368.8935156575999</v>
      </c>
    </row>
    <row r="1445" spans="1:12" x14ac:dyDescent="0.2">
      <c r="A1445" s="8" t="s">
        <v>110</v>
      </c>
      <c r="B1445" s="8" t="s">
        <v>89</v>
      </c>
      <c r="C1445" s="8" t="s">
        <v>278</v>
      </c>
      <c r="D1445" s="8" t="s">
        <v>279</v>
      </c>
      <c r="E1445" s="8" t="s">
        <v>41</v>
      </c>
      <c r="F1445" s="8" t="s">
        <v>42</v>
      </c>
      <c r="G1445" s="8" t="s">
        <v>7</v>
      </c>
      <c r="H1445" s="8" t="s">
        <v>38</v>
      </c>
      <c r="I1445" s="9">
        <v>3.0799370000000001</v>
      </c>
      <c r="J1445">
        <v>3.0799370000000001</v>
      </c>
      <c r="K1445">
        <v>3.0799370000000001</v>
      </c>
      <c r="L1445">
        <v>3.0799370000000001</v>
      </c>
    </row>
    <row r="1446" spans="1:12" x14ac:dyDescent="0.2">
      <c r="A1446" s="8" t="s">
        <v>110</v>
      </c>
      <c r="B1446" s="8" t="s">
        <v>89</v>
      </c>
      <c r="C1446" s="8" t="s">
        <v>278</v>
      </c>
      <c r="D1446" s="8" t="s">
        <v>279</v>
      </c>
      <c r="E1446" s="8" t="s">
        <v>43</v>
      </c>
      <c r="F1446" s="8" t="s">
        <v>44</v>
      </c>
      <c r="G1446" s="8" t="s">
        <v>7</v>
      </c>
      <c r="H1446" s="8" t="s">
        <v>38</v>
      </c>
      <c r="I1446" s="9">
        <v>12025.262000000001</v>
      </c>
      <c r="J1446">
        <v>13420.19313061</v>
      </c>
      <c r="K1446">
        <v>14507.71445326</v>
      </c>
      <c r="L1446">
        <v>13445.688840286</v>
      </c>
    </row>
    <row r="1447" spans="1:12" x14ac:dyDescent="0.2">
      <c r="A1447" s="8" t="s">
        <v>110</v>
      </c>
      <c r="B1447" s="8" t="s">
        <v>89</v>
      </c>
      <c r="C1447" s="8" t="s">
        <v>278</v>
      </c>
      <c r="D1447" s="8" t="s">
        <v>279</v>
      </c>
      <c r="E1447" s="8" t="s">
        <v>66</v>
      </c>
      <c r="F1447" s="8" t="s">
        <v>67</v>
      </c>
      <c r="G1447" s="8" t="s">
        <v>7</v>
      </c>
      <c r="H1447" s="8" t="s">
        <v>38</v>
      </c>
      <c r="I1447" s="9">
        <v>104.16991</v>
      </c>
      <c r="J1447">
        <v>104.16991338</v>
      </c>
      <c r="K1447">
        <v>107.32631403000001</v>
      </c>
      <c r="L1447">
        <v>104.16994977624</v>
      </c>
    </row>
    <row r="1448" spans="1:12" x14ac:dyDescent="0.2">
      <c r="A1448" s="8" t="s">
        <v>110</v>
      </c>
      <c r="B1448" s="8" t="s">
        <v>89</v>
      </c>
      <c r="C1448" s="8" t="s">
        <v>278</v>
      </c>
      <c r="D1448" s="8" t="s">
        <v>279</v>
      </c>
      <c r="E1448" s="8" t="s">
        <v>45</v>
      </c>
      <c r="F1448" s="8" t="s">
        <v>46</v>
      </c>
      <c r="G1448" s="8" t="s">
        <v>7</v>
      </c>
      <c r="H1448" s="8" t="s">
        <v>38</v>
      </c>
      <c r="I1448" s="9">
        <v>12.626536</v>
      </c>
      <c r="J1448">
        <v>9.4701356099999998</v>
      </c>
      <c r="K1448">
        <v>12.62653626</v>
      </c>
      <c r="L1448">
        <v>9.4701059695217005</v>
      </c>
    </row>
    <row r="1449" spans="1:12" x14ac:dyDescent="0.2">
      <c r="A1449" s="8" t="s">
        <v>110</v>
      </c>
      <c r="B1449" s="8" t="s">
        <v>89</v>
      </c>
      <c r="C1449" s="8" t="s">
        <v>278</v>
      </c>
      <c r="D1449" s="8" t="s">
        <v>279</v>
      </c>
      <c r="E1449" s="8" t="s">
        <v>47</v>
      </c>
      <c r="F1449" s="8" t="s">
        <v>48</v>
      </c>
      <c r="G1449" s="8" t="s">
        <v>7</v>
      </c>
      <c r="H1449" s="8" t="s">
        <v>38</v>
      </c>
      <c r="I1449" s="9">
        <v>125.77068</v>
      </c>
      <c r="J1449">
        <v>63.062088539999998</v>
      </c>
      <c r="K1449">
        <v>52.10566317</v>
      </c>
      <c r="L1449">
        <v>40.240460902431003</v>
      </c>
    </row>
    <row r="1450" spans="1:12" x14ac:dyDescent="0.2">
      <c r="A1450" s="8" t="s">
        <v>110</v>
      </c>
      <c r="B1450" s="8" t="s">
        <v>89</v>
      </c>
      <c r="C1450" s="8" t="s">
        <v>278</v>
      </c>
      <c r="D1450" s="8" t="s">
        <v>279</v>
      </c>
      <c r="E1450" s="8" t="s">
        <v>49</v>
      </c>
      <c r="F1450" s="8" t="s">
        <v>50</v>
      </c>
      <c r="G1450" s="8" t="s">
        <v>7</v>
      </c>
      <c r="H1450" s="8" t="s">
        <v>38</v>
      </c>
      <c r="I1450" s="9">
        <v>11814.522000000001</v>
      </c>
      <c r="J1450">
        <v>12472.621675750001</v>
      </c>
      <c r="K1450">
        <v>10712.12484549</v>
      </c>
      <c r="L1450">
        <v>9253.1883498334992</v>
      </c>
    </row>
    <row r="1451" spans="1:12" x14ac:dyDescent="0.2">
      <c r="A1451" s="8" t="s">
        <v>110</v>
      </c>
      <c r="B1451" s="8" t="s">
        <v>89</v>
      </c>
      <c r="C1451" s="8" t="s">
        <v>278</v>
      </c>
      <c r="D1451" s="8" t="s">
        <v>279</v>
      </c>
      <c r="E1451" s="8" t="s">
        <v>51</v>
      </c>
      <c r="F1451" s="8" t="s">
        <v>52</v>
      </c>
      <c r="G1451" s="8" t="s">
        <v>7</v>
      </c>
      <c r="H1451" s="8" t="s">
        <v>38</v>
      </c>
      <c r="I1451" s="9">
        <v>73.224643</v>
      </c>
      <c r="J1451">
        <v>104.28652762999999</v>
      </c>
      <c r="K1451">
        <v>71.652548670000002</v>
      </c>
      <c r="L1451">
        <v>64.118541347573</v>
      </c>
    </row>
    <row r="1452" spans="1:12" x14ac:dyDescent="0.2">
      <c r="A1452" s="8" t="s">
        <v>110</v>
      </c>
      <c r="B1452" s="8" t="s">
        <v>89</v>
      </c>
      <c r="C1452" s="8" t="s">
        <v>278</v>
      </c>
      <c r="D1452" s="8" t="s">
        <v>279</v>
      </c>
      <c r="E1452" s="8" t="s">
        <v>68</v>
      </c>
      <c r="F1452" s="8" t="s">
        <v>69</v>
      </c>
      <c r="G1452" s="8" t="s">
        <v>7</v>
      </c>
      <c r="H1452" s="8" t="s">
        <v>38</v>
      </c>
      <c r="I1452" s="9">
        <v>274.43060000000003</v>
      </c>
      <c r="J1452">
        <v>307.05909605965002</v>
      </c>
      <c r="K1452">
        <v>176.19273087005999</v>
      </c>
      <c r="L1452">
        <v>97.230998333179997</v>
      </c>
    </row>
    <row r="1453" spans="1:12" x14ac:dyDescent="0.2">
      <c r="A1453" s="8" t="s">
        <v>110</v>
      </c>
      <c r="B1453" s="8" t="s">
        <v>89</v>
      </c>
      <c r="C1453" s="8" t="s">
        <v>278</v>
      </c>
      <c r="D1453" s="8" t="s">
        <v>279</v>
      </c>
      <c r="E1453" s="8" t="s">
        <v>53</v>
      </c>
      <c r="F1453" s="8" t="s">
        <v>54</v>
      </c>
      <c r="G1453" s="8" t="s">
        <v>7</v>
      </c>
      <c r="H1453" s="8" t="s">
        <v>38</v>
      </c>
      <c r="I1453" s="9">
        <v>855.65048999999999</v>
      </c>
      <c r="J1453">
        <v>768.20351657174001</v>
      </c>
      <c r="K1453">
        <v>622.01993992343</v>
      </c>
      <c r="L1453">
        <v>562.51772044627</v>
      </c>
    </row>
    <row r="1454" spans="1:12" x14ac:dyDescent="0.2">
      <c r="A1454" s="8" t="s">
        <v>110</v>
      </c>
      <c r="B1454" s="8" t="s">
        <v>89</v>
      </c>
      <c r="C1454" s="8" t="s">
        <v>278</v>
      </c>
      <c r="D1454" s="8" t="s">
        <v>279</v>
      </c>
      <c r="E1454" s="8" t="s">
        <v>70</v>
      </c>
      <c r="F1454" s="8" t="s">
        <v>71</v>
      </c>
      <c r="G1454" s="8" t="s">
        <v>7</v>
      </c>
      <c r="H1454" s="8" t="s">
        <v>38</v>
      </c>
      <c r="I1454" s="9">
        <v>1278.4128000000001</v>
      </c>
      <c r="J1454">
        <v>1389.5791764728001</v>
      </c>
      <c r="K1454">
        <v>1333.9960094139001</v>
      </c>
      <c r="L1454">
        <v>1332.4910783135999</v>
      </c>
    </row>
    <row r="1455" spans="1:12" x14ac:dyDescent="0.2">
      <c r="A1455" s="8" t="s">
        <v>110</v>
      </c>
      <c r="B1455" s="8" t="s">
        <v>89</v>
      </c>
      <c r="C1455" s="8" t="s">
        <v>278</v>
      </c>
      <c r="D1455" s="8" t="s">
        <v>279</v>
      </c>
      <c r="E1455" s="8" t="s">
        <v>83</v>
      </c>
      <c r="F1455" s="8" t="s">
        <v>84</v>
      </c>
      <c r="G1455" s="8" t="s">
        <v>7</v>
      </c>
      <c r="H1455" s="8" t="s">
        <v>38</v>
      </c>
      <c r="I1455" s="9">
        <v>210</v>
      </c>
      <c r="J1455">
        <v>145.5</v>
      </c>
      <c r="K1455">
        <v>138.75</v>
      </c>
      <c r="L1455">
        <v>142.5</v>
      </c>
    </row>
    <row r="1456" spans="1:12" x14ac:dyDescent="0.2">
      <c r="A1456" s="8" t="s">
        <v>110</v>
      </c>
      <c r="B1456" s="8" t="s">
        <v>89</v>
      </c>
      <c r="C1456" s="8" t="s">
        <v>278</v>
      </c>
      <c r="D1456" s="8" t="s">
        <v>279</v>
      </c>
      <c r="E1456" s="8" t="s">
        <v>55</v>
      </c>
      <c r="F1456" s="8" t="s">
        <v>56</v>
      </c>
      <c r="G1456" s="8" t="s">
        <v>7</v>
      </c>
      <c r="H1456" s="8" t="s">
        <v>38</v>
      </c>
      <c r="I1456" s="9">
        <v>46.679679999999998</v>
      </c>
      <c r="J1456">
        <v>46.679680346600001</v>
      </c>
      <c r="K1456">
        <v>46.679680346600001</v>
      </c>
      <c r="L1456">
        <v>46.679680346600001</v>
      </c>
    </row>
    <row r="1457" spans="1:12" x14ac:dyDescent="0.2">
      <c r="A1457" s="8" t="s">
        <v>110</v>
      </c>
      <c r="B1457" s="8" t="s">
        <v>89</v>
      </c>
      <c r="C1457" s="8" t="s">
        <v>278</v>
      </c>
      <c r="D1457" s="8" t="s">
        <v>279</v>
      </c>
      <c r="E1457" s="8" t="s">
        <v>57</v>
      </c>
      <c r="F1457" s="8" t="s">
        <v>58</v>
      </c>
      <c r="G1457" s="8" t="s">
        <v>7</v>
      </c>
      <c r="H1457" s="8" t="s">
        <v>38</v>
      </c>
      <c r="I1457" s="9">
        <v>143.56629000000001</v>
      </c>
      <c r="J1457">
        <v>143.56629104282001</v>
      </c>
      <c r="K1457">
        <v>143.56629104282001</v>
      </c>
      <c r="L1457">
        <v>143.56629104282001</v>
      </c>
    </row>
    <row r="1458" spans="1:12" x14ac:dyDescent="0.2">
      <c r="A1458" s="8" t="s">
        <v>110</v>
      </c>
      <c r="B1458" s="8" t="s">
        <v>89</v>
      </c>
      <c r="C1458" s="8" t="s">
        <v>278</v>
      </c>
      <c r="D1458" s="8" t="s">
        <v>279</v>
      </c>
      <c r="E1458" s="8" t="s">
        <v>72</v>
      </c>
      <c r="F1458" s="8" t="s">
        <v>73</v>
      </c>
      <c r="G1458" s="8" t="s">
        <v>7</v>
      </c>
      <c r="H1458" s="8" t="s">
        <v>38</v>
      </c>
      <c r="I1458" s="9">
        <v>2512.2572</v>
      </c>
      <c r="J1458">
        <v>2583.7468797060001</v>
      </c>
      <c r="K1458">
        <v>2113.7414186357</v>
      </c>
      <c r="L1458">
        <v>2396.1268736184002</v>
      </c>
    </row>
    <row r="1459" spans="1:12" x14ac:dyDescent="0.2">
      <c r="A1459" s="8" t="s">
        <v>110</v>
      </c>
      <c r="B1459" s="8" t="s">
        <v>89</v>
      </c>
      <c r="C1459" s="8" t="s">
        <v>278</v>
      </c>
      <c r="D1459" s="8" t="s">
        <v>279</v>
      </c>
      <c r="E1459" s="8" t="s">
        <v>74</v>
      </c>
      <c r="F1459" s="8" t="s">
        <v>75</v>
      </c>
      <c r="G1459" s="8" t="s">
        <v>7</v>
      </c>
      <c r="H1459" s="8" t="s">
        <v>38</v>
      </c>
      <c r="I1459" s="9">
        <v>179.50546</v>
      </c>
      <c r="J1459">
        <v>165.79571538715001</v>
      </c>
      <c r="K1459">
        <v>141.81635996566001</v>
      </c>
      <c r="L1459">
        <v>87.157546466667</v>
      </c>
    </row>
    <row r="1460" spans="1:12" x14ac:dyDescent="0.2">
      <c r="A1460" s="8" t="s">
        <v>110</v>
      </c>
      <c r="B1460" s="8" t="s">
        <v>89</v>
      </c>
      <c r="C1460" s="8" t="s">
        <v>278</v>
      </c>
      <c r="D1460" s="8" t="s">
        <v>279</v>
      </c>
      <c r="E1460" s="8" t="s">
        <v>59</v>
      </c>
      <c r="F1460" s="8" t="s">
        <v>60</v>
      </c>
      <c r="G1460" s="8" t="s">
        <v>7</v>
      </c>
      <c r="H1460" s="8" t="s">
        <v>38</v>
      </c>
      <c r="I1460" s="9">
        <v>224.26776000000001</v>
      </c>
      <c r="J1460">
        <v>231.46307245503999</v>
      </c>
      <c r="K1460">
        <v>202.21718212939999</v>
      </c>
      <c r="L1460">
        <v>197.65588973573</v>
      </c>
    </row>
    <row r="1461" spans="1:12" x14ac:dyDescent="0.2">
      <c r="A1461" s="8" t="s">
        <v>110</v>
      </c>
      <c r="B1461" s="8" t="s">
        <v>89</v>
      </c>
      <c r="C1461" s="8" t="s">
        <v>278</v>
      </c>
      <c r="D1461" s="8" t="s">
        <v>279</v>
      </c>
      <c r="E1461" s="8" t="s">
        <v>76</v>
      </c>
      <c r="F1461" s="8" t="s">
        <v>77</v>
      </c>
      <c r="G1461" s="8" t="s">
        <v>7</v>
      </c>
      <c r="H1461" s="8" t="s">
        <v>38</v>
      </c>
      <c r="I1461" s="9">
        <v>98.057142999999996</v>
      </c>
      <c r="J1461">
        <v>78.990476198216001</v>
      </c>
      <c r="K1461">
        <v>56.466666672195998</v>
      </c>
      <c r="L1461">
        <v>57.992792798472003</v>
      </c>
    </row>
    <row r="1462" spans="1:12" x14ac:dyDescent="0.2">
      <c r="A1462" s="8" t="s">
        <v>110</v>
      </c>
      <c r="B1462" s="8" t="s">
        <v>89</v>
      </c>
      <c r="C1462" s="8" t="s">
        <v>278</v>
      </c>
      <c r="D1462" s="8" t="s">
        <v>279</v>
      </c>
      <c r="E1462" s="8" t="s">
        <v>78</v>
      </c>
      <c r="F1462" s="8" t="s">
        <v>79</v>
      </c>
      <c r="G1462" s="8" t="s">
        <v>7</v>
      </c>
      <c r="H1462" s="8" t="s">
        <v>38</v>
      </c>
      <c r="I1462" s="9">
        <v>62.857131000000003</v>
      </c>
      <c r="J1462">
        <v>65.999988000000002</v>
      </c>
      <c r="K1462">
        <v>47.142848571428999</v>
      </c>
      <c r="L1462">
        <v>45.571420285713998</v>
      </c>
    </row>
    <row r="1463" spans="1:12" x14ac:dyDescent="0.2">
      <c r="A1463" s="8" t="s">
        <v>110</v>
      </c>
      <c r="B1463" s="8" t="s">
        <v>89</v>
      </c>
      <c r="C1463" s="8" t="s">
        <v>278</v>
      </c>
      <c r="D1463" s="8" t="s">
        <v>279</v>
      </c>
      <c r="E1463" s="8" t="s">
        <v>92</v>
      </c>
      <c r="F1463" s="8" t="s">
        <v>93</v>
      </c>
      <c r="G1463" s="8" t="s">
        <v>7</v>
      </c>
      <c r="H1463" s="8" t="s">
        <v>38</v>
      </c>
      <c r="I1463" s="9">
        <v>17.722608999999999</v>
      </c>
      <c r="J1463">
        <v>18.179509920000001</v>
      </c>
      <c r="K1463">
        <v>10.542100140000001</v>
      </c>
      <c r="L1463">
        <v>8.5359341924999992</v>
      </c>
    </row>
    <row r="1464" spans="1:12" x14ac:dyDescent="0.2">
      <c r="A1464" s="8" t="s">
        <v>32</v>
      </c>
      <c r="B1464" s="8" t="s">
        <v>280</v>
      </c>
      <c r="C1464" s="8" t="s">
        <v>281</v>
      </c>
      <c r="D1464" s="8" t="s">
        <v>282</v>
      </c>
      <c r="E1464" s="8" t="s">
        <v>36</v>
      </c>
      <c r="F1464" s="8" t="s">
        <v>37</v>
      </c>
      <c r="G1464" s="8" t="s">
        <v>7</v>
      </c>
      <c r="H1464" s="8" t="s">
        <v>38</v>
      </c>
      <c r="I1464" s="9">
        <v>224857.49</v>
      </c>
      <c r="J1464">
        <v>240102.35732283001</v>
      </c>
      <c r="K1464">
        <v>296466.31398378999</v>
      </c>
      <c r="L1464">
        <v>331489.3042058</v>
      </c>
    </row>
    <row r="1465" spans="1:12" x14ac:dyDescent="0.2">
      <c r="A1465" s="8" t="s">
        <v>32</v>
      </c>
      <c r="B1465" s="8" t="s">
        <v>280</v>
      </c>
      <c r="C1465" s="8" t="s">
        <v>281</v>
      </c>
      <c r="D1465" s="8" t="s">
        <v>282</v>
      </c>
      <c r="E1465" s="8" t="s">
        <v>64</v>
      </c>
      <c r="F1465" s="8" t="s">
        <v>65</v>
      </c>
      <c r="G1465" s="8" t="s">
        <v>7</v>
      </c>
      <c r="H1465" s="8" t="s">
        <v>38</v>
      </c>
      <c r="I1465" s="9">
        <v>21164.413</v>
      </c>
      <c r="J1465">
        <v>18965.267727940001</v>
      </c>
      <c r="K1465">
        <v>17497.536294900001</v>
      </c>
      <c r="L1465">
        <v>17857.093703765</v>
      </c>
    </row>
    <row r="1466" spans="1:12" x14ac:dyDescent="0.2">
      <c r="A1466" s="8" t="s">
        <v>32</v>
      </c>
      <c r="B1466" s="8" t="s">
        <v>280</v>
      </c>
      <c r="C1466" s="8" t="s">
        <v>281</v>
      </c>
      <c r="D1466" s="8" t="s">
        <v>282</v>
      </c>
      <c r="E1466" s="8" t="s">
        <v>39</v>
      </c>
      <c r="F1466" s="8" t="s">
        <v>40</v>
      </c>
      <c r="G1466" s="8" t="s">
        <v>7</v>
      </c>
      <c r="H1466" s="8" t="s">
        <v>38</v>
      </c>
      <c r="I1466" s="9">
        <v>131055.59</v>
      </c>
      <c r="J1466">
        <v>130612.00008933</v>
      </c>
      <c r="K1466">
        <v>160602.01976537</v>
      </c>
      <c r="L1466">
        <v>171574.67307230999</v>
      </c>
    </row>
    <row r="1467" spans="1:12" x14ac:dyDescent="0.2">
      <c r="A1467" s="8" t="s">
        <v>32</v>
      </c>
      <c r="B1467" s="8" t="s">
        <v>280</v>
      </c>
      <c r="C1467" s="8" t="s">
        <v>281</v>
      </c>
      <c r="D1467" s="8" t="s">
        <v>282</v>
      </c>
      <c r="E1467" s="8" t="s">
        <v>41</v>
      </c>
      <c r="F1467" s="8" t="s">
        <v>42</v>
      </c>
      <c r="G1467" s="8" t="s">
        <v>7</v>
      </c>
      <c r="H1467" s="8" t="s">
        <v>38</v>
      </c>
      <c r="I1467" s="9">
        <v>5611.0968000000003</v>
      </c>
      <c r="J1467">
        <v>4556.6519805500002</v>
      </c>
      <c r="K1467">
        <v>7072.6314326999</v>
      </c>
      <c r="L1467">
        <v>7585.6540496833004</v>
      </c>
    </row>
    <row r="1468" spans="1:12" x14ac:dyDescent="0.2">
      <c r="A1468" s="8" t="s">
        <v>32</v>
      </c>
      <c r="B1468" s="8" t="s">
        <v>280</v>
      </c>
      <c r="C1468" s="8" t="s">
        <v>281</v>
      </c>
      <c r="D1468" s="8" t="s">
        <v>282</v>
      </c>
      <c r="E1468" s="8" t="s">
        <v>43</v>
      </c>
      <c r="F1468" s="8" t="s">
        <v>44</v>
      </c>
      <c r="G1468" s="8" t="s">
        <v>7</v>
      </c>
      <c r="H1468" s="8" t="s">
        <v>38</v>
      </c>
      <c r="I1468" s="9">
        <v>112435.93</v>
      </c>
      <c r="J1468">
        <v>120598.6592499</v>
      </c>
      <c r="K1468">
        <v>130224.34401612</v>
      </c>
      <c r="L1468">
        <v>129997.51364588999</v>
      </c>
    </row>
    <row r="1469" spans="1:12" x14ac:dyDescent="0.2">
      <c r="A1469" s="8" t="s">
        <v>32</v>
      </c>
      <c r="B1469" s="8" t="s">
        <v>280</v>
      </c>
      <c r="C1469" s="8" t="s">
        <v>281</v>
      </c>
      <c r="D1469" s="8" t="s">
        <v>282</v>
      </c>
      <c r="E1469" s="8" t="s">
        <v>66</v>
      </c>
      <c r="F1469" s="8" t="s">
        <v>67</v>
      </c>
      <c r="G1469" s="8" t="s">
        <v>7</v>
      </c>
      <c r="H1469" s="8" t="s">
        <v>38</v>
      </c>
      <c r="I1469" s="9">
        <v>568.93987000000004</v>
      </c>
      <c r="J1469">
        <v>659.85035571000003</v>
      </c>
      <c r="K1469">
        <v>579.84238493999999</v>
      </c>
      <c r="L1469">
        <v>685.34552946984002</v>
      </c>
    </row>
    <row r="1470" spans="1:12" x14ac:dyDescent="0.2">
      <c r="A1470" s="8" t="s">
        <v>32</v>
      </c>
      <c r="B1470" s="8" t="s">
        <v>280</v>
      </c>
      <c r="C1470" s="8" t="s">
        <v>281</v>
      </c>
      <c r="D1470" s="8" t="s">
        <v>282</v>
      </c>
      <c r="E1470" s="8" t="s">
        <v>45</v>
      </c>
      <c r="F1470" s="8" t="s">
        <v>46</v>
      </c>
      <c r="G1470" s="8" t="s">
        <v>7</v>
      </c>
      <c r="H1470" s="8" t="s">
        <v>38</v>
      </c>
      <c r="I1470" s="9">
        <v>7344.6940000000004</v>
      </c>
      <c r="J1470">
        <v>8106.8301775800001</v>
      </c>
      <c r="K1470">
        <v>8735.4398528999991</v>
      </c>
      <c r="L1470">
        <v>8565.5731425997001</v>
      </c>
    </row>
    <row r="1471" spans="1:12" x14ac:dyDescent="0.2">
      <c r="A1471" s="8" t="s">
        <v>32</v>
      </c>
      <c r="B1471" s="8" t="s">
        <v>280</v>
      </c>
      <c r="C1471" s="8" t="s">
        <v>281</v>
      </c>
      <c r="D1471" s="8" t="s">
        <v>282</v>
      </c>
      <c r="E1471" s="8" t="s">
        <v>49</v>
      </c>
      <c r="F1471" s="8" t="s">
        <v>50</v>
      </c>
      <c r="G1471" s="8" t="s">
        <v>7</v>
      </c>
      <c r="H1471" s="8" t="s">
        <v>38</v>
      </c>
      <c r="I1471" s="9">
        <v>28053.920999999998</v>
      </c>
      <c r="J1471">
        <v>30230.002937140001</v>
      </c>
      <c r="K1471">
        <v>29308.60476767</v>
      </c>
      <c r="L1471">
        <v>29617.039204968001</v>
      </c>
    </row>
    <row r="1472" spans="1:12" x14ac:dyDescent="0.2">
      <c r="A1472" s="8" t="s">
        <v>32</v>
      </c>
      <c r="B1472" s="8" t="s">
        <v>280</v>
      </c>
      <c r="C1472" s="8" t="s">
        <v>281</v>
      </c>
      <c r="D1472" s="8" t="s">
        <v>282</v>
      </c>
      <c r="E1472" s="8" t="s">
        <v>51</v>
      </c>
      <c r="F1472" s="8" t="s">
        <v>52</v>
      </c>
      <c r="G1472" s="8" t="s">
        <v>7</v>
      </c>
      <c r="H1472" s="8" t="s">
        <v>38</v>
      </c>
      <c r="I1472" s="9">
        <v>573.24225000000001</v>
      </c>
      <c r="J1472">
        <v>603.52706677000003</v>
      </c>
      <c r="K1472">
        <v>1184.54163634</v>
      </c>
      <c r="L1472">
        <v>882.13871571458003</v>
      </c>
    </row>
    <row r="1473" spans="1:12" x14ac:dyDescent="0.2">
      <c r="A1473" s="8" t="s">
        <v>32</v>
      </c>
      <c r="B1473" s="8" t="s">
        <v>280</v>
      </c>
      <c r="C1473" s="8" t="s">
        <v>281</v>
      </c>
      <c r="D1473" s="8" t="s">
        <v>282</v>
      </c>
      <c r="E1473" s="8" t="s">
        <v>68</v>
      </c>
      <c r="F1473" s="8" t="s">
        <v>69</v>
      </c>
      <c r="G1473" s="8" t="s">
        <v>7</v>
      </c>
      <c r="H1473" s="8" t="s">
        <v>38</v>
      </c>
      <c r="I1473" s="9">
        <v>3943.4684000000002</v>
      </c>
      <c r="J1473">
        <v>3973.5597565464</v>
      </c>
      <c r="K1473">
        <v>4837.1119305457996</v>
      </c>
      <c r="L1473">
        <v>5394.1003931886999</v>
      </c>
    </row>
    <row r="1474" spans="1:12" x14ac:dyDescent="0.2">
      <c r="A1474" s="8" t="s">
        <v>32</v>
      </c>
      <c r="B1474" s="8" t="s">
        <v>280</v>
      </c>
      <c r="C1474" s="8" t="s">
        <v>281</v>
      </c>
      <c r="D1474" s="8" t="s">
        <v>282</v>
      </c>
      <c r="E1474" s="8" t="s">
        <v>53</v>
      </c>
      <c r="F1474" s="8" t="s">
        <v>54</v>
      </c>
      <c r="G1474" s="8" t="s">
        <v>7</v>
      </c>
      <c r="H1474" s="8" t="s">
        <v>38</v>
      </c>
      <c r="I1474" s="9">
        <v>4367.5378000000001</v>
      </c>
      <c r="J1474">
        <v>3948.0064055440998</v>
      </c>
      <c r="K1474">
        <v>3944.8634457495</v>
      </c>
      <c r="L1474">
        <v>4408.2118136841</v>
      </c>
    </row>
    <row r="1475" spans="1:12" x14ac:dyDescent="0.2">
      <c r="A1475" s="8" t="s">
        <v>32</v>
      </c>
      <c r="B1475" s="8" t="s">
        <v>280</v>
      </c>
      <c r="C1475" s="8" t="s">
        <v>281</v>
      </c>
      <c r="D1475" s="8" t="s">
        <v>282</v>
      </c>
      <c r="E1475" s="8" t="s">
        <v>70</v>
      </c>
      <c r="F1475" s="8" t="s">
        <v>71</v>
      </c>
      <c r="G1475" s="8" t="s">
        <v>7</v>
      </c>
      <c r="H1475" s="8" t="s">
        <v>38</v>
      </c>
      <c r="I1475" s="9">
        <v>25619.903999999999</v>
      </c>
      <c r="J1475">
        <v>26559.709344999999</v>
      </c>
      <c r="K1475">
        <v>26151.098431999999</v>
      </c>
      <c r="L1475">
        <v>27376.931171</v>
      </c>
    </row>
    <row r="1476" spans="1:12" x14ac:dyDescent="0.2">
      <c r="A1476" s="8" t="s">
        <v>32</v>
      </c>
      <c r="B1476" s="8" t="s">
        <v>280</v>
      </c>
      <c r="C1476" s="8" t="s">
        <v>281</v>
      </c>
      <c r="D1476" s="8" t="s">
        <v>282</v>
      </c>
      <c r="E1476" s="8" t="s">
        <v>83</v>
      </c>
      <c r="F1476" s="8" t="s">
        <v>84</v>
      </c>
      <c r="G1476" s="8" t="s">
        <v>7</v>
      </c>
      <c r="H1476" s="8" t="s">
        <v>38</v>
      </c>
      <c r="I1476" s="9">
        <v>330</v>
      </c>
      <c r="J1476">
        <v>330</v>
      </c>
      <c r="K1476">
        <v>337.5</v>
      </c>
      <c r="L1476">
        <v>330</v>
      </c>
    </row>
    <row r="1477" spans="1:12" x14ac:dyDescent="0.2">
      <c r="A1477" s="8" t="s">
        <v>32</v>
      </c>
      <c r="B1477" s="8" t="s">
        <v>280</v>
      </c>
      <c r="C1477" s="8" t="s">
        <v>281</v>
      </c>
      <c r="D1477" s="8" t="s">
        <v>282</v>
      </c>
      <c r="E1477" s="8" t="s">
        <v>55</v>
      </c>
      <c r="F1477" s="8" t="s">
        <v>56</v>
      </c>
      <c r="G1477" s="8" t="s">
        <v>7</v>
      </c>
      <c r="H1477" s="8" t="s">
        <v>38</v>
      </c>
      <c r="I1477" s="9">
        <v>11.959339999999999</v>
      </c>
      <c r="J1477">
        <v>11.996251966849</v>
      </c>
      <c r="K1477">
        <v>11.811694244282</v>
      </c>
      <c r="L1477">
        <v>11.442578799149</v>
      </c>
    </row>
    <row r="1478" spans="1:12" x14ac:dyDescent="0.2">
      <c r="A1478" s="8" t="s">
        <v>32</v>
      </c>
      <c r="B1478" s="8" t="s">
        <v>280</v>
      </c>
      <c r="C1478" s="8" t="s">
        <v>281</v>
      </c>
      <c r="D1478" s="8" t="s">
        <v>282</v>
      </c>
      <c r="E1478" s="8" t="s">
        <v>57</v>
      </c>
      <c r="F1478" s="8" t="s">
        <v>58</v>
      </c>
      <c r="G1478" s="8" t="s">
        <v>7</v>
      </c>
      <c r="H1478" s="8" t="s">
        <v>38</v>
      </c>
      <c r="I1478" s="9">
        <v>351.03375999999997</v>
      </c>
      <c r="J1478">
        <v>352.11719342594</v>
      </c>
      <c r="K1478">
        <v>346.70000583477002</v>
      </c>
      <c r="L1478">
        <v>335.86563065243001</v>
      </c>
    </row>
    <row r="1479" spans="1:12" x14ac:dyDescent="0.2">
      <c r="A1479" s="8" t="s">
        <v>32</v>
      </c>
      <c r="B1479" s="8" t="s">
        <v>280</v>
      </c>
      <c r="C1479" s="8" t="s">
        <v>281</v>
      </c>
      <c r="D1479" s="8" t="s">
        <v>282</v>
      </c>
      <c r="E1479" s="8" t="s">
        <v>72</v>
      </c>
      <c r="F1479" s="8" t="s">
        <v>73</v>
      </c>
      <c r="G1479" s="8" t="s">
        <v>7</v>
      </c>
      <c r="H1479" s="8" t="s">
        <v>38</v>
      </c>
      <c r="I1479" s="9">
        <v>15537.3</v>
      </c>
      <c r="J1479">
        <v>15741.824178557001</v>
      </c>
      <c r="K1479">
        <v>15975.455312275</v>
      </c>
      <c r="L1479">
        <v>16860.001111557001</v>
      </c>
    </row>
    <row r="1480" spans="1:12" x14ac:dyDescent="0.2">
      <c r="A1480" s="8" t="s">
        <v>32</v>
      </c>
      <c r="B1480" s="8" t="s">
        <v>280</v>
      </c>
      <c r="C1480" s="8" t="s">
        <v>281</v>
      </c>
      <c r="D1480" s="8" t="s">
        <v>282</v>
      </c>
      <c r="E1480" s="8" t="s">
        <v>74</v>
      </c>
      <c r="F1480" s="8" t="s">
        <v>75</v>
      </c>
      <c r="G1480" s="8" t="s">
        <v>7</v>
      </c>
      <c r="H1480" s="8" t="s">
        <v>38</v>
      </c>
      <c r="I1480" s="9">
        <v>7483.2222000000002</v>
      </c>
      <c r="J1480">
        <v>10040.888199999999</v>
      </c>
      <c r="K1480">
        <v>13075.45852</v>
      </c>
      <c r="L1480">
        <v>13174.026861509999</v>
      </c>
    </row>
    <row r="1481" spans="1:12" x14ac:dyDescent="0.2">
      <c r="A1481" s="8" t="s">
        <v>32</v>
      </c>
      <c r="B1481" s="8" t="s">
        <v>280</v>
      </c>
      <c r="C1481" s="8" t="s">
        <v>281</v>
      </c>
      <c r="D1481" s="8" t="s">
        <v>282</v>
      </c>
      <c r="E1481" s="8" t="s">
        <v>59</v>
      </c>
      <c r="F1481" s="8" t="s">
        <v>60</v>
      </c>
      <c r="G1481" s="8" t="s">
        <v>7</v>
      </c>
      <c r="H1481" s="8" t="s">
        <v>38</v>
      </c>
      <c r="I1481" s="9">
        <v>1226.6739</v>
      </c>
      <c r="J1481">
        <v>1283.5698476790001</v>
      </c>
      <c r="K1481">
        <v>1282.6002684422001</v>
      </c>
      <c r="L1481">
        <v>1418.1573249776</v>
      </c>
    </row>
    <row r="1482" spans="1:12" x14ac:dyDescent="0.2">
      <c r="A1482" s="8" t="s">
        <v>32</v>
      </c>
      <c r="B1482" s="8" t="s">
        <v>280</v>
      </c>
      <c r="C1482" s="8" t="s">
        <v>281</v>
      </c>
      <c r="D1482" s="8" t="s">
        <v>282</v>
      </c>
      <c r="E1482" s="8" t="s">
        <v>76</v>
      </c>
      <c r="F1482" s="8" t="s">
        <v>77</v>
      </c>
      <c r="G1482" s="8" t="s">
        <v>7</v>
      </c>
      <c r="H1482" s="8" t="s">
        <v>38</v>
      </c>
      <c r="I1482" s="9">
        <v>1910.4381000000001</v>
      </c>
      <c r="J1482">
        <v>2018.1333339057001</v>
      </c>
      <c r="K1482">
        <v>1215.8666669949</v>
      </c>
      <c r="L1482">
        <v>1188.8474077284</v>
      </c>
    </row>
    <row r="1483" spans="1:12" x14ac:dyDescent="0.2">
      <c r="A1483" s="8" t="s">
        <v>32</v>
      </c>
      <c r="B1483" s="8" t="s">
        <v>280</v>
      </c>
      <c r="C1483" s="8" t="s">
        <v>281</v>
      </c>
      <c r="D1483" s="8" t="s">
        <v>282</v>
      </c>
      <c r="E1483" s="8" t="s">
        <v>78</v>
      </c>
      <c r="F1483" s="8" t="s">
        <v>79</v>
      </c>
      <c r="G1483" s="8" t="s">
        <v>7</v>
      </c>
      <c r="H1483" s="8" t="s">
        <v>38</v>
      </c>
      <c r="I1483" s="9">
        <v>3673.3708000000001</v>
      </c>
      <c r="J1483">
        <v>3824.6993045999998</v>
      </c>
      <c r="K1483">
        <v>3679.1850453429001</v>
      </c>
      <c r="L1483">
        <v>3635.7193389600002</v>
      </c>
    </row>
    <row r="1484" spans="1:12" x14ac:dyDescent="0.2">
      <c r="A1484" s="8" t="s">
        <v>32</v>
      </c>
      <c r="B1484" s="8" t="s">
        <v>280</v>
      </c>
      <c r="C1484" s="8" t="s">
        <v>281</v>
      </c>
      <c r="D1484" s="8" t="s">
        <v>282</v>
      </c>
      <c r="E1484" s="8" t="s">
        <v>92</v>
      </c>
      <c r="F1484" s="8" t="s">
        <v>93</v>
      </c>
      <c r="G1484" s="8" t="s">
        <v>7</v>
      </c>
      <c r="H1484" s="8" t="s">
        <v>38</v>
      </c>
      <c r="I1484" s="9">
        <v>163.71252000000001</v>
      </c>
      <c r="J1484">
        <v>167.19135934492999</v>
      </c>
      <c r="K1484">
        <v>170.65166252408</v>
      </c>
      <c r="L1484">
        <v>174.14875342953999</v>
      </c>
    </row>
    <row r="1485" spans="1:12" x14ac:dyDescent="0.2">
      <c r="A1485" s="8" t="s">
        <v>32</v>
      </c>
      <c r="B1485" s="8" t="s">
        <v>61</v>
      </c>
      <c r="C1485" s="8" t="s">
        <v>283</v>
      </c>
      <c r="D1485" s="8" t="s">
        <v>284</v>
      </c>
      <c r="E1485" s="8" t="s">
        <v>36</v>
      </c>
      <c r="F1485" s="8" t="s">
        <v>37</v>
      </c>
      <c r="G1485" s="8" t="s">
        <v>7</v>
      </c>
      <c r="H1485" s="8" t="s">
        <v>38</v>
      </c>
      <c r="I1485" s="9">
        <v>1083281</v>
      </c>
      <c r="J1485">
        <v>1185765.8879573999</v>
      </c>
      <c r="K1485">
        <v>1327130.3401011</v>
      </c>
      <c r="L1485">
        <v>1432914.1730573</v>
      </c>
    </row>
    <row r="1486" spans="1:12" x14ac:dyDescent="0.2">
      <c r="A1486" s="8" t="s">
        <v>32</v>
      </c>
      <c r="B1486" s="8" t="s">
        <v>61</v>
      </c>
      <c r="C1486" s="8" t="s">
        <v>283</v>
      </c>
      <c r="D1486" s="8" t="s">
        <v>284</v>
      </c>
      <c r="E1486" s="8" t="s">
        <v>64</v>
      </c>
      <c r="F1486" s="8" t="s">
        <v>65</v>
      </c>
      <c r="G1486" s="8" t="s">
        <v>7</v>
      </c>
      <c r="H1486" s="8" t="s">
        <v>38</v>
      </c>
      <c r="I1486" s="9">
        <v>62891.226999999999</v>
      </c>
      <c r="J1486">
        <v>61276.90053069</v>
      </c>
      <c r="K1486">
        <v>61953.812277470002</v>
      </c>
      <c r="L1486">
        <v>64982.438090263</v>
      </c>
    </row>
    <row r="1487" spans="1:12" x14ac:dyDescent="0.2">
      <c r="A1487" s="8" t="s">
        <v>32</v>
      </c>
      <c r="B1487" s="8" t="s">
        <v>61</v>
      </c>
      <c r="C1487" s="8" t="s">
        <v>283</v>
      </c>
      <c r="D1487" s="8" t="s">
        <v>284</v>
      </c>
      <c r="E1487" s="8" t="s">
        <v>39</v>
      </c>
      <c r="F1487" s="8" t="s">
        <v>40</v>
      </c>
      <c r="G1487" s="8" t="s">
        <v>7</v>
      </c>
      <c r="H1487" s="8" t="s">
        <v>38</v>
      </c>
      <c r="I1487" s="9">
        <v>516703.22</v>
      </c>
      <c r="J1487">
        <v>592596.22429722</v>
      </c>
      <c r="K1487">
        <v>607114.55701990996</v>
      </c>
      <c r="L1487">
        <v>659956.97127591004</v>
      </c>
    </row>
    <row r="1488" spans="1:12" x14ac:dyDescent="0.2">
      <c r="A1488" s="8" t="s">
        <v>32</v>
      </c>
      <c r="B1488" s="8" t="s">
        <v>61</v>
      </c>
      <c r="C1488" s="8" t="s">
        <v>283</v>
      </c>
      <c r="D1488" s="8" t="s">
        <v>284</v>
      </c>
      <c r="E1488" s="8" t="s">
        <v>41</v>
      </c>
      <c r="F1488" s="8" t="s">
        <v>42</v>
      </c>
      <c r="G1488" s="8" t="s">
        <v>7</v>
      </c>
      <c r="H1488" s="8" t="s">
        <v>38</v>
      </c>
      <c r="I1488" s="9">
        <v>6855.9245000000001</v>
      </c>
      <c r="J1488">
        <v>10383.7918613</v>
      </c>
      <c r="K1488">
        <v>13120.639753650001</v>
      </c>
      <c r="L1488">
        <v>14194.809445298</v>
      </c>
    </row>
    <row r="1489" spans="1:12" x14ac:dyDescent="0.2">
      <c r="A1489" s="8" t="s">
        <v>32</v>
      </c>
      <c r="B1489" s="8" t="s">
        <v>61</v>
      </c>
      <c r="C1489" s="8" t="s">
        <v>283</v>
      </c>
      <c r="D1489" s="8" t="s">
        <v>284</v>
      </c>
      <c r="E1489" s="8" t="s">
        <v>43</v>
      </c>
      <c r="F1489" s="8" t="s">
        <v>44</v>
      </c>
      <c r="G1489" s="8" t="s">
        <v>7</v>
      </c>
      <c r="H1489" s="8" t="s">
        <v>38</v>
      </c>
      <c r="I1489" s="9">
        <v>252008.53</v>
      </c>
      <c r="J1489">
        <v>272836.36192828999</v>
      </c>
      <c r="K1489">
        <v>298202.52024613001</v>
      </c>
      <c r="L1489">
        <v>307069.12532872002</v>
      </c>
    </row>
    <row r="1490" spans="1:12" x14ac:dyDescent="0.2">
      <c r="A1490" s="8" t="s">
        <v>32</v>
      </c>
      <c r="B1490" s="8" t="s">
        <v>61</v>
      </c>
      <c r="C1490" s="8" t="s">
        <v>283</v>
      </c>
      <c r="D1490" s="8" t="s">
        <v>284</v>
      </c>
      <c r="E1490" s="8" t="s">
        <v>66</v>
      </c>
      <c r="F1490" s="8" t="s">
        <v>67</v>
      </c>
      <c r="G1490" s="8" t="s">
        <v>7</v>
      </c>
      <c r="H1490" s="8" t="s">
        <v>38</v>
      </c>
      <c r="I1490" s="9">
        <v>3923.8753999999999</v>
      </c>
      <c r="J1490">
        <v>5613.7021112700004</v>
      </c>
      <c r="K1490">
        <v>6047.0557914199999</v>
      </c>
      <c r="L1490">
        <v>5139.2482257948004</v>
      </c>
    </row>
    <row r="1491" spans="1:12" x14ac:dyDescent="0.2">
      <c r="A1491" s="8" t="s">
        <v>32</v>
      </c>
      <c r="B1491" s="8" t="s">
        <v>61</v>
      </c>
      <c r="C1491" s="8" t="s">
        <v>283</v>
      </c>
      <c r="D1491" s="8" t="s">
        <v>284</v>
      </c>
      <c r="E1491" s="8" t="s">
        <v>45</v>
      </c>
      <c r="F1491" s="8" t="s">
        <v>46</v>
      </c>
      <c r="G1491" s="8" t="s">
        <v>7</v>
      </c>
      <c r="H1491" s="8" t="s">
        <v>38</v>
      </c>
      <c r="I1491" s="9">
        <v>4891.6305000000002</v>
      </c>
      <c r="J1491">
        <v>5147.06600781</v>
      </c>
      <c r="K1491">
        <v>5197.6578759599997</v>
      </c>
      <c r="L1491">
        <v>5111.5830711413</v>
      </c>
    </row>
    <row r="1492" spans="1:12" x14ac:dyDescent="0.2">
      <c r="A1492" s="8" t="s">
        <v>32</v>
      </c>
      <c r="B1492" s="8" t="s">
        <v>61</v>
      </c>
      <c r="C1492" s="8" t="s">
        <v>283</v>
      </c>
      <c r="D1492" s="8" t="s">
        <v>284</v>
      </c>
      <c r="E1492" s="8" t="s">
        <v>47</v>
      </c>
      <c r="F1492" s="8" t="s">
        <v>48</v>
      </c>
      <c r="G1492" s="8" t="s">
        <v>7</v>
      </c>
      <c r="H1492" s="8" t="s">
        <v>38</v>
      </c>
      <c r="I1492" s="9">
        <v>999.56358999999998</v>
      </c>
      <c r="J1492">
        <v>1110.4061423999999</v>
      </c>
      <c r="K1492">
        <v>1194.4314035699999</v>
      </c>
      <c r="L1492">
        <v>1168.6856713258001</v>
      </c>
    </row>
    <row r="1493" spans="1:12" x14ac:dyDescent="0.2">
      <c r="A1493" s="8" t="s">
        <v>32</v>
      </c>
      <c r="B1493" s="8" t="s">
        <v>61</v>
      </c>
      <c r="C1493" s="8" t="s">
        <v>283</v>
      </c>
      <c r="D1493" s="8" t="s">
        <v>284</v>
      </c>
      <c r="E1493" s="8" t="s">
        <v>49</v>
      </c>
      <c r="F1493" s="8" t="s">
        <v>50</v>
      </c>
      <c r="G1493" s="8" t="s">
        <v>7</v>
      </c>
      <c r="H1493" s="8" t="s">
        <v>38</v>
      </c>
      <c r="I1493" s="9">
        <v>155437.48000000001</v>
      </c>
      <c r="J1493">
        <v>161741.99171992001</v>
      </c>
      <c r="K1493">
        <v>168478.05113879</v>
      </c>
      <c r="L1493">
        <v>172696.27582523</v>
      </c>
    </row>
    <row r="1494" spans="1:12" x14ac:dyDescent="0.2">
      <c r="A1494" s="8" t="s">
        <v>32</v>
      </c>
      <c r="B1494" s="8" t="s">
        <v>61</v>
      </c>
      <c r="C1494" s="8" t="s">
        <v>283</v>
      </c>
      <c r="D1494" s="8" t="s">
        <v>284</v>
      </c>
      <c r="E1494" s="8" t="s">
        <v>51</v>
      </c>
      <c r="F1494" s="8" t="s">
        <v>52</v>
      </c>
      <c r="G1494" s="8" t="s">
        <v>7</v>
      </c>
      <c r="H1494" s="8" t="s">
        <v>38</v>
      </c>
      <c r="I1494" s="9">
        <v>22756.613000000001</v>
      </c>
      <c r="J1494">
        <v>27415.671132979998</v>
      </c>
      <c r="K1494">
        <v>28528.036276769999</v>
      </c>
      <c r="L1494">
        <v>29802.966346319001</v>
      </c>
    </row>
    <row r="1495" spans="1:12" x14ac:dyDescent="0.2">
      <c r="A1495" s="8" t="s">
        <v>32</v>
      </c>
      <c r="B1495" s="8" t="s">
        <v>61</v>
      </c>
      <c r="C1495" s="8" t="s">
        <v>283</v>
      </c>
      <c r="D1495" s="8" t="s">
        <v>284</v>
      </c>
      <c r="E1495" s="8" t="s">
        <v>68</v>
      </c>
      <c r="F1495" s="8" t="s">
        <v>69</v>
      </c>
      <c r="G1495" s="8" t="s">
        <v>7</v>
      </c>
      <c r="H1495" s="8" t="s">
        <v>38</v>
      </c>
      <c r="I1495" s="9">
        <v>19272.460999999999</v>
      </c>
      <c r="J1495">
        <v>21012.565574168999</v>
      </c>
      <c r="K1495">
        <v>21673.146930135001</v>
      </c>
      <c r="L1495">
        <v>26165.476683856999</v>
      </c>
    </row>
    <row r="1496" spans="1:12" x14ac:dyDescent="0.2">
      <c r="A1496" s="8" t="s">
        <v>32</v>
      </c>
      <c r="B1496" s="8" t="s">
        <v>61</v>
      </c>
      <c r="C1496" s="8" t="s">
        <v>283</v>
      </c>
      <c r="D1496" s="8" t="s">
        <v>284</v>
      </c>
      <c r="E1496" s="8" t="s">
        <v>53</v>
      </c>
      <c r="F1496" s="8" t="s">
        <v>54</v>
      </c>
      <c r="G1496" s="8" t="s">
        <v>7</v>
      </c>
      <c r="H1496" s="8" t="s">
        <v>38</v>
      </c>
      <c r="I1496" s="9">
        <v>3048.0752000000002</v>
      </c>
      <c r="J1496">
        <v>3009.2462832282999</v>
      </c>
      <c r="K1496">
        <v>3164.6951346163</v>
      </c>
      <c r="L1496">
        <v>3106.9958868922999</v>
      </c>
    </row>
    <row r="1497" spans="1:12" x14ac:dyDescent="0.2">
      <c r="A1497" s="8" t="s">
        <v>32</v>
      </c>
      <c r="B1497" s="8" t="s">
        <v>61</v>
      </c>
      <c r="C1497" s="8" t="s">
        <v>283</v>
      </c>
      <c r="D1497" s="8" t="s">
        <v>284</v>
      </c>
      <c r="E1497" s="8" t="s">
        <v>70</v>
      </c>
      <c r="F1497" s="8" t="s">
        <v>71</v>
      </c>
      <c r="G1497" s="8" t="s">
        <v>7</v>
      </c>
      <c r="H1497" s="8" t="s">
        <v>38</v>
      </c>
      <c r="I1497" s="9">
        <v>101036</v>
      </c>
      <c r="J1497">
        <v>121940</v>
      </c>
      <c r="K1497">
        <v>132392</v>
      </c>
      <c r="L1497">
        <v>146328</v>
      </c>
    </row>
    <row r="1498" spans="1:12" x14ac:dyDescent="0.2">
      <c r="A1498" s="8" t="s">
        <v>32</v>
      </c>
      <c r="B1498" s="8" t="s">
        <v>61</v>
      </c>
      <c r="C1498" s="8" t="s">
        <v>283</v>
      </c>
      <c r="D1498" s="8" t="s">
        <v>284</v>
      </c>
      <c r="E1498" s="8" t="s">
        <v>83</v>
      </c>
      <c r="F1498" s="8" t="s">
        <v>84</v>
      </c>
      <c r="G1498" s="8" t="s">
        <v>7</v>
      </c>
      <c r="H1498" s="8" t="s">
        <v>38</v>
      </c>
      <c r="I1498" s="9">
        <v>11250</v>
      </c>
      <c r="J1498">
        <v>12000</v>
      </c>
      <c r="K1498">
        <v>12000</v>
      </c>
      <c r="L1498">
        <v>12750</v>
      </c>
    </row>
    <row r="1499" spans="1:12" x14ac:dyDescent="0.2">
      <c r="A1499" s="8" t="s">
        <v>32</v>
      </c>
      <c r="B1499" s="8" t="s">
        <v>61</v>
      </c>
      <c r="C1499" s="8" t="s">
        <v>283</v>
      </c>
      <c r="D1499" s="8" t="s">
        <v>284</v>
      </c>
      <c r="E1499" s="8" t="s">
        <v>55</v>
      </c>
      <c r="F1499" s="8" t="s">
        <v>56</v>
      </c>
      <c r="G1499" s="8" t="s">
        <v>7</v>
      </c>
      <c r="H1499" s="8" t="s">
        <v>38</v>
      </c>
      <c r="I1499" s="9">
        <v>59.597569</v>
      </c>
      <c r="J1499">
        <v>70.708979952365993</v>
      </c>
      <c r="K1499">
        <v>74.749493092500998</v>
      </c>
      <c r="L1499">
        <v>80.650768862961996</v>
      </c>
    </row>
    <row r="1500" spans="1:12" x14ac:dyDescent="0.2">
      <c r="A1500" s="8" t="s">
        <v>32</v>
      </c>
      <c r="B1500" s="8" t="s">
        <v>61</v>
      </c>
      <c r="C1500" s="8" t="s">
        <v>283</v>
      </c>
      <c r="D1500" s="8" t="s">
        <v>284</v>
      </c>
      <c r="E1500" s="8" t="s">
        <v>57</v>
      </c>
      <c r="F1500" s="8" t="s">
        <v>58</v>
      </c>
      <c r="G1500" s="8" t="s">
        <v>7</v>
      </c>
      <c r="H1500" s="8" t="s">
        <v>38</v>
      </c>
      <c r="I1500" s="9">
        <v>1967.8326</v>
      </c>
      <c r="J1500">
        <v>2334.7165934604</v>
      </c>
      <c r="K1500">
        <v>2468.1289702294998</v>
      </c>
      <c r="L1500">
        <v>2662.9812573528998</v>
      </c>
    </row>
    <row r="1501" spans="1:12" x14ac:dyDescent="0.2">
      <c r="A1501" s="8" t="s">
        <v>32</v>
      </c>
      <c r="B1501" s="8" t="s">
        <v>61</v>
      </c>
      <c r="C1501" s="8" t="s">
        <v>283</v>
      </c>
      <c r="D1501" s="8" t="s">
        <v>284</v>
      </c>
      <c r="E1501" s="8" t="s">
        <v>72</v>
      </c>
      <c r="F1501" s="8" t="s">
        <v>73</v>
      </c>
      <c r="G1501" s="8" t="s">
        <v>7</v>
      </c>
      <c r="H1501" s="8" t="s">
        <v>38</v>
      </c>
      <c r="I1501" s="9">
        <v>39505.972000000002</v>
      </c>
      <c r="J1501">
        <v>40080.943741903</v>
      </c>
      <c r="K1501">
        <v>44569.095315396</v>
      </c>
      <c r="L1501">
        <v>49463.132086673002</v>
      </c>
    </row>
    <row r="1502" spans="1:12" x14ac:dyDescent="0.2">
      <c r="A1502" s="8" t="s">
        <v>32</v>
      </c>
      <c r="B1502" s="8" t="s">
        <v>61</v>
      </c>
      <c r="C1502" s="8" t="s">
        <v>283</v>
      </c>
      <c r="D1502" s="8" t="s">
        <v>284</v>
      </c>
      <c r="E1502" s="8" t="s">
        <v>74</v>
      </c>
      <c r="F1502" s="8" t="s">
        <v>75</v>
      </c>
      <c r="G1502" s="8" t="s">
        <v>7</v>
      </c>
      <c r="H1502" s="8" t="s">
        <v>38</v>
      </c>
      <c r="I1502" s="9">
        <v>20612.968000000001</v>
      </c>
      <c r="J1502">
        <v>24517.347334373</v>
      </c>
      <c r="K1502">
        <v>23180.097919091</v>
      </c>
      <c r="L1502">
        <v>28861.269633233998</v>
      </c>
    </row>
    <row r="1503" spans="1:12" x14ac:dyDescent="0.2">
      <c r="A1503" s="8" t="s">
        <v>32</v>
      </c>
      <c r="B1503" s="8" t="s">
        <v>61</v>
      </c>
      <c r="C1503" s="8" t="s">
        <v>283</v>
      </c>
      <c r="D1503" s="8" t="s">
        <v>284</v>
      </c>
      <c r="E1503" s="8" t="s">
        <v>59</v>
      </c>
      <c r="F1503" s="8" t="s">
        <v>60</v>
      </c>
      <c r="G1503" s="8" t="s">
        <v>7</v>
      </c>
      <c r="H1503" s="8" t="s">
        <v>38</v>
      </c>
      <c r="I1503" s="9">
        <v>5297.9434000000001</v>
      </c>
      <c r="J1503">
        <v>5646.1431233834001</v>
      </c>
      <c r="K1503">
        <v>5632.4737606687004</v>
      </c>
      <c r="L1503">
        <v>5956.8320699797996</v>
      </c>
    </row>
    <row r="1504" spans="1:12" x14ac:dyDescent="0.2">
      <c r="A1504" s="8" t="s">
        <v>32</v>
      </c>
      <c r="B1504" s="8" t="s">
        <v>61</v>
      </c>
      <c r="C1504" s="8" t="s">
        <v>283</v>
      </c>
      <c r="D1504" s="8" t="s">
        <v>284</v>
      </c>
      <c r="E1504" s="8" t="s">
        <v>76</v>
      </c>
      <c r="F1504" s="8" t="s">
        <v>77</v>
      </c>
      <c r="G1504" s="8" t="s">
        <v>7</v>
      </c>
      <c r="H1504" s="8" t="s">
        <v>38</v>
      </c>
      <c r="I1504" s="9">
        <v>5638.2857000000004</v>
      </c>
      <c r="J1504">
        <v>4537.2380956200996</v>
      </c>
      <c r="K1504">
        <v>4944.7619051381998</v>
      </c>
      <c r="L1504">
        <v>5253.8095242093004</v>
      </c>
    </row>
    <row r="1505" spans="1:12" x14ac:dyDescent="0.2">
      <c r="A1505" s="8" t="s">
        <v>32</v>
      </c>
      <c r="B1505" s="8" t="s">
        <v>61</v>
      </c>
      <c r="C1505" s="8" t="s">
        <v>283</v>
      </c>
      <c r="D1505" s="8" t="s">
        <v>284</v>
      </c>
      <c r="E1505" s="8" t="s">
        <v>78</v>
      </c>
      <c r="F1505" s="8" t="s">
        <v>79</v>
      </c>
      <c r="G1505" s="8" t="s">
        <v>7</v>
      </c>
      <c r="H1505" s="8" t="s">
        <v>38</v>
      </c>
      <c r="I1505" s="9">
        <v>25330.794999999998</v>
      </c>
      <c r="J1505">
        <v>24707.409793457002</v>
      </c>
      <c r="K1505">
        <v>25824.223876114</v>
      </c>
      <c r="L1505">
        <v>26667.200865702998</v>
      </c>
    </row>
    <row r="1506" spans="1:12" x14ac:dyDescent="0.2">
      <c r="A1506" s="8" t="s">
        <v>32</v>
      </c>
      <c r="B1506" s="8" t="s">
        <v>61</v>
      </c>
      <c r="C1506" s="8" t="s">
        <v>283</v>
      </c>
      <c r="D1506" s="8" t="s">
        <v>284</v>
      </c>
      <c r="E1506" s="8" t="s">
        <v>113</v>
      </c>
      <c r="F1506" s="8" t="s">
        <v>114</v>
      </c>
      <c r="G1506" s="8" t="s">
        <v>7</v>
      </c>
      <c r="H1506" s="8" t="s">
        <v>38</v>
      </c>
      <c r="I1506" s="9">
        <v>14190</v>
      </c>
      <c r="J1506">
        <v>14190</v>
      </c>
      <c r="K1506">
        <v>14190</v>
      </c>
      <c r="L1506">
        <v>14190</v>
      </c>
    </row>
    <row r="1507" spans="1:12" x14ac:dyDescent="0.2">
      <c r="A1507" s="8" t="s">
        <v>110</v>
      </c>
      <c r="B1507" s="8" t="s">
        <v>115</v>
      </c>
      <c r="C1507" s="8" t="s">
        <v>285</v>
      </c>
      <c r="D1507" s="8" t="s">
        <v>286</v>
      </c>
      <c r="E1507" s="8" t="s">
        <v>36</v>
      </c>
      <c r="F1507" s="8" t="s">
        <v>37</v>
      </c>
      <c r="G1507" s="8" t="s">
        <v>7</v>
      </c>
      <c r="H1507" s="8" t="s">
        <v>38</v>
      </c>
      <c r="I1507" s="9">
        <v>8430.7081999999991</v>
      </c>
      <c r="J1507">
        <v>9961.3608268799999</v>
      </c>
      <c r="K1507">
        <v>9707.6352043798997</v>
      </c>
      <c r="L1507">
        <v>7607.5606098293001</v>
      </c>
    </row>
    <row r="1508" spans="1:12" x14ac:dyDescent="0.2">
      <c r="A1508" s="8" t="s">
        <v>110</v>
      </c>
      <c r="B1508" s="8" t="s">
        <v>115</v>
      </c>
      <c r="C1508" s="8" t="s">
        <v>285</v>
      </c>
      <c r="D1508" s="8" t="s">
        <v>286</v>
      </c>
      <c r="E1508" s="8" t="s">
        <v>64</v>
      </c>
      <c r="F1508" s="8" t="s">
        <v>65</v>
      </c>
      <c r="G1508" s="8" t="s">
        <v>7</v>
      </c>
      <c r="H1508" s="8" t="s">
        <v>38</v>
      </c>
      <c r="I1508" s="9">
        <v>372.24865</v>
      </c>
      <c r="J1508">
        <v>345.26482795999999</v>
      </c>
      <c r="K1508">
        <v>331.74508556000001</v>
      </c>
      <c r="L1508">
        <v>295.73385768987998</v>
      </c>
    </row>
    <row r="1509" spans="1:12" x14ac:dyDescent="0.2">
      <c r="A1509" s="8" t="s">
        <v>110</v>
      </c>
      <c r="B1509" s="8" t="s">
        <v>115</v>
      </c>
      <c r="C1509" s="8" t="s">
        <v>285</v>
      </c>
      <c r="D1509" s="8" t="s">
        <v>286</v>
      </c>
      <c r="E1509" s="8" t="s">
        <v>39</v>
      </c>
      <c r="F1509" s="8" t="s">
        <v>40</v>
      </c>
      <c r="G1509" s="8" t="s">
        <v>7</v>
      </c>
      <c r="H1509" s="8" t="s">
        <v>38</v>
      </c>
      <c r="I1509" s="9">
        <v>4063.7224000000001</v>
      </c>
      <c r="J1509">
        <v>4014.1193773599998</v>
      </c>
      <c r="K1509">
        <v>3720.0363324899999</v>
      </c>
      <c r="L1509">
        <v>3546.6535058437998</v>
      </c>
    </row>
    <row r="1510" spans="1:12" x14ac:dyDescent="0.2">
      <c r="A1510" s="8" t="s">
        <v>110</v>
      </c>
      <c r="B1510" s="8" t="s">
        <v>115</v>
      </c>
      <c r="C1510" s="8" t="s">
        <v>285</v>
      </c>
      <c r="D1510" s="8" t="s">
        <v>286</v>
      </c>
      <c r="E1510" s="8" t="s">
        <v>41</v>
      </c>
      <c r="F1510" s="8" t="s">
        <v>42</v>
      </c>
      <c r="G1510" s="8" t="s">
        <v>7</v>
      </c>
      <c r="H1510" s="8" t="s">
        <v>38</v>
      </c>
      <c r="I1510" s="9">
        <v>13.276370999999999</v>
      </c>
      <c r="J1510">
        <v>18.815903259999999</v>
      </c>
      <c r="K1510">
        <v>39.738130519999999</v>
      </c>
      <c r="L1510">
        <v>42.439737979302002</v>
      </c>
    </row>
    <row r="1511" spans="1:12" x14ac:dyDescent="0.2">
      <c r="A1511" s="8" t="s">
        <v>110</v>
      </c>
      <c r="B1511" s="8" t="s">
        <v>115</v>
      </c>
      <c r="C1511" s="8" t="s">
        <v>285</v>
      </c>
      <c r="D1511" s="8" t="s">
        <v>286</v>
      </c>
      <c r="E1511" s="8" t="s">
        <v>43</v>
      </c>
      <c r="F1511" s="8" t="s">
        <v>44</v>
      </c>
      <c r="G1511" s="8" t="s">
        <v>7</v>
      </c>
      <c r="H1511" s="8" t="s">
        <v>38</v>
      </c>
      <c r="I1511" s="9">
        <v>9483.0226999999995</v>
      </c>
      <c r="J1511">
        <v>10104.13513662</v>
      </c>
      <c r="K1511">
        <v>10781.05605051</v>
      </c>
      <c r="L1511">
        <v>10818.71321041</v>
      </c>
    </row>
    <row r="1512" spans="1:12" x14ac:dyDescent="0.2">
      <c r="A1512" s="8" t="s">
        <v>110</v>
      </c>
      <c r="B1512" s="8" t="s">
        <v>115</v>
      </c>
      <c r="C1512" s="8" t="s">
        <v>285</v>
      </c>
      <c r="D1512" s="8" t="s">
        <v>286</v>
      </c>
      <c r="E1512" s="8" t="s">
        <v>66</v>
      </c>
      <c r="F1512" s="8" t="s">
        <v>67</v>
      </c>
      <c r="G1512" s="8" t="s">
        <v>7</v>
      </c>
      <c r="H1512" s="8" t="s">
        <v>38</v>
      </c>
      <c r="I1512" s="9">
        <v>96.789575999999997</v>
      </c>
      <c r="J1512">
        <v>104.67498639</v>
      </c>
      <c r="K1512">
        <v>117.03316209</v>
      </c>
      <c r="L1512">
        <v>122.70559083085</v>
      </c>
    </row>
    <row r="1513" spans="1:12" x14ac:dyDescent="0.2">
      <c r="A1513" s="8" t="s">
        <v>110</v>
      </c>
      <c r="B1513" s="8" t="s">
        <v>115</v>
      </c>
      <c r="C1513" s="8" t="s">
        <v>285</v>
      </c>
      <c r="D1513" s="8" t="s">
        <v>286</v>
      </c>
      <c r="E1513" s="8" t="s">
        <v>45</v>
      </c>
      <c r="F1513" s="8" t="s">
        <v>46</v>
      </c>
      <c r="G1513" s="8" t="s">
        <v>7</v>
      </c>
      <c r="H1513" s="8" t="s">
        <v>38</v>
      </c>
      <c r="I1513" s="9">
        <v>333.53577000000001</v>
      </c>
      <c r="J1513">
        <v>356.66461115999999</v>
      </c>
      <c r="K1513">
        <v>300.89584707</v>
      </c>
      <c r="L1513">
        <v>282.24317414805</v>
      </c>
    </row>
    <row r="1514" spans="1:12" x14ac:dyDescent="0.2">
      <c r="A1514" s="8" t="s">
        <v>110</v>
      </c>
      <c r="B1514" s="8" t="s">
        <v>115</v>
      </c>
      <c r="C1514" s="8" t="s">
        <v>285</v>
      </c>
      <c r="D1514" s="8" t="s">
        <v>286</v>
      </c>
      <c r="E1514" s="8" t="s">
        <v>47</v>
      </c>
      <c r="F1514" s="8" t="s">
        <v>48</v>
      </c>
      <c r="G1514" s="8" t="s">
        <v>7</v>
      </c>
      <c r="H1514" s="8" t="s">
        <v>38</v>
      </c>
      <c r="I1514" s="9">
        <v>35.564511000000003</v>
      </c>
      <c r="J1514">
        <v>35.476198230000001</v>
      </c>
      <c r="K1514">
        <v>37.333859969999999</v>
      </c>
      <c r="L1514">
        <v>34.875615178170001</v>
      </c>
    </row>
    <row r="1515" spans="1:12" x14ac:dyDescent="0.2">
      <c r="A1515" s="8" t="s">
        <v>110</v>
      </c>
      <c r="B1515" s="8" t="s">
        <v>115</v>
      </c>
      <c r="C1515" s="8" t="s">
        <v>285</v>
      </c>
      <c r="D1515" s="8" t="s">
        <v>286</v>
      </c>
      <c r="E1515" s="8" t="s">
        <v>49</v>
      </c>
      <c r="F1515" s="8" t="s">
        <v>50</v>
      </c>
      <c r="G1515" s="8" t="s">
        <v>7</v>
      </c>
      <c r="H1515" s="8" t="s">
        <v>38</v>
      </c>
      <c r="I1515" s="9">
        <v>9093.9997000000003</v>
      </c>
      <c r="J1515">
        <v>8739.5218980999998</v>
      </c>
      <c r="K1515">
        <v>7926.6912653400004</v>
      </c>
      <c r="L1515">
        <v>7407.97799923</v>
      </c>
    </row>
    <row r="1516" spans="1:12" x14ac:dyDescent="0.2">
      <c r="A1516" s="8" t="s">
        <v>110</v>
      </c>
      <c r="B1516" s="8" t="s">
        <v>115</v>
      </c>
      <c r="C1516" s="8" t="s">
        <v>285</v>
      </c>
      <c r="D1516" s="8" t="s">
        <v>286</v>
      </c>
      <c r="E1516" s="8" t="s">
        <v>51</v>
      </c>
      <c r="F1516" s="8" t="s">
        <v>52</v>
      </c>
      <c r="G1516" s="8" t="s">
        <v>7</v>
      </c>
      <c r="H1516" s="8" t="s">
        <v>38</v>
      </c>
      <c r="I1516" s="9"/>
    </row>
    <row r="1517" spans="1:12" x14ac:dyDescent="0.2">
      <c r="A1517" s="8" t="s">
        <v>110</v>
      </c>
      <c r="B1517" s="8" t="s">
        <v>115</v>
      </c>
      <c r="C1517" s="8" t="s">
        <v>285</v>
      </c>
      <c r="D1517" s="8" t="s">
        <v>286</v>
      </c>
      <c r="E1517" s="8" t="s">
        <v>68</v>
      </c>
      <c r="F1517" s="8" t="s">
        <v>69</v>
      </c>
      <c r="G1517" s="8" t="s">
        <v>7</v>
      </c>
      <c r="H1517" s="8" t="s">
        <v>38</v>
      </c>
      <c r="I1517" s="9">
        <v>36.730967</v>
      </c>
      <c r="J1517">
        <v>32.432519499999998</v>
      </c>
      <c r="K1517">
        <v>19.039793450000001</v>
      </c>
      <c r="L1517">
        <v>6.8671990130470002</v>
      </c>
    </row>
    <row r="1518" spans="1:12" x14ac:dyDescent="0.2">
      <c r="A1518" s="8" t="s">
        <v>110</v>
      </c>
      <c r="B1518" s="8" t="s">
        <v>115</v>
      </c>
      <c r="C1518" s="8" t="s">
        <v>285</v>
      </c>
      <c r="D1518" s="8" t="s">
        <v>286</v>
      </c>
      <c r="E1518" s="8" t="s">
        <v>53</v>
      </c>
      <c r="F1518" s="8" t="s">
        <v>54</v>
      </c>
      <c r="G1518" s="8" t="s">
        <v>7</v>
      </c>
      <c r="H1518" s="8" t="s">
        <v>38</v>
      </c>
      <c r="I1518" s="9">
        <v>143.01231000000001</v>
      </c>
      <c r="J1518">
        <v>128.57631862260001</v>
      </c>
      <c r="K1518">
        <v>126.81131142968999</v>
      </c>
      <c r="L1518">
        <v>125.0366496633</v>
      </c>
    </row>
    <row r="1519" spans="1:12" x14ac:dyDescent="0.2">
      <c r="A1519" s="8" t="s">
        <v>110</v>
      </c>
      <c r="B1519" s="8" t="s">
        <v>115</v>
      </c>
      <c r="C1519" s="8" t="s">
        <v>285</v>
      </c>
      <c r="D1519" s="8" t="s">
        <v>286</v>
      </c>
      <c r="E1519" s="8" t="s">
        <v>70</v>
      </c>
      <c r="F1519" s="8" t="s">
        <v>71</v>
      </c>
      <c r="G1519" s="8" t="s">
        <v>7</v>
      </c>
      <c r="H1519" s="8" t="s">
        <v>38</v>
      </c>
      <c r="I1519" s="9">
        <v>1702.1443999999999</v>
      </c>
      <c r="J1519">
        <v>2061.4460242322002</v>
      </c>
      <c r="K1519">
        <v>2120.3444820674999</v>
      </c>
      <c r="L1519">
        <v>2117.9524416628001</v>
      </c>
    </row>
    <row r="1520" spans="1:12" x14ac:dyDescent="0.2">
      <c r="A1520" s="8" t="s">
        <v>110</v>
      </c>
      <c r="B1520" s="8" t="s">
        <v>115</v>
      </c>
      <c r="C1520" s="8" t="s">
        <v>285</v>
      </c>
      <c r="D1520" s="8" t="s">
        <v>286</v>
      </c>
      <c r="E1520" s="8" t="s">
        <v>83</v>
      </c>
      <c r="F1520" s="8" t="s">
        <v>84</v>
      </c>
      <c r="G1520" s="8" t="s">
        <v>7</v>
      </c>
      <c r="H1520" s="8" t="s">
        <v>38</v>
      </c>
      <c r="I1520" s="9">
        <v>225</v>
      </c>
      <c r="J1520">
        <v>225</v>
      </c>
      <c r="K1520">
        <v>225</v>
      </c>
      <c r="L1520">
        <v>225</v>
      </c>
    </row>
    <row r="1521" spans="1:12" x14ac:dyDescent="0.2">
      <c r="A1521" s="8" t="s">
        <v>110</v>
      </c>
      <c r="B1521" s="8" t="s">
        <v>115</v>
      </c>
      <c r="C1521" s="8" t="s">
        <v>285</v>
      </c>
      <c r="D1521" s="8" t="s">
        <v>286</v>
      </c>
      <c r="E1521" s="8" t="s">
        <v>55</v>
      </c>
      <c r="F1521" s="8" t="s">
        <v>56</v>
      </c>
      <c r="G1521" s="8" t="s">
        <v>7</v>
      </c>
      <c r="H1521" s="8" t="s">
        <v>38</v>
      </c>
      <c r="I1521" s="9"/>
    </row>
    <row r="1522" spans="1:12" x14ac:dyDescent="0.2">
      <c r="A1522" s="8" t="s">
        <v>110</v>
      </c>
      <c r="B1522" s="8" t="s">
        <v>115</v>
      </c>
      <c r="C1522" s="8" t="s">
        <v>285</v>
      </c>
      <c r="D1522" s="8" t="s">
        <v>286</v>
      </c>
      <c r="E1522" s="8" t="s">
        <v>57</v>
      </c>
      <c r="F1522" s="8" t="s">
        <v>58</v>
      </c>
      <c r="G1522" s="8" t="s">
        <v>7</v>
      </c>
      <c r="H1522" s="8" t="s">
        <v>38</v>
      </c>
      <c r="I1522" s="9">
        <v>3.8593308</v>
      </c>
      <c r="J1522">
        <v>3.8593308198192</v>
      </c>
      <c r="K1522">
        <v>3.8593308198192</v>
      </c>
      <c r="L1522">
        <v>3.8593308198192</v>
      </c>
    </row>
    <row r="1523" spans="1:12" x14ac:dyDescent="0.2">
      <c r="A1523" s="8" t="s">
        <v>110</v>
      </c>
      <c r="B1523" s="8" t="s">
        <v>115</v>
      </c>
      <c r="C1523" s="8" t="s">
        <v>285</v>
      </c>
      <c r="D1523" s="8" t="s">
        <v>286</v>
      </c>
      <c r="E1523" s="8" t="s">
        <v>72</v>
      </c>
      <c r="F1523" s="8" t="s">
        <v>73</v>
      </c>
      <c r="G1523" s="8" t="s">
        <v>7</v>
      </c>
      <c r="H1523" s="8" t="s">
        <v>38</v>
      </c>
      <c r="I1523" s="9"/>
    </row>
    <row r="1524" spans="1:12" x14ac:dyDescent="0.2">
      <c r="A1524" s="8" t="s">
        <v>110</v>
      </c>
      <c r="B1524" s="8" t="s">
        <v>115</v>
      </c>
      <c r="C1524" s="8" t="s">
        <v>285</v>
      </c>
      <c r="D1524" s="8" t="s">
        <v>286</v>
      </c>
      <c r="E1524" s="8" t="s">
        <v>74</v>
      </c>
      <c r="F1524" s="8" t="s">
        <v>75</v>
      </c>
      <c r="G1524" s="8" t="s">
        <v>7</v>
      </c>
      <c r="H1524" s="8" t="s">
        <v>38</v>
      </c>
      <c r="I1524" s="9">
        <v>6.24</v>
      </c>
      <c r="J1524">
        <v>7.28</v>
      </c>
      <c r="K1524">
        <v>7.8</v>
      </c>
      <c r="L1524">
        <v>7.3513424770353</v>
      </c>
    </row>
    <row r="1525" spans="1:12" x14ac:dyDescent="0.2">
      <c r="A1525" s="8" t="s">
        <v>110</v>
      </c>
      <c r="B1525" s="8" t="s">
        <v>115</v>
      </c>
      <c r="C1525" s="8" t="s">
        <v>285</v>
      </c>
      <c r="D1525" s="8" t="s">
        <v>286</v>
      </c>
      <c r="E1525" s="8" t="s">
        <v>59</v>
      </c>
      <c r="F1525" s="8" t="s">
        <v>60</v>
      </c>
      <c r="G1525" s="8" t="s">
        <v>7</v>
      </c>
      <c r="H1525" s="8" t="s">
        <v>38</v>
      </c>
      <c r="I1525" s="9">
        <v>58.937936999999998</v>
      </c>
      <c r="J1525">
        <v>58.995305946957998</v>
      </c>
      <c r="K1525">
        <v>59.247148668255001</v>
      </c>
      <c r="L1525">
        <v>55.478250946255002</v>
      </c>
    </row>
    <row r="1526" spans="1:12" x14ac:dyDescent="0.2">
      <c r="A1526" s="8" t="s">
        <v>110</v>
      </c>
      <c r="B1526" s="8" t="s">
        <v>115</v>
      </c>
      <c r="C1526" s="8" t="s">
        <v>285</v>
      </c>
      <c r="D1526" s="8" t="s">
        <v>286</v>
      </c>
      <c r="E1526" s="8" t="s">
        <v>76</v>
      </c>
      <c r="F1526" s="8" t="s">
        <v>77</v>
      </c>
      <c r="G1526" s="8" t="s">
        <v>7</v>
      </c>
      <c r="H1526" s="8" t="s">
        <v>38</v>
      </c>
      <c r="I1526" s="9">
        <v>83.495238000000001</v>
      </c>
      <c r="J1526">
        <v>78.676190478115998</v>
      </c>
      <c r="K1526">
        <v>67.676190477896</v>
      </c>
      <c r="L1526">
        <v>67.676190477896</v>
      </c>
    </row>
    <row r="1527" spans="1:12" x14ac:dyDescent="0.2">
      <c r="A1527" s="8" t="s">
        <v>110</v>
      </c>
      <c r="B1527" s="8" t="s">
        <v>115</v>
      </c>
      <c r="C1527" s="8" t="s">
        <v>285</v>
      </c>
      <c r="D1527" s="8" t="s">
        <v>286</v>
      </c>
      <c r="E1527" s="8" t="s">
        <v>78</v>
      </c>
      <c r="F1527" s="8" t="s">
        <v>79</v>
      </c>
      <c r="G1527" s="8" t="s">
        <v>7</v>
      </c>
      <c r="H1527" s="8" t="s">
        <v>38</v>
      </c>
      <c r="I1527" s="9">
        <v>100.41427</v>
      </c>
      <c r="J1527">
        <v>94.442839971428995</v>
      </c>
      <c r="K1527">
        <v>81.242842371429006</v>
      </c>
      <c r="L1527">
        <v>81.148556674285999</v>
      </c>
    </row>
    <row r="1528" spans="1:12" x14ac:dyDescent="0.2">
      <c r="A1528" s="8" t="s">
        <v>110</v>
      </c>
      <c r="B1528" s="8" t="s">
        <v>115</v>
      </c>
      <c r="C1528" s="8" t="s">
        <v>285</v>
      </c>
      <c r="D1528" s="8" t="s">
        <v>286</v>
      </c>
      <c r="E1528" s="8" t="s">
        <v>92</v>
      </c>
      <c r="F1528" s="8" t="s">
        <v>93</v>
      </c>
      <c r="G1528" s="8" t="s">
        <v>7</v>
      </c>
      <c r="H1528" s="8" t="s">
        <v>38</v>
      </c>
      <c r="I1528" s="9">
        <v>10.574064999999999</v>
      </c>
      <c r="J1528">
        <v>11.877039964665</v>
      </c>
      <c r="K1528">
        <v>12.91964084754</v>
      </c>
      <c r="L1528">
        <v>13.666826016219</v>
      </c>
    </row>
    <row r="1529" spans="1:12" x14ac:dyDescent="0.2">
      <c r="A1529" s="8" t="s">
        <v>32</v>
      </c>
      <c r="B1529" s="8" t="s">
        <v>96</v>
      </c>
      <c r="C1529" s="8" t="s">
        <v>287</v>
      </c>
      <c r="D1529" s="8" t="s">
        <v>288</v>
      </c>
      <c r="E1529" s="8" t="s">
        <v>36</v>
      </c>
      <c r="F1529" s="8" t="s">
        <v>37</v>
      </c>
      <c r="G1529" s="8" t="s">
        <v>7</v>
      </c>
      <c r="H1529" s="8" t="s">
        <v>38</v>
      </c>
      <c r="I1529" s="9">
        <v>180854.94</v>
      </c>
      <c r="J1529">
        <v>194499.43600131999</v>
      </c>
      <c r="K1529">
        <v>197323.92639896</v>
      </c>
      <c r="L1529">
        <v>197585.88605068001</v>
      </c>
    </row>
    <row r="1530" spans="1:12" x14ac:dyDescent="0.2">
      <c r="A1530" s="8" t="s">
        <v>32</v>
      </c>
      <c r="B1530" s="8" t="s">
        <v>96</v>
      </c>
      <c r="C1530" s="8" t="s">
        <v>287</v>
      </c>
      <c r="D1530" s="8" t="s">
        <v>288</v>
      </c>
      <c r="E1530" s="8" t="s">
        <v>64</v>
      </c>
      <c r="F1530" s="8" t="s">
        <v>65</v>
      </c>
      <c r="G1530" s="8" t="s">
        <v>7</v>
      </c>
      <c r="H1530" s="8" t="s">
        <v>38</v>
      </c>
      <c r="I1530" s="9">
        <v>50282.169000000002</v>
      </c>
      <c r="J1530">
        <v>52001.873186060002</v>
      </c>
      <c r="K1530">
        <v>52472.743527140003</v>
      </c>
      <c r="L1530">
        <v>53684.714479050999</v>
      </c>
    </row>
    <row r="1531" spans="1:12" x14ac:dyDescent="0.2">
      <c r="A1531" s="8" t="s">
        <v>32</v>
      </c>
      <c r="B1531" s="8" t="s">
        <v>96</v>
      </c>
      <c r="C1531" s="8" t="s">
        <v>287</v>
      </c>
      <c r="D1531" s="8" t="s">
        <v>288</v>
      </c>
      <c r="E1531" s="8" t="s">
        <v>39</v>
      </c>
      <c r="F1531" s="8" t="s">
        <v>40</v>
      </c>
      <c r="G1531" s="8" t="s">
        <v>7</v>
      </c>
      <c r="H1531" s="8" t="s">
        <v>38</v>
      </c>
      <c r="I1531" s="9">
        <v>119067.72</v>
      </c>
      <c r="J1531">
        <v>131520.82957951</v>
      </c>
      <c r="K1531">
        <v>132982.76197299999</v>
      </c>
      <c r="L1531">
        <v>136106.58110683001</v>
      </c>
    </row>
    <row r="1532" spans="1:12" x14ac:dyDescent="0.2">
      <c r="A1532" s="8" t="s">
        <v>32</v>
      </c>
      <c r="B1532" s="8" t="s">
        <v>96</v>
      </c>
      <c r="C1532" s="8" t="s">
        <v>287</v>
      </c>
      <c r="D1532" s="8" t="s">
        <v>288</v>
      </c>
      <c r="E1532" s="8" t="s">
        <v>41</v>
      </c>
      <c r="F1532" s="8" t="s">
        <v>42</v>
      </c>
      <c r="G1532" s="8" t="s">
        <v>7</v>
      </c>
      <c r="H1532" s="8" t="s">
        <v>38</v>
      </c>
      <c r="I1532" s="9">
        <v>1727.3951</v>
      </c>
      <c r="J1532">
        <v>2154.2965372499998</v>
      </c>
      <c r="K1532">
        <v>976.34545579999997</v>
      </c>
      <c r="L1532">
        <v>1076.7018419287999</v>
      </c>
    </row>
    <row r="1533" spans="1:12" x14ac:dyDescent="0.2">
      <c r="A1533" s="8" t="s">
        <v>32</v>
      </c>
      <c r="B1533" s="8" t="s">
        <v>96</v>
      </c>
      <c r="C1533" s="8" t="s">
        <v>287</v>
      </c>
      <c r="D1533" s="8" t="s">
        <v>288</v>
      </c>
      <c r="E1533" s="8" t="s">
        <v>43</v>
      </c>
      <c r="F1533" s="8" t="s">
        <v>44</v>
      </c>
      <c r="G1533" s="8" t="s">
        <v>7</v>
      </c>
      <c r="H1533" s="8" t="s">
        <v>38</v>
      </c>
      <c r="I1533" s="9">
        <v>125764.11</v>
      </c>
      <c r="J1533">
        <v>138147.08677868001</v>
      </c>
      <c r="K1533">
        <v>140121.64105479</v>
      </c>
      <c r="L1533">
        <v>142382.95933317</v>
      </c>
    </row>
    <row r="1534" spans="1:12" x14ac:dyDescent="0.2">
      <c r="A1534" s="8" t="s">
        <v>32</v>
      </c>
      <c r="B1534" s="8" t="s">
        <v>96</v>
      </c>
      <c r="C1534" s="8" t="s">
        <v>287</v>
      </c>
      <c r="D1534" s="8" t="s">
        <v>288</v>
      </c>
      <c r="E1534" s="8" t="s">
        <v>47</v>
      </c>
      <c r="F1534" s="8" t="s">
        <v>48</v>
      </c>
      <c r="G1534" s="8" t="s">
        <v>7</v>
      </c>
      <c r="H1534" s="8" t="s">
        <v>38</v>
      </c>
      <c r="I1534" s="9">
        <v>1124.9739</v>
      </c>
      <c r="J1534">
        <v>1083.0125491900001</v>
      </c>
      <c r="K1534">
        <v>1110.26193855</v>
      </c>
      <c r="L1534">
        <v>1140.0725181995001</v>
      </c>
    </row>
    <row r="1535" spans="1:12" x14ac:dyDescent="0.2">
      <c r="A1535" s="8" t="s">
        <v>32</v>
      </c>
      <c r="B1535" s="8" t="s">
        <v>96</v>
      </c>
      <c r="C1535" s="8" t="s">
        <v>287</v>
      </c>
      <c r="D1535" s="8" t="s">
        <v>288</v>
      </c>
      <c r="E1535" s="8" t="s">
        <v>49</v>
      </c>
      <c r="F1535" s="8" t="s">
        <v>50</v>
      </c>
      <c r="G1535" s="8" t="s">
        <v>7</v>
      </c>
      <c r="H1535" s="8" t="s">
        <v>38</v>
      </c>
      <c r="I1535" s="9">
        <v>166796.25</v>
      </c>
      <c r="J1535">
        <v>167766.06592297001</v>
      </c>
      <c r="K1535">
        <v>171384.28025052001</v>
      </c>
      <c r="L1535">
        <v>176172.69500909999</v>
      </c>
    </row>
    <row r="1536" spans="1:12" x14ac:dyDescent="0.2">
      <c r="A1536" s="8" t="s">
        <v>32</v>
      </c>
      <c r="B1536" s="8" t="s">
        <v>96</v>
      </c>
      <c r="C1536" s="8" t="s">
        <v>287</v>
      </c>
      <c r="D1536" s="8" t="s">
        <v>288</v>
      </c>
      <c r="E1536" s="8" t="s">
        <v>51</v>
      </c>
      <c r="F1536" s="8" t="s">
        <v>52</v>
      </c>
      <c r="G1536" s="8" t="s">
        <v>7</v>
      </c>
      <c r="H1536" s="8" t="s">
        <v>38</v>
      </c>
      <c r="I1536" s="9"/>
    </row>
    <row r="1537" spans="1:12" x14ac:dyDescent="0.2">
      <c r="A1537" s="8" t="s">
        <v>32</v>
      </c>
      <c r="B1537" s="8" t="s">
        <v>96</v>
      </c>
      <c r="C1537" s="8" t="s">
        <v>287</v>
      </c>
      <c r="D1537" s="8" t="s">
        <v>288</v>
      </c>
      <c r="E1537" s="8" t="s">
        <v>68</v>
      </c>
      <c r="F1537" s="8" t="s">
        <v>69</v>
      </c>
      <c r="G1537" s="8" t="s">
        <v>7</v>
      </c>
      <c r="H1537" s="8" t="s">
        <v>38</v>
      </c>
      <c r="I1537" s="9">
        <v>365.79606999999999</v>
      </c>
      <c r="J1537">
        <v>409.71000217750998</v>
      </c>
      <c r="K1537">
        <v>424.34398971271003</v>
      </c>
      <c r="L1537">
        <v>474.62164063070998</v>
      </c>
    </row>
    <row r="1538" spans="1:12" x14ac:dyDescent="0.2">
      <c r="A1538" s="8" t="s">
        <v>32</v>
      </c>
      <c r="B1538" s="8" t="s">
        <v>96</v>
      </c>
      <c r="C1538" s="8" t="s">
        <v>287</v>
      </c>
      <c r="D1538" s="8" t="s">
        <v>288</v>
      </c>
      <c r="E1538" s="8" t="s">
        <v>53</v>
      </c>
      <c r="F1538" s="8" t="s">
        <v>54</v>
      </c>
      <c r="G1538" s="8" t="s">
        <v>7</v>
      </c>
      <c r="H1538" s="8" t="s">
        <v>38</v>
      </c>
      <c r="I1538" s="9">
        <v>27524.3</v>
      </c>
      <c r="J1538">
        <v>35958.720977131998</v>
      </c>
      <c r="K1538">
        <v>35891.510285290999</v>
      </c>
      <c r="L1538">
        <v>42467.903871688002</v>
      </c>
    </row>
    <row r="1539" spans="1:12" x14ac:dyDescent="0.2">
      <c r="A1539" s="8" t="s">
        <v>32</v>
      </c>
      <c r="B1539" s="8" t="s">
        <v>96</v>
      </c>
      <c r="C1539" s="8" t="s">
        <v>287</v>
      </c>
      <c r="D1539" s="8" t="s">
        <v>288</v>
      </c>
      <c r="E1539" s="8" t="s">
        <v>70</v>
      </c>
      <c r="F1539" s="8" t="s">
        <v>71</v>
      </c>
      <c r="G1539" s="8" t="s">
        <v>7</v>
      </c>
      <c r="H1539" s="8" t="s">
        <v>38</v>
      </c>
      <c r="I1539" s="9">
        <v>30411.634999999998</v>
      </c>
      <c r="J1539">
        <v>28051.727696999998</v>
      </c>
      <c r="K1539">
        <v>26226.139069100002</v>
      </c>
      <c r="L1539">
        <v>31613.851848999999</v>
      </c>
    </row>
    <row r="1540" spans="1:12" x14ac:dyDescent="0.2">
      <c r="A1540" s="8" t="s">
        <v>32</v>
      </c>
      <c r="B1540" s="8" t="s">
        <v>96</v>
      </c>
      <c r="C1540" s="8" t="s">
        <v>287</v>
      </c>
      <c r="D1540" s="8" t="s">
        <v>288</v>
      </c>
      <c r="E1540" s="8" t="s">
        <v>83</v>
      </c>
      <c r="F1540" s="8" t="s">
        <v>84</v>
      </c>
      <c r="G1540" s="8" t="s">
        <v>7</v>
      </c>
      <c r="H1540" s="8" t="s">
        <v>38</v>
      </c>
      <c r="I1540" s="9">
        <v>2925</v>
      </c>
      <c r="J1540">
        <v>2925</v>
      </c>
      <c r="K1540">
        <v>3000</v>
      </c>
      <c r="L1540">
        <v>3000</v>
      </c>
    </row>
    <row r="1541" spans="1:12" x14ac:dyDescent="0.2">
      <c r="A1541" s="8" t="s">
        <v>32</v>
      </c>
      <c r="B1541" s="8" t="s">
        <v>96</v>
      </c>
      <c r="C1541" s="8" t="s">
        <v>287</v>
      </c>
      <c r="D1541" s="8" t="s">
        <v>288</v>
      </c>
      <c r="E1541" s="8" t="s">
        <v>55</v>
      </c>
      <c r="F1541" s="8" t="s">
        <v>56</v>
      </c>
      <c r="G1541" s="8" t="s">
        <v>7</v>
      </c>
      <c r="H1541" s="8" t="s">
        <v>38</v>
      </c>
      <c r="I1541" s="9">
        <v>4.6039928999999997</v>
      </c>
      <c r="J1541">
        <v>4.1793200652992999</v>
      </c>
      <c r="K1541">
        <v>4.1793200652992999</v>
      </c>
      <c r="L1541">
        <v>4.6043356651601997</v>
      </c>
    </row>
    <row r="1542" spans="1:12" x14ac:dyDescent="0.2">
      <c r="A1542" s="8" t="s">
        <v>32</v>
      </c>
      <c r="B1542" s="8" t="s">
        <v>96</v>
      </c>
      <c r="C1542" s="8" t="s">
        <v>287</v>
      </c>
      <c r="D1542" s="8" t="s">
        <v>288</v>
      </c>
      <c r="E1542" s="8" t="s">
        <v>57</v>
      </c>
      <c r="F1542" s="8" t="s">
        <v>58</v>
      </c>
      <c r="G1542" s="8" t="s">
        <v>7</v>
      </c>
      <c r="H1542" s="8" t="s">
        <v>38</v>
      </c>
      <c r="I1542" s="9">
        <v>135.47774000000001</v>
      </c>
      <c r="J1542">
        <v>122.98125770753001</v>
      </c>
      <c r="K1542">
        <v>122.98125770753001</v>
      </c>
      <c r="L1542">
        <v>135.48782628795999</v>
      </c>
    </row>
    <row r="1543" spans="1:12" x14ac:dyDescent="0.2">
      <c r="A1543" s="8" t="s">
        <v>32</v>
      </c>
      <c r="B1543" s="8" t="s">
        <v>96</v>
      </c>
      <c r="C1543" s="8" t="s">
        <v>287</v>
      </c>
      <c r="D1543" s="8" t="s">
        <v>288</v>
      </c>
      <c r="E1543" s="8" t="s">
        <v>72</v>
      </c>
      <c r="F1543" s="8" t="s">
        <v>73</v>
      </c>
      <c r="G1543" s="8" t="s">
        <v>7</v>
      </c>
      <c r="H1543" s="8" t="s">
        <v>38</v>
      </c>
      <c r="I1543" s="9">
        <v>23405.771000000001</v>
      </c>
      <c r="J1543">
        <v>24022.642867487</v>
      </c>
      <c r="K1543">
        <v>24186.525746556999</v>
      </c>
      <c r="L1543">
        <v>24327.818807800999</v>
      </c>
    </row>
    <row r="1544" spans="1:12" x14ac:dyDescent="0.2">
      <c r="A1544" s="8" t="s">
        <v>32</v>
      </c>
      <c r="B1544" s="8" t="s">
        <v>96</v>
      </c>
      <c r="C1544" s="8" t="s">
        <v>287</v>
      </c>
      <c r="D1544" s="8" t="s">
        <v>288</v>
      </c>
      <c r="E1544" s="8" t="s">
        <v>74</v>
      </c>
      <c r="F1544" s="8" t="s">
        <v>75</v>
      </c>
      <c r="G1544" s="8" t="s">
        <v>7</v>
      </c>
      <c r="H1544" s="8" t="s">
        <v>38</v>
      </c>
      <c r="I1544" s="9">
        <v>2645.4205000000002</v>
      </c>
      <c r="J1544">
        <v>2736.6937623079998</v>
      </c>
      <c r="K1544">
        <v>2938.4147648255998</v>
      </c>
      <c r="L1544">
        <v>3023.5133393000001</v>
      </c>
    </row>
    <row r="1545" spans="1:12" x14ac:dyDescent="0.2">
      <c r="A1545" s="8" t="s">
        <v>32</v>
      </c>
      <c r="B1545" s="8" t="s">
        <v>96</v>
      </c>
      <c r="C1545" s="8" t="s">
        <v>287</v>
      </c>
      <c r="D1545" s="8" t="s">
        <v>288</v>
      </c>
      <c r="E1545" s="8" t="s">
        <v>59</v>
      </c>
      <c r="F1545" s="8" t="s">
        <v>60</v>
      </c>
      <c r="G1545" s="8" t="s">
        <v>7</v>
      </c>
      <c r="H1545" s="8" t="s">
        <v>38</v>
      </c>
      <c r="I1545" s="9">
        <v>1209.0418999999999</v>
      </c>
      <c r="J1545">
        <v>1254.8536031655999</v>
      </c>
      <c r="K1545">
        <v>1293.7730663739001</v>
      </c>
      <c r="L1545">
        <v>1312.2738504020999</v>
      </c>
    </row>
    <row r="1546" spans="1:12" x14ac:dyDescent="0.2">
      <c r="A1546" s="8" t="s">
        <v>32</v>
      </c>
      <c r="B1546" s="8" t="s">
        <v>96</v>
      </c>
      <c r="C1546" s="8" t="s">
        <v>287</v>
      </c>
      <c r="D1546" s="8" t="s">
        <v>288</v>
      </c>
      <c r="E1546" s="8" t="s">
        <v>76</v>
      </c>
      <c r="F1546" s="8" t="s">
        <v>77</v>
      </c>
      <c r="G1546" s="8" t="s">
        <v>7</v>
      </c>
      <c r="H1546" s="8" t="s">
        <v>38</v>
      </c>
      <c r="I1546" s="9">
        <v>215.6</v>
      </c>
      <c r="J1546">
        <v>194.85714288902</v>
      </c>
      <c r="K1546">
        <v>184.80000003344</v>
      </c>
      <c r="L1546">
        <v>184.80000003344</v>
      </c>
    </row>
    <row r="1547" spans="1:12" x14ac:dyDescent="0.2">
      <c r="A1547" s="8" t="s">
        <v>32</v>
      </c>
      <c r="B1547" s="8" t="s">
        <v>96</v>
      </c>
      <c r="C1547" s="8" t="s">
        <v>287</v>
      </c>
      <c r="D1547" s="8" t="s">
        <v>288</v>
      </c>
      <c r="E1547" s="8" t="s">
        <v>78</v>
      </c>
      <c r="F1547" s="8" t="s">
        <v>79</v>
      </c>
      <c r="G1547" s="8" t="s">
        <v>7</v>
      </c>
      <c r="H1547" s="8" t="s">
        <v>38</v>
      </c>
      <c r="I1547" s="9">
        <v>1410.6712</v>
      </c>
      <c r="J1547">
        <v>1410.6711720856999</v>
      </c>
      <c r="K1547">
        <v>1414.2854571429</v>
      </c>
      <c r="L1547">
        <v>1438.5483098743</v>
      </c>
    </row>
    <row r="1548" spans="1:12" x14ac:dyDescent="0.2">
      <c r="A1548" s="8" t="s">
        <v>32</v>
      </c>
      <c r="B1548" s="8" t="s">
        <v>96</v>
      </c>
      <c r="C1548" s="8" t="s">
        <v>289</v>
      </c>
      <c r="D1548" s="8" t="s">
        <v>290</v>
      </c>
      <c r="E1548" s="8" t="s">
        <v>36</v>
      </c>
      <c r="F1548" s="8" t="s">
        <v>37</v>
      </c>
      <c r="G1548" s="8" t="s">
        <v>7</v>
      </c>
      <c r="H1548" s="8" t="s">
        <v>38</v>
      </c>
      <c r="I1548" s="9">
        <v>73141.350000000006</v>
      </c>
      <c r="J1548">
        <v>77881.903512421006</v>
      </c>
      <c r="K1548">
        <v>90654.109265170002</v>
      </c>
      <c r="L1548">
        <v>96027.034708752006</v>
      </c>
    </row>
    <row r="1549" spans="1:12" x14ac:dyDescent="0.2">
      <c r="A1549" s="8" t="s">
        <v>32</v>
      </c>
      <c r="B1549" s="8" t="s">
        <v>96</v>
      </c>
      <c r="C1549" s="8" t="s">
        <v>289</v>
      </c>
      <c r="D1549" s="8" t="s">
        <v>290</v>
      </c>
      <c r="E1549" s="8" t="s">
        <v>64</v>
      </c>
      <c r="F1549" s="8" t="s">
        <v>65</v>
      </c>
      <c r="G1549" s="8" t="s">
        <v>7</v>
      </c>
      <c r="H1549" s="8" t="s">
        <v>38</v>
      </c>
      <c r="I1549" s="9">
        <v>12499.456</v>
      </c>
      <c r="J1549">
        <v>13157.92963803</v>
      </c>
      <c r="K1549">
        <v>14531.72947672</v>
      </c>
      <c r="L1549">
        <v>16055.164415591</v>
      </c>
    </row>
    <row r="1550" spans="1:12" x14ac:dyDescent="0.2">
      <c r="A1550" s="8" t="s">
        <v>32</v>
      </c>
      <c r="B1550" s="8" t="s">
        <v>96</v>
      </c>
      <c r="C1550" s="8" t="s">
        <v>289</v>
      </c>
      <c r="D1550" s="8" t="s">
        <v>290</v>
      </c>
      <c r="E1550" s="8" t="s">
        <v>39</v>
      </c>
      <c r="F1550" s="8" t="s">
        <v>40</v>
      </c>
      <c r="G1550" s="8" t="s">
        <v>7</v>
      </c>
      <c r="H1550" s="8" t="s">
        <v>38</v>
      </c>
      <c r="I1550" s="9">
        <v>11413.169</v>
      </c>
      <c r="J1550">
        <v>13107.11918901</v>
      </c>
      <c r="K1550">
        <v>14645.737042229999</v>
      </c>
      <c r="L1550">
        <v>15509.818032781001</v>
      </c>
    </row>
    <row r="1551" spans="1:12" x14ac:dyDescent="0.2">
      <c r="A1551" s="8" t="s">
        <v>32</v>
      </c>
      <c r="B1551" s="8" t="s">
        <v>96</v>
      </c>
      <c r="C1551" s="8" t="s">
        <v>289</v>
      </c>
      <c r="D1551" s="8" t="s">
        <v>290</v>
      </c>
      <c r="E1551" s="8" t="s">
        <v>41</v>
      </c>
      <c r="F1551" s="8" t="s">
        <v>42</v>
      </c>
      <c r="G1551" s="8" t="s">
        <v>7</v>
      </c>
      <c r="H1551" s="8" t="s">
        <v>38</v>
      </c>
      <c r="I1551" s="9">
        <v>10.293661999999999</v>
      </c>
      <c r="J1551">
        <v>18.996248699999999</v>
      </c>
      <c r="K1551">
        <v>23.779655900000002</v>
      </c>
      <c r="L1551">
        <v>26.223914041760001</v>
      </c>
    </row>
    <row r="1552" spans="1:12" x14ac:dyDescent="0.2">
      <c r="A1552" s="8" t="s">
        <v>32</v>
      </c>
      <c r="B1552" s="8" t="s">
        <v>96</v>
      </c>
      <c r="C1552" s="8" t="s">
        <v>289</v>
      </c>
      <c r="D1552" s="8" t="s">
        <v>290</v>
      </c>
      <c r="E1552" s="8" t="s">
        <v>43</v>
      </c>
      <c r="F1552" s="8" t="s">
        <v>44</v>
      </c>
      <c r="G1552" s="8" t="s">
        <v>7</v>
      </c>
      <c r="H1552" s="8" t="s">
        <v>38</v>
      </c>
      <c r="I1552" s="9">
        <v>28661.352999999999</v>
      </c>
      <c r="J1552">
        <v>35561.756849969999</v>
      </c>
      <c r="K1552">
        <v>40914.37725849</v>
      </c>
      <c r="L1552">
        <v>43634.821101155998</v>
      </c>
    </row>
    <row r="1553" spans="1:12" x14ac:dyDescent="0.2">
      <c r="A1553" s="8" t="s">
        <v>32</v>
      </c>
      <c r="B1553" s="8" t="s">
        <v>96</v>
      </c>
      <c r="C1553" s="8" t="s">
        <v>289</v>
      </c>
      <c r="D1553" s="8" t="s">
        <v>290</v>
      </c>
      <c r="E1553" s="8" t="s">
        <v>49</v>
      </c>
      <c r="F1553" s="8" t="s">
        <v>50</v>
      </c>
      <c r="G1553" s="8" t="s">
        <v>7</v>
      </c>
      <c r="H1553" s="8" t="s">
        <v>38</v>
      </c>
      <c r="I1553" s="9">
        <v>9452.59</v>
      </c>
      <c r="J1553">
        <v>9709.0371702600005</v>
      </c>
      <c r="K1553">
        <v>9417.9375575699996</v>
      </c>
      <c r="L1553">
        <v>10044.147021232</v>
      </c>
    </row>
    <row r="1554" spans="1:12" x14ac:dyDescent="0.2">
      <c r="A1554" s="8" t="s">
        <v>32</v>
      </c>
      <c r="B1554" s="8" t="s">
        <v>96</v>
      </c>
      <c r="C1554" s="8" t="s">
        <v>289</v>
      </c>
      <c r="D1554" s="8" t="s">
        <v>290</v>
      </c>
      <c r="E1554" s="8" t="s">
        <v>53</v>
      </c>
      <c r="F1554" s="8" t="s">
        <v>54</v>
      </c>
      <c r="G1554" s="8" t="s">
        <v>7</v>
      </c>
      <c r="H1554" s="8" t="s">
        <v>38</v>
      </c>
      <c r="I1554" s="9">
        <v>35765.360999999997</v>
      </c>
      <c r="J1554">
        <v>36891.951270532001</v>
      </c>
      <c r="K1554">
        <v>37156.674037529003</v>
      </c>
      <c r="L1554">
        <v>36786.330942729001</v>
      </c>
    </row>
    <row r="1555" spans="1:12" x14ac:dyDescent="0.2">
      <c r="A1555" s="8" t="s">
        <v>32</v>
      </c>
      <c r="B1555" s="8" t="s">
        <v>96</v>
      </c>
      <c r="C1555" s="8" t="s">
        <v>289</v>
      </c>
      <c r="D1555" s="8" t="s">
        <v>290</v>
      </c>
      <c r="E1555" s="8" t="s">
        <v>70</v>
      </c>
      <c r="F1555" s="8" t="s">
        <v>71</v>
      </c>
      <c r="G1555" s="8" t="s">
        <v>7</v>
      </c>
      <c r="H1555" s="8" t="s">
        <v>38</v>
      </c>
      <c r="I1555" s="9">
        <v>12467.434999999999</v>
      </c>
      <c r="J1555">
        <v>12912.700051</v>
      </c>
      <c r="K1555">
        <v>14426.602815599999</v>
      </c>
      <c r="L1555">
        <v>14410.327622049999</v>
      </c>
    </row>
    <row r="1556" spans="1:12" x14ac:dyDescent="0.2">
      <c r="A1556" s="8" t="s">
        <v>32</v>
      </c>
      <c r="B1556" s="8" t="s">
        <v>96</v>
      </c>
      <c r="C1556" s="8" t="s">
        <v>289</v>
      </c>
      <c r="D1556" s="8" t="s">
        <v>290</v>
      </c>
      <c r="E1556" s="8" t="s">
        <v>83</v>
      </c>
      <c r="F1556" s="8" t="s">
        <v>84</v>
      </c>
      <c r="G1556" s="8" t="s">
        <v>7</v>
      </c>
      <c r="H1556" s="8" t="s">
        <v>38</v>
      </c>
      <c r="I1556" s="9">
        <v>45</v>
      </c>
      <c r="J1556">
        <v>45</v>
      </c>
      <c r="K1556">
        <v>45</v>
      </c>
      <c r="L1556">
        <v>45</v>
      </c>
    </row>
    <row r="1557" spans="1:12" x14ac:dyDescent="0.2">
      <c r="A1557" s="8" t="s">
        <v>32</v>
      </c>
      <c r="B1557" s="8" t="s">
        <v>96</v>
      </c>
      <c r="C1557" s="8" t="s">
        <v>289</v>
      </c>
      <c r="D1557" s="8" t="s">
        <v>290</v>
      </c>
      <c r="E1557" s="8" t="s">
        <v>55</v>
      </c>
      <c r="F1557" s="8" t="s">
        <v>56</v>
      </c>
      <c r="G1557" s="8" t="s">
        <v>7</v>
      </c>
      <c r="H1557" s="8" t="s">
        <v>38</v>
      </c>
      <c r="I1557" s="9">
        <v>2.0261452000000002</v>
      </c>
      <c r="J1557">
        <v>2.2693352175427002</v>
      </c>
      <c r="K1557">
        <v>2.2693352175427002</v>
      </c>
      <c r="L1557">
        <v>2.2693352175427002</v>
      </c>
    </row>
    <row r="1558" spans="1:12" x14ac:dyDescent="0.2">
      <c r="A1558" s="8" t="s">
        <v>32</v>
      </c>
      <c r="B1558" s="8" t="s">
        <v>96</v>
      </c>
      <c r="C1558" s="8" t="s">
        <v>289</v>
      </c>
      <c r="D1558" s="8" t="s">
        <v>290</v>
      </c>
      <c r="E1558" s="8" t="s">
        <v>57</v>
      </c>
      <c r="F1558" s="8" t="s">
        <v>58</v>
      </c>
      <c r="G1558" s="8" t="s">
        <v>7</v>
      </c>
      <c r="H1558" s="8" t="s">
        <v>38</v>
      </c>
      <c r="I1558" s="9"/>
    </row>
    <row r="1559" spans="1:12" x14ac:dyDescent="0.2">
      <c r="A1559" s="8" t="s">
        <v>32</v>
      </c>
      <c r="B1559" s="8" t="s">
        <v>96</v>
      </c>
      <c r="C1559" s="8" t="s">
        <v>289</v>
      </c>
      <c r="D1559" s="8" t="s">
        <v>290</v>
      </c>
      <c r="E1559" s="8" t="s">
        <v>72</v>
      </c>
      <c r="F1559" s="8" t="s">
        <v>73</v>
      </c>
      <c r="G1559" s="8" t="s">
        <v>7</v>
      </c>
      <c r="H1559" s="8" t="s">
        <v>38</v>
      </c>
      <c r="I1559" s="9">
        <v>178.16668999999999</v>
      </c>
      <c r="J1559">
        <v>178.16668999999999</v>
      </c>
      <c r="K1559">
        <v>177.66802355999999</v>
      </c>
      <c r="L1559">
        <v>163.72002989999999</v>
      </c>
    </row>
    <row r="1560" spans="1:12" x14ac:dyDescent="0.2">
      <c r="A1560" s="8" t="s">
        <v>32</v>
      </c>
      <c r="B1560" s="8" t="s">
        <v>96</v>
      </c>
      <c r="C1560" s="8" t="s">
        <v>289</v>
      </c>
      <c r="D1560" s="8" t="s">
        <v>290</v>
      </c>
      <c r="E1560" s="8" t="s">
        <v>59</v>
      </c>
      <c r="F1560" s="8" t="s">
        <v>60</v>
      </c>
      <c r="G1560" s="8" t="s">
        <v>7</v>
      </c>
      <c r="H1560" s="8" t="s">
        <v>38</v>
      </c>
      <c r="I1560" s="9">
        <v>113.77894999999999</v>
      </c>
      <c r="J1560">
        <v>128.17714496829001</v>
      </c>
      <c r="K1560">
        <v>126.90866989828</v>
      </c>
      <c r="L1560">
        <v>133.35295025162</v>
      </c>
    </row>
    <row r="1561" spans="1:12" x14ac:dyDescent="0.2">
      <c r="A1561" s="8" t="s">
        <v>32</v>
      </c>
      <c r="B1561" s="8" t="s">
        <v>96</v>
      </c>
      <c r="C1561" s="8" t="s">
        <v>289</v>
      </c>
      <c r="D1561" s="8" t="s">
        <v>290</v>
      </c>
      <c r="E1561" s="8" t="s">
        <v>76</v>
      </c>
      <c r="F1561" s="8" t="s">
        <v>77</v>
      </c>
      <c r="G1561" s="8" t="s">
        <v>7</v>
      </c>
      <c r="H1561" s="8" t="s">
        <v>38</v>
      </c>
      <c r="I1561" s="9">
        <v>14.352380999999999</v>
      </c>
      <c r="J1561">
        <v>4.8190476191440004</v>
      </c>
      <c r="K1561">
        <v>44.00000000088</v>
      </c>
      <c r="L1561">
        <v>44.00000000088</v>
      </c>
    </row>
    <row r="1562" spans="1:12" x14ac:dyDescent="0.2">
      <c r="A1562" s="8" t="s">
        <v>32</v>
      </c>
      <c r="B1562" s="8" t="s">
        <v>96</v>
      </c>
      <c r="C1562" s="8" t="s">
        <v>289</v>
      </c>
      <c r="D1562" s="8" t="s">
        <v>290</v>
      </c>
      <c r="E1562" s="8" t="s">
        <v>78</v>
      </c>
      <c r="F1562" s="8" t="s">
        <v>79</v>
      </c>
      <c r="G1562" s="8" t="s">
        <v>7</v>
      </c>
      <c r="H1562" s="8" t="s">
        <v>38</v>
      </c>
      <c r="I1562" s="9">
        <v>109.99997999999999</v>
      </c>
      <c r="J1562">
        <v>109.99997999999999</v>
      </c>
      <c r="K1562">
        <v>111.57140828571001</v>
      </c>
      <c r="L1562">
        <v>93.751411525714005</v>
      </c>
    </row>
    <row r="1563" spans="1:12" x14ac:dyDescent="0.2">
      <c r="A1563" s="8" t="s">
        <v>110</v>
      </c>
      <c r="B1563" s="8" t="s">
        <v>115</v>
      </c>
      <c r="C1563" s="8" t="s">
        <v>291</v>
      </c>
      <c r="D1563" s="8" t="s">
        <v>292</v>
      </c>
      <c r="E1563" s="8" t="s">
        <v>36</v>
      </c>
      <c r="F1563" s="8" t="s">
        <v>37</v>
      </c>
      <c r="G1563" s="8" t="s">
        <v>7</v>
      </c>
      <c r="H1563" s="8" t="s">
        <v>38</v>
      </c>
      <c r="I1563" s="9">
        <v>1.7677592</v>
      </c>
      <c r="J1563">
        <v>2.5536045600000001</v>
      </c>
      <c r="K1563">
        <v>12.15620874</v>
      </c>
      <c r="L1563">
        <v>6.4677425716651999</v>
      </c>
    </row>
    <row r="1564" spans="1:12" x14ac:dyDescent="0.2">
      <c r="A1564" s="8" t="s">
        <v>110</v>
      </c>
      <c r="B1564" s="8" t="s">
        <v>115</v>
      </c>
      <c r="C1564" s="8" t="s">
        <v>291</v>
      </c>
      <c r="D1564" s="8" t="s">
        <v>292</v>
      </c>
      <c r="E1564" s="8" t="s">
        <v>39</v>
      </c>
      <c r="F1564" s="8" t="s">
        <v>40</v>
      </c>
      <c r="G1564" s="8" t="s">
        <v>7</v>
      </c>
      <c r="H1564" s="8" t="s">
        <v>38</v>
      </c>
      <c r="I1564" s="9">
        <v>59.975524999999998</v>
      </c>
      <c r="J1564">
        <v>72.448043780000006</v>
      </c>
      <c r="K1564">
        <v>60.204368809999998</v>
      </c>
      <c r="L1564">
        <v>67.101867869203005</v>
      </c>
    </row>
    <row r="1565" spans="1:12" x14ac:dyDescent="0.2">
      <c r="A1565" s="8" t="s">
        <v>110</v>
      </c>
      <c r="B1565" s="8" t="s">
        <v>115</v>
      </c>
      <c r="C1565" s="8" t="s">
        <v>291</v>
      </c>
      <c r="D1565" s="8" t="s">
        <v>292</v>
      </c>
      <c r="E1565" s="8" t="s">
        <v>41</v>
      </c>
      <c r="F1565" s="8" t="s">
        <v>42</v>
      </c>
      <c r="G1565" s="8" t="s">
        <v>7</v>
      </c>
      <c r="H1565" s="8" t="s">
        <v>38</v>
      </c>
      <c r="I1565" s="9">
        <v>12.972491</v>
      </c>
      <c r="J1565">
        <v>20.231516249999999</v>
      </c>
      <c r="K1565">
        <v>23.496449349999999</v>
      </c>
      <c r="L1565">
        <v>21.792981337349001</v>
      </c>
    </row>
    <row r="1566" spans="1:12" x14ac:dyDescent="0.2">
      <c r="A1566" s="8" t="s">
        <v>110</v>
      </c>
      <c r="B1566" s="8" t="s">
        <v>115</v>
      </c>
      <c r="C1566" s="8" t="s">
        <v>291</v>
      </c>
      <c r="D1566" s="8" t="s">
        <v>292</v>
      </c>
      <c r="E1566" s="8" t="s">
        <v>43</v>
      </c>
      <c r="F1566" s="8" t="s">
        <v>44</v>
      </c>
      <c r="G1566" s="8" t="s">
        <v>7</v>
      </c>
      <c r="H1566" s="8" t="s">
        <v>38</v>
      </c>
      <c r="I1566" s="9">
        <v>809.17043000000001</v>
      </c>
      <c r="J1566">
        <v>836.77927742999998</v>
      </c>
      <c r="K1566">
        <v>902.00208803999999</v>
      </c>
      <c r="L1566">
        <v>897.07695930948</v>
      </c>
    </row>
    <row r="1567" spans="1:12" x14ac:dyDescent="0.2">
      <c r="A1567" s="8" t="s">
        <v>110</v>
      </c>
      <c r="B1567" s="8" t="s">
        <v>115</v>
      </c>
      <c r="C1567" s="8" t="s">
        <v>291</v>
      </c>
      <c r="D1567" s="8" t="s">
        <v>292</v>
      </c>
      <c r="E1567" s="8" t="s">
        <v>45</v>
      </c>
      <c r="F1567" s="8" t="s">
        <v>46</v>
      </c>
      <c r="G1567" s="8" t="s">
        <v>7</v>
      </c>
      <c r="H1567" s="8" t="s">
        <v>38</v>
      </c>
      <c r="I1567" s="9">
        <v>24.729378000000001</v>
      </c>
      <c r="J1567">
        <v>17.308085340000002</v>
      </c>
      <c r="K1567">
        <v>24.252537270000001</v>
      </c>
      <c r="L1567">
        <v>16.648179940193</v>
      </c>
    </row>
    <row r="1568" spans="1:12" x14ac:dyDescent="0.2">
      <c r="A1568" s="8" t="s">
        <v>110</v>
      </c>
      <c r="B1568" s="8" t="s">
        <v>115</v>
      </c>
      <c r="C1568" s="8" t="s">
        <v>291</v>
      </c>
      <c r="D1568" s="8" t="s">
        <v>292</v>
      </c>
      <c r="E1568" s="8" t="s">
        <v>47</v>
      </c>
      <c r="F1568" s="8" t="s">
        <v>48</v>
      </c>
      <c r="G1568" s="8" t="s">
        <v>7</v>
      </c>
      <c r="H1568" s="8" t="s">
        <v>38</v>
      </c>
      <c r="I1568" s="9">
        <v>1.0078511000000001</v>
      </c>
      <c r="J1568">
        <v>0.49158030000000003</v>
      </c>
      <c r="K1568">
        <v>8.0377009999999999E-2</v>
      </c>
      <c r="L1568">
        <v>6.8011316153845994E-2</v>
      </c>
    </row>
    <row r="1569" spans="1:12" x14ac:dyDescent="0.2">
      <c r="A1569" s="8" t="s">
        <v>110</v>
      </c>
      <c r="B1569" s="8" t="s">
        <v>115</v>
      </c>
      <c r="C1569" s="8" t="s">
        <v>291</v>
      </c>
      <c r="D1569" s="8" t="s">
        <v>292</v>
      </c>
      <c r="E1569" s="8" t="s">
        <v>49</v>
      </c>
      <c r="F1569" s="8" t="s">
        <v>50</v>
      </c>
      <c r="G1569" s="8" t="s">
        <v>7</v>
      </c>
      <c r="H1569" s="8" t="s">
        <v>38</v>
      </c>
      <c r="I1569" s="9">
        <v>536.72167999999999</v>
      </c>
      <c r="J1569">
        <v>599.67737262000003</v>
      </c>
      <c r="K1569">
        <v>570.03686820999997</v>
      </c>
      <c r="L1569">
        <v>541.40264465870996</v>
      </c>
    </row>
    <row r="1570" spans="1:12" x14ac:dyDescent="0.2">
      <c r="A1570" s="8" t="s">
        <v>110</v>
      </c>
      <c r="B1570" s="8" t="s">
        <v>115</v>
      </c>
      <c r="C1570" s="8" t="s">
        <v>291</v>
      </c>
      <c r="D1570" s="8" t="s">
        <v>292</v>
      </c>
      <c r="E1570" s="8" t="s">
        <v>51</v>
      </c>
      <c r="F1570" s="8" t="s">
        <v>52</v>
      </c>
      <c r="G1570" s="8" t="s">
        <v>7</v>
      </c>
      <c r="H1570" s="8" t="s">
        <v>38</v>
      </c>
      <c r="I1570" s="9">
        <v>0.26525579999999999</v>
      </c>
      <c r="J1570">
        <v>1.63187466</v>
      </c>
      <c r="K1570">
        <v>0.50668718999999995</v>
      </c>
      <c r="L1570">
        <v>0.53174248050039996</v>
      </c>
    </row>
    <row r="1571" spans="1:12" x14ac:dyDescent="0.2">
      <c r="A1571" s="8" t="s">
        <v>110</v>
      </c>
      <c r="B1571" s="8" t="s">
        <v>115</v>
      </c>
      <c r="C1571" s="8" t="s">
        <v>291</v>
      </c>
      <c r="D1571" s="8" t="s">
        <v>292</v>
      </c>
      <c r="E1571" s="8" t="s">
        <v>70</v>
      </c>
      <c r="F1571" s="8" t="s">
        <v>71</v>
      </c>
      <c r="G1571" s="8" t="s">
        <v>7</v>
      </c>
      <c r="H1571" s="8" t="s">
        <v>38</v>
      </c>
      <c r="I1571" s="9"/>
    </row>
    <row r="1572" spans="1:12" x14ac:dyDescent="0.2">
      <c r="A1572" s="8" t="s">
        <v>110</v>
      </c>
      <c r="B1572" s="8" t="s">
        <v>115</v>
      </c>
      <c r="C1572" s="8" t="s">
        <v>291</v>
      </c>
      <c r="D1572" s="8" t="s">
        <v>292</v>
      </c>
      <c r="E1572" s="8" t="s">
        <v>55</v>
      </c>
      <c r="F1572" s="8" t="s">
        <v>56</v>
      </c>
      <c r="G1572" s="8" t="s">
        <v>7</v>
      </c>
      <c r="H1572" s="8" t="s">
        <v>38</v>
      </c>
      <c r="I1572" s="9">
        <v>1.2109384999999999</v>
      </c>
      <c r="J1572">
        <v>1.2109384953836</v>
      </c>
      <c r="K1572">
        <v>1.2109384953836</v>
      </c>
      <c r="L1572">
        <v>1.2109384953836</v>
      </c>
    </row>
    <row r="1573" spans="1:12" x14ac:dyDescent="0.2">
      <c r="A1573" s="8" t="s">
        <v>110</v>
      </c>
      <c r="B1573" s="8" t="s">
        <v>115</v>
      </c>
      <c r="C1573" s="8" t="s">
        <v>291</v>
      </c>
      <c r="D1573" s="8" t="s">
        <v>292</v>
      </c>
      <c r="E1573" s="8" t="s">
        <v>57</v>
      </c>
      <c r="F1573" s="8" t="s">
        <v>58</v>
      </c>
      <c r="G1573" s="8" t="s">
        <v>7</v>
      </c>
      <c r="H1573" s="8" t="s">
        <v>38</v>
      </c>
      <c r="I1573" s="9">
        <v>4.4504368000000003</v>
      </c>
      <c r="J1573">
        <v>4.4504368000000003</v>
      </c>
      <c r="K1573">
        <v>4.4504368000000003</v>
      </c>
      <c r="L1573">
        <v>4.4504368000000003</v>
      </c>
    </row>
    <row r="1574" spans="1:12" x14ac:dyDescent="0.2">
      <c r="A1574" s="8" t="s">
        <v>110</v>
      </c>
      <c r="B1574" s="8" t="s">
        <v>115</v>
      </c>
      <c r="C1574" s="8" t="s">
        <v>291</v>
      </c>
      <c r="D1574" s="8" t="s">
        <v>292</v>
      </c>
      <c r="E1574" s="8" t="s">
        <v>72</v>
      </c>
      <c r="F1574" s="8" t="s">
        <v>73</v>
      </c>
      <c r="G1574" s="8" t="s">
        <v>7</v>
      </c>
      <c r="H1574" s="8" t="s">
        <v>38</v>
      </c>
      <c r="I1574" s="9"/>
    </row>
    <row r="1575" spans="1:12" x14ac:dyDescent="0.2">
      <c r="A1575" s="8" t="s">
        <v>110</v>
      </c>
      <c r="B1575" s="8" t="s">
        <v>115</v>
      </c>
      <c r="C1575" s="8" t="s">
        <v>291</v>
      </c>
      <c r="D1575" s="8" t="s">
        <v>292</v>
      </c>
      <c r="E1575" s="8" t="s">
        <v>74</v>
      </c>
      <c r="F1575" s="8" t="s">
        <v>75</v>
      </c>
      <c r="G1575" s="8" t="s">
        <v>7</v>
      </c>
      <c r="H1575" s="8" t="s">
        <v>38</v>
      </c>
      <c r="I1575" s="9">
        <v>1613.6208999999999</v>
      </c>
      <c r="J1575">
        <v>1601.0008</v>
      </c>
      <c r="K1575">
        <v>1634.9006999999999</v>
      </c>
      <c r="L1575">
        <v>1657.2815000000001</v>
      </c>
    </row>
    <row r="1576" spans="1:12" x14ac:dyDescent="0.2">
      <c r="A1576" s="8" t="s">
        <v>110</v>
      </c>
      <c r="B1576" s="8" t="s">
        <v>115</v>
      </c>
      <c r="C1576" s="8" t="s">
        <v>291</v>
      </c>
      <c r="D1576" s="8" t="s">
        <v>292</v>
      </c>
      <c r="E1576" s="8" t="s">
        <v>59</v>
      </c>
      <c r="F1576" s="8" t="s">
        <v>60</v>
      </c>
      <c r="G1576" s="8" t="s">
        <v>7</v>
      </c>
      <c r="H1576" s="8" t="s">
        <v>38</v>
      </c>
      <c r="I1576" s="9">
        <v>4.8430007000000002</v>
      </c>
      <c r="J1576">
        <v>4.2899292939210998</v>
      </c>
      <c r="K1576">
        <v>4.3273027456338999</v>
      </c>
      <c r="L1576">
        <v>4.0846980192622002</v>
      </c>
    </row>
    <row r="1577" spans="1:12" x14ac:dyDescent="0.2">
      <c r="A1577" s="8" t="s">
        <v>110</v>
      </c>
      <c r="B1577" s="8" t="s">
        <v>115</v>
      </c>
      <c r="C1577" s="8" t="s">
        <v>291</v>
      </c>
      <c r="D1577" s="8" t="s">
        <v>292</v>
      </c>
      <c r="E1577" s="8" t="s">
        <v>76</v>
      </c>
      <c r="F1577" s="8" t="s">
        <v>77</v>
      </c>
      <c r="G1577" s="8" t="s">
        <v>7</v>
      </c>
      <c r="H1577" s="8" t="s">
        <v>38</v>
      </c>
      <c r="I1577" s="9"/>
      <c r="J1577">
        <v>0.62857142876000005</v>
      </c>
      <c r="K1577">
        <v>0.7123809526064</v>
      </c>
      <c r="L1577">
        <v>0.80736507963388005</v>
      </c>
    </row>
    <row r="1578" spans="1:12" x14ac:dyDescent="0.2">
      <c r="A1578" s="8" t="s">
        <v>110</v>
      </c>
      <c r="B1578" s="8" t="s">
        <v>115</v>
      </c>
      <c r="C1578" s="8" t="s">
        <v>291</v>
      </c>
      <c r="D1578" s="8" t="s">
        <v>292</v>
      </c>
      <c r="E1578" s="8" t="s">
        <v>92</v>
      </c>
      <c r="F1578" s="8" t="s">
        <v>93</v>
      </c>
      <c r="G1578" s="8" t="s">
        <v>7</v>
      </c>
      <c r="H1578" s="8" t="s">
        <v>38</v>
      </c>
      <c r="I1578" s="9">
        <v>0.97969870000000003</v>
      </c>
      <c r="J1578">
        <v>0.95067500421567996</v>
      </c>
      <c r="K1578">
        <v>1.0732700756080999</v>
      </c>
      <c r="L1578">
        <v>1.0566312564083</v>
      </c>
    </row>
    <row r="1579" spans="1:12" x14ac:dyDescent="0.2">
      <c r="A1579" s="8" t="s">
        <v>32</v>
      </c>
      <c r="B1579" s="8" t="s">
        <v>96</v>
      </c>
      <c r="C1579" s="8" t="s">
        <v>293</v>
      </c>
      <c r="D1579" s="8" t="s">
        <v>294</v>
      </c>
      <c r="E1579" s="8" t="s">
        <v>36</v>
      </c>
      <c r="F1579" s="8" t="s">
        <v>37</v>
      </c>
      <c r="G1579" s="8" t="s">
        <v>7</v>
      </c>
      <c r="H1579" s="8" t="s">
        <v>38</v>
      </c>
      <c r="I1579" s="9">
        <v>33279.813000000002</v>
      </c>
      <c r="J1579">
        <v>32569.078283890001</v>
      </c>
      <c r="K1579">
        <v>33124.828673130003</v>
      </c>
      <c r="L1579">
        <v>30451.062210601998</v>
      </c>
    </row>
    <row r="1580" spans="1:12" x14ac:dyDescent="0.2">
      <c r="A1580" s="8" t="s">
        <v>32</v>
      </c>
      <c r="B1580" s="8" t="s">
        <v>96</v>
      </c>
      <c r="C1580" s="8" t="s">
        <v>293</v>
      </c>
      <c r="D1580" s="8" t="s">
        <v>294</v>
      </c>
      <c r="E1580" s="8" t="s">
        <v>64</v>
      </c>
      <c r="F1580" s="8" t="s">
        <v>65</v>
      </c>
      <c r="G1580" s="8" t="s">
        <v>7</v>
      </c>
      <c r="H1580" s="8" t="s">
        <v>38</v>
      </c>
      <c r="I1580" s="9">
        <v>2194.2737999999999</v>
      </c>
      <c r="J1580">
        <v>1684.2095494499999</v>
      </c>
      <c r="K1580">
        <v>1829.0220756900001</v>
      </c>
      <c r="L1580">
        <v>1610.7311273403</v>
      </c>
    </row>
    <row r="1581" spans="1:12" x14ac:dyDescent="0.2">
      <c r="A1581" s="8" t="s">
        <v>32</v>
      </c>
      <c r="B1581" s="8" t="s">
        <v>96</v>
      </c>
      <c r="C1581" s="8" t="s">
        <v>293</v>
      </c>
      <c r="D1581" s="8" t="s">
        <v>294</v>
      </c>
      <c r="E1581" s="8" t="s">
        <v>39</v>
      </c>
      <c r="F1581" s="8" t="s">
        <v>40</v>
      </c>
      <c r="G1581" s="8" t="s">
        <v>7</v>
      </c>
      <c r="H1581" s="8" t="s">
        <v>38</v>
      </c>
      <c r="I1581" s="9">
        <v>4282.4906000000001</v>
      </c>
      <c r="J1581">
        <v>3851.6454330900001</v>
      </c>
      <c r="K1581">
        <v>3596.5158966399999</v>
      </c>
      <c r="L1581">
        <v>3366.8529189471001</v>
      </c>
    </row>
    <row r="1582" spans="1:12" x14ac:dyDescent="0.2">
      <c r="A1582" s="8" t="s">
        <v>32</v>
      </c>
      <c r="B1582" s="8" t="s">
        <v>96</v>
      </c>
      <c r="C1582" s="8" t="s">
        <v>293</v>
      </c>
      <c r="D1582" s="8" t="s">
        <v>294</v>
      </c>
      <c r="E1582" s="8" t="s">
        <v>41</v>
      </c>
      <c r="F1582" s="8" t="s">
        <v>42</v>
      </c>
      <c r="G1582" s="8" t="s">
        <v>7</v>
      </c>
      <c r="H1582" s="8" t="s">
        <v>38</v>
      </c>
      <c r="I1582" s="9">
        <v>33.371930999999996</v>
      </c>
      <c r="J1582">
        <v>42.265802149999999</v>
      </c>
      <c r="K1582">
        <v>71.887401299999993</v>
      </c>
      <c r="L1582">
        <v>74.310965782100993</v>
      </c>
    </row>
    <row r="1583" spans="1:12" x14ac:dyDescent="0.2">
      <c r="A1583" s="8" t="s">
        <v>32</v>
      </c>
      <c r="B1583" s="8" t="s">
        <v>96</v>
      </c>
      <c r="C1583" s="8" t="s">
        <v>293</v>
      </c>
      <c r="D1583" s="8" t="s">
        <v>294</v>
      </c>
      <c r="E1583" s="8" t="s">
        <v>43</v>
      </c>
      <c r="F1583" s="8" t="s">
        <v>44</v>
      </c>
      <c r="G1583" s="8" t="s">
        <v>7</v>
      </c>
      <c r="H1583" s="8" t="s">
        <v>38</v>
      </c>
      <c r="I1583" s="9">
        <v>16074.15</v>
      </c>
      <c r="J1583">
        <v>17112.977279760002</v>
      </c>
      <c r="K1583">
        <v>18429.566651339999</v>
      </c>
      <c r="L1583">
        <v>18103.970372503001</v>
      </c>
    </row>
    <row r="1584" spans="1:12" x14ac:dyDescent="0.2">
      <c r="A1584" s="8" t="s">
        <v>32</v>
      </c>
      <c r="B1584" s="8" t="s">
        <v>96</v>
      </c>
      <c r="C1584" s="8" t="s">
        <v>293</v>
      </c>
      <c r="D1584" s="8" t="s">
        <v>294</v>
      </c>
      <c r="E1584" s="8" t="s">
        <v>66</v>
      </c>
      <c r="F1584" s="8" t="s">
        <v>67</v>
      </c>
      <c r="G1584" s="8" t="s">
        <v>7</v>
      </c>
      <c r="H1584" s="8" t="s">
        <v>38</v>
      </c>
      <c r="I1584" s="9">
        <v>189.55995999999999</v>
      </c>
      <c r="J1584">
        <v>189.74921121</v>
      </c>
      <c r="K1584">
        <v>184.87561715999999</v>
      </c>
      <c r="L1584">
        <v>182.23787988289001</v>
      </c>
    </row>
    <row r="1585" spans="1:12" x14ac:dyDescent="0.2">
      <c r="A1585" s="8" t="s">
        <v>32</v>
      </c>
      <c r="B1585" s="8" t="s">
        <v>96</v>
      </c>
      <c r="C1585" s="8" t="s">
        <v>293</v>
      </c>
      <c r="D1585" s="8" t="s">
        <v>294</v>
      </c>
      <c r="E1585" s="8" t="s">
        <v>49</v>
      </c>
      <c r="F1585" s="8" t="s">
        <v>50</v>
      </c>
      <c r="G1585" s="8" t="s">
        <v>7</v>
      </c>
      <c r="H1585" s="8" t="s">
        <v>38</v>
      </c>
      <c r="I1585" s="9">
        <v>657.34974</v>
      </c>
      <c r="J1585">
        <v>664.63206505999995</v>
      </c>
      <c r="K1585">
        <v>874.86450522999996</v>
      </c>
      <c r="L1585">
        <v>863.63555314272003</v>
      </c>
    </row>
    <row r="1586" spans="1:12" x14ac:dyDescent="0.2">
      <c r="A1586" s="8" t="s">
        <v>32</v>
      </c>
      <c r="B1586" s="8" t="s">
        <v>96</v>
      </c>
      <c r="C1586" s="8" t="s">
        <v>293</v>
      </c>
      <c r="D1586" s="8" t="s">
        <v>294</v>
      </c>
      <c r="E1586" s="8" t="s">
        <v>51</v>
      </c>
      <c r="F1586" s="8" t="s">
        <v>52</v>
      </c>
      <c r="G1586" s="8" t="s">
        <v>7</v>
      </c>
      <c r="H1586" s="8" t="s">
        <v>38</v>
      </c>
      <c r="I1586" s="9">
        <v>989.13944000000004</v>
      </c>
      <c r="J1586">
        <v>909.61426718999996</v>
      </c>
      <c r="K1586">
        <v>1485.2239280900001</v>
      </c>
      <c r="L1586">
        <v>1762.6433062434</v>
      </c>
    </row>
    <row r="1587" spans="1:12" x14ac:dyDescent="0.2">
      <c r="A1587" s="8" t="s">
        <v>32</v>
      </c>
      <c r="B1587" s="8" t="s">
        <v>96</v>
      </c>
      <c r="C1587" s="8" t="s">
        <v>293</v>
      </c>
      <c r="D1587" s="8" t="s">
        <v>294</v>
      </c>
      <c r="E1587" s="8" t="s">
        <v>53</v>
      </c>
      <c r="F1587" s="8" t="s">
        <v>54</v>
      </c>
      <c r="G1587" s="8" t="s">
        <v>7</v>
      </c>
      <c r="H1587" s="8" t="s">
        <v>38</v>
      </c>
      <c r="I1587" s="9">
        <v>102.45946000000001</v>
      </c>
      <c r="J1587">
        <v>145.97953819950999</v>
      </c>
      <c r="K1587">
        <v>116.63285199089999</v>
      </c>
      <c r="L1587">
        <v>156.13392110437999</v>
      </c>
    </row>
    <row r="1588" spans="1:12" x14ac:dyDescent="0.2">
      <c r="A1588" s="8" t="s">
        <v>32</v>
      </c>
      <c r="B1588" s="8" t="s">
        <v>96</v>
      </c>
      <c r="C1588" s="8" t="s">
        <v>293</v>
      </c>
      <c r="D1588" s="8" t="s">
        <v>294</v>
      </c>
      <c r="E1588" s="8" t="s">
        <v>70</v>
      </c>
      <c r="F1588" s="8" t="s">
        <v>71</v>
      </c>
      <c r="G1588" s="8" t="s">
        <v>7</v>
      </c>
      <c r="H1588" s="8" t="s">
        <v>38</v>
      </c>
      <c r="I1588" s="9">
        <v>2337.6439999999998</v>
      </c>
      <c r="J1588">
        <v>2538.0134582999999</v>
      </c>
      <c r="K1588">
        <v>2700.5353727349998</v>
      </c>
      <c r="L1588">
        <v>2697.4887971522999</v>
      </c>
    </row>
    <row r="1589" spans="1:12" x14ac:dyDescent="0.2">
      <c r="A1589" s="8" t="s">
        <v>32</v>
      </c>
      <c r="B1589" s="8" t="s">
        <v>96</v>
      </c>
      <c r="C1589" s="8" t="s">
        <v>293</v>
      </c>
      <c r="D1589" s="8" t="s">
        <v>294</v>
      </c>
      <c r="E1589" s="8" t="s">
        <v>83</v>
      </c>
      <c r="F1589" s="8" t="s">
        <v>84</v>
      </c>
      <c r="G1589" s="8" t="s">
        <v>7</v>
      </c>
      <c r="H1589" s="8" t="s">
        <v>38</v>
      </c>
      <c r="I1589" s="9">
        <v>506.25</v>
      </c>
      <c r="J1589">
        <v>510</v>
      </c>
      <c r="K1589">
        <v>447.75</v>
      </c>
      <c r="L1589">
        <v>450</v>
      </c>
    </row>
    <row r="1590" spans="1:12" x14ac:dyDescent="0.2">
      <c r="A1590" s="8" t="s">
        <v>32</v>
      </c>
      <c r="B1590" s="8" t="s">
        <v>96</v>
      </c>
      <c r="C1590" s="8" t="s">
        <v>293</v>
      </c>
      <c r="D1590" s="8" t="s">
        <v>294</v>
      </c>
      <c r="E1590" s="8" t="s">
        <v>55</v>
      </c>
      <c r="F1590" s="8" t="s">
        <v>56</v>
      </c>
      <c r="G1590" s="8" t="s">
        <v>7</v>
      </c>
      <c r="H1590" s="8" t="s">
        <v>38</v>
      </c>
      <c r="I1590" s="9">
        <v>0.45284210000000003</v>
      </c>
      <c r="J1590">
        <v>0.50719492536274002</v>
      </c>
      <c r="K1590">
        <v>0.50719492536274002</v>
      </c>
      <c r="L1590">
        <v>0.50719492536274002</v>
      </c>
    </row>
    <row r="1591" spans="1:12" x14ac:dyDescent="0.2">
      <c r="A1591" s="8" t="s">
        <v>32</v>
      </c>
      <c r="B1591" s="8" t="s">
        <v>96</v>
      </c>
      <c r="C1591" s="8" t="s">
        <v>293</v>
      </c>
      <c r="D1591" s="8" t="s">
        <v>294</v>
      </c>
      <c r="E1591" s="8" t="s">
        <v>57</v>
      </c>
      <c r="F1591" s="8" t="s">
        <v>58</v>
      </c>
      <c r="G1591" s="8" t="s">
        <v>7</v>
      </c>
      <c r="H1591" s="8" t="s">
        <v>38</v>
      </c>
      <c r="I1591" s="9">
        <v>16.804732999999999</v>
      </c>
      <c r="J1591">
        <v>18.821737235855</v>
      </c>
      <c r="K1591">
        <v>18.821737235855</v>
      </c>
      <c r="L1591">
        <v>18.821737235855</v>
      </c>
    </row>
    <row r="1592" spans="1:12" x14ac:dyDescent="0.2">
      <c r="A1592" s="8" t="s">
        <v>32</v>
      </c>
      <c r="B1592" s="8" t="s">
        <v>96</v>
      </c>
      <c r="C1592" s="8" t="s">
        <v>293</v>
      </c>
      <c r="D1592" s="8" t="s">
        <v>294</v>
      </c>
      <c r="E1592" s="8" t="s">
        <v>72</v>
      </c>
      <c r="F1592" s="8" t="s">
        <v>73</v>
      </c>
      <c r="G1592" s="8" t="s">
        <v>7</v>
      </c>
      <c r="H1592" s="8" t="s">
        <v>38</v>
      </c>
      <c r="I1592" s="9">
        <v>450</v>
      </c>
      <c r="J1592">
        <v>450</v>
      </c>
      <c r="K1592">
        <v>450</v>
      </c>
      <c r="L1592">
        <v>450</v>
      </c>
    </row>
    <row r="1593" spans="1:12" x14ac:dyDescent="0.2">
      <c r="A1593" s="8" t="s">
        <v>32</v>
      </c>
      <c r="B1593" s="8" t="s">
        <v>96</v>
      </c>
      <c r="C1593" s="8" t="s">
        <v>293</v>
      </c>
      <c r="D1593" s="8" t="s">
        <v>294</v>
      </c>
      <c r="E1593" s="8" t="s">
        <v>74</v>
      </c>
      <c r="F1593" s="8" t="s">
        <v>75</v>
      </c>
      <c r="G1593" s="8" t="s">
        <v>7</v>
      </c>
      <c r="H1593" s="8" t="s">
        <v>38</v>
      </c>
      <c r="I1593" s="9">
        <v>98.451920000000001</v>
      </c>
      <c r="J1593">
        <v>97.225920000000002</v>
      </c>
      <c r="K1593">
        <v>106.76304</v>
      </c>
      <c r="L1593">
        <v>87.888503999999998</v>
      </c>
    </row>
    <row r="1594" spans="1:12" x14ac:dyDescent="0.2">
      <c r="A1594" s="8" t="s">
        <v>32</v>
      </c>
      <c r="B1594" s="8" t="s">
        <v>96</v>
      </c>
      <c r="C1594" s="8" t="s">
        <v>293</v>
      </c>
      <c r="D1594" s="8" t="s">
        <v>294</v>
      </c>
      <c r="E1594" s="8" t="s">
        <v>59</v>
      </c>
      <c r="F1594" s="8" t="s">
        <v>60</v>
      </c>
      <c r="G1594" s="8" t="s">
        <v>7</v>
      </c>
      <c r="H1594" s="8" t="s">
        <v>38</v>
      </c>
      <c r="I1594" s="9">
        <v>115.01494</v>
      </c>
      <c r="J1594">
        <v>115.57764810387</v>
      </c>
      <c r="K1594">
        <v>116.11695335818</v>
      </c>
      <c r="L1594">
        <v>116.47102481226</v>
      </c>
    </row>
    <row r="1595" spans="1:12" x14ac:dyDescent="0.2">
      <c r="A1595" s="8" t="s">
        <v>32</v>
      </c>
      <c r="B1595" s="8" t="s">
        <v>96</v>
      </c>
      <c r="C1595" s="8" t="s">
        <v>293</v>
      </c>
      <c r="D1595" s="8" t="s">
        <v>294</v>
      </c>
      <c r="E1595" s="8" t="s">
        <v>76</v>
      </c>
      <c r="F1595" s="8" t="s">
        <v>77</v>
      </c>
      <c r="G1595" s="8" t="s">
        <v>7</v>
      </c>
      <c r="H1595" s="8" t="s">
        <v>38</v>
      </c>
      <c r="I1595" s="9">
        <v>16.761904999999999</v>
      </c>
      <c r="J1595">
        <v>18.228571433336</v>
      </c>
      <c r="K1595">
        <v>21.161904767431999</v>
      </c>
      <c r="L1595">
        <v>21.268245997419001</v>
      </c>
    </row>
    <row r="1596" spans="1:12" x14ac:dyDescent="0.2">
      <c r="A1596" s="8" t="s">
        <v>32</v>
      </c>
      <c r="B1596" s="8" t="s">
        <v>96</v>
      </c>
      <c r="C1596" s="8" t="s">
        <v>293</v>
      </c>
      <c r="D1596" s="8" t="s">
        <v>294</v>
      </c>
      <c r="E1596" s="8" t="s">
        <v>78</v>
      </c>
      <c r="F1596" s="8" t="s">
        <v>79</v>
      </c>
      <c r="G1596" s="8" t="s">
        <v>7</v>
      </c>
      <c r="H1596" s="8" t="s">
        <v>38</v>
      </c>
      <c r="I1596" s="9">
        <v>48.557133999999998</v>
      </c>
      <c r="J1596">
        <v>53.428561714285998</v>
      </c>
      <c r="K1596">
        <v>61.285703142857002</v>
      </c>
      <c r="L1596">
        <v>66.471416485714002</v>
      </c>
    </row>
    <row r="1597" spans="1:12" x14ac:dyDescent="0.2">
      <c r="A1597" s="8" t="s">
        <v>110</v>
      </c>
      <c r="B1597" s="8" t="s">
        <v>115</v>
      </c>
      <c r="C1597" s="8" t="s">
        <v>295</v>
      </c>
      <c r="D1597" s="8" t="s">
        <v>296</v>
      </c>
      <c r="E1597" s="8" t="s">
        <v>36</v>
      </c>
      <c r="F1597" s="8" t="s">
        <v>37</v>
      </c>
      <c r="G1597" s="8" t="s">
        <v>7</v>
      </c>
      <c r="H1597" s="8" t="s">
        <v>38</v>
      </c>
      <c r="I1597" s="9">
        <v>86508.756999999998</v>
      </c>
      <c r="J1597">
        <v>84990.597307529999</v>
      </c>
      <c r="K1597">
        <v>92658.666634830006</v>
      </c>
      <c r="L1597">
        <v>72510.731771150007</v>
      </c>
    </row>
    <row r="1598" spans="1:12" x14ac:dyDescent="0.2">
      <c r="A1598" s="8" t="s">
        <v>110</v>
      </c>
      <c r="B1598" s="8" t="s">
        <v>115</v>
      </c>
      <c r="C1598" s="8" t="s">
        <v>295</v>
      </c>
      <c r="D1598" s="8" t="s">
        <v>296</v>
      </c>
      <c r="E1598" s="8" t="s">
        <v>64</v>
      </c>
      <c r="F1598" s="8" t="s">
        <v>65</v>
      </c>
      <c r="G1598" s="8" t="s">
        <v>7</v>
      </c>
      <c r="H1598" s="8" t="s">
        <v>38</v>
      </c>
      <c r="I1598" s="9">
        <v>10549.57</v>
      </c>
      <c r="J1598">
        <v>12320.62261704</v>
      </c>
      <c r="K1598">
        <v>14152.255118790001</v>
      </c>
      <c r="L1598">
        <v>13442.772010944</v>
      </c>
    </row>
    <row r="1599" spans="1:12" x14ac:dyDescent="0.2">
      <c r="A1599" s="8" t="s">
        <v>110</v>
      </c>
      <c r="B1599" s="8" t="s">
        <v>115</v>
      </c>
      <c r="C1599" s="8" t="s">
        <v>295</v>
      </c>
      <c r="D1599" s="8" t="s">
        <v>296</v>
      </c>
      <c r="E1599" s="8" t="s">
        <v>39</v>
      </c>
      <c r="F1599" s="8" t="s">
        <v>40</v>
      </c>
      <c r="G1599" s="8" t="s">
        <v>7</v>
      </c>
      <c r="H1599" s="8" t="s">
        <v>38</v>
      </c>
      <c r="I1599" s="9">
        <v>29483.471000000001</v>
      </c>
      <c r="J1599">
        <v>42006.197313930003</v>
      </c>
      <c r="K1599">
        <v>38803.24783765</v>
      </c>
      <c r="L1599">
        <v>36216.879259007001</v>
      </c>
    </row>
    <row r="1600" spans="1:12" x14ac:dyDescent="0.2">
      <c r="A1600" s="8" t="s">
        <v>110</v>
      </c>
      <c r="B1600" s="8" t="s">
        <v>115</v>
      </c>
      <c r="C1600" s="8" t="s">
        <v>295</v>
      </c>
      <c r="D1600" s="8" t="s">
        <v>296</v>
      </c>
      <c r="E1600" s="8" t="s">
        <v>41</v>
      </c>
      <c r="F1600" s="8" t="s">
        <v>42</v>
      </c>
      <c r="G1600" s="8" t="s">
        <v>7</v>
      </c>
      <c r="H1600" s="8" t="s">
        <v>38</v>
      </c>
      <c r="I1600" s="9">
        <v>1030.2019</v>
      </c>
      <c r="J1600">
        <v>1413.7270134</v>
      </c>
      <c r="K1600">
        <v>2437.418353</v>
      </c>
      <c r="L1600">
        <v>3024.5193962148001</v>
      </c>
    </row>
    <row r="1601" spans="1:12" x14ac:dyDescent="0.2">
      <c r="A1601" s="8" t="s">
        <v>110</v>
      </c>
      <c r="B1601" s="8" t="s">
        <v>115</v>
      </c>
      <c r="C1601" s="8" t="s">
        <v>295</v>
      </c>
      <c r="D1601" s="8" t="s">
        <v>296</v>
      </c>
      <c r="E1601" s="8" t="s">
        <v>43</v>
      </c>
      <c r="F1601" s="8" t="s">
        <v>44</v>
      </c>
      <c r="G1601" s="8" t="s">
        <v>7</v>
      </c>
      <c r="H1601" s="8" t="s">
        <v>38</v>
      </c>
      <c r="I1601" s="9">
        <v>77271.372000000003</v>
      </c>
      <c r="J1601">
        <v>94022.486589288994</v>
      </c>
      <c r="K1601">
        <v>98859.516205699998</v>
      </c>
      <c r="L1601">
        <v>99409.619673116002</v>
      </c>
    </row>
    <row r="1602" spans="1:12" x14ac:dyDescent="0.2">
      <c r="A1602" s="8" t="s">
        <v>110</v>
      </c>
      <c r="B1602" s="8" t="s">
        <v>115</v>
      </c>
      <c r="C1602" s="8" t="s">
        <v>295</v>
      </c>
      <c r="D1602" s="8" t="s">
        <v>296</v>
      </c>
      <c r="E1602" s="8" t="s">
        <v>66</v>
      </c>
      <c r="F1602" s="8" t="s">
        <v>67</v>
      </c>
      <c r="G1602" s="8" t="s">
        <v>7</v>
      </c>
      <c r="H1602" s="8" t="s">
        <v>38</v>
      </c>
      <c r="I1602" s="9">
        <v>136.86972</v>
      </c>
      <c r="J1602">
        <v>118.33990077</v>
      </c>
      <c r="K1602">
        <v>35.124037260000001</v>
      </c>
      <c r="L1602">
        <v>36.989799585546002</v>
      </c>
    </row>
    <row r="1603" spans="1:12" x14ac:dyDescent="0.2">
      <c r="A1603" s="8" t="s">
        <v>110</v>
      </c>
      <c r="B1603" s="8" t="s">
        <v>115</v>
      </c>
      <c r="C1603" s="8" t="s">
        <v>295</v>
      </c>
      <c r="D1603" s="8" t="s">
        <v>296</v>
      </c>
      <c r="E1603" s="8" t="s">
        <v>45</v>
      </c>
      <c r="F1603" s="8" t="s">
        <v>46</v>
      </c>
      <c r="G1603" s="8" t="s">
        <v>7</v>
      </c>
      <c r="H1603" s="8" t="s">
        <v>38</v>
      </c>
      <c r="I1603" s="9">
        <v>1778.8603000000001</v>
      </c>
      <c r="J1603">
        <v>1712.78556768</v>
      </c>
      <c r="K1603">
        <v>1689.6222773699999</v>
      </c>
      <c r="L1603">
        <v>1628.6374050518</v>
      </c>
    </row>
    <row r="1604" spans="1:12" x14ac:dyDescent="0.2">
      <c r="A1604" s="8" t="s">
        <v>110</v>
      </c>
      <c r="B1604" s="8" t="s">
        <v>115</v>
      </c>
      <c r="C1604" s="8" t="s">
        <v>295</v>
      </c>
      <c r="D1604" s="8" t="s">
        <v>296</v>
      </c>
      <c r="E1604" s="8" t="s">
        <v>47</v>
      </c>
      <c r="F1604" s="8" t="s">
        <v>48</v>
      </c>
      <c r="G1604" s="8" t="s">
        <v>7</v>
      </c>
      <c r="H1604" s="8" t="s">
        <v>38</v>
      </c>
      <c r="I1604" s="9">
        <v>457.52150999999998</v>
      </c>
      <c r="J1604">
        <v>856.33300268999994</v>
      </c>
      <c r="K1604">
        <v>809.11353731999998</v>
      </c>
      <c r="L1604">
        <v>682.50178216427003</v>
      </c>
    </row>
    <row r="1605" spans="1:12" x14ac:dyDescent="0.2">
      <c r="A1605" s="8" t="s">
        <v>110</v>
      </c>
      <c r="B1605" s="8" t="s">
        <v>115</v>
      </c>
      <c r="C1605" s="8" t="s">
        <v>295</v>
      </c>
      <c r="D1605" s="8" t="s">
        <v>296</v>
      </c>
      <c r="E1605" s="8" t="s">
        <v>49</v>
      </c>
      <c r="F1605" s="8" t="s">
        <v>50</v>
      </c>
      <c r="G1605" s="8" t="s">
        <v>7</v>
      </c>
      <c r="H1605" s="8" t="s">
        <v>38</v>
      </c>
      <c r="I1605" s="9">
        <v>66919.328999999998</v>
      </c>
      <c r="J1605">
        <v>69039.184841430004</v>
      </c>
      <c r="K1605">
        <v>60358.835757200002</v>
      </c>
      <c r="L1605">
        <v>56175.260463653001</v>
      </c>
    </row>
    <row r="1606" spans="1:12" x14ac:dyDescent="0.2">
      <c r="A1606" s="8" t="s">
        <v>110</v>
      </c>
      <c r="B1606" s="8" t="s">
        <v>115</v>
      </c>
      <c r="C1606" s="8" t="s">
        <v>295</v>
      </c>
      <c r="D1606" s="8" t="s">
        <v>296</v>
      </c>
      <c r="E1606" s="8" t="s">
        <v>51</v>
      </c>
      <c r="F1606" s="8" t="s">
        <v>52</v>
      </c>
      <c r="G1606" s="8" t="s">
        <v>7</v>
      </c>
      <c r="H1606" s="8" t="s">
        <v>38</v>
      </c>
      <c r="I1606" s="9">
        <v>90.184351000000007</v>
      </c>
      <c r="J1606">
        <v>283.40043488999999</v>
      </c>
      <c r="K1606">
        <v>485.58359849999999</v>
      </c>
      <c r="L1606">
        <v>503.31416849999999</v>
      </c>
    </row>
    <row r="1607" spans="1:12" x14ac:dyDescent="0.2">
      <c r="A1607" s="8" t="s">
        <v>110</v>
      </c>
      <c r="B1607" s="8" t="s">
        <v>115</v>
      </c>
      <c r="C1607" s="8" t="s">
        <v>295</v>
      </c>
      <c r="D1607" s="8" t="s">
        <v>296</v>
      </c>
      <c r="E1607" s="8" t="s">
        <v>68</v>
      </c>
      <c r="F1607" s="8" t="s">
        <v>69</v>
      </c>
      <c r="G1607" s="8" t="s">
        <v>7</v>
      </c>
      <c r="H1607" s="8" t="s">
        <v>38</v>
      </c>
      <c r="I1607" s="9">
        <v>329.18535000000003</v>
      </c>
      <c r="J1607">
        <v>253.08891267000001</v>
      </c>
      <c r="K1607">
        <v>142.05546716999999</v>
      </c>
      <c r="L1607">
        <v>350.3716595102</v>
      </c>
    </row>
    <row r="1608" spans="1:12" x14ac:dyDescent="0.2">
      <c r="A1608" s="8" t="s">
        <v>110</v>
      </c>
      <c r="B1608" s="8" t="s">
        <v>115</v>
      </c>
      <c r="C1608" s="8" t="s">
        <v>295</v>
      </c>
      <c r="D1608" s="8" t="s">
        <v>296</v>
      </c>
      <c r="E1608" s="8" t="s">
        <v>53</v>
      </c>
      <c r="F1608" s="8" t="s">
        <v>54</v>
      </c>
      <c r="G1608" s="8" t="s">
        <v>7</v>
      </c>
      <c r="H1608" s="8" t="s">
        <v>38</v>
      </c>
      <c r="I1608" s="9">
        <v>534.66508999999996</v>
      </c>
      <c r="J1608">
        <v>477.64994006321001</v>
      </c>
      <c r="K1608">
        <v>620.72971525185005</v>
      </c>
      <c r="L1608">
        <v>542.53386954918005</v>
      </c>
    </row>
    <row r="1609" spans="1:12" x14ac:dyDescent="0.2">
      <c r="A1609" s="8" t="s">
        <v>110</v>
      </c>
      <c r="B1609" s="8" t="s">
        <v>115</v>
      </c>
      <c r="C1609" s="8" t="s">
        <v>295</v>
      </c>
      <c r="D1609" s="8" t="s">
        <v>296</v>
      </c>
      <c r="E1609" s="8" t="s">
        <v>70</v>
      </c>
      <c r="F1609" s="8" t="s">
        <v>71</v>
      </c>
      <c r="G1609" s="8" t="s">
        <v>7</v>
      </c>
      <c r="H1609" s="8" t="s">
        <v>38</v>
      </c>
      <c r="I1609" s="9">
        <v>7458.2150000000001</v>
      </c>
      <c r="J1609">
        <v>8446.2985398205001</v>
      </c>
      <c r="K1609">
        <v>8421.4854454856995</v>
      </c>
      <c r="L1609">
        <v>8411.9848508307005</v>
      </c>
    </row>
    <row r="1610" spans="1:12" x14ac:dyDescent="0.2">
      <c r="A1610" s="8" t="s">
        <v>110</v>
      </c>
      <c r="B1610" s="8" t="s">
        <v>115</v>
      </c>
      <c r="C1610" s="8" t="s">
        <v>295</v>
      </c>
      <c r="D1610" s="8" t="s">
        <v>296</v>
      </c>
      <c r="E1610" s="8" t="s">
        <v>83</v>
      </c>
      <c r="F1610" s="8" t="s">
        <v>84</v>
      </c>
      <c r="G1610" s="8" t="s">
        <v>7</v>
      </c>
      <c r="H1610" s="8" t="s">
        <v>38</v>
      </c>
      <c r="I1610" s="9">
        <v>2187</v>
      </c>
      <c r="J1610">
        <v>2433.75</v>
      </c>
      <c r="K1610">
        <v>1829.25</v>
      </c>
      <c r="L1610">
        <v>1800</v>
      </c>
    </row>
    <row r="1611" spans="1:12" x14ac:dyDescent="0.2">
      <c r="A1611" s="8" t="s">
        <v>110</v>
      </c>
      <c r="B1611" s="8" t="s">
        <v>115</v>
      </c>
      <c r="C1611" s="8" t="s">
        <v>295</v>
      </c>
      <c r="D1611" s="8" t="s">
        <v>296</v>
      </c>
      <c r="E1611" s="8" t="s">
        <v>55</v>
      </c>
      <c r="F1611" s="8" t="s">
        <v>56</v>
      </c>
      <c r="G1611" s="8" t="s">
        <v>7</v>
      </c>
      <c r="H1611" s="8" t="s">
        <v>38</v>
      </c>
      <c r="I1611" s="9">
        <v>822.58456999999999</v>
      </c>
      <c r="J1611">
        <v>890.09318708429998</v>
      </c>
      <c r="K1611">
        <v>890.09318708429998</v>
      </c>
      <c r="L1611">
        <v>890.09318708429998</v>
      </c>
    </row>
    <row r="1612" spans="1:12" x14ac:dyDescent="0.2">
      <c r="A1612" s="8" t="s">
        <v>110</v>
      </c>
      <c r="B1612" s="8" t="s">
        <v>115</v>
      </c>
      <c r="C1612" s="8" t="s">
        <v>295</v>
      </c>
      <c r="D1612" s="8" t="s">
        <v>296</v>
      </c>
      <c r="E1612" s="8" t="s">
        <v>57</v>
      </c>
      <c r="F1612" s="8" t="s">
        <v>58</v>
      </c>
      <c r="G1612" s="8" t="s">
        <v>7</v>
      </c>
      <c r="H1612" s="8" t="s">
        <v>38</v>
      </c>
      <c r="I1612" s="9">
        <v>840.19867999999997</v>
      </c>
      <c r="J1612">
        <v>909.15287733514003</v>
      </c>
      <c r="K1612">
        <v>909.15287733514003</v>
      </c>
      <c r="L1612">
        <v>909.15287733514003</v>
      </c>
    </row>
    <row r="1613" spans="1:12" x14ac:dyDescent="0.2">
      <c r="A1613" s="8" t="s">
        <v>110</v>
      </c>
      <c r="B1613" s="8" t="s">
        <v>115</v>
      </c>
      <c r="C1613" s="8" t="s">
        <v>295</v>
      </c>
      <c r="D1613" s="8" t="s">
        <v>296</v>
      </c>
      <c r="E1613" s="8" t="s">
        <v>72</v>
      </c>
      <c r="F1613" s="8" t="s">
        <v>73</v>
      </c>
      <c r="G1613" s="8" t="s">
        <v>7</v>
      </c>
      <c r="H1613" s="8" t="s">
        <v>38</v>
      </c>
      <c r="I1613" s="9">
        <v>3865.8126999999999</v>
      </c>
      <c r="J1613">
        <v>3737.2496192888998</v>
      </c>
      <c r="K1613">
        <v>3086.5721816917999</v>
      </c>
      <c r="L1613">
        <v>3282.3155439808002</v>
      </c>
    </row>
    <row r="1614" spans="1:12" x14ac:dyDescent="0.2">
      <c r="A1614" s="8" t="s">
        <v>110</v>
      </c>
      <c r="B1614" s="8" t="s">
        <v>115</v>
      </c>
      <c r="C1614" s="8" t="s">
        <v>295</v>
      </c>
      <c r="D1614" s="8" t="s">
        <v>296</v>
      </c>
      <c r="E1614" s="8" t="s">
        <v>74</v>
      </c>
      <c r="F1614" s="8" t="s">
        <v>75</v>
      </c>
      <c r="G1614" s="8" t="s">
        <v>7</v>
      </c>
      <c r="H1614" s="8" t="s">
        <v>38</v>
      </c>
      <c r="I1614" s="9">
        <v>1447.7001</v>
      </c>
      <c r="J1614">
        <v>1613.1277853398001</v>
      </c>
      <c r="K1614">
        <v>1446.9866099911001</v>
      </c>
      <c r="L1614">
        <v>1357.7608884562001</v>
      </c>
    </row>
    <row r="1615" spans="1:12" x14ac:dyDescent="0.2">
      <c r="A1615" s="8" t="s">
        <v>110</v>
      </c>
      <c r="B1615" s="8" t="s">
        <v>115</v>
      </c>
      <c r="C1615" s="8" t="s">
        <v>295</v>
      </c>
      <c r="D1615" s="8" t="s">
        <v>296</v>
      </c>
      <c r="E1615" s="8" t="s">
        <v>59</v>
      </c>
      <c r="F1615" s="8" t="s">
        <v>60</v>
      </c>
      <c r="G1615" s="8" t="s">
        <v>7</v>
      </c>
      <c r="H1615" s="8" t="s">
        <v>38</v>
      </c>
      <c r="I1615" s="9">
        <v>2584.4533000000001</v>
      </c>
      <c r="J1615">
        <v>4184.6506821058001</v>
      </c>
      <c r="K1615">
        <v>2732.6497110996002</v>
      </c>
      <c r="L1615">
        <v>2540.6453592384</v>
      </c>
    </row>
    <row r="1616" spans="1:12" x14ac:dyDescent="0.2">
      <c r="A1616" s="8" t="s">
        <v>110</v>
      </c>
      <c r="B1616" s="8" t="s">
        <v>115</v>
      </c>
      <c r="C1616" s="8" t="s">
        <v>295</v>
      </c>
      <c r="D1616" s="8" t="s">
        <v>296</v>
      </c>
      <c r="E1616" s="8" t="s">
        <v>76</v>
      </c>
      <c r="F1616" s="8" t="s">
        <v>77</v>
      </c>
      <c r="G1616" s="8" t="s">
        <v>7</v>
      </c>
      <c r="H1616" s="8" t="s">
        <v>38</v>
      </c>
      <c r="I1616" s="9">
        <v>362.47618999999997</v>
      </c>
      <c r="J1616">
        <v>270.70476195312</v>
      </c>
      <c r="K1616">
        <v>269.86666671482999</v>
      </c>
      <c r="L1616">
        <v>265.55145556194998</v>
      </c>
    </row>
    <row r="1617" spans="1:12" x14ac:dyDescent="0.2">
      <c r="A1617" s="8" t="s">
        <v>110</v>
      </c>
      <c r="B1617" s="8" t="s">
        <v>115</v>
      </c>
      <c r="C1617" s="8" t="s">
        <v>295</v>
      </c>
      <c r="D1617" s="8" t="s">
        <v>296</v>
      </c>
      <c r="E1617" s="8" t="s">
        <v>78</v>
      </c>
      <c r="F1617" s="8" t="s">
        <v>79</v>
      </c>
      <c r="G1617" s="8" t="s">
        <v>7</v>
      </c>
      <c r="H1617" s="8" t="s">
        <v>38</v>
      </c>
      <c r="I1617" s="9">
        <v>540.57132999999999</v>
      </c>
      <c r="J1617">
        <v>350.42850771428999</v>
      </c>
      <c r="K1617">
        <v>349.32850791429001</v>
      </c>
      <c r="L1617">
        <v>307.30851555429001</v>
      </c>
    </row>
    <row r="1618" spans="1:12" x14ac:dyDescent="0.2">
      <c r="A1618" s="8" t="s">
        <v>110</v>
      </c>
      <c r="B1618" s="8" t="s">
        <v>115</v>
      </c>
      <c r="C1618" s="8" t="s">
        <v>295</v>
      </c>
      <c r="D1618" s="8" t="s">
        <v>296</v>
      </c>
      <c r="E1618" s="8" t="s">
        <v>92</v>
      </c>
      <c r="F1618" s="8" t="s">
        <v>93</v>
      </c>
      <c r="G1618" s="8" t="s">
        <v>7</v>
      </c>
      <c r="H1618" s="8" t="s">
        <v>38</v>
      </c>
      <c r="I1618" s="9">
        <v>14.448715</v>
      </c>
      <c r="J1618">
        <v>18.554537381178999</v>
      </c>
      <c r="K1618">
        <v>18.444252574926001</v>
      </c>
      <c r="L1618">
        <v>19.133276029194999</v>
      </c>
    </row>
    <row r="1619" spans="1:12" x14ac:dyDescent="0.2">
      <c r="A1619" s="8" t="s">
        <v>32</v>
      </c>
      <c r="B1619" s="8" t="s">
        <v>33</v>
      </c>
      <c r="C1619" s="8" t="s">
        <v>297</v>
      </c>
      <c r="D1619" s="8" t="s">
        <v>298</v>
      </c>
      <c r="E1619" s="8" t="s">
        <v>36</v>
      </c>
      <c r="F1619" s="8" t="s">
        <v>37</v>
      </c>
      <c r="G1619" s="8" t="s">
        <v>7</v>
      </c>
      <c r="H1619" s="8" t="s">
        <v>38</v>
      </c>
      <c r="I1619" s="9">
        <v>2160.6309999999999</v>
      </c>
      <c r="J1619">
        <v>2203.0170347100002</v>
      </c>
      <c r="K1619">
        <v>2320.5991811099998</v>
      </c>
      <c r="L1619">
        <v>2471.9254928662999</v>
      </c>
    </row>
    <row r="1620" spans="1:12" x14ac:dyDescent="0.2">
      <c r="A1620" s="8" t="s">
        <v>32</v>
      </c>
      <c r="B1620" s="8" t="s">
        <v>33</v>
      </c>
      <c r="C1620" s="8" t="s">
        <v>297</v>
      </c>
      <c r="D1620" s="8" t="s">
        <v>298</v>
      </c>
      <c r="E1620" s="8" t="s">
        <v>64</v>
      </c>
      <c r="F1620" s="8" t="s">
        <v>65</v>
      </c>
      <c r="G1620" s="8" t="s">
        <v>7</v>
      </c>
      <c r="H1620" s="8" t="s">
        <v>38</v>
      </c>
      <c r="I1620" s="9">
        <v>30.717233</v>
      </c>
      <c r="J1620">
        <v>31.476401280000001</v>
      </c>
      <c r="K1620">
        <v>27.367522560000001</v>
      </c>
      <c r="L1620">
        <v>29.990270812736</v>
      </c>
    </row>
    <row r="1621" spans="1:12" x14ac:dyDescent="0.2">
      <c r="A1621" s="8" t="s">
        <v>32</v>
      </c>
      <c r="B1621" s="8" t="s">
        <v>33</v>
      </c>
      <c r="C1621" s="8" t="s">
        <v>297</v>
      </c>
      <c r="D1621" s="8" t="s">
        <v>298</v>
      </c>
      <c r="E1621" s="8" t="s">
        <v>39</v>
      </c>
      <c r="F1621" s="8" t="s">
        <v>40</v>
      </c>
      <c r="G1621" s="8" t="s">
        <v>7</v>
      </c>
      <c r="H1621" s="8" t="s">
        <v>38</v>
      </c>
      <c r="I1621" s="9">
        <v>1211.865</v>
      </c>
      <c r="J1621">
        <v>1044.1087977</v>
      </c>
      <c r="K1621">
        <v>1451.54396808</v>
      </c>
      <c r="L1621">
        <v>1457.9638598541001</v>
      </c>
    </row>
    <row r="1622" spans="1:12" x14ac:dyDescent="0.2">
      <c r="A1622" s="8" t="s">
        <v>32</v>
      </c>
      <c r="B1622" s="8" t="s">
        <v>33</v>
      </c>
      <c r="C1622" s="8" t="s">
        <v>297</v>
      </c>
      <c r="D1622" s="8" t="s">
        <v>298</v>
      </c>
      <c r="E1622" s="8" t="s">
        <v>41</v>
      </c>
      <c r="F1622" s="8" t="s">
        <v>42</v>
      </c>
      <c r="G1622" s="8" t="s">
        <v>7</v>
      </c>
      <c r="H1622" s="8" t="s">
        <v>38</v>
      </c>
      <c r="I1622" s="9">
        <v>1.6772898999999999</v>
      </c>
      <c r="J1622">
        <v>1.6772898999999999</v>
      </c>
      <c r="K1622">
        <v>4.19667105</v>
      </c>
      <c r="L1622">
        <v>4.7916307105455003</v>
      </c>
    </row>
    <row r="1623" spans="1:12" x14ac:dyDescent="0.2">
      <c r="A1623" s="8" t="s">
        <v>32</v>
      </c>
      <c r="B1623" s="8" t="s">
        <v>33</v>
      </c>
      <c r="C1623" s="8" t="s">
        <v>297</v>
      </c>
      <c r="D1623" s="8" t="s">
        <v>298</v>
      </c>
      <c r="E1623" s="8" t="s">
        <v>43</v>
      </c>
      <c r="F1623" s="8" t="s">
        <v>44</v>
      </c>
      <c r="G1623" s="8" t="s">
        <v>7</v>
      </c>
      <c r="H1623" s="8" t="s">
        <v>38</v>
      </c>
      <c r="I1623" s="9">
        <v>1632.4549</v>
      </c>
      <c r="J1623">
        <v>2316.93652161</v>
      </c>
      <c r="K1623">
        <v>2542.70164548</v>
      </c>
      <c r="L1623">
        <v>2537.5529617860002</v>
      </c>
    </row>
    <row r="1624" spans="1:12" x14ac:dyDescent="0.2">
      <c r="A1624" s="8" t="s">
        <v>32</v>
      </c>
      <c r="B1624" s="8" t="s">
        <v>33</v>
      </c>
      <c r="C1624" s="8" t="s">
        <v>297</v>
      </c>
      <c r="D1624" s="8" t="s">
        <v>298</v>
      </c>
      <c r="E1624" s="8" t="s">
        <v>66</v>
      </c>
      <c r="F1624" s="8" t="s">
        <v>67</v>
      </c>
      <c r="G1624" s="8" t="s">
        <v>7</v>
      </c>
      <c r="H1624" s="8" t="s">
        <v>38</v>
      </c>
      <c r="I1624" s="9"/>
    </row>
    <row r="1625" spans="1:12" x14ac:dyDescent="0.2">
      <c r="A1625" s="8" t="s">
        <v>32</v>
      </c>
      <c r="B1625" s="8" t="s">
        <v>33</v>
      </c>
      <c r="C1625" s="8" t="s">
        <v>297</v>
      </c>
      <c r="D1625" s="8" t="s">
        <v>298</v>
      </c>
      <c r="E1625" s="8" t="s">
        <v>45</v>
      </c>
      <c r="F1625" s="8" t="s">
        <v>46</v>
      </c>
      <c r="G1625" s="8" t="s">
        <v>7</v>
      </c>
      <c r="H1625" s="8" t="s">
        <v>38</v>
      </c>
      <c r="I1625" s="9">
        <v>48.528964000000002</v>
      </c>
      <c r="J1625">
        <v>48.528964379999998</v>
      </c>
      <c r="K1625">
        <v>49.988964090000003</v>
      </c>
      <c r="L1625">
        <v>53.269337413933997</v>
      </c>
    </row>
    <row r="1626" spans="1:12" x14ac:dyDescent="0.2">
      <c r="A1626" s="8" t="s">
        <v>32</v>
      </c>
      <c r="B1626" s="8" t="s">
        <v>33</v>
      </c>
      <c r="C1626" s="8" t="s">
        <v>297</v>
      </c>
      <c r="D1626" s="8" t="s">
        <v>298</v>
      </c>
      <c r="E1626" s="8" t="s">
        <v>49</v>
      </c>
      <c r="F1626" s="8" t="s">
        <v>50</v>
      </c>
      <c r="G1626" s="8" t="s">
        <v>7</v>
      </c>
      <c r="H1626" s="8" t="s">
        <v>38</v>
      </c>
      <c r="I1626" s="9">
        <v>376.49662000000001</v>
      </c>
      <c r="J1626">
        <v>364.06895921</v>
      </c>
      <c r="K1626">
        <v>667.86756580999997</v>
      </c>
      <c r="L1626">
        <v>697.92318276973003</v>
      </c>
    </row>
    <row r="1627" spans="1:12" x14ac:dyDescent="0.2">
      <c r="A1627" s="8" t="s">
        <v>32</v>
      </c>
      <c r="B1627" s="8" t="s">
        <v>33</v>
      </c>
      <c r="C1627" s="8" t="s">
        <v>297</v>
      </c>
      <c r="D1627" s="8" t="s">
        <v>298</v>
      </c>
      <c r="E1627" s="8" t="s">
        <v>51</v>
      </c>
      <c r="F1627" s="8" t="s">
        <v>52</v>
      </c>
      <c r="G1627" s="8" t="s">
        <v>7</v>
      </c>
      <c r="H1627" s="8" t="s">
        <v>38</v>
      </c>
      <c r="I1627" s="9"/>
    </row>
    <row r="1628" spans="1:12" x14ac:dyDescent="0.2">
      <c r="A1628" s="8" t="s">
        <v>32</v>
      </c>
      <c r="B1628" s="8" t="s">
        <v>33</v>
      </c>
      <c r="C1628" s="8" t="s">
        <v>297</v>
      </c>
      <c r="D1628" s="8" t="s">
        <v>298</v>
      </c>
      <c r="E1628" s="8" t="s">
        <v>53</v>
      </c>
      <c r="F1628" s="8" t="s">
        <v>54</v>
      </c>
      <c r="G1628" s="8" t="s">
        <v>7</v>
      </c>
      <c r="H1628" s="8" t="s">
        <v>38</v>
      </c>
      <c r="I1628" s="9">
        <v>19.427016999999999</v>
      </c>
      <c r="J1628">
        <v>7.1063752165149001</v>
      </c>
      <c r="K1628">
        <v>3.5208501681306998</v>
      </c>
      <c r="L1628">
        <v>3.5208757697755</v>
      </c>
    </row>
    <row r="1629" spans="1:12" x14ac:dyDescent="0.2">
      <c r="A1629" s="8" t="s">
        <v>32</v>
      </c>
      <c r="B1629" s="8" t="s">
        <v>33</v>
      </c>
      <c r="C1629" s="8" t="s">
        <v>297</v>
      </c>
      <c r="D1629" s="8" t="s">
        <v>298</v>
      </c>
      <c r="E1629" s="8" t="s">
        <v>70</v>
      </c>
      <c r="F1629" s="8" t="s">
        <v>71</v>
      </c>
      <c r="G1629" s="8" t="s">
        <v>7</v>
      </c>
      <c r="H1629" s="8" t="s">
        <v>38</v>
      </c>
      <c r="I1629" s="9">
        <v>350.92977999999999</v>
      </c>
      <c r="J1629">
        <v>365.48963434500001</v>
      </c>
      <c r="K1629">
        <v>357.276384135</v>
      </c>
      <c r="L1629">
        <v>356.87332720075</v>
      </c>
    </row>
    <row r="1630" spans="1:12" x14ac:dyDescent="0.2">
      <c r="A1630" s="8" t="s">
        <v>32</v>
      </c>
      <c r="B1630" s="8" t="s">
        <v>33</v>
      </c>
      <c r="C1630" s="8" t="s">
        <v>297</v>
      </c>
      <c r="D1630" s="8" t="s">
        <v>298</v>
      </c>
      <c r="E1630" s="8" t="s">
        <v>83</v>
      </c>
      <c r="F1630" s="8" t="s">
        <v>84</v>
      </c>
      <c r="G1630" s="8" t="s">
        <v>7</v>
      </c>
      <c r="H1630" s="8" t="s">
        <v>38</v>
      </c>
      <c r="I1630" s="9">
        <v>82.5</v>
      </c>
      <c r="J1630">
        <v>82.5</v>
      </c>
      <c r="K1630">
        <v>82.5</v>
      </c>
      <c r="L1630">
        <v>82.5</v>
      </c>
    </row>
    <row r="1631" spans="1:12" x14ac:dyDescent="0.2">
      <c r="A1631" s="8" t="s">
        <v>32</v>
      </c>
      <c r="B1631" s="8" t="s">
        <v>33</v>
      </c>
      <c r="C1631" s="8" t="s">
        <v>297</v>
      </c>
      <c r="D1631" s="8" t="s">
        <v>298</v>
      </c>
      <c r="E1631" s="8" t="s">
        <v>55</v>
      </c>
      <c r="F1631" s="8" t="s">
        <v>56</v>
      </c>
      <c r="G1631" s="8" t="s">
        <v>7</v>
      </c>
      <c r="H1631" s="8" t="s">
        <v>38</v>
      </c>
      <c r="I1631" s="9">
        <v>0.17453270000000001</v>
      </c>
      <c r="J1631">
        <v>0.19548111612512001</v>
      </c>
      <c r="K1631">
        <v>0.19548111612512001</v>
      </c>
      <c r="L1631">
        <v>0.19548111612512001</v>
      </c>
    </row>
    <row r="1632" spans="1:12" x14ac:dyDescent="0.2">
      <c r="A1632" s="8" t="s">
        <v>32</v>
      </c>
      <c r="B1632" s="8" t="s">
        <v>33</v>
      </c>
      <c r="C1632" s="8" t="s">
        <v>297</v>
      </c>
      <c r="D1632" s="8" t="s">
        <v>298</v>
      </c>
      <c r="E1632" s="8" t="s">
        <v>57</v>
      </c>
      <c r="F1632" s="8" t="s">
        <v>58</v>
      </c>
      <c r="G1632" s="8" t="s">
        <v>7</v>
      </c>
      <c r="H1632" s="8" t="s">
        <v>38</v>
      </c>
      <c r="I1632" s="9">
        <v>0.15570390000000001</v>
      </c>
      <c r="J1632">
        <v>0.17439236806778</v>
      </c>
      <c r="K1632">
        <v>0.17439236806778</v>
      </c>
      <c r="L1632">
        <v>0.17439236806778</v>
      </c>
    </row>
    <row r="1633" spans="1:12" x14ac:dyDescent="0.2">
      <c r="A1633" s="8" t="s">
        <v>32</v>
      </c>
      <c r="B1633" s="8" t="s">
        <v>33</v>
      </c>
      <c r="C1633" s="8" t="s">
        <v>297</v>
      </c>
      <c r="D1633" s="8" t="s">
        <v>298</v>
      </c>
      <c r="E1633" s="8" t="s">
        <v>74</v>
      </c>
      <c r="F1633" s="8" t="s">
        <v>75</v>
      </c>
      <c r="G1633" s="8" t="s">
        <v>7</v>
      </c>
      <c r="H1633" s="8" t="s">
        <v>38</v>
      </c>
      <c r="I1633" s="9"/>
    </row>
    <row r="1634" spans="1:12" x14ac:dyDescent="0.2">
      <c r="A1634" s="8" t="s">
        <v>32</v>
      </c>
      <c r="B1634" s="8" t="s">
        <v>33</v>
      </c>
      <c r="C1634" s="8" t="s">
        <v>297</v>
      </c>
      <c r="D1634" s="8" t="s">
        <v>298</v>
      </c>
      <c r="E1634" s="8" t="s">
        <v>59</v>
      </c>
      <c r="F1634" s="8" t="s">
        <v>60</v>
      </c>
      <c r="G1634" s="8" t="s">
        <v>7</v>
      </c>
      <c r="H1634" s="8" t="s">
        <v>38</v>
      </c>
      <c r="I1634" s="9">
        <v>6.6609655999999999</v>
      </c>
      <c r="J1634">
        <v>6.4407883252599998</v>
      </c>
      <c r="K1634">
        <v>6.4485373114066</v>
      </c>
      <c r="L1634">
        <v>6.4809337132026998</v>
      </c>
    </row>
    <row r="1635" spans="1:12" x14ac:dyDescent="0.2">
      <c r="A1635" s="8" t="s">
        <v>32</v>
      </c>
      <c r="B1635" s="8" t="s">
        <v>33</v>
      </c>
      <c r="C1635" s="8" t="s">
        <v>297</v>
      </c>
      <c r="D1635" s="8" t="s">
        <v>298</v>
      </c>
      <c r="E1635" s="8" t="s">
        <v>92</v>
      </c>
      <c r="F1635" s="8" t="s">
        <v>93</v>
      </c>
      <c r="G1635" s="8" t="s">
        <v>7</v>
      </c>
      <c r="H1635" s="8" t="s">
        <v>38</v>
      </c>
      <c r="I1635" s="9">
        <v>0.69302980000000003</v>
      </c>
      <c r="J1635">
        <v>0.69302980666822001</v>
      </c>
      <c r="K1635">
        <v>0.69302980666822001</v>
      </c>
      <c r="L1635">
        <v>0.69628338765377995</v>
      </c>
    </row>
    <row r="1636" spans="1:12" x14ac:dyDescent="0.2">
      <c r="A1636" s="8" t="s">
        <v>32</v>
      </c>
      <c r="B1636" s="8" t="s">
        <v>96</v>
      </c>
      <c r="C1636" s="8" t="s">
        <v>299</v>
      </c>
      <c r="D1636" s="8" t="s">
        <v>300</v>
      </c>
      <c r="E1636" s="8" t="s">
        <v>36</v>
      </c>
      <c r="F1636" s="8" t="s">
        <v>37</v>
      </c>
      <c r="G1636" s="8" t="s">
        <v>7</v>
      </c>
      <c r="H1636" s="8" t="s">
        <v>38</v>
      </c>
      <c r="I1636" s="9">
        <v>8221.9966000000004</v>
      </c>
      <c r="J1636">
        <v>8117.2714558199996</v>
      </c>
      <c r="K1636">
        <v>8498.9911942799008</v>
      </c>
      <c r="L1636">
        <v>8431.9280532242992</v>
      </c>
    </row>
    <row r="1637" spans="1:12" x14ac:dyDescent="0.2">
      <c r="A1637" s="8" t="s">
        <v>32</v>
      </c>
      <c r="B1637" s="8" t="s">
        <v>96</v>
      </c>
      <c r="C1637" s="8" t="s">
        <v>299</v>
      </c>
      <c r="D1637" s="8" t="s">
        <v>300</v>
      </c>
      <c r="E1637" s="8" t="s">
        <v>64</v>
      </c>
      <c r="F1637" s="8" t="s">
        <v>65</v>
      </c>
      <c r="G1637" s="8" t="s">
        <v>7</v>
      </c>
      <c r="H1637" s="8" t="s">
        <v>38</v>
      </c>
      <c r="I1637" s="9">
        <v>443.38468999999998</v>
      </c>
      <c r="J1637">
        <v>378.30892427999999</v>
      </c>
      <c r="K1637">
        <v>155.54637593999999</v>
      </c>
      <c r="L1637">
        <v>131.48420101903</v>
      </c>
    </row>
    <row r="1638" spans="1:12" x14ac:dyDescent="0.2">
      <c r="A1638" s="8" t="s">
        <v>32</v>
      </c>
      <c r="B1638" s="8" t="s">
        <v>96</v>
      </c>
      <c r="C1638" s="8" t="s">
        <v>299</v>
      </c>
      <c r="D1638" s="8" t="s">
        <v>300</v>
      </c>
      <c r="E1638" s="8" t="s">
        <v>39</v>
      </c>
      <c r="F1638" s="8" t="s">
        <v>40</v>
      </c>
      <c r="G1638" s="8" t="s">
        <v>7</v>
      </c>
      <c r="H1638" s="8" t="s">
        <v>38</v>
      </c>
      <c r="I1638" s="9">
        <v>956.14621</v>
      </c>
      <c r="J1638">
        <v>991.36052953000001</v>
      </c>
      <c r="K1638">
        <v>1927.5073660800001</v>
      </c>
      <c r="L1638">
        <v>2561.0236655709</v>
      </c>
    </row>
    <row r="1639" spans="1:12" x14ac:dyDescent="0.2">
      <c r="A1639" s="8" t="s">
        <v>32</v>
      </c>
      <c r="B1639" s="8" t="s">
        <v>96</v>
      </c>
      <c r="C1639" s="8" t="s">
        <v>299</v>
      </c>
      <c r="D1639" s="8" t="s">
        <v>300</v>
      </c>
      <c r="E1639" s="8" t="s">
        <v>41</v>
      </c>
      <c r="F1639" s="8" t="s">
        <v>42</v>
      </c>
      <c r="G1639" s="8" t="s">
        <v>7</v>
      </c>
      <c r="H1639" s="8" t="s">
        <v>38</v>
      </c>
      <c r="I1639" s="9">
        <v>19.051604000000001</v>
      </c>
      <c r="J1639">
        <v>19.679226</v>
      </c>
      <c r="K1639">
        <v>19.0149729</v>
      </c>
      <c r="L1639">
        <v>20.969479833222</v>
      </c>
    </row>
    <row r="1640" spans="1:12" x14ac:dyDescent="0.2">
      <c r="A1640" s="8" t="s">
        <v>32</v>
      </c>
      <c r="B1640" s="8" t="s">
        <v>96</v>
      </c>
      <c r="C1640" s="8" t="s">
        <v>299</v>
      </c>
      <c r="D1640" s="8" t="s">
        <v>300</v>
      </c>
      <c r="E1640" s="8" t="s">
        <v>43</v>
      </c>
      <c r="F1640" s="8" t="s">
        <v>44</v>
      </c>
      <c r="G1640" s="8" t="s">
        <v>7</v>
      </c>
      <c r="H1640" s="8" t="s">
        <v>38</v>
      </c>
      <c r="I1640" s="9">
        <v>7100.7147000000004</v>
      </c>
      <c r="J1640">
        <v>7902.7789981200003</v>
      </c>
      <c r="K1640">
        <v>7808.2875231899998</v>
      </c>
      <c r="L1640">
        <v>7896.8190386288998</v>
      </c>
    </row>
    <row r="1641" spans="1:12" x14ac:dyDescent="0.2">
      <c r="A1641" s="8" t="s">
        <v>32</v>
      </c>
      <c r="B1641" s="8" t="s">
        <v>96</v>
      </c>
      <c r="C1641" s="8" t="s">
        <v>299</v>
      </c>
      <c r="D1641" s="8" t="s">
        <v>300</v>
      </c>
      <c r="E1641" s="8" t="s">
        <v>47</v>
      </c>
      <c r="F1641" s="8" t="s">
        <v>48</v>
      </c>
      <c r="G1641" s="8" t="s">
        <v>7</v>
      </c>
      <c r="H1641" s="8" t="s">
        <v>38</v>
      </c>
      <c r="I1641" s="9">
        <v>5.4743161999999996</v>
      </c>
      <c r="J1641">
        <v>6.6431955599999997</v>
      </c>
      <c r="K1641">
        <v>13.609156860000001</v>
      </c>
      <c r="L1641">
        <v>13.763459487443001</v>
      </c>
    </row>
    <row r="1642" spans="1:12" x14ac:dyDescent="0.2">
      <c r="A1642" s="8" t="s">
        <v>32</v>
      </c>
      <c r="B1642" s="8" t="s">
        <v>96</v>
      </c>
      <c r="C1642" s="8" t="s">
        <v>299</v>
      </c>
      <c r="D1642" s="8" t="s">
        <v>300</v>
      </c>
      <c r="E1642" s="8" t="s">
        <v>49</v>
      </c>
      <c r="F1642" s="8" t="s">
        <v>50</v>
      </c>
      <c r="G1642" s="8" t="s">
        <v>7</v>
      </c>
      <c r="H1642" s="8" t="s">
        <v>38</v>
      </c>
      <c r="I1642" s="9">
        <v>2004.6778999999999</v>
      </c>
      <c r="J1642">
        <v>1938.29838808</v>
      </c>
      <c r="K1642">
        <v>2230.4816385099998</v>
      </c>
      <c r="L1642">
        <v>2255.7711682601998</v>
      </c>
    </row>
    <row r="1643" spans="1:12" x14ac:dyDescent="0.2">
      <c r="A1643" s="8" t="s">
        <v>32</v>
      </c>
      <c r="B1643" s="8" t="s">
        <v>96</v>
      </c>
      <c r="C1643" s="8" t="s">
        <v>299</v>
      </c>
      <c r="D1643" s="8" t="s">
        <v>300</v>
      </c>
      <c r="E1643" s="8" t="s">
        <v>51</v>
      </c>
      <c r="F1643" s="8" t="s">
        <v>52</v>
      </c>
      <c r="G1643" s="8" t="s">
        <v>7</v>
      </c>
      <c r="H1643" s="8" t="s">
        <v>38</v>
      </c>
      <c r="I1643" s="9">
        <v>644.04454999999996</v>
      </c>
      <c r="J1643">
        <v>663.30320686000005</v>
      </c>
      <c r="K1643">
        <v>697.08375244000001</v>
      </c>
      <c r="L1643">
        <v>704.98739082524003</v>
      </c>
    </row>
    <row r="1644" spans="1:12" x14ac:dyDescent="0.2">
      <c r="A1644" s="8" t="s">
        <v>32</v>
      </c>
      <c r="B1644" s="8" t="s">
        <v>96</v>
      </c>
      <c r="C1644" s="8" t="s">
        <v>299</v>
      </c>
      <c r="D1644" s="8" t="s">
        <v>300</v>
      </c>
      <c r="E1644" s="8" t="s">
        <v>53</v>
      </c>
      <c r="F1644" s="8" t="s">
        <v>54</v>
      </c>
      <c r="G1644" s="8" t="s">
        <v>7</v>
      </c>
      <c r="H1644" s="8" t="s">
        <v>38</v>
      </c>
      <c r="I1644" s="9">
        <v>0.45727630000000002</v>
      </c>
      <c r="J1644">
        <v>1.1143833123722</v>
      </c>
      <c r="K1644">
        <v>7.3337727086099994E-2</v>
      </c>
      <c r="L1644">
        <v>42.010944014457003</v>
      </c>
    </row>
    <row r="1645" spans="1:12" x14ac:dyDescent="0.2">
      <c r="A1645" s="8" t="s">
        <v>32</v>
      </c>
      <c r="B1645" s="8" t="s">
        <v>96</v>
      </c>
      <c r="C1645" s="8" t="s">
        <v>299</v>
      </c>
      <c r="D1645" s="8" t="s">
        <v>300</v>
      </c>
      <c r="E1645" s="8" t="s">
        <v>70</v>
      </c>
      <c r="F1645" s="8" t="s">
        <v>71</v>
      </c>
      <c r="G1645" s="8" t="s">
        <v>7</v>
      </c>
      <c r="H1645" s="8" t="s">
        <v>38</v>
      </c>
      <c r="I1645" s="9">
        <v>1478.2815000000001</v>
      </c>
      <c r="J1645">
        <v>1656.38773068</v>
      </c>
      <c r="K1645">
        <v>1910.1890765099999</v>
      </c>
      <c r="L1645">
        <v>1908.034120327</v>
      </c>
    </row>
    <row r="1646" spans="1:12" x14ac:dyDescent="0.2">
      <c r="A1646" s="8" t="s">
        <v>32</v>
      </c>
      <c r="B1646" s="8" t="s">
        <v>96</v>
      </c>
      <c r="C1646" s="8" t="s">
        <v>299</v>
      </c>
      <c r="D1646" s="8" t="s">
        <v>300</v>
      </c>
      <c r="E1646" s="8" t="s">
        <v>83</v>
      </c>
      <c r="F1646" s="8" t="s">
        <v>84</v>
      </c>
      <c r="G1646" s="8" t="s">
        <v>7</v>
      </c>
      <c r="H1646" s="8" t="s">
        <v>38</v>
      </c>
      <c r="I1646" s="9">
        <v>7.5</v>
      </c>
      <c r="J1646">
        <v>7.5</v>
      </c>
      <c r="K1646">
        <v>7.5</v>
      </c>
      <c r="L1646">
        <v>7.5</v>
      </c>
    </row>
    <row r="1647" spans="1:12" x14ac:dyDescent="0.2">
      <c r="A1647" s="8" t="s">
        <v>32</v>
      </c>
      <c r="B1647" s="8" t="s">
        <v>96</v>
      </c>
      <c r="C1647" s="8" t="s">
        <v>299</v>
      </c>
      <c r="D1647" s="8" t="s">
        <v>300</v>
      </c>
      <c r="E1647" s="8" t="s">
        <v>55</v>
      </c>
      <c r="F1647" s="8" t="s">
        <v>56</v>
      </c>
      <c r="G1647" s="8" t="s">
        <v>7</v>
      </c>
      <c r="H1647" s="8" t="s">
        <v>38</v>
      </c>
      <c r="I1647" s="9">
        <v>0.37437520000000002</v>
      </c>
      <c r="J1647">
        <v>0.41930995993498998</v>
      </c>
      <c r="K1647">
        <v>0.41930995993498998</v>
      </c>
      <c r="L1647">
        <v>0.41930995993498998</v>
      </c>
    </row>
    <row r="1648" spans="1:12" x14ac:dyDescent="0.2">
      <c r="A1648" s="8" t="s">
        <v>32</v>
      </c>
      <c r="B1648" s="8" t="s">
        <v>96</v>
      </c>
      <c r="C1648" s="8" t="s">
        <v>299</v>
      </c>
      <c r="D1648" s="8" t="s">
        <v>300</v>
      </c>
      <c r="E1648" s="8" t="s">
        <v>57</v>
      </c>
      <c r="F1648" s="8" t="s">
        <v>58</v>
      </c>
      <c r="G1648" s="8" t="s">
        <v>7</v>
      </c>
      <c r="H1648" s="8" t="s">
        <v>38</v>
      </c>
      <c r="I1648" s="9">
        <v>1.9352901</v>
      </c>
      <c r="J1648">
        <v>2.1675750478625999</v>
      </c>
      <c r="K1648">
        <v>2.1675750478625999</v>
      </c>
      <c r="L1648">
        <v>2.1675750478625999</v>
      </c>
    </row>
    <row r="1649" spans="1:12" x14ac:dyDescent="0.2">
      <c r="A1649" s="8" t="s">
        <v>32</v>
      </c>
      <c r="B1649" s="8" t="s">
        <v>96</v>
      </c>
      <c r="C1649" s="8" t="s">
        <v>299</v>
      </c>
      <c r="D1649" s="8" t="s">
        <v>300</v>
      </c>
      <c r="E1649" s="8" t="s">
        <v>74</v>
      </c>
      <c r="F1649" s="8" t="s">
        <v>75</v>
      </c>
      <c r="G1649" s="8" t="s">
        <v>7</v>
      </c>
      <c r="H1649" s="8" t="s">
        <v>38</v>
      </c>
      <c r="I1649" s="9">
        <v>14</v>
      </c>
      <c r="J1649">
        <v>14</v>
      </c>
      <c r="K1649">
        <v>14</v>
      </c>
      <c r="L1649">
        <v>12</v>
      </c>
    </row>
    <row r="1650" spans="1:12" x14ac:dyDescent="0.2">
      <c r="A1650" s="8" t="s">
        <v>32</v>
      </c>
      <c r="B1650" s="8" t="s">
        <v>96</v>
      </c>
      <c r="C1650" s="8" t="s">
        <v>299</v>
      </c>
      <c r="D1650" s="8" t="s">
        <v>300</v>
      </c>
      <c r="E1650" s="8" t="s">
        <v>59</v>
      </c>
      <c r="F1650" s="8" t="s">
        <v>60</v>
      </c>
      <c r="G1650" s="8" t="s">
        <v>7</v>
      </c>
      <c r="H1650" s="8" t="s">
        <v>38</v>
      </c>
      <c r="I1650" s="9">
        <v>28.277342000000001</v>
      </c>
      <c r="J1650">
        <v>28.771975142146001</v>
      </c>
      <c r="K1650">
        <v>29.316724807909999</v>
      </c>
      <c r="L1650">
        <v>27.838697349659</v>
      </c>
    </row>
    <row r="1651" spans="1:12" x14ac:dyDescent="0.2">
      <c r="A1651" s="8" t="s">
        <v>32</v>
      </c>
      <c r="B1651" s="8" t="s">
        <v>96</v>
      </c>
      <c r="C1651" s="8" t="s">
        <v>299</v>
      </c>
      <c r="D1651" s="8" t="s">
        <v>300</v>
      </c>
      <c r="E1651" s="8" t="s">
        <v>76</v>
      </c>
      <c r="F1651" s="8" t="s">
        <v>77</v>
      </c>
      <c r="G1651" s="8" t="s">
        <v>7</v>
      </c>
      <c r="H1651" s="8" t="s">
        <v>38</v>
      </c>
      <c r="I1651" s="9">
        <v>14.876189999999999</v>
      </c>
      <c r="J1651">
        <v>8.380952383056</v>
      </c>
      <c r="K1651">
        <v>16.971428576168002</v>
      </c>
      <c r="L1651">
        <v>16.971428576168002</v>
      </c>
    </row>
    <row r="1652" spans="1:12" x14ac:dyDescent="0.2">
      <c r="A1652" s="8" t="s">
        <v>32</v>
      </c>
      <c r="B1652" s="8" t="s">
        <v>96</v>
      </c>
      <c r="C1652" s="8" t="s">
        <v>299</v>
      </c>
      <c r="D1652" s="8" t="s">
        <v>300</v>
      </c>
      <c r="E1652" s="8" t="s">
        <v>78</v>
      </c>
      <c r="F1652" s="8" t="s">
        <v>79</v>
      </c>
      <c r="G1652" s="8" t="s">
        <v>7</v>
      </c>
      <c r="H1652" s="8" t="s">
        <v>38</v>
      </c>
      <c r="I1652" s="9">
        <v>6.5999987999999998</v>
      </c>
      <c r="J1652">
        <v>6.5999987999999998</v>
      </c>
      <c r="K1652">
        <v>6.5999987999999998</v>
      </c>
      <c r="L1652">
        <v>6.9142844571428999</v>
      </c>
    </row>
    <row r="1653" spans="1:12" x14ac:dyDescent="0.2">
      <c r="A1653" s="8" t="s">
        <v>32</v>
      </c>
      <c r="B1653" s="8" t="s">
        <v>96</v>
      </c>
      <c r="C1653" s="8" t="s">
        <v>299</v>
      </c>
      <c r="D1653" s="8" t="s">
        <v>300</v>
      </c>
      <c r="E1653" s="8" t="s">
        <v>92</v>
      </c>
      <c r="F1653" s="8" t="s">
        <v>93</v>
      </c>
      <c r="G1653" s="8" t="s">
        <v>7</v>
      </c>
      <c r="H1653" s="8" t="s">
        <v>38</v>
      </c>
      <c r="I1653" s="9">
        <v>0.1953695</v>
      </c>
      <c r="J1653">
        <v>0.19536947485643999</v>
      </c>
      <c r="K1653">
        <v>0.19536947485643999</v>
      </c>
      <c r="L1653">
        <v>0.19759077464607999</v>
      </c>
    </row>
    <row r="1654" spans="1:12" x14ac:dyDescent="0.2">
      <c r="A1654" s="8" t="s">
        <v>110</v>
      </c>
      <c r="B1654" s="8" t="s">
        <v>301</v>
      </c>
      <c r="C1654" s="8" t="s">
        <v>302</v>
      </c>
      <c r="D1654" s="8" t="s">
        <v>301</v>
      </c>
      <c r="E1654" s="8" t="s">
        <v>36</v>
      </c>
      <c r="F1654" s="8" t="s">
        <v>37</v>
      </c>
      <c r="G1654" s="8" t="s">
        <v>7</v>
      </c>
      <c r="H1654" s="8" t="s">
        <v>38</v>
      </c>
      <c r="I1654" s="9">
        <v>479722.28</v>
      </c>
      <c r="J1654">
        <v>491014.30269549001</v>
      </c>
      <c r="K1654">
        <v>469358.83459273999</v>
      </c>
      <c r="L1654">
        <v>440779.98344893003</v>
      </c>
    </row>
    <row r="1655" spans="1:12" x14ac:dyDescent="0.2">
      <c r="A1655" s="8" t="s">
        <v>110</v>
      </c>
      <c r="B1655" s="8" t="s">
        <v>301</v>
      </c>
      <c r="C1655" s="8" t="s">
        <v>302</v>
      </c>
      <c r="D1655" s="8" t="s">
        <v>301</v>
      </c>
      <c r="E1655" s="8" t="s">
        <v>64</v>
      </c>
      <c r="F1655" s="8" t="s">
        <v>65</v>
      </c>
      <c r="G1655" s="8" t="s">
        <v>7</v>
      </c>
      <c r="H1655" s="8" t="s">
        <v>38</v>
      </c>
      <c r="I1655" s="9">
        <v>33294.366000000002</v>
      </c>
      <c r="J1655">
        <v>33605.366156470001</v>
      </c>
      <c r="K1655">
        <v>33497.889514989998</v>
      </c>
      <c r="L1655">
        <v>32647.414370414001</v>
      </c>
    </row>
    <row r="1656" spans="1:12" x14ac:dyDescent="0.2">
      <c r="A1656" s="8" t="s">
        <v>110</v>
      </c>
      <c r="B1656" s="8" t="s">
        <v>301</v>
      </c>
      <c r="C1656" s="8" t="s">
        <v>302</v>
      </c>
      <c r="D1656" s="8" t="s">
        <v>301</v>
      </c>
      <c r="E1656" s="8" t="s">
        <v>39</v>
      </c>
      <c r="F1656" s="8" t="s">
        <v>40</v>
      </c>
      <c r="G1656" s="8" t="s">
        <v>7</v>
      </c>
      <c r="H1656" s="8" t="s">
        <v>38</v>
      </c>
      <c r="I1656" s="9">
        <v>170229.18</v>
      </c>
      <c r="J1656">
        <v>178136.23550951001</v>
      </c>
      <c r="K1656">
        <v>170585.90724830999</v>
      </c>
      <c r="L1656">
        <v>163833.71439810999</v>
      </c>
    </row>
    <row r="1657" spans="1:12" x14ac:dyDescent="0.2">
      <c r="A1657" s="8" t="s">
        <v>110</v>
      </c>
      <c r="B1657" s="8" t="s">
        <v>301</v>
      </c>
      <c r="C1657" s="8" t="s">
        <v>302</v>
      </c>
      <c r="D1657" s="8" t="s">
        <v>301</v>
      </c>
      <c r="E1657" s="8" t="s">
        <v>41</v>
      </c>
      <c r="F1657" s="8" t="s">
        <v>42</v>
      </c>
      <c r="G1657" s="8" t="s">
        <v>7</v>
      </c>
      <c r="H1657" s="8" t="s">
        <v>38</v>
      </c>
      <c r="I1657" s="9">
        <v>5281.3594000000003</v>
      </c>
      <c r="J1657">
        <v>6856.7460434000004</v>
      </c>
      <c r="K1657">
        <v>9700.0610825999993</v>
      </c>
      <c r="L1657">
        <v>10221.117307207</v>
      </c>
    </row>
    <row r="1658" spans="1:12" x14ac:dyDescent="0.2">
      <c r="A1658" s="8" t="s">
        <v>110</v>
      </c>
      <c r="B1658" s="8" t="s">
        <v>301</v>
      </c>
      <c r="C1658" s="8" t="s">
        <v>302</v>
      </c>
      <c r="D1658" s="8" t="s">
        <v>301</v>
      </c>
      <c r="E1658" s="8" t="s">
        <v>43</v>
      </c>
      <c r="F1658" s="8" t="s">
        <v>44</v>
      </c>
      <c r="G1658" s="8" t="s">
        <v>7</v>
      </c>
      <c r="H1658" s="8" t="s">
        <v>38</v>
      </c>
      <c r="I1658" s="9">
        <v>165219.79</v>
      </c>
      <c r="J1658">
        <v>165939.89084467001</v>
      </c>
      <c r="K1658">
        <v>166322.19571269001</v>
      </c>
      <c r="L1658">
        <v>166315.99764391</v>
      </c>
    </row>
    <row r="1659" spans="1:12" x14ac:dyDescent="0.2">
      <c r="A1659" s="8" t="s">
        <v>110</v>
      </c>
      <c r="B1659" s="8" t="s">
        <v>301</v>
      </c>
      <c r="C1659" s="8" t="s">
        <v>302</v>
      </c>
      <c r="D1659" s="8" t="s">
        <v>301</v>
      </c>
      <c r="E1659" s="8" t="s">
        <v>66</v>
      </c>
      <c r="F1659" s="8" t="s">
        <v>67</v>
      </c>
      <c r="G1659" s="8" t="s">
        <v>7</v>
      </c>
      <c r="H1659" s="8" t="s">
        <v>38</v>
      </c>
      <c r="I1659" s="9">
        <v>475.22377</v>
      </c>
      <c r="J1659">
        <v>475.22377348999999</v>
      </c>
      <c r="K1659">
        <v>475.22377348999999</v>
      </c>
      <c r="L1659">
        <v>475.22377348999999</v>
      </c>
    </row>
    <row r="1660" spans="1:12" x14ac:dyDescent="0.2">
      <c r="A1660" s="8" t="s">
        <v>110</v>
      </c>
      <c r="B1660" s="8" t="s">
        <v>301</v>
      </c>
      <c r="C1660" s="8" t="s">
        <v>302</v>
      </c>
      <c r="D1660" s="8" t="s">
        <v>301</v>
      </c>
      <c r="E1660" s="8" t="s">
        <v>45</v>
      </c>
      <c r="F1660" s="8" t="s">
        <v>46</v>
      </c>
      <c r="G1660" s="8" t="s">
        <v>7</v>
      </c>
      <c r="H1660" s="8" t="s">
        <v>38</v>
      </c>
      <c r="I1660" s="9">
        <v>9509.3971000000001</v>
      </c>
      <c r="J1660">
        <v>9842.8185547499997</v>
      </c>
      <c r="K1660">
        <v>9959.9364267300007</v>
      </c>
      <c r="L1660">
        <v>9397.8741319155997</v>
      </c>
    </row>
    <row r="1661" spans="1:12" x14ac:dyDescent="0.2">
      <c r="A1661" s="8" t="s">
        <v>110</v>
      </c>
      <c r="B1661" s="8" t="s">
        <v>301</v>
      </c>
      <c r="C1661" s="8" t="s">
        <v>302</v>
      </c>
      <c r="D1661" s="8" t="s">
        <v>301</v>
      </c>
      <c r="E1661" s="8" t="s">
        <v>47</v>
      </c>
      <c r="F1661" s="8" t="s">
        <v>48</v>
      </c>
      <c r="G1661" s="8" t="s">
        <v>7</v>
      </c>
      <c r="H1661" s="8" t="s">
        <v>38</v>
      </c>
      <c r="I1661" s="9"/>
    </row>
    <row r="1662" spans="1:12" x14ac:dyDescent="0.2">
      <c r="A1662" s="8" t="s">
        <v>110</v>
      </c>
      <c r="B1662" s="8" t="s">
        <v>301</v>
      </c>
      <c r="C1662" s="8" t="s">
        <v>302</v>
      </c>
      <c r="D1662" s="8" t="s">
        <v>301</v>
      </c>
      <c r="E1662" s="8" t="s">
        <v>49</v>
      </c>
      <c r="F1662" s="8" t="s">
        <v>50</v>
      </c>
      <c r="G1662" s="8" t="s">
        <v>7</v>
      </c>
      <c r="H1662" s="8" t="s">
        <v>38</v>
      </c>
      <c r="I1662" s="9">
        <v>120568.19</v>
      </c>
      <c r="J1662">
        <v>113787.69519088999</v>
      </c>
      <c r="K1662">
        <v>110501.15909416</v>
      </c>
      <c r="L1662">
        <v>103814.83556918</v>
      </c>
    </row>
    <row r="1663" spans="1:12" x14ac:dyDescent="0.2">
      <c r="A1663" s="8" t="s">
        <v>110</v>
      </c>
      <c r="B1663" s="8" t="s">
        <v>301</v>
      </c>
      <c r="C1663" s="8" t="s">
        <v>302</v>
      </c>
      <c r="D1663" s="8" t="s">
        <v>301</v>
      </c>
      <c r="E1663" s="8" t="s">
        <v>51</v>
      </c>
      <c r="F1663" s="8" t="s">
        <v>52</v>
      </c>
      <c r="G1663" s="8" t="s">
        <v>7</v>
      </c>
      <c r="H1663" s="8" t="s">
        <v>38</v>
      </c>
      <c r="I1663" s="9">
        <v>2537.67</v>
      </c>
      <c r="J1663">
        <v>3385.9664839000002</v>
      </c>
      <c r="K1663">
        <v>3265.9492008000002</v>
      </c>
      <c r="L1663">
        <v>3392.4232428133</v>
      </c>
    </row>
    <row r="1664" spans="1:12" x14ac:dyDescent="0.2">
      <c r="A1664" s="8" t="s">
        <v>110</v>
      </c>
      <c r="B1664" s="8" t="s">
        <v>301</v>
      </c>
      <c r="C1664" s="8" t="s">
        <v>302</v>
      </c>
      <c r="D1664" s="8" t="s">
        <v>301</v>
      </c>
      <c r="E1664" s="8" t="s">
        <v>68</v>
      </c>
      <c r="F1664" s="8" t="s">
        <v>69</v>
      </c>
      <c r="G1664" s="8" t="s">
        <v>7</v>
      </c>
      <c r="H1664" s="8" t="s">
        <v>38</v>
      </c>
      <c r="I1664" s="9">
        <v>10203.998</v>
      </c>
      <c r="J1664">
        <v>11670.565442782001</v>
      </c>
      <c r="K1664">
        <v>11365.627972396</v>
      </c>
      <c r="L1664">
        <v>10577.075332382001</v>
      </c>
    </row>
    <row r="1665" spans="1:12" x14ac:dyDescent="0.2">
      <c r="A1665" s="8" t="s">
        <v>110</v>
      </c>
      <c r="B1665" s="8" t="s">
        <v>301</v>
      </c>
      <c r="C1665" s="8" t="s">
        <v>302</v>
      </c>
      <c r="D1665" s="8" t="s">
        <v>301</v>
      </c>
      <c r="E1665" s="8" t="s">
        <v>53</v>
      </c>
      <c r="F1665" s="8" t="s">
        <v>54</v>
      </c>
      <c r="G1665" s="8" t="s">
        <v>7</v>
      </c>
      <c r="H1665" s="8" t="s">
        <v>38</v>
      </c>
      <c r="I1665" s="9">
        <v>736.05532000000005</v>
      </c>
      <c r="J1665">
        <v>783.98929248541003</v>
      </c>
      <c r="K1665">
        <v>926.51101753037995</v>
      </c>
      <c r="L1665">
        <v>863.00695707662999</v>
      </c>
    </row>
    <row r="1666" spans="1:12" x14ac:dyDescent="0.2">
      <c r="A1666" s="8" t="s">
        <v>110</v>
      </c>
      <c r="B1666" s="8" t="s">
        <v>301</v>
      </c>
      <c r="C1666" s="8" t="s">
        <v>302</v>
      </c>
      <c r="D1666" s="8" t="s">
        <v>301</v>
      </c>
      <c r="E1666" s="8" t="s">
        <v>70</v>
      </c>
      <c r="F1666" s="8" t="s">
        <v>71</v>
      </c>
      <c r="G1666" s="8" t="s">
        <v>7</v>
      </c>
      <c r="H1666" s="8" t="s">
        <v>38</v>
      </c>
      <c r="I1666" s="9">
        <v>24711.439999999999</v>
      </c>
      <c r="J1666">
        <v>24656.6221616</v>
      </c>
      <c r="K1666">
        <v>26191.16864</v>
      </c>
      <c r="L1666">
        <v>23631.1296</v>
      </c>
    </row>
    <row r="1667" spans="1:12" x14ac:dyDescent="0.2">
      <c r="A1667" s="8" t="s">
        <v>110</v>
      </c>
      <c r="B1667" s="8" t="s">
        <v>301</v>
      </c>
      <c r="C1667" s="8" t="s">
        <v>302</v>
      </c>
      <c r="D1667" s="8" t="s">
        <v>301</v>
      </c>
      <c r="E1667" s="8" t="s">
        <v>83</v>
      </c>
      <c r="F1667" s="8" t="s">
        <v>84</v>
      </c>
      <c r="G1667" s="8" t="s">
        <v>7</v>
      </c>
      <c r="H1667" s="8" t="s">
        <v>38</v>
      </c>
      <c r="I1667" s="9">
        <v>4365.75</v>
      </c>
      <c r="J1667">
        <v>4989.75</v>
      </c>
      <c r="K1667">
        <v>4676.25</v>
      </c>
      <c r="L1667">
        <v>4509</v>
      </c>
    </row>
    <row r="1668" spans="1:12" x14ac:dyDescent="0.2">
      <c r="A1668" s="8" t="s">
        <v>110</v>
      </c>
      <c r="B1668" s="8" t="s">
        <v>301</v>
      </c>
      <c r="C1668" s="8" t="s">
        <v>302</v>
      </c>
      <c r="D1668" s="8" t="s">
        <v>301</v>
      </c>
      <c r="E1668" s="8" t="s">
        <v>55</v>
      </c>
      <c r="F1668" s="8" t="s">
        <v>56</v>
      </c>
      <c r="G1668" s="8" t="s">
        <v>7</v>
      </c>
      <c r="H1668" s="8" t="s">
        <v>38</v>
      </c>
      <c r="I1668" s="9">
        <v>427.16359999999997</v>
      </c>
      <c r="J1668">
        <v>419.56939580591001</v>
      </c>
      <c r="K1668">
        <v>419.56939580591001</v>
      </c>
      <c r="L1668">
        <v>395.82018472255999</v>
      </c>
    </row>
    <row r="1669" spans="1:12" x14ac:dyDescent="0.2">
      <c r="A1669" s="8" t="s">
        <v>110</v>
      </c>
      <c r="B1669" s="8" t="s">
        <v>301</v>
      </c>
      <c r="C1669" s="8" t="s">
        <v>302</v>
      </c>
      <c r="D1669" s="8" t="s">
        <v>301</v>
      </c>
      <c r="E1669" s="8" t="s">
        <v>57</v>
      </c>
      <c r="F1669" s="8" t="s">
        <v>58</v>
      </c>
      <c r="G1669" s="8" t="s">
        <v>7</v>
      </c>
      <c r="H1669" s="8" t="s">
        <v>38</v>
      </c>
      <c r="I1669" s="9">
        <v>944.86567000000002</v>
      </c>
      <c r="J1669">
        <v>928.06764994156003</v>
      </c>
      <c r="K1669">
        <v>928.06764994156003</v>
      </c>
      <c r="L1669">
        <v>875.53551881279998</v>
      </c>
    </row>
    <row r="1670" spans="1:12" x14ac:dyDescent="0.2">
      <c r="A1670" s="8" t="s">
        <v>110</v>
      </c>
      <c r="B1670" s="8" t="s">
        <v>301</v>
      </c>
      <c r="C1670" s="8" t="s">
        <v>302</v>
      </c>
      <c r="D1670" s="8" t="s">
        <v>301</v>
      </c>
      <c r="E1670" s="8" t="s">
        <v>72</v>
      </c>
      <c r="F1670" s="8" t="s">
        <v>73</v>
      </c>
      <c r="G1670" s="8" t="s">
        <v>7</v>
      </c>
      <c r="H1670" s="8" t="s">
        <v>38</v>
      </c>
      <c r="I1670" s="9">
        <v>13448.976000000001</v>
      </c>
      <c r="J1670">
        <v>13876.416699736999</v>
      </c>
      <c r="K1670">
        <v>13767.963058376999</v>
      </c>
      <c r="L1670">
        <v>13137.976480429999</v>
      </c>
    </row>
    <row r="1671" spans="1:12" x14ac:dyDescent="0.2">
      <c r="A1671" s="8" t="s">
        <v>110</v>
      </c>
      <c r="B1671" s="8" t="s">
        <v>301</v>
      </c>
      <c r="C1671" s="8" t="s">
        <v>302</v>
      </c>
      <c r="D1671" s="8" t="s">
        <v>301</v>
      </c>
      <c r="E1671" s="8" t="s">
        <v>74</v>
      </c>
      <c r="F1671" s="8" t="s">
        <v>75</v>
      </c>
      <c r="G1671" s="8" t="s">
        <v>7</v>
      </c>
      <c r="H1671" s="8" t="s">
        <v>38</v>
      </c>
      <c r="I1671" s="9">
        <v>11540.002</v>
      </c>
      <c r="J1671">
        <v>12662.433377874</v>
      </c>
      <c r="K1671">
        <v>11695.553021639</v>
      </c>
      <c r="L1671">
        <v>10922.185737811</v>
      </c>
    </row>
    <row r="1672" spans="1:12" x14ac:dyDescent="0.2">
      <c r="A1672" s="8" t="s">
        <v>110</v>
      </c>
      <c r="B1672" s="8" t="s">
        <v>301</v>
      </c>
      <c r="C1672" s="8" t="s">
        <v>302</v>
      </c>
      <c r="D1672" s="8" t="s">
        <v>301</v>
      </c>
      <c r="E1672" s="8" t="s">
        <v>59</v>
      </c>
      <c r="F1672" s="8" t="s">
        <v>60</v>
      </c>
      <c r="G1672" s="8" t="s">
        <v>7</v>
      </c>
      <c r="H1672" s="8" t="s">
        <v>38</v>
      </c>
      <c r="I1672" s="9">
        <v>3009.8620000000001</v>
      </c>
      <c r="J1672">
        <v>3070.2791915150001</v>
      </c>
      <c r="K1672">
        <v>2800.324742579</v>
      </c>
      <c r="L1672">
        <v>2665.4974382613</v>
      </c>
    </row>
    <row r="1673" spans="1:12" x14ac:dyDescent="0.2">
      <c r="A1673" s="8" t="s">
        <v>110</v>
      </c>
      <c r="B1673" s="8" t="s">
        <v>301</v>
      </c>
      <c r="C1673" s="8" t="s">
        <v>302</v>
      </c>
      <c r="D1673" s="8" t="s">
        <v>301</v>
      </c>
      <c r="E1673" s="8" t="s">
        <v>76</v>
      </c>
      <c r="F1673" s="8" t="s">
        <v>77</v>
      </c>
      <c r="G1673" s="8" t="s">
        <v>7</v>
      </c>
      <c r="H1673" s="8" t="s">
        <v>38</v>
      </c>
      <c r="I1673" s="9">
        <v>494.89524</v>
      </c>
      <c r="J1673">
        <v>456.76190486977998</v>
      </c>
      <c r="K1673">
        <v>511.97142870082001</v>
      </c>
      <c r="L1673">
        <v>493.66034151552998</v>
      </c>
    </row>
    <row r="1674" spans="1:12" x14ac:dyDescent="0.2">
      <c r="A1674" s="8" t="s">
        <v>110</v>
      </c>
      <c r="B1674" s="8" t="s">
        <v>301</v>
      </c>
      <c r="C1674" s="8" t="s">
        <v>302</v>
      </c>
      <c r="D1674" s="8" t="s">
        <v>301</v>
      </c>
      <c r="E1674" s="8" t="s">
        <v>78</v>
      </c>
      <c r="F1674" s="8" t="s">
        <v>79</v>
      </c>
      <c r="G1674" s="8" t="s">
        <v>7</v>
      </c>
      <c r="H1674" s="8" t="s">
        <v>38</v>
      </c>
      <c r="I1674" s="9">
        <v>148.02853999999999</v>
      </c>
      <c r="J1674">
        <v>153.84282917143</v>
      </c>
      <c r="K1674">
        <v>145.19997359999999</v>
      </c>
      <c r="L1674">
        <v>139.38568894286001</v>
      </c>
    </row>
    <row r="1675" spans="1:12" x14ac:dyDescent="0.2">
      <c r="A1675" s="8" t="s">
        <v>110</v>
      </c>
      <c r="B1675" s="8" t="s">
        <v>301</v>
      </c>
      <c r="C1675" s="8" t="s">
        <v>302</v>
      </c>
      <c r="D1675" s="8" t="s">
        <v>301</v>
      </c>
      <c r="E1675" s="8" t="s">
        <v>92</v>
      </c>
      <c r="F1675" s="8" t="s">
        <v>93</v>
      </c>
      <c r="G1675" s="8" t="s">
        <v>7</v>
      </c>
      <c r="H1675" s="8" t="s">
        <v>38</v>
      </c>
      <c r="I1675" s="9">
        <v>3358.4387000000002</v>
      </c>
      <c r="J1675">
        <v>3493.4447528809001</v>
      </c>
      <c r="K1675">
        <v>3407.8734083666</v>
      </c>
      <c r="L1675">
        <v>3349.3364478613998</v>
      </c>
    </row>
    <row r="1676" spans="1:12" x14ac:dyDescent="0.2">
      <c r="A1676" s="8" t="s">
        <v>32</v>
      </c>
      <c r="B1676" s="8" t="s">
        <v>303</v>
      </c>
      <c r="C1676" s="8" t="s">
        <v>304</v>
      </c>
      <c r="D1676" s="8" t="s">
        <v>305</v>
      </c>
      <c r="E1676" s="8" t="s">
        <v>36</v>
      </c>
      <c r="F1676" s="8" t="s">
        <v>37</v>
      </c>
      <c r="G1676" s="8" t="s">
        <v>7</v>
      </c>
      <c r="H1676" s="8" t="s">
        <v>38</v>
      </c>
      <c r="I1676" s="9">
        <v>104037.96</v>
      </c>
      <c r="J1676">
        <v>114261.80367417001</v>
      </c>
      <c r="K1676">
        <v>124705.06944069</v>
      </c>
      <c r="L1676">
        <v>128280.69774625001</v>
      </c>
    </row>
    <row r="1677" spans="1:12" x14ac:dyDescent="0.2">
      <c r="A1677" s="8" t="s">
        <v>32</v>
      </c>
      <c r="B1677" s="8" t="s">
        <v>303</v>
      </c>
      <c r="C1677" s="8" t="s">
        <v>304</v>
      </c>
      <c r="D1677" s="8" t="s">
        <v>305</v>
      </c>
      <c r="E1677" s="8" t="s">
        <v>64</v>
      </c>
      <c r="F1677" s="8" t="s">
        <v>65</v>
      </c>
      <c r="G1677" s="8" t="s">
        <v>7</v>
      </c>
      <c r="H1677" s="8" t="s">
        <v>38</v>
      </c>
      <c r="I1677" s="9">
        <v>11843.036</v>
      </c>
      <c r="J1677">
        <v>15279.599859309999</v>
      </c>
      <c r="K1677">
        <v>12921.854471660001</v>
      </c>
      <c r="L1677">
        <v>14083.534284228001</v>
      </c>
    </row>
    <row r="1678" spans="1:12" x14ac:dyDescent="0.2">
      <c r="A1678" s="8" t="s">
        <v>32</v>
      </c>
      <c r="B1678" s="8" t="s">
        <v>303</v>
      </c>
      <c r="C1678" s="8" t="s">
        <v>304</v>
      </c>
      <c r="D1678" s="8" t="s">
        <v>305</v>
      </c>
      <c r="E1678" s="8" t="s">
        <v>39</v>
      </c>
      <c r="F1678" s="8" t="s">
        <v>40</v>
      </c>
      <c r="G1678" s="8" t="s">
        <v>7</v>
      </c>
      <c r="H1678" s="8" t="s">
        <v>38</v>
      </c>
      <c r="I1678" s="9">
        <v>28260.166000000001</v>
      </c>
      <c r="J1678">
        <v>27896.88040858</v>
      </c>
      <c r="K1678">
        <v>26491.218565710002</v>
      </c>
      <c r="L1678">
        <v>24971.182853666</v>
      </c>
    </row>
    <row r="1679" spans="1:12" x14ac:dyDescent="0.2">
      <c r="A1679" s="8" t="s">
        <v>32</v>
      </c>
      <c r="B1679" s="8" t="s">
        <v>303</v>
      </c>
      <c r="C1679" s="8" t="s">
        <v>304</v>
      </c>
      <c r="D1679" s="8" t="s">
        <v>305</v>
      </c>
      <c r="E1679" s="8" t="s">
        <v>41</v>
      </c>
      <c r="F1679" s="8" t="s">
        <v>42</v>
      </c>
      <c r="G1679" s="8" t="s">
        <v>7</v>
      </c>
      <c r="H1679" s="8" t="s">
        <v>38</v>
      </c>
      <c r="I1679" s="9">
        <v>1.514912</v>
      </c>
      <c r="J1679">
        <v>500.20809984998999</v>
      </c>
      <c r="K1679">
        <v>1055.7614017200001</v>
      </c>
      <c r="L1679">
        <v>1258.0504019343</v>
      </c>
    </row>
    <row r="1680" spans="1:12" x14ac:dyDescent="0.2">
      <c r="A1680" s="8" t="s">
        <v>32</v>
      </c>
      <c r="B1680" s="8" t="s">
        <v>303</v>
      </c>
      <c r="C1680" s="8" t="s">
        <v>304</v>
      </c>
      <c r="D1680" s="8" t="s">
        <v>305</v>
      </c>
      <c r="E1680" s="8" t="s">
        <v>43</v>
      </c>
      <c r="F1680" s="8" t="s">
        <v>44</v>
      </c>
      <c r="G1680" s="8" t="s">
        <v>7</v>
      </c>
      <c r="H1680" s="8" t="s">
        <v>38</v>
      </c>
      <c r="I1680" s="9">
        <v>20635.174999999999</v>
      </c>
      <c r="J1680">
        <v>21490.915918449999</v>
      </c>
      <c r="K1680">
        <v>20067.866437569999</v>
      </c>
      <c r="L1680">
        <v>24529.146849825</v>
      </c>
    </row>
    <row r="1681" spans="1:12" x14ac:dyDescent="0.2">
      <c r="A1681" s="8" t="s">
        <v>32</v>
      </c>
      <c r="B1681" s="8" t="s">
        <v>303</v>
      </c>
      <c r="C1681" s="8" t="s">
        <v>304</v>
      </c>
      <c r="D1681" s="8" t="s">
        <v>305</v>
      </c>
      <c r="E1681" s="8" t="s">
        <v>66</v>
      </c>
      <c r="F1681" s="8" t="s">
        <v>67</v>
      </c>
      <c r="G1681" s="8" t="s">
        <v>7</v>
      </c>
      <c r="H1681" s="8" t="s">
        <v>38</v>
      </c>
      <c r="I1681" s="9">
        <v>35.646414999999998</v>
      </c>
      <c r="J1681">
        <v>889.11770995999996</v>
      </c>
      <c r="K1681">
        <v>2396.99446661</v>
      </c>
      <c r="L1681">
        <v>3650.62228293</v>
      </c>
    </row>
    <row r="1682" spans="1:12" x14ac:dyDescent="0.2">
      <c r="A1682" s="8" t="s">
        <v>32</v>
      </c>
      <c r="B1682" s="8" t="s">
        <v>303</v>
      </c>
      <c r="C1682" s="8" t="s">
        <v>304</v>
      </c>
      <c r="D1682" s="8" t="s">
        <v>305</v>
      </c>
      <c r="E1682" s="8" t="s">
        <v>45</v>
      </c>
      <c r="F1682" s="8" t="s">
        <v>46</v>
      </c>
      <c r="G1682" s="8" t="s">
        <v>7</v>
      </c>
      <c r="H1682" s="8" t="s">
        <v>38</v>
      </c>
      <c r="I1682" s="9"/>
      <c r="J1682">
        <v>19.473568920000002</v>
      </c>
      <c r="K1682">
        <v>25.023729419999999</v>
      </c>
      <c r="L1682">
        <v>29.974969065934001</v>
      </c>
    </row>
    <row r="1683" spans="1:12" x14ac:dyDescent="0.2">
      <c r="A1683" s="8" t="s">
        <v>32</v>
      </c>
      <c r="B1683" s="8" t="s">
        <v>303</v>
      </c>
      <c r="C1683" s="8" t="s">
        <v>304</v>
      </c>
      <c r="D1683" s="8" t="s">
        <v>305</v>
      </c>
      <c r="E1683" s="8" t="s">
        <v>47</v>
      </c>
      <c r="F1683" s="8" t="s">
        <v>48</v>
      </c>
      <c r="G1683" s="8" t="s">
        <v>7</v>
      </c>
      <c r="H1683" s="8" t="s">
        <v>38</v>
      </c>
      <c r="I1683" s="9">
        <v>19.967806</v>
      </c>
      <c r="J1683">
        <v>57.791115910000002</v>
      </c>
      <c r="K1683">
        <v>125.02350287</v>
      </c>
      <c r="L1683">
        <v>123.98872109101001</v>
      </c>
    </row>
    <row r="1684" spans="1:12" x14ac:dyDescent="0.2">
      <c r="A1684" s="8" t="s">
        <v>32</v>
      </c>
      <c r="B1684" s="8" t="s">
        <v>303</v>
      </c>
      <c r="C1684" s="8" t="s">
        <v>304</v>
      </c>
      <c r="D1684" s="8" t="s">
        <v>305</v>
      </c>
      <c r="E1684" s="8" t="s">
        <v>49</v>
      </c>
      <c r="F1684" s="8" t="s">
        <v>50</v>
      </c>
      <c r="G1684" s="8" t="s">
        <v>7</v>
      </c>
      <c r="H1684" s="8" t="s">
        <v>38</v>
      </c>
      <c r="I1684" s="9">
        <v>39128.237000000001</v>
      </c>
      <c r="J1684">
        <v>40179.042995739997</v>
      </c>
      <c r="K1684">
        <v>37977.051138859999</v>
      </c>
      <c r="L1684">
        <v>37571.895847416003</v>
      </c>
    </row>
    <row r="1685" spans="1:12" x14ac:dyDescent="0.2">
      <c r="A1685" s="8" t="s">
        <v>32</v>
      </c>
      <c r="B1685" s="8" t="s">
        <v>303</v>
      </c>
      <c r="C1685" s="8" t="s">
        <v>304</v>
      </c>
      <c r="D1685" s="8" t="s">
        <v>305</v>
      </c>
      <c r="E1685" s="8" t="s">
        <v>51</v>
      </c>
      <c r="F1685" s="8" t="s">
        <v>52</v>
      </c>
      <c r="G1685" s="8" t="s">
        <v>7</v>
      </c>
      <c r="H1685" s="8" t="s">
        <v>38</v>
      </c>
      <c r="I1685" s="9"/>
      <c r="K1685">
        <v>152.93373771</v>
      </c>
      <c r="L1685">
        <v>153.40531013284999</v>
      </c>
    </row>
    <row r="1686" spans="1:12" x14ac:dyDescent="0.2">
      <c r="A1686" s="8" t="s">
        <v>32</v>
      </c>
      <c r="B1686" s="8" t="s">
        <v>303</v>
      </c>
      <c r="C1686" s="8" t="s">
        <v>304</v>
      </c>
      <c r="D1686" s="8" t="s">
        <v>305</v>
      </c>
      <c r="E1686" s="8" t="s">
        <v>68</v>
      </c>
      <c r="F1686" s="8" t="s">
        <v>69</v>
      </c>
      <c r="G1686" s="8" t="s">
        <v>7</v>
      </c>
      <c r="H1686" s="8" t="s">
        <v>38</v>
      </c>
      <c r="I1686" s="9">
        <v>881.61926000000005</v>
      </c>
      <c r="J1686">
        <v>377.76755431219999</v>
      </c>
      <c r="K1686">
        <v>1033.3648261614001</v>
      </c>
      <c r="L1686">
        <v>1640.6365388733</v>
      </c>
    </row>
    <row r="1687" spans="1:12" x14ac:dyDescent="0.2">
      <c r="A1687" s="8" t="s">
        <v>32</v>
      </c>
      <c r="B1687" s="8" t="s">
        <v>303</v>
      </c>
      <c r="C1687" s="8" t="s">
        <v>304</v>
      </c>
      <c r="D1687" s="8" t="s">
        <v>305</v>
      </c>
      <c r="E1687" s="8" t="s">
        <v>53</v>
      </c>
      <c r="F1687" s="8" t="s">
        <v>54</v>
      </c>
      <c r="G1687" s="8" t="s">
        <v>7</v>
      </c>
      <c r="H1687" s="8" t="s">
        <v>38</v>
      </c>
      <c r="I1687" s="9">
        <v>5073.3446999999996</v>
      </c>
      <c r="J1687">
        <v>4911.4491619379996</v>
      </c>
      <c r="K1687">
        <v>3593.1312029324999</v>
      </c>
      <c r="L1687">
        <v>3730.8145007534999</v>
      </c>
    </row>
    <row r="1688" spans="1:12" x14ac:dyDescent="0.2">
      <c r="A1688" s="8" t="s">
        <v>32</v>
      </c>
      <c r="B1688" s="8" t="s">
        <v>303</v>
      </c>
      <c r="C1688" s="8" t="s">
        <v>304</v>
      </c>
      <c r="D1688" s="8" t="s">
        <v>305</v>
      </c>
      <c r="E1688" s="8" t="s">
        <v>70</v>
      </c>
      <c r="F1688" s="8" t="s">
        <v>71</v>
      </c>
      <c r="G1688" s="8" t="s">
        <v>7</v>
      </c>
      <c r="H1688" s="8" t="s">
        <v>38</v>
      </c>
      <c r="I1688" s="9">
        <v>4457.3662000000004</v>
      </c>
      <c r="J1688">
        <v>3858.1616391523999</v>
      </c>
      <c r="K1688">
        <v>3787.6600255076</v>
      </c>
      <c r="L1688">
        <v>3783.3870236926</v>
      </c>
    </row>
    <row r="1689" spans="1:12" x14ac:dyDescent="0.2">
      <c r="A1689" s="8" t="s">
        <v>32</v>
      </c>
      <c r="B1689" s="8" t="s">
        <v>303</v>
      </c>
      <c r="C1689" s="8" t="s">
        <v>304</v>
      </c>
      <c r="D1689" s="8" t="s">
        <v>305</v>
      </c>
      <c r="E1689" s="8" t="s">
        <v>83</v>
      </c>
      <c r="F1689" s="8" t="s">
        <v>84</v>
      </c>
      <c r="G1689" s="8" t="s">
        <v>7</v>
      </c>
      <c r="H1689" s="8" t="s">
        <v>38</v>
      </c>
      <c r="I1689" s="9">
        <v>623.25</v>
      </c>
      <c r="J1689">
        <v>700.5</v>
      </c>
      <c r="K1689">
        <v>709.5</v>
      </c>
      <c r="L1689">
        <v>705.75</v>
      </c>
    </row>
    <row r="1690" spans="1:12" x14ac:dyDescent="0.2">
      <c r="A1690" s="8" t="s">
        <v>32</v>
      </c>
      <c r="B1690" s="8" t="s">
        <v>303</v>
      </c>
      <c r="C1690" s="8" t="s">
        <v>304</v>
      </c>
      <c r="D1690" s="8" t="s">
        <v>305</v>
      </c>
      <c r="E1690" s="8" t="s">
        <v>55</v>
      </c>
      <c r="F1690" s="8" t="s">
        <v>56</v>
      </c>
      <c r="G1690" s="8" t="s">
        <v>7</v>
      </c>
      <c r="H1690" s="8" t="s">
        <v>38</v>
      </c>
      <c r="I1690" s="9">
        <v>11.6996</v>
      </c>
      <c r="J1690">
        <v>13.103855392792999</v>
      </c>
      <c r="K1690">
        <v>13.103855392792999</v>
      </c>
      <c r="L1690">
        <v>13.103855392792999</v>
      </c>
    </row>
    <row r="1691" spans="1:12" x14ac:dyDescent="0.2">
      <c r="A1691" s="8" t="s">
        <v>32</v>
      </c>
      <c r="B1691" s="8" t="s">
        <v>303</v>
      </c>
      <c r="C1691" s="8" t="s">
        <v>304</v>
      </c>
      <c r="D1691" s="8" t="s">
        <v>305</v>
      </c>
      <c r="E1691" s="8" t="s">
        <v>57</v>
      </c>
      <c r="F1691" s="8" t="s">
        <v>58</v>
      </c>
      <c r="G1691" s="8" t="s">
        <v>7</v>
      </c>
      <c r="H1691" s="8" t="s">
        <v>38</v>
      </c>
      <c r="I1691" s="9">
        <v>3610.5122000000001</v>
      </c>
      <c r="J1691">
        <v>4043.8673230313998</v>
      </c>
      <c r="K1691">
        <v>4043.8673230313998</v>
      </c>
      <c r="L1691">
        <v>4043.8673230313998</v>
      </c>
    </row>
    <row r="1692" spans="1:12" x14ac:dyDescent="0.2">
      <c r="A1692" s="8" t="s">
        <v>32</v>
      </c>
      <c r="B1692" s="8" t="s">
        <v>303</v>
      </c>
      <c r="C1692" s="8" t="s">
        <v>304</v>
      </c>
      <c r="D1692" s="8" t="s">
        <v>305</v>
      </c>
      <c r="E1692" s="8" t="s">
        <v>72</v>
      </c>
      <c r="F1692" s="8" t="s">
        <v>73</v>
      </c>
      <c r="G1692" s="8" t="s">
        <v>7</v>
      </c>
      <c r="H1692" s="8" t="s">
        <v>38</v>
      </c>
      <c r="I1692" s="9">
        <v>745.29521</v>
      </c>
      <c r="J1692">
        <v>874.33497776062995</v>
      </c>
      <c r="K1692">
        <v>996.68473172849997</v>
      </c>
      <c r="L1692">
        <v>1043.5023574643999</v>
      </c>
    </row>
    <row r="1693" spans="1:12" x14ac:dyDescent="0.2">
      <c r="A1693" s="8" t="s">
        <v>32</v>
      </c>
      <c r="B1693" s="8" t="s">
        <v>303</v>
      </c>
      <c r="C1693" s="8" t="s">
        <v>304</v>
      </c>
      <c r="D1693" s="8" t="s">
        <v>305</v>
      </c>
      <c r="E1693" s="8" t="s">
        <v>74</v>
      </c>
      <c r="F1693" s="8" t="s">
        <v>75</v>
      </c>
      <c r="G1693" s="8" t="s">
        <v>7</v>
      </c>
      <c r="H1693" s="8" t="s">
        <v>38</v>
      </c>
      <c r="I1693" s="9">
        <v>5414.9628000000002</v>
      </c>
      <c r="J1693">
        <v>5851.3013561148</v>
      </c>
      <c r="K1693">
        <v>5721.3932327824004</v>
      </c>
      <c r="L1693">
        <v>5056.0877242359002</v>
      </c>
    </row>
    <row r="1694" spans="1:12" x14ac:dyDescent="0.2">
      <c r="A1694" s="8" t="s">
        <v>32</v>
      </c>
      <c r="B1694" s="8" t="s">
        <v>303</v>
      </c>
      <c r="C1694" s="8" t="s">
        <v>304</v>
      </c>
      <c r="D1694" s="8" t="s">
        <v>305</v>
      </c>
      <c r="E1694" s="8" t="s">
        <v>59</v>
      </c>
      <c r="F1694" s="8" t="s">
        <v>60</v>
      </c>
      <c r="G1694" s="8" t="s">
        <v>7</v>
      </c>
      <c r="H1694" s="8" t="s">
        <v>38</v>
      </c>
      <c r="I1694" s="9">
        <v>209.98334</v>
      </c>
      <c r="J1694">
        <v>224.45324206693999</v>
      </c>
      <c r="K1694">
        <v>216.91377794670001</v>
      </c>
      <c r="L1694">
        <v>249.05793359395</v>
      </c>
    </row>
    <row r="1695" spans="1:12" x14ac:dyDescent="0.2">
      <c r="A1695" s="8" t="s">
        <v>32</v>
      </c>
      <c r="B1695" s="8" t="s">
        <v>303</v>
      </c>
      <c r="C1695" s="8" t="s">
        <v>304</v>
      </c>
      <c r="D1695" s="8" t="s">
        <v>305</v>
      </c>
      <c r="E1695" s="8" t="s">
        <v>76</v>
      </c>
      <c r="F1695" s="8" t="s">
        <v>77</v>
      </c>
      <c r="G1695" s="8" t="s">
        <v>7</v>
      </c>
      <c r="H1695" s="8" t="s">
        <v>38</v>
      </c>
      <c r="I1695" s="9">
        <v>229.95238000000001</v>
      </c>
      <c r="J1695">
        <v>190.98095241082001</v>
      </c>
      <c r="K1695">
        <v>172.12380954802001</v>
      </c>
      <c r="L1695">
        <v>171.21406425443001</v>
      </c>
    </row>
    <row r="1696" spans="1:12" x14ac:dyDescent="0.2">
      <c r="A1696" s="8" t="s">
        <v>32</v>
      </c>
      <c r="B1696" s="8" t="s">
        <v>303</v>
      </c>
      <c r="C1696" s="8" t="s">
        <v>304</v>
      </c>
      <c r="D1696" s="8" t="s">
        <v>305</v>
      </c>
      <c r="E1696" s="8" t="s">
        <v>78</v>
      </c>
      <c r="F1696" s="8" t="s">
        <v>79</v>
      </c>
      <c r="G1696" s="8" t="s">
        <v>7</v>
      </c>
      <c r="H1696" s="8" t="s">
        <v>38</v>
      </c>
      <c r="I1696" s="9">
        <v>57.985703999999998</v>
      </c>
      <c r="J1696">
        <v>33.785708142856997</v>
      </c>
      <c r="K1696">
        <v>22.157138828571</v>
      </c>
      <c r="L1696">
        <v>23.288567194285999</v>
      </c>
    </row>
    <row r="1697" spans="1:12" x14ac:dyDescent="0.2">
      <c r="A1697" s="8" t="s">
        <v>32</v>
      </c>
      <c r="B1697" s="8" t="s">
        <v>303</v>
      </c>
      <c r="C1697" s="8" t="s">
        <v>304</v>
      </c>
      <c r="D1697" s="8" t="s">
        <v>305</v>
      </c>
      <c r="E1697" s="8" t="s">
        <v>92</v>
      </c>
      <c r="F1697" s="8" t="s">
        <v>93</v>
      </c>
      <c r="G1697" s="8" t="s">
        <v>7</v>
      </c>
      <c r="H1697" s="8" t="s">
        <v>38</v>
      </c>
      <c r="I1697" s="9">
        <v>218.03281999999999</v>
      </c>
      <c r="J1697">
        <v>253.27731</v>
      </c>
      <c r="K1697">
        <v>298.90360500000003</v>
      </c>
      <c r="L1697">
        <v>320.9509875</v>
      </c>
    </row>
    <row r="1698" spans="1:12" x14ac:dyDescent="0.2">
      <c r="A1698" s="8" t="s">
        <v>32</v>
      </c>
      <c r="B1698" s="8" t="s">
        <v>120</v>
      </c>
      <c r="C1698" s="8" t="s">
        <v>306</v>
      </c>
      <c r="D1698" s="8" t="s">
        <v>307</v>
      </c>
      <c r="E1698" s="8" t="s">
        <v>36</v>
      </c>
      <c r="F1698" s="8" t="s">
        <v>37</v>
      </c>
      <c r="G1698" s="8" t="s">
        <v>7</v>
      </c>
      <c r="H1698" s="8" t="s">
        <v>38</v>
      </c>
      <c r="I1698" s="9">
        <v>709.27891</v>
      </c>
      <c r="J1698">
        <v>1185.7427123499999</v>
      </c>
      <c r="K1698">
        <v>1498.4510290000001</v>
      </c>
      <c r="L1698">
        <v>1227.5740015316001</v>
      </c>
    </row>
    <row r="1699" spans="1:12" x14ac:dyDescent="0.2">
      <c r="A1699" s="8" t="s">
        <v>32</v>
      </c>
      <c r="B1699" s="8" t="s">
        <v>120</v>
      </c>
      <c r="C1699" s="8" t="s">
        <v>306</v>
      </c>
      <c r="D1699" s="8" t="s">
        <v>307</v>
      </c>
      <c r="E1699" s="8" t="s">
        <v>64</v>
      </c>
      <c r="F1699" s="8" t="s">
        <v>65</v>
      </c>
      <c r="G1699" s="8" t="s">
        <v>7</v>
      </c>
      <c r="H1699" s="8" t="s">
        <v>38</v>
      </c>
      <c r="I1699" s="9"/>
    </row>
    <row r="1700" spans="1:12" x14ac:dyDescent="0.2">
      <c r="A1700" s="8" t="s">
        <v>32</v>
      </c>
      <c r="B1700" s="8" t="s">
        <v>120</v>
      </c>
      <c r="C1700" s="8" t="s">
        <v>306</v>
      </c>
      <c r="D1700" s="8" t="s">
        <v>307</v>
      </c>
      <c r="E1700" s="8" t="s">
        <v>39</v>
      </c>
      <c r="F1700" s="8" t="s">
        <v>40</v>
      </c>
      <c r="G1700" s="8" t="s">
        <v>7</v>
      </c>
      <c r="H1700" s="8" t="s">
        <v>38</v>
      </c>
      <c r="I1700" s="9">
        <v>2675.3045999999999</v>
      </c>
      <c r="J1700">
        <v>3235.8535608799998</v>
      </c>
      <c r="K1700">
        <v>3613.9413196300002</v>
      </c>
      <c r="L1700">
        <v>3581.0891427319998</v>
      </c>
    </row>
    <row r="1701" spans="1:12" x14ac:dyDescent="0.2">
      <c r="A1701" s="8" t="s">
        <v>32</v>
      </c>
      <c r="B1701" s="8" t="s">
        <v>120</v>
      </c>
      <c r="C1701" s="8" t="s">
        <v>306</v>
      </c>
      <c r="D1701" s="8" t="s">
        <v>307</v>
      </c>
      <c r="E1701" s="8" t="s">
        <v>41</v>
      </c>
      <c r="F1701" s="8" t="s">
        <v>42</v>
      </c>
      <c r="G1701" s="8" t="s">
        <v>7</v>
      </c>
      <c r="H1701" s="8" t="s">
        <v>38</v>
      </c>
      <c r="I1701" s="9">
        <v>68.008178000000001</v>
      </c>
      <c r="J1701">
        <v>129.79388789999999</v>
      </c>
      <c r="K1701">
        <v>152.00688346000001</v>
      </c>
      <c r="L1701">
        <v>181.07313199588</v>
      </c>
    </row>
    <row r="1702" spans="1:12" x14ac:dyDescent="0.2">
      <c r="A1702" s="8" t="s">
        <v>32</v>
      </c>
      <c r="B1702" s="8" t="s">
        <v>120</v>
      </c>
      <c r="C1702" s="8" t="s">
        <v>306</v>
      </c>
      <c r="D1702" s="8" t="s">
        <v>307</v>
      </c>
      <c r="E1702" s="8" t="s">
        <v>43</v>
      </c>
      <c r="F1702" s="8" t="s">
        <v>44</v>
      </c>
      <c r="G1702" s="8" t="s">
        <v>7</v>
      </c>
      <c r="H1702" s="8" t="s">
        <v>38</v>
      </c>
      <c r="I1702" s="9">
        <v>10063.81</v>
      </c>
      <c r="J1702">
        <v>10452.98998549</v>
      </c>
      <c r="K1702">
        <v>10217.995071400001</v>
      </c>
      <c r="L1702">
        <v>9730.5272898127005</v>
      </c>
    </row>
    <row r="1703" spans="1:12" x14ac:dyDescent="0.2">
      <c r="A1703" s="8" t="s">
        <v>32</v>
      </c>
      <c r="B1703" s="8" t="s">
        <v>120</v>
      </c>
      <c r="C1703" s="8" t="s">
        <v>306</v>
      </c>
      <c r="D1703" s="8" t="s">
        <v>307</v>
      </c>
      <c r="E1703" s="8" t="s">
        <v>66</v>
      </c>
      <c r="F1703" s="8" t="s">
        <v>67</v>
      </c>
      <c r="G1703" s="8" t="s">
        <v>7</v>
      </c>
      <c r="H1703" s="8" t="s">
        <v>38</v>
      </c>
      <c r="I1703" s="9">
        <v>36.334350999999998</v>
      </c>
      <c r="J1703">
        <v>85.295637260000007</v>
      </c>
      <c r="K1703">
        <v>83.598355699999999</v>
      </c>
      <c r="L1703">
        <v>66.434810891227002</v>
      </c>
    </row>
    <row r="1704" spans="1:12" x14ac:dyDescent="0.2">
      <c r="A1704" s="8" t="s">
        <v>32</v>
      </c>
      <c r="B1704" s="8" t="s">
        <v>120</v>
      </c>
      <c r="C1704" s="8" t="s">
        <v>306</v>
      </c>
      <c r="D1704" s="8" t="s">
        <v>307</v>
      </c>
      <c r="E1704" s="8" t="s">
        <v>45</v>
      </c>
      <c r="F1704" s="8" t="s">
        <v>46</v>
      </c>
      <c r="G1704" s="8" t="s">
        <v>7</v>
      </c>
      <c r="H1704" s="8" t="s">
        <v>38</v>
      </c>
      <c r="I1704" s="9">
        <v>2.4301122999999998</v>
      </c>
      <c r="J1704">
        <v>3.0182826600000001</v>
      </c>
      <c r="K1704">
        <v>2.9900858399999999</v>
      </c>
      <c r="L1704">
        <v>3.3448837663450002</v>
      </c>
    </row>
    <row r="1705" spans="1:12" x14ac:dyDescent="0.2">
      <c r="A1705" s="8" t="s">
        <v>32</v>
      </c>
      <c r="B1705" s="8" t="s">
        <v>120</v>
      </c>
      <c r="C1705" s="8" t="s">
        <v>306</v>
      </c>
      <c r="D1705" s="8" t="s">
        <v>307</v>
      </c>
      <c r="E1705" s="8" t="s">
        <v>47</v>
      </c>
      <c r="F1705" s="8" t="s">
        <v>48</v>
      </c>
      <c r="G1705" s="8" t="s">
        <v>7</v>
      </c>
      <c r="H1705" s="8" t="s">
        <v>38</v>
      </c>
      <c r="I1705" s="9">
        <v>205.70289</v>
      </c>
      <c r="J1705">
        <v>191.13623335</v>
      </c>
      <c r="K1705">
        <v>196.10996281999999</v>
      </c>
      <c r="L1705">
        <v>206.02013858925</v>
      </c>
    </row>
    <row r="1706" spans="1:12" x14ac:dyDescent="0.2">
      <c r="A1706" s="8" t="s">
        <v>32</v>
      </c>
      <c r="B1706" s="8" t="s">
        <v>120</v>
      </c>
      <c r="C1706" s="8" t="s">
        <v>306</v>
      </c>
      <c r="D1706" s="8" t="s">
        <v>307</v>
      </c>
      <c r="E1706" s="8" t="s">
        <v>49</v>
      </c>
      <c r="F1706" s="8" t="s">
        <v>50</v>
      </c>
      <c r="G1706" s="8" t="s">
        <v>7</v>
      </c>
      <c r="H1706" s="8" t="s">
        <v>38</v>
      </c>
      <c r="I1706" s="9">
        <v>1881.9618</v>
      </c>
      <c r="J1706">
        <v>2072.18924917</v>
      </c>
      <c r="K1706">
        <v>1914.9099721699999</v>
      </c>
      <c r="L1706">
        <v>1926.3190648491</v>
      </c>
    </row>
    <row r="1707" spans="1:12" x14ac:dyDescent="0.2">
      <c r="A1707" s="8" t="s">
        <v>32</v>
      </c>
      <c r="B1707" s="8" t="s">
        <v>120</v>
      </c>
      <c r="C1707" s="8" t="s">
        <v>306</v>
      </c>
      <c r="D1707" s="8" t="s">
        <v>307</v>
      </c>
      <c r="E1707" s="8" t="s">
        <v>51</v>
      </c>
      <c r="F1707" s="8" t="s">
        <v>52</v>
      </c>
      <c r="G1707" s="8" t="s">
        <v>7</v>
      </c>
      <c r="H1707" s="8" t="s">
        <v>38</v>
      </c>
      <c r="I1707" s="9">
        <v>61.342728999999999</v>
      </c>
      <c r="J1707">
        <v>80.526967319999997</v>
      </c>
      <c r="K1707">
        <v>84.314360910000005</v>
      </c>
      <c r="L1707">
        <v>109.73173947319999</v>
      </c>
    </row>
    <row r="1708" spans="1:12" x14ac:dyDescent="0.2">
      <c r="A1708" s="8" t="s">
        <v>32</v>
      </c>
      <c r="B1708" s="8" t="s">
        <v>120</v>
      </c>
      <c r="C1708" s="8" t="s">
        <v>306</v>
      </c>
      <c r="D1708" s="8" t="s">
        <v>307</v>
      </c>
      <c r="E1708" s="8" t="s">
        <v>53</v>
      </c>
      <c r="F1708" s="8" t="s">
        <v>54</v>
      </c>
      <c r="G1708" s="8" t="s">
        <v>7</v>
      </c>
      <c r="H1708" s="8" t="s">
        <v>38</v>
      </c>
      <c r="I1708" s="9"/>
    </row>
    <row r="1709" spans="1:12" x14ac:dyDescent="0.2">
      <c r="A1709" s="8" t="s">
        <v>32</v>
      </c>
      <c r="B1709" s="8" t="s">
        <v>120</v>
      </c>
      <c r="C1709" s="8" t="s">
        <v>306</v>
      </c>
      <c r="D1709" s="8" t="s">
        <v>307</v>
      </c>
      <c r="E1709" s="8" t="s">
        <v>70</v>
      </c>
      <c r="F1709" s="8" t="s">
        <v>71</v>
      </c>
      <c r="G1709" s="8" t="s">
        <v>7</v>
      </c>
      <c r="H1709" s="8" t="s">
        <v>38</v>
      </c>
      <c r="I1709" s="9">
        <v>2919.5070000000001</v>
      </c>
      <c r="J1709">
        <v>3612.4700087360002</v>
      </c>
      <c r="K1709">
        <v>3789.0310429000001</v>
      </c>
      <c r="L1709">
        <v>3784.7564943887</v>
      </c>
    </row>
    <row r="1710" spans="1:12" x14ac:dyDescent="0.2">
      <c r="A1710" s="8" t="s">
        <v>32</v>
      </c>
      <c r="B1710" s="8" t="s">
        <v>120</v>
      </c>
      <c r="C1710" s="8" t="s">
        <v>306</v>
      </c>
      <c r="D1710" s="8" t="s">
        <v>307</v>
      </c>
      <c r="E1710" s="8" t="s">
        <v>83</v>
      </c>
      <c r="F1710" s="8" t="s">
        <v>84</v>
      </c>
      <c r="G1710" s="8" t="s">
        <v>7</v>
      </c>
      <c r="H1710" s="8" t="s">
        <v>38</v>
      </c>
      <c r="I1710" s="9"/>
    </row>
    <row r="1711" spans="1:12" x14ac:dyDescent="0.2">
      <c r="A1711" s="8" t="s">
        <v>32</v>
      </c>
      <c r="B1711" s="8" t="s">
        <v>120</v>
      </c>
      <c r="C1711" s="8" t="s">
        <v>306</v>
      </c>
      <c r="D1711" s="8" t="s">
        <v>307</v>
      </c>
      <c r="E1711" s="8" t="s">
        <v>55</v>
      </c>
      <c r="F1711" s="8" t="s">
        <v>56</v>
      </c>
      <c r="G1711" s="8" t="s">
        <v>7</v>
      </c>
      <c r="H1711" s="8" t="s">
        <v>38</v>
      </c>
      <c r="I1711" s="9">
        <v>2.9528401999999998</v>
      </c>
      <c r="J1711">
        <v>3.3072575831515998</v>
      </c>
      <c r="K1711">
        <v>3.3072575831515998</v>
      </c>
      <c r="L1711">
        <v>3.3072575831515998</v>
      </c>
    </row>
    <row r="1712" spans="1:12" x14ac:dyDescent="0.2">
      <c r="A1712" s="8" t="s">
        <v>32</v>
      </c>
      <c r="B1712" s="8" t="s">
        <v>120</v>
      </c>
      <c r="C1712" s="8" t="s">
        <v>306</v>
      </c>
      <c r="D1712" s="8" t="s">
        <v>307</v>
      </c>
      <c r="E1712" s="8" t="s">
        <v>57</v>
      </c>
      <c r="F1712" s="8" t="s">
        <v>58</v>
      </c>
      <c r="G1712" s="8" t="s">
        <v>7</v>
      </c>
      <c r="H1712" s="8" t="s">
        <v>38</v>
      </c>
      <c r="I1712" s="9">
        <v>104.90044</v>
      </c>
      <c r="J1712">
        <v>87.589071888525993</v>
      </c>
      <c r="K1712">
        <v>87.589071888525993</v>
      </c>
      <c r="L1712">
        <v>87.589071888525993</v>
      </c>
    </row>
    <row r="1713" spans="1:12" x14ac:dyDescent="0.2">
      <c r="A1713" s="8" t="s">
        <v>32</v>
      </c>
      <c r="B1713" s="8" t="s">
        <v>120</v>
      </c>
      <c r="C1713" s="8" t="s">
        <v>306</v>
      </c>
      <c r="D1713" s="8" t="s">
        <v>307</v>
      </c>
      <c r="E1713" s="8" t="s">
        <v>74</v>
      </c>
      <c r="F1713" s="8" t="s">
        <v>75</v>
      </c>
      <c r="G1713" s="8" t="s">
        <v>7</v>
      </c>
      <c r="H1713" s="8" t="s">
        <v>38</v>
      </c>
      <c r="I1713" s="9">
        <v>15.92</v>
      </c>
      <c r="J1713">
        <v>19.920000000000002</v>
      </c>
      <c r="K1713">
        <v>18.52</v>
      </c>
      <c r="L1713">
        <v>55.078400000000002</v>
      </c>
    </row>
    <row r="1714" spans="1:12" x14ac:dyDescent="0.2">
      <c r="A1714" s="8" t="s">
        <v>32</v>
      </c>
      <c r="B1714" s="8" t="s">
        <v>120</v>
      </c>
      <c r="C1714" s="8" t="s">
        <v>306</v>
      </c>
      <c r="D1714" s="8" t="s">
        <v>307</v>
      </c>
      <c r="E1714" s="8" t="s">
        <v>59</v>
      </c>
      <c r="F1714" s="8" t="s">
        <v>60</v>
      </c>
      <c r="G1714" s="8" t="s">
        <v>7</v>
      </c>
      <c r="H1714" s="8" t="s">
        <v>38</v>
      </c>
      <c r="I1714" s="9">
        <v>164.60762</v>
      </c>
      <c r="J1714">
        <v>157.79978883534</v>
      </c>
      <c r="K1714">
        <v>149.44550950188</v>
      </c>
      <c r="L1714">
        <v>143.27846766233</v>
      </c>
    </row>
    <row r="1715" spans="1:12" x14ac:dyDescent="0.2">
      <c r="A1715" s="8" t="s">
        <v>32</v>
      </c>
      <c r="B1715" s="8" t="s">
        <v>120</v>
      </c>
      <c r="C1715" s="8" t="s">
        <v>306</v>
      </c>
      <c r="D1715" s="8" t="s">
        <v>307</v>
      </c>
      <c r="E1715" s="8" t="s">
        <v>76</v>
      </c>
      <c r="F1715" s="8" t="s">
        <v>77</v>
      </c>
      <c r="G1715" s="8" t="s">
        <v>7</v>
      </c>
      <c r="H1715" s="8" t="s">
        <v>38</v>
      </c>
      <c r="I1715" s="9">
        <v>142.47619</v>
      </c>
      <c r="J1715">
        <v>132.20952381868</v>
      </c>
      <c r="K1715">
        <v>107.69523811147</v>
      </c>
      <c r="L1715">
        <v>107.69523811147</v>
      </c>
    </row>
    <row r="1716" spans="1:12" x14ac:dyDescent="0.2">
      <c r="A1716" s="8" t="s">
        <v>32</v>
      </c>
      <c r="B1716" s="8" t="s">
        <v>120</v>
      </c>
      <c r="C1716" s="8" t="s">
        <v>306</v>
      </c>
      <c r="D1716" s="8" t="s">
        <v>307</v>
      </c>
      <c r="E1716" s="8" t="s">
        <v>78</v>
      </c>
      <c r="F1716" s="8" t="s">
        <v>79</v>
      </c>
      <c r="G1716" s="8" t="s">
        <v>7</v>
      </c>
      <c r="H1716" s="8" t="s">
        <v>38</v>
      </c>
      <c r="I1716" s="9">
        <v>108.74284</v>
      </c>
      <c r="J1716">
        <v>64.271416885714004</v>
      </c>
      <c r="K1716">
        <v>51.228562114285999</v>
      </c>
      <c r="L1716">
        <v>52.579990440000003</v>
      </c>
    </row>
    <row r="1717" spans="1:12" x14ac:dyDescent="0.2">
      <c r="A1717" s="8" t="s">
        <v>32</v>
      </c>
      <c r="B1717" s="8" t="s">
        <v>120</v>
      </c>
      <c r="C1717" s="8" t="s">
        <v>306</v>
      </c>
      <c r="D1717" s="8" t="s">
        <v>307</v>
      </c>
      <c r="E1717" s="8" t="s">
        <v>92</v>
      </c>
      <c r="F1717" s="8" t="s">
        <v>93</v>
      </c>
      <c r="G1717" s="8" t="s">
        <v>7</v>
      </c>
      <c r="H1717" s="8" t="s">
        <v>38</v>
      </c>
      <c r="I1717" s="9">
        <v>1.3384952000000001</v>
      </c>
      <c r="J1717">
        <v>1.3951578327047001</v>
      </c>
      <c r="K1717">
        <v>1.4537921807254</v>
      </c>
      <c r="L1717">
        <v>1.5082874646835001</v>
      </c>
    </row>
    <row r="1718" spans="1:12" x14ac:dyDescent="0.2">
      <c r="A1718" s="8" t="s">
        <v>32</v>
      </c>
      <c r="B1718" s="8" t="s">
        <v>303</v>
      </c>
      <c r="C1718" s="8" t="s">
        <v>308</v>
      </c>
      <c r="D1718" s="8" t="s">
        <v>309</v>
      </c>
      <c r="E1718" s="8" t="s">
        <v>36</v>
      </c>
      <c r="F1718" s="8" t="s">
        <v>37</v>
      </c>
      <c r="G1718" s="8" t="s">
        <v>7</v>
      </c>
      <c r="H1718" s="8" t="s">
        <v>38</v>
      </c>
      <c r="I1718" s="9">
        <v>2338.2440999999999</v>
      </c>
      <c r="J1718">
        <v>2810.24408743</v>
      </c>
      <c r="K1718">
        <v>2655.3882527599999</v>
      </c>
      <c r="L1718">
        <v>2464.0864882942001</v>
      </c>
    </row>
    <row r="1719" spans="1:12" x14ac:dyDescent="0.2">
      <c r="A1719" s="8" t="s">
        <v>32</v>
      </c>
      <c r="B1719" s="8" t="s">
        <v>303</v>
      </c>
      <c r="C1719" s="8" t="s">
        <v>308</v>
      </c>
      <c r="D1719" s="8" t="s">
        <v>309</v>
      </c>
      <c r="E1719" s="8" t="s">
        <v>64</v>
      </c>
      <c r="F1719" s="8" t="s">
        <v>65</v>
      </c>
      <c r="G1719" s="8" t="s">
        <v>7</v>
      </c>
      <c r="H1719" s="8" t="s">
        <v>38</v>
      </c>
      <c r="I1719" s="9">
        <v>1.7122763000000001</v>
      </c>
      <c r="J1719">
        <v>0.73774070000000003</v>
      </c>
    </row>
    <row r="1720" spans="1:12" x14ac:dyDescent="0.2">
      <c r="A1720" s="8" t="s">
        <v>32</v>
      </c>
      <c r="B1720" s="8" t="s">
        <v>303</v>
      </c>
      <c r="C1720" s="8" t="s">
        <v>308</v>
      </c>
      <c r="D1720" s="8" t="s">
        <v>309</v>
      </c>
      <c r="E1720" s="8" t="s">
        <v>39</v>
      </c>
      <c r="F1720" s="8" t="s">
        <v>40</v>
      </c>
      <c r="G1720" s="8" t="s">
        <v>7</v>
      </c>
      <c r="H1720" s="8" t="s">
        <v>38</v>
      </c>
      <c r="I1720" s="9">
        <v>455.10692</v>
      </c>
      <c r="J1720">
        <v>542.21787697000002</v>
      </c>
      <c r="K1720">
        <v>514.57594884000002</v>
      </c>
      <c r="L1720">
        <v>482.84977415271999</v>
      </c>
    </row>
    <row r="1721" spans="1:12" x14ac:dyDescent="0.2">
      <c r="A1721" s="8" t="s">
        <v>32</v>
      </c>
      <c r="B1721" s="8" t="s">
        <v>303</v>
      </c>
      <c r="C1721" s="8" t="s">
        <v>308</v>
      </c>
      <c r="D1721" s="8" t="s">
        <v>309</v>
      </c>
      <c r="E1721" s="8" t="s">
        <v>41</v>
      </c>
      <c r="F1721" s="8" t="s">
        <v>42</v>
      </c>
      <c r="G1721" s="8" t="s">
        <v>7</v>
      </c>
      <c r="H1721" s="8" t="s">
        <v>38</v>
      </c>
      <c r="I1721" s="9">
        <v>3.3480018</v>
      </c>
      <c r="J1721">
        <v>27.280031350000002</v>
      </c>
      <c r="K1721">
        <v>71.485063650000001</v>
      </c>
      <c r="L1721">
        <v>77.008610621672005</v>
      </c>
    </row>
    <row r="1722" spans="1:12" x14ac:dyDescent="0.2">
      <c r="A1722" s="8" t="s">
        <v>32</v>
      </c>
      <c r="B1722" s="8" t="s">
        <v>303</v>
      </c>
      <c r="C1722" s="8" t="s">
        <v>308</v>
      </c>
      <c r="D1722" s="8" t="s">
        <v>309</v>
      </c>
      <c r="E1722" s="8" t="s">
        <v>43</v>
      </c>
      <c r="F1722" s="8" t="s">
        <v>44</v>
      </c>
      <c r="G1722" s="8" t="s">
        <v>7</v>
      </c>
      <c r="H1722" s="8" t="s">
        <v>38</v>
      </c>
      <c r="I1722" s="9">
        <v>1354.9751000000001</v>
      </c>
      <c r="J1722">
        <v>1598.2604397600001</v>
      </c>
      <c r="K1722">
        <v>1380.1135829899999</v>
      </c>
      <c r="L1722">
        <v>1418.0645823990999</v>
      </c>
    </row>
    <row r="1723" spans="1:12" x14ac:dyDescent="0.2">
      <c r="A1723" s="8" t="s">
        <v>32</v>
      </c>
      <c r="B1723" s="8" t="s">
        <v>303</v>
      </c>
      <c r="C1723" s="8" t="s">
        <v>308</v>
      </c>
      <c r="D1723" s="8" t="s">
        <v>309</v>
      </c>
      <c r="E1723" s="8" t="s">
        <v>66</v>
      </c>
      <c r="F1723" s="8" t="s">
        <v>67</v>
      </c>
      <c r="G1723" s="8" t="s">
        <v>7</v>
      </c>
      <c r="H1723" s="8" t="s">
        <v>38</v>
      </c>
      <c r="I1723" s="9">
        <v>20.388262999999998</v>
      </c>
      <c r="J1723">
        <v>0.52756528000000003</v>
      </c>
      <c r="K1723">
        <v>0.82581070000000001</v>
      </c>
      <c r="L1723">
        <v>0.76028513355406002</v>
      </c>
    </row>
    <row r="1724" spans="1:12" x14ac:dyDescent="0.2">
      <c r="A1724" s="8" t="s">
        <v>32</v>
      </c>
      <c r="B1724" s="8" t="s">
        <v>303</v>
      </c>
      <c r="C1724" s="8" t="s">
        <v>308</v>
      </c>
      <c r="D1724" s="8" t="s">
        <v>309</v>
      </c>
      <c r="E1724" s="8" t="s">
        <v>47</v>
      </c>
      <c r="F1724" s="8" t="s">
        <v>48</v>
      </c>
      <c r="G1724" s="8" t="s">
        <v>7</v>
      </c>
      <c r="H1724" s="8" t="s">
        <v>38</v>
      </c>
      <c r="I1724" s="9"/>
    </row>
    <row r="1725" spans="1:12" x14ac:dyDescent="0.2">
      <c r="A1725" s="8" t="s">
        <v>32</v>
      </c>
      <c r="B1725" s="8" t="s">
        <v>303</v>
      </c>
      <c r="C1725" s="8" t="s">
        <v>308</v>
      </c>
      <c r="D1725" s="8" t="s">
        <v>309</v>
      </c>
      <c r="E1725" s="8" t="s">
        <v>49</v>
      </c>
      <c r="F1725" s="8" t="s">
        <v>50</v>
      </c>
      <c r="G1725" s="8" t="s">
        <v>7</v>
      </c>
      <c r="H1725" s="8" t="s">
        <v>38</v>
      </c>
      <c r="I1725" s="9">
        <v>4060.0072</v>
      </c>
      <c r="J1725">
        <v>4215.7564651299999</v>
      </c>
      <c r="K1725">
        <v>4485.4901399099999</v>
      </c>
      <c r="L1725">
        <v>4392.3588483997</v>
      </c>
    </row>
    <row r="1726" spans="1:12" x14ac:dyDescent="0.2">
      <c r="A1726" s="8" t="s">
        <v>32</v>
      </c>
      <c r="B1726" s="8" t="s">
        <v>303</v>
      </c>
      <c r="C1726" s="8" t="s">
        <v>308</v>
      </c>
      <c r="D1726" s="8" t="s">
        <v>309</v>
      </c>
      <c r="E1726" s="8" t="s">
        <v>51</v>
      </c>
      <c r="F1726" s="8" t="s">
        <v>52</v>
      </c>
      <c r="G1726" s="8" t="s">
        <v>7</v>
      </c>
      <c r="H1726" s="8" t="s">
        <v>38</v>
      </c>
      <c r="I1726" s="9">
        <v>22.560648</v>
      </c>
      <c r="J1726">
        <v>14.397694550000001</v>
      </c>
      <c r="K1726">
        <v>10.319792039999999</v>
      </c>
      <c r="L1726">
        <v>9.6122241851953003</v>
      </c>
    </row>
    <row r="1727" spans="1:12" x14ac:dyDescent="0.2">
      <c r="A1727" s="8" t="s">
        <v>32</v>
      </c>
      <c r="B1727" s="8" t="s">
        <v>303</v>
      </c>
      <c r="C1727" s="8" t="s">
        <v>308</v>
      </c>
      <c r="D1727" s="8" t="s">
        <v>309</v>
      </c>
      <c r="E1727" s="8" t="s">
        <v>68</v>
      </c>
      <c r="F1727" s="8" t="s">
        <v>69</v>
      </c>
      <c r="G1727" s="8" t="s">
        <v>7</v>
      </c>
      <c r="H1727" s="8" t="s">
        <v>38</v>
      </c>
      <c r="I1727" s="9">
        <v>9.0013871999999999</v>
      </c>
      <c r="J1727">
        <v>10.282265071057999</v>
      </c>
      <c r="K1727">
        <v>12.610126846814</v>
      </c>
      <c r="L1727">
        <v>12.307481156049001</v>
      </c>
    </row>
    <row r="1728" spans="1:12" x14ac:dyDescent="0.2">
      <c r="A1728" s="8" t="s">
        <v>32</v>
      </c>
      <c r="B1728" s="8" t="s">
        <v>303</v>
      </c>
      <c r="C1728" s="8" t="s">
        <v>308</v>
      </c>
      <c r="D1728" s="8" t="s">
        <v>309</v>
      </c>
      <c r="E1728" s="8" t="s">
        <v>53</v>
      </c>
      <c r="F1728" s="8" t="s">
        <v>54</v>
      </c>
      <c r="G1728" s="8" t="s">
        <v>7</v>
      </c>
      <c r="H1728" s="8" t="s">
        <v>38</v>
      </c>
      <c r="I1728" s="9">
        <v>83.494935999999996</v>
      </c>
      <c r="J1728">
        <v>48.312339250907002</v>
      </c>
      <c r="K1728">
        <v>78.937049176062004</v>
      </c>
      <c r="L1728">
        <v>84.349678807293003</v>
      </c>
    </row>
    <row r="1729" spans="1:12" x14ac:dyDescent="0.2">
      <c r="A1729" s="8" t="s">
        <v>32</v>
      </c>
      <c r="B1729" s="8" t="s">
        <v>303</v>
      </c>
      <c r="C1729" s="8" t="s">
        <v>308</v>
      </c>
      <c r="D1729" s="8" t="s">
        <v>309</v>
      </c>
      <c r="E1729" s="8" t="s">
        <v>70</v>
      </c>
      <c r="F1729" s="8" t="s">
        <v>71</v>
      </c>
      <c r="G1729" s="8" t="s">
        <v>7</v>
      </c>
      <c r="H1729" s="8" t="s">
        <v>38</v>
      </c>
      <c r="I1729" s="9">
        <v>805.03710999999998</v>
      </c>
      <c r="J1729">
        <v>1070.0893498759999</v>
      </c>
      <c r="K1729">
        <v>1145.695823412</v>
      </c>
      <c r="L1729">
        <v>1144.4033208379001</v>
      </c>
    </row>
    <row r="1730" spans="1:12" x14ac:dyDescent="0.2">
      <c r="A1730" s="8" t="s">
        <v>32</v>
      </c>
      <c r="B1730" s="8" t="s">
        <v>303</v>
      </c>
      <c r="C1730" s="8" t="s">
        <v>308</v>
      </c>
      <c r="D1730" s="8" t="s">
        <v>309</v>
      </c>
      <c r="E1730" s="8" t="s">
        <v>83</v>
      </c>
      <c r="F1730" s="8" t="s">
        <v>84</v>
      </c>
      <c r="G1730" s="8" t="s">
        <v>7</v>
      </c>
      <c r="H1730" s="8" t="s">
        <v>38</v>
      </c>
      <c r="I1730" s="9">
        <v>7.5</v>
      </c>
      <c r="J1730">
        <v>7.5</v>
      </c>
      <c r="K1730">
        <v>7.5</v>
      </c>
      <c r="L1730">
        <v>7.5</v>
      </c>
    </row>
    <row r="1731" spans="1:12" x14ac:dyDescent="0.2">
      <c r="A1731" s="8" t="s">
        <v>32</v>
      </c>
      <c r="B1731" s="8" t="s">
        <v>303</v>
      </c>
      <c r="C1731" s="8" t="s">
        <v>308</v>
      </c>
      <c r="D1731" s="8" t="s">
        <v>309</v>
      </c>
      <c r="E1731" s="8" t="s">
        <v>55</v>
      </c>
      <c r="F1731" s="8" t="s">
        <v>56</v>
      </c>
      <c r="G1731" s="8" t="s">
        <v>7</v>
      </c>
      <c r="H1731" s="8" t="s">
        <v>38</v>
      </c>
      <c r="I1731" s="9">
        <v>0.29679810000000001</v>
      </c>
      <c r="J1731">
        <v>0.33242152778332001</v>
      </c>
      <c r="K1731">
        <v>0.33242152778332001</v>
      </c>
      <c r="L1731">
        <v>0.33242152778332001</v>
      </c>
    </row>
    <row r="1732" spans="1:12" x14ac:dyDescent="0.2">
      <c r="A1732" s="8" t="s">
        <v>32</v>
      </c>
      <c r="B1732" s="8" t="s">
        <v>303</v>
      </c>
      <c r="C1732" s="8" t="s">
        <v>308</v>
      </c>
      <c r="D1732" s="8" t="s">
        <v>309</v>
      </c>
      <c r="E1732" s="8" t="s">
        <v>57</v>
      </c>
      <c r="F1732" s="8" t="s">
        <v>58</v>
      </c>
      <c r="G1732" s="8" t="s">
        <v>7</v>
      </c>
      <c r="H1732" s="8" t="s">
        <v>38</v>
      </c>
      <c r="I1732" s="9">
        <v>13.217734999999999</v>
      </c>
      <c r="J1732">
        <v>14.80420575166</v>
      </c>
      <c r="K1732">
        <v>14.80420575166</v>
      </c>
      <c r="L1732">
        <v>14.80420575166</v>
      </c>
    </row>
    <row r="1733" spans="1:12" x14ac:dyDescent="0.2">
      <c r="A1733" s="8" t="s">
        <v>32</v>
      </c>
      <c r="B1733" s="8" t="s">
        <v>303</v>
      </c>
      <c r="C1733" s="8" t="s">
        <v>308</v>
      </c>
      <c r="D1733" s="8" t="s">
        <v>309</v>
      </c>
      <c r="E1733" s="8" t="s">
        <v>72</v>
      </c>
      <c r="F1733" s="8" t="s">
        <v>73</v>
      </c>
      <c r="G1733" s="8" t="s">
        <v>7</v>
      </c>
      <c r="H1733" s="8" t="s">
        <v>38</v>
      </c>
      <c r="I1733" s="9">
        <v>1.56624E-2</v>
      </c>
      <c r="J1733">
        <v>1.7608640430446999E-2</v>
      </c>
      <c r="K1733">
        <v>1.8538528745664001E-2</v>
      </c>
      <c r="L1733">
        <v>1.7988077776201001E-2</v>
      </c>
    </row>
    <row r="1734" spans="1:12" x14ac:dyDescent="0.2">
      <c r="A1734" s="8" t="s">
        <v>32</v>
      </c>
      <c r="B1734" s="8" t="s">
        <v>303</v>
      </c>
      <c r="C1734" s="8" t="s">
        <v>308</v>
      </c>
      <c r="D1734" s="8" t="s">
        <v>309</v>
      </c>
      <c r="E1734" s="8" t="s">
        <v>59</v>
      </c>
      <c r="F1734" s="8" t="s">
        <v>60</v>
      </c>
      <c r="G1734" s="8" t="s">
        <v>7</v>
      </c>
      <c r="H1734" s="8" t="s">
        <v>38</v>
      </c>
      <c r="I1734" s="9">
        <v>31.022957000000002</v>
      </c>
      <c r="J1734">
        <v>26.037568269653001</v>
      </c>
      <c r="K1734">
        <v>45.449920382930003</v>
      </c>
      <c r="L1734">
        <v>50.519066231662997</v>
      </c>
    </row>
    <row r="1735" spans="1:12" x14ac:dyDescent="0.2">
      <c r="A1735" s="8" t="s">
        <v>32</v>
      </c>
      <c r="B1735" s="8" t="s">
        <v>303</v>
      </c>
      <c r="C1735" s="8" t="s">
        <v>308</v>
      </c>
      <c r="D1735" s="8" t="s">
        <v>309</v>
      </c>
      <c r="E1735" s="8" t="s">
        <v>76</v>
      </c>
      <c r="F1735" s="8" t="s">
        <v>77</v>
      </c>
      <c r="G1735" s="8" t="s">
        <v>7</v>
      </c>
      <c r="H1735" s="8" t="s">
        <v>38</v>
      </c>
      <c r="I1735" s="9">
        <v>67.361904999999993</v>
      </c>
      <c r="J1735">
        <v>95.857142859236006</v>
      </c>
      <c r="K1735">
        <v>65.580952382616005</v>
      </c>
      <c r="L1735">
        <v>65.580952382616005</v>
      </c>
    </row>
    <row r="1736" spans="1:12" x14ac:dyDescent="0.2">
      <c r="A1736" s="8" t="s">
        <v>32</v>
      </c>
      <c r="B1736" s="8" t="s">
        <v>303</v>
      </c>
      <c r="C1736" s="8" t="s">
        <v>308</v>
      </c>
      <c r="D1736" s="8" t="s">
        <v>309</v>
      </c>
      <c r="E1736" s="8" t="s">
        <v>78</v>
      </c>
      <c r="F1736" s="8" t="s">
        <v>79</v>
      </c>
      <c r="G1736" s="8" t="s">
        <v>7</v>
      </c>
      <c r="H1736" s="8" t="s">
        <v>38</v>
      </c>
      <c r="I1736" s="9">
        <v>35.199993999999997</v>
      </c>
      <c r="J1736">
        <v>32.371422685714002</v>
      </c>
      <c r="K1736">
        <v>11.942854971429</v>
      </c>
      <c r="L1736">
        <v>5.8457132228570998</v>
      </c>
    </row>
    <row r="1737" spans="1:12" x14ac:dyDescent="0.2">
      <c r="A1737" s="8" t="s">
        <v>32</v>
      </c>
      <c r="B1737" s="8" t="s">
        <v>153</v>
      </c>
      <c r="C1737" s="8" t="s">
        <v>310</v>
      </c>
      <c r="D1737" s="8" t="s">
        <v>311</v>
      </c>
      <c r="E1737" s="8" t="s">
        <v>36</v>
      </c>
      <c r="F1737" s="8" t="s">
        <v>37</v>
      </c>
      <c r="G1737" s="8" t="s">
        <v>7</v>
      </c>
      <c r="H1737" s="8" t="s">
        <v>38</v>
      </c>
      <c r="I1737" s="9">
        <v>5132.4772000000003</v>
      </c>
      <c r="J1737">
        <v>4029.7331902199999</v>
      </c>
      <c r="K1737">
        <v>3542.3457699999999</v>
      </c>
      <c r="L1737">
        <v>3895.8689801902001</v>
      </c>
    </row>
    <row r="1738" spans="1:12" x14ac:dyDescent="0.2">
      <c r="A1738" s="8" t="s">
        <v>32</v>
      </c>
      <c r="B1738" s="8" t="s">
        <v>153</v>
      </c>
      <c r="C1738" s="8" t="s">
        <v>310</v>
      </c>
      <c r="D1738" s="8" t="s">
        <v>311</v>
      </c>
      <c r="E1738" s="8" t="s">
        <v>39</v>
      </c>
      <c r="F1738" s="8" t="s">
        <v>40</v>
      </c>
      <c r="G1738" s="8" t="s">
        <v>7</v>
      </c>
      <c r="H1738" s="8" t="s">
        <v>38</v>
      </c>
      <c r="I1738" s="9">
        <v>2193.2667999999999</v>
      </c>
      <c r="J1738">
        <v>2636.5945137899998</v>
      </c>
      <c r="K1738">
        <v>2718.1362738299999</v>
      </c>
      <c r="L1738">
        <v>2937.049315059</v>
      </c>
    </row>
    <row r="1739" spans="1:12" x14ac:dyDescent="0.2">
      <c r="A1739" s="8" t="s">
        <v>32</v>
      </c>
      <c r="B1739" s="8" t="s">
        <v>153</v>
      </c>
      <c r="C1739" s="8" t="s">
        <v>310</v>
      </c>
      <c r="D1739" s="8" t="s">
        <v>311</v>
      </c>
      <c r="E1739" s="8" t="s">
        <v>41</v>
      </c>
      <c r="F1739" s="8" t="s">
        <v>42</v>
      </c>
      <c r="G1739" s="8" t="s">
        <v>7</v>
      </c>
      <c r="H1739" s="8" t="s">
        <v>38</v>
      </c>
      <c r="I1739" s="9">
        <v>43.790125000000003</v>
      </c>
      <c r="J1739">
        <v>3.6967501999999999</v>
      </c>
      <c r="K1739">
        <v>12.93278415</v>
      </c>
      <c r="L1739">
        <v>17.223586579557999</v>
      </c>
    </row>
    <row r="1740" spans="1:12" x14ac:dyDescent="0.2">
      <c r="A1740" s="8" t="s">
        <v>32</v>
      </c>
      <c r="B1740" s="8" t="s">
        <v>153</v>
      </c>
      <c r="C1740" s="8" t="s">
        <v>310</v>
      </c>
      <c r="D1740" s="8" t="s">
        <v>311</v>
      </c>
      <c r="E1740" s="8" t="s">
        <v>43</v>
      </c>
      <c r="F1740" s="8" t="s">
        <v>44</v>
      </c>
      <c r="G1740" s="8" t="s">
        <v>7</v>
      </c>
      <c r="H1740" s="8" t="s">
        <v>38</v>
      </c>
      <c r="I1740" s="9">
        <v>5591.8467000000001</v>
      </c>
      <c r="J1740">
        <v>5393.6606614399998</v>
      </c>
      <c r="K1740">
        <v>5560.46831191</v>
      </c>
      <c r="L1740">
        <v>5534.1873317994005</v>
      </c>
    </row>
    <row r="1741" spans="1:12" x14ac:dyDescent="0.2">
      <c r="A1741" s="8" t="s">
        <v>32</v>
      </c>
      <c r="B1741" s="8" t="s">
        <v>153</v>
      </c>
      <c r="C1741" s="8" t="s">
        <v>310</v>
      </c>
      <c r="D1741" s="8" t="s">
        <v>311</v>
      </c>
      <c r="E1741" s="8" t="s">
        <v>66</v>
      </c>
      <c r="F1741" s="8" t="s">
        <v>67</v>
      </c>
      <c r="G1741" s="8" t="s">
        <v>7</v>
      </c>
      <c r="H1741" s="8" t="s">
        <v>38</v>
      </c>
      <c r="I1741" s="9">
        <v>738.73990000000003</v>
      </c>
      <c r="J1741">
        <v>984.98632089</v>
      </c>
      <c r="K1741">
        <v>1015.44742299</v>
      </c>
      <c r="L1741">
        <v>1010.6480154527</v>
      </c>
    </row>
    <row r="1742" spans="1:12" x14ac:dyDescent="0.2">
      <c r="A1742" s="8" t="s">
        <v>32</v>
      </c>
      <c r="B1742" s="8" t="s">
        <v>153</v>
      </c>
      <c r="C1742" s="8" t="s">
        <v>310</v>
      </c>
      <c r="D1742" s="8" t="s">
        <v>311</v>
      </c>
      <c r="E1742" s="8" t="s">
        <v>45</v>
      </c>
      <c r="F1742" s="8" t="s">
        <v>46</v>
      </c>
      <c r="G1742" s="8" t="s">
        <v>7</v>
      </c>
      <c r="H1742" s="8" t="s">
        <v>38</v>
      </c>
      <c r="I1742" s="9">
        <v>203.07999000000001</v>
      </c>
      <c r="J1742">
        <v>208.88120136000001</v>
      </c>
      <c r="K1742">
        <v>215.34106152000001</v>
      </c>
      <c r="L1742">
        <v>207.84052898260001</v>
      </c>
    </row>
    <row r="1743" spans="1:12" x14ac:dyDescent="0.2">
      <c r="A1743" s="8" t="s">
        <v>32</v>
      </c>
      <c r="B1743" s="8" t="s">
        <v>153</v>
      </c>
      <c r="C1743" s="8" t="s">
        <v>310</v>
      </c>
      <c r="D1743" s="8" t="s">
        <v>311</v>
      </c>
      <c r="E1743" s="8" t="s">
        <v>47</v>
      </c>
      <c r="F1743" s="8" t="s">
        <v>48</v>
      </c>
      <c r="G1743" s="8" t="s">
        <v>7</v>
      </c>
      <c r="H1743" s="8" t="s">
        <v>38</v>
      </c>
      <c r="I1743" s="9"/>
    </row>
    <row r="1744" spans="1:12" x14ac:dyDescent="0.2">
      <c r="A1744" s="8" t="s">
        <v>32</v>
      </c>
      <c r="B1744" s="8" t="s">
        <v>153</v>
      </c>
      <c r="C1744" s="8" t="s">
        <v>310</v>
      </c>
      <c r="D1744" s="8" t="s">
        <v>311</v>
      </c>
      <c r="E1744" s="8" t="s">
        <v>49</v>
      </c>
      <c r="F1744" s="8" t="s">
        <v>50</v>
      </c>
      <c r="G1744" s="8" t="s">
        <v>7</v>
      </c>
      <c r="H1744" s="8" t="s">
        <v>38</v>
      </c>
      <c r="I1744" s="9">
        <v>1420.0757000000001</v>
      </c>
      <c r="J1744">
        <v>1559.96993625</v>
      </c>
      <c r="K1744">
        <v>1597.04130345</v>
      </c>
      <c r="L1744">
        <v>1589.4930524076001</v>
      </c>
    </row>
    <row r="1745" spans="1:12" x14ac:dyDescent="0.2">
      <c r="A1745" s="8" t="s">
        <v>32</v>
      </c>
      <c r="B1745" s="8" t="s">
        <v>153</v>
      </c>
      <c r="C1745" s="8" t="s">
        <v>310</v>
      </c>
      <c r="D1745" s="8" t="s">
        <v>311</v>
      </c>
      <c r="E1745" s="8" t="s">
        <v>51</v>
      </c>
      <c r="F1745" s="8" t="s">
        <v>52</v>
      </c>
      <c r="G1745" s="8" t="s">
        <v>7</v>
      </c>
      <c r="H1745" s="8" t="s">
        <v>38</v>
      </c>
      <c r="I1745" s="9"/>
    </row>
    <row r="1746" spans="1:12" x14ac:dyDescent="0.2">
      <c r="A1746" s="8" t="s">
        <v>32</v>
      </c>
      <c r="B1746" s="8" t="s">
        <v>153</v>
      </c>
      <c r="C1746" s="8" t="s">
        <v>310</v>
      </c>
      <c r="D1746" s="8" t="s">
        <v>311</v>
      </c>
      <c r="E1746" s="8" t="s">
        <v>68</v>
      </c>
      <c r="F1746" s="8" t="s">
        <v>69</v>
      </c>
      <c r="G1746" s="8" t="s">
        <v>7</v>
      </c>
      <c r="H1746" s="8" t="s">
        <v>38</v>
      </c>
      <c r="I1746" s="9">
        <v>5.8443000000000002E-3</v>
      </c>
      <c r="J1746">
        <v>8.1817561820690006E-3</v>
      </c>
      <c r="K1746">
        <v>8.4349264772413998E-3</v>
      </c>
      <c r="L1746">
        <v>8.8904241875861992E-3</v>
      </c>
    </row>
    <row r="1747" spans="1:12" x14ac:dyDescent="0.2">
      <c r="A1747" s="8" t="s">
        <v>32</v>
      </c>
      <c r="B1747" s="8" t="s">
        <v>153</v>
      </c>
      <c r="C1747" s="8" t="s">
        <v>310</v>
      </c>
      <c r="D1747" s="8" t="s">
        <v>311</v>
      </c>
      <c r="E1747" s="8" t="s">
        <v>53</v>
      </c>
      <c r="F1747" s="8" t="s">
        <v>54</v>
      </c>
      <c r="G1747" s="8" t="s">
        <v>7</v>
      </c>
      <c r="H1747" s="8" t="s">
        <v>38</v>
      </c>
      <c r="I1747" s="9">
        <v>1.8347000000000001E-3</v>
      </c>
      <c r="J1747">
        <v>24.731037748222001</v>
      </c>
      <c r="K1747">
        <v>1.6902112000000002E-5</v>
      </c>
      <c r="L1747">
        <v>1.6902112000000002E-5</v>
      </c>
    </row>
    <row r="1748" spans="1:12" x14ac:dyDescent="0.2">
      <c r="A1748" s="8" t="s">
        <v>32</v>
      </c>
      <c r="B1748" s="8" t="s">
        <v>153</v>
      </c>
      <c r="C1748" s="8" t="s">
        <v>310</v>
      </c>
      <c r="D1748" s="8" t="s">
        <v>311</v>
      </c>
      <c r="E1748" s="8" t="s">
        <v>70</v>
      </c>
      <c r="F1748" s="8" t="s">
        <v>71</v>
      </c>
      <c r="G1748" s="8" t="s">
        <v>7</v>
      </c>
      <c r="H1748" s="8" t="s">
        <v>38</v>
      </c>
      <c r="I1748" s="9">
        <v>3228.0261999999998</v>
      </c>
      <c r="J1748">
        <v>3554.9149431000001</v>
      </c>
      <c r="K1748">
        <v>3636.6371257000001</v>
      </c>
      <c r="L1748">
        <v>3632.5344985017</v>
      </c>
    </row>
    <row r="1749" spans="1:12" x14ac:dyDescent="0.2">
      <c r="A1749" s="8" t="s">
        <v>32</v>
      </c>
      <c r="B1749" s="8" t="s">
        <v>153</v>
      </c>
      <c r="C1749" s="8" t="s">
        <v>310</v>
      </c>
      <c r="D1749" s="8" t="s">
        <v>311</v>
      </c>
      <c r="E1749" s="8" t="s">
        <v>55</v>
      </c>
      <c r="F1749" s="8" t="s">
        <v>56</v>
      </c>
      <c r="G1749" s="8" t="s">
        <v>7</v>
      </c>
      <c r="H1749" s="8" t="s">
        <v>38</v>
      </c>
      <c r="I1749" s="9">
        <v>0.80972310000000003</v>
      </c>
      <c r="J1749">
        <v>0.90691090847297995</v>
      </c>
      <c r="K1749">
        <v>0.90691090847297995</v>
      </c>
      <c r="L1749">
        <v>0.90691090847297995</v>
      </c>
    </row>
    <row r="1750" spans="1:12" x14ac:dyDescent="0.2">
      <c r="A1750" s="8" t="s">
        <v>32</v>
      </c>
      <c r="B1750" s="8" t="s">
        <v>153</v>
      </c>
      <c r="C1750" s="8" t="s">
        <v>310</v>
      </c>
      <c r="D1750" s="8" t="s">
        <v>311</v>
      </c>
      <c r="E1750" s="8" t="s">
        <v>57</v>
      </c>
      <c r="F1750" s="8" t="s">
        <v>58</v>
      </c>
      <c r="G1750" s="8" t="s">
        <v>7</v>
      </c>
      <c r="H1750" s="8" t="s">
        <v>38</v>
      </c>
      <c r="I1750" s="9">
        <v>5.7111527999999998</v>
      </c>
      <c r="J1750">
        <v>6.3966392730179003</v>
      </c>
      <c r="K1750">
        <v>6.3966392730179003</v>
      </c>
      <c r="L1750">
        <v>6.3966392730179003</v>
      </c>
    </row>
    <row r="1751" spans="1:12" x14ac:dyDescent="0.2">
      <c r="A1751" s="8" t="s">
        <v>32</v>
      </c>
      <c r="B1751" s="8" t="s">
        <v>153</v>
      </c>
      <c r="C1751" s="8" t="s">
        <v>310</v>
      </c>
      <c r="D1751" s="8" t="s">
        <v>311</v>
      </c>
      <c r="E1751" s="8" t="s">
        <v>59</v>
      </c>
      <c r="F1751" s="8" t="s">
        <v>60</v>
      </c>
      <c r="G1751" s="8" t="s">
        <v>7</v>
      </c>
      <c r="H1751" s="8" t="s">
        <v>38</v>
      </c>
      <c r="I1751" s="9">
        <v>63.383386000000002</v>
      </c>
      <c r="J1751">
        <v>65.838185979692994</v>
      </c>
      <c r="K1751">
        <v>66.637142156034997</v>
      </c>
      <c r="L1751">
        <v>71.080760826518997</v>
      </c>
    </row>
    <row r="1752" spans="1:12" x14ac:dyDescent="0.2">
      <c r="A1752" s="8" t="s">
        <v>32</v>
      </c>
      <c r="B1752" s="8" t="s">
        <v>153</v>
      </c>
      <c r="C1752" s="8" t="s">
        <v>310</v>
      </c>
      <c r="D1752" s="8" t="s">
        <v>311</v>
      </c>
      <c r="E1752" s="8" t="s">
        <v>92</v>
      </c>
      <c r="F1752" s="8" t="s">
        <v>93</v>
      </c>
      <c r="G1752" s="8" t="s">
        <v>7</v>
      </c>
      <c r="H1752" s="8" t="s">
        <v>38</v>
      </c>
      <c r="I1752" s="9">
        <v>12.000799000000001</v>
      </c>
      <c r="J1752">
        <v>12.290375619542001</v>
      </c>
      <c r="K1752">
        <v>12.586939308030001</v>
      </c>
      <c r="L1752">
        <v>12.922437155912</v>
      </c>
    </row>
    <row r="1753" spans="1:12" x14ac:dyDescent="0.2">
      <c r="A1753" s="8" t="s">
        <v>32</v>
      </c>
      <c r="B1753" s="8" t="s">
        <v>105</v>
      </c>
      <c r="C1753" s="8" t="s">
        <v>312</v>
      </c>
      <c r="D1753" s="8" t="s">
        <v>313</v>
      </c>
      <c r="E1753" s="8" t="s">
        <v>36</v>
      </c>
      <c r="F1753" s="8" t="s">
        <v>37</v>
      </c>
      <c r="G1753" s="8" t="s">
        <v>7</v>
      </c>
      <c r="H1753" s="8" t="s">
        <v>38</v>
      </c>
      <c r="I1753" s="9">
        <v>17.437812000000001</v>
      </c>
      <c r="J1753">
        <v>18.663499018311999</v>
      </c>
      <c r="K1753">
        <v>17.553979951376999</v>
      </c>
      <c r="L1753">
        <v>17.471012875208999</v>
      </c>
    </row>
    <row r="1754" spans="1:12" x14ac:dyDescent="0.2">
      <c r="A1754" s="8" t="s">
        <v>32</v>
      </c>
      <c r="B1754" s="8" t="s">
        <v>105</v>
      </c>
      <c r="C1754" s="8" t="s">
        <v>312</v>
      </c>
      <c r="D1754" s="8" t="s">
        <v>313</v>
      </c>
      <c r="E1754" s="8" t="s">
        <v>39</v>
      </c>
      <c r="F1754" s="8" t="s">
        <v>40</v>
      </c>
      <c r="G1754" s="8" t="s">
        <v>7</v>
      </c>
      <c r="H1754" s="8" t="s">
        <v>38</v>
      </c>
      <c r="I1754" s="9">
        <v>9.3977765000000009</v>
      </c>
      <c r="J1754">
        <v>9.8992037273277003</v>
      </c>
      <c r="K1754">
        <v>9.3107071637010996</v>
      </c>
      <c r="L1754">
        <v>9.2667010663620992</v>
      </c>
    </row>
    <row r="1755" spans="1:12" x14ac:dyDescent="0.2">
      <c r="A1755" s="8" t="s">
        <v>32</v>
      </c>
      <c r="B1755" s="8" t="s">
        <v>105</v>
      </c>
      <c r="C1755" s="8" t="s">
        <v>312</v>
      </c>
      <c r="D1755" s="8" t="s">
        <v>313</v>
      </c>
      <c r="E1755" s="8" t="s">
        <v>41</v>
      </c>
      <c r="F1755" s="8" t="s">
        <v>42</v>
      </c>
      <c r="G1755" s="8" t="s">
        <v>7</v>
      </c>
      <c r="H1755" s="8" t="s">
        <v>38</v>
      </c>
      <c r="I1755" s="9">
        <v>1.7864757</v>
      </c>
      <c r="J1755">
        <v>2.0347289230590002</v>
      </c>
      <c r="K1755">
        <v>1.9137656473419</v>
      </c>
      <c r="L1755">
        <v>2.5487093836618002</v>
      </c>
    </row>
    <row r="1756" spans="1:12" x14ac:dyDescent="0.2">
      <c r="A1756" s="8" t="s">
        <v>32</v>
      </c>
      <c r="B1756" s="8" t="s">
        <v>105</v>
      </c>
      <c r="C1756" s="8" t="s">
        <v>312</v>
      </c>
      <c r="D1756" s="8" t="s">
        <v>313</v>
      </c>
      <c r="E1756" s="8" t="s">
        <v>43</v>
      </c>
      <c r="F1756" s="8" t="s">
        <v>44</v>
      </c>
      <c r="G1756" s="8" t="s">
        <v>7</v>
      </c>
      <c r="H1756" s="8" t="s">
        <v>38</v>
      </c>
      <c r="I1756" s="9">
        <v>30.137229999999999</v>
      </c>
      <c r="J1756">
        <v>33.413094598606001</v>
      </c>
      <c r="K1756">
        <v>31.426709950113999</v>
      </c>
      <c r="L1756">
        <v>31.278174846089001</v>
      </c>
    </row>
    <row r="1757" spans="1:12" x14ac:dyDescent="0.2">
      <c r="A1757" s="8" t="s">
        <v>32</v>
      </c>
      <c r="B1757" s="8" t="s">
        <v>105</v>
      </c>
      <c r="C1757" s="8" t="s">
        <v>312</v>
      </c>
      <c r="D1757" s="8" t="s">
        <v>313</v>
      </c>
      <c r="E1757" s="8" t="s">
        <v>66</v>
      </c>
      <c r="F1757" s="8" t="s">
        <v>67</v>
      </c>
      <c r="G1757" s="8" t="s">
        <v>7</v>
      </c>
      <c r="H1757" s="8" t="s">
        <v>38</v>
      </c>
      <c r="I1757" s="9"/>
    </row>
    <row r="1758" spans="1:12" x14ac:dyDescent="0.2">
      <c r="A1758" s="8" t="s">
        <v>32</v>
      </c>
      <c r="B1758" s="8" t="s">
        <v>105</v>
      </c>
      <c r="C1758" s="8" t="s">
        <v>312</v>
      </c>
      <c r="D1758" s="8" t="s">
        <v>313</v>
      </c>
      <c r="E1758" s="8" t="s">
        <v>45</v>
      </c>
      <c r="F1758" s="8" t="s">
        <v>46</v>
      </c>
      <c r="G1758" s="8" t="s">
        <v>7</v>
      </c>
      <c r="H1758" s="8" t="s">
        <v>38</v>
      </c>
      <c r="I1758" s="9">
        <v>2.0746878999999998</v>
      </c>
      <c r="J1758">
        <v>2.7568430370335002</v>
      </c>
      <c r="K1758">
        <v>2.5929508518586002</v>
      </c>
      <c r="L1758">
        <v>2.5026359249469001</v>
      </c>
    </row>
    <row r="1759" spans="1:12" x14ac:dyDescent="0.2">
      <c r="A1759" s="8" t="s">
        <v>32</v>
      </c>
      <c r="B1759" s="8" t="s">
        <v>105</v>
      </c>
      <c r="C1759" s="8" t="s">
        <v>312</v>
      </c>
      <c r="D1759" s="8" t="s">
        <v>313</v>
      </c>
      <c r="E1759" s="8" t="s">
        <v>47</v>
      </c>
      <c r="F1759" s="8" t="s">
        <v>48</v>
      </c>
      <c r="G1759" s="8" t="s">
        <v>7</v>
      </c>
      <c r="H1759" s="8" t="s">
        <v>38</v>
      </c>
      <c r="I1759" s="9">
        <v>2.1759729999999999</v>
      </c>
      <c r="J1759">
        <v>2.3538320412512999</v>
      </c>
      <c r="K1759">
        <v>2.2138846764874001</v>
      </c>
      <c r="L1759">
        <v>2.2034209788479</v>
      </c>
    </row>
    <row r="1760" spans="1:12" x14ac:dyDescent="0.2">
      <c r="A1760" s="8" t="s">
        <v>32</v>
      </c>
      <c r="B1760" s="8" t="s">
        <v>105</v>
      </c>
      <c r="C1760" s="8" t="s">
        <v>312</v>
      </c>
      <c r="D1760" s="8" t="s">
        <v>313</v>
      </c>
      <c r="E1760" s="8" t="s">
        <v>49</v>
      </c>
      <c r="F1760" s="8" t="s">
        <v>50</v>
      </c>
      <c r="G1760" s="8" t="s">
        <v>7</v>
      </c>
      <c r="H1760" s="8" t="s">
        <v>38</v>
      </c>
      <c r="I1760" s="9">
        <v>9.8146748000000006</v>
      </c>
      <c r="J1760">
        <v>10.470879925337</v>
      </c>
      <c r="K1760">
        <v>9.8483977770970998</v>
      </c>
      <c r="L1760">
        <v>9.8018503405181008</v>
      </c>
    </row>
    <row r="1761" spans="1:12" x14ac:dyDescent="0.2">
      <c r="A1761" s="8" t="s">
        <v>32</v>
      </c>
      <c r="B1761" s="8" t="s">
        <v>105</v>
      </c>
      <c r="C1761" s="8" t="s">
        <v>312</v>
      </c>
      <c r="D1761" s="8" t="s">
        <v>313</v>
      </c>
      <c r="E1761" s="8" t="s">
        <v>51</v>
      </c>
      <c r="F1761" s="8" t="s">
        <v>52</v>
      </c>
      <c r="G1761" s="8" t="s">
        <v>7</v>
      </c>
      <c r="H1761" s="8" t="s">
        <v>38</v>
      </c>
      <c r="I1761" s="9">
        <v>0.45375769999999999</v>
      </c>
      <c r="J1761">
        <v>0.53046956204797002</v>
      </c>
      <c r="K1761">
        <v>0.49892492614446998</v>
      </c>
      <c r="L1761">
        <v>0.49656680892751998</v>
      </c>
    </row>
    <row r="1762" spans="1:12" x14ac:dyDescent="0.2">
      <c r="A1762" s="8" t="s">
        <v>32</v>
      </c>
      <c r="B1762" s="8" t="s">
        <v>105</v>
      </c>
      <c r="C1762" s="8" t="s">
        <v>312</v>
      </c>
      <c r="D1762" s="8" t="s">
        <v>313</v>
      </c>
      <c r="E1762" s="8" t="s">
        <v>53</v>
      </c>
      <c r="F1762" s="8" t="s">
        <v>54</v>
      </c>
      <c r="G1762" s="8" t="s">
        <v>7</v>
      </c>
      <c r="H1762" s="8" t="s">
        <v>38</v>
      </c>
      <c r="I1762" s="9">
        <v>4.488E-7</v>
      </c>
      <c r="J1762">
        <v>1.4772103047974001E-7</v>
      </c>
      <c r="K1762">
        <v>1.2956654304887999E-7</v>
      </c>
      <c r="L1762">
        <v>3.8998332177884002E-8</v>
      </c>
    </row>
    <row r="1763" spans="1:12" x14ac:dyDescent="0.2">
      <c r="A1763" s="8" t="s">
        <v>32</v>
      </c>
      <c r="B1763" s="8" t="s">
        <v>105</v>
      </c>
      <c r="C1763" s="8" t="s">
        <v>312</v>
      </c>
      <c r="D1763" s="8" t="s">
        <v>313</v>
      </c>
      <c r="E1763" s="8" t="s">
        <v>55</v>
      </c>
      <c r="F1763" s="8" t="s">
        <v>56</v>
      </c>
      <c r="G1763" s="8" t="s">
        <v>7</v>
      </c>
      <c r="H1763" s="8" t="s">
        <v>38</v>
      </c>
      <c r="I1763" s="9">
        <v>5.9389000000000004E-3</v>
      </c>
      <c r="J1763">
        <v>6.0247627237444996E-3</v>
      </c>
      <c r="K1763">
        <v>6.1119171978328999E-3</v>
      </c>
      <c r="L1763">
        <v>6.1970012676096E-3</v>
      </c>
    </row>
    <row r="1764" spans="1:12" x14ac:dyDescent="0.2">
      <c r="A1764" s="8" t="s">
        <v>32</v>
      </c>
      <c r="B1764" s="8" t="s">
        <v>105</v>
      </c>
      <c r="C1764" s="8" t="s">
        <v>312</v>
      </c>
      <c r="D1764" s="8" t="s">
        <v>313</v>
      </c>
      <c r="E1764" s="8" t="s">
        <v>59</v>
      </c>
      <c r="F1764" s="8" t="s">
        <v>60</v>
      </c>
      <c r="G1764" s="8" t="s">
        <v>7</v>
      </c>
      <c r="H1764" s="8" t="s">
        <v>38</v>
      </c>
      <c r="I1764" s="9">
        <v>0.3816967</v>
      </c>
      <c r="J1764">
        <v>0.39340717601247999</v>
      </c>
      <c r="K1764">
        <v>0.38834418598004</v>
      </c>
      <c r="L1764">
        <v>0.38287876507923002</v>
      </c>
    </row>
    <row r="1765" spans="1:12" x14ac:dyDescent="0.2">
      <c r="A1765" s="8" t="s">
        <v>32</v>
      </c>
      <c r="B1765" s="8" t="s">
        <v>33</v>
      </c>
      <c r="C1765" s="8" t="s">
        <v>314</v>
      </c>
      <c r="D1765" s="8" t="s">
        <v>315</v>
      </c>
      <c r="E1765" s="8" t="s">
        <v>36</v>
      </c>
      <c r="F1765" s="8" t="s">
        <v>37</v>
      </c>
      <c r="G1765" s="8" t="s">
        <v>7</v>
      </c>
      <c r="H1765" s="8" t="s">
        <v>38</v>
      </c>
      <c r="I1765" s="9">
        <v>61.483131999999998</v>
      </c>
      <c r="J1765">
        <v>58.650609130252001</v>
      </c>
      <c r="K1765">
        <v>65.854770967448005</v>
      </c>
      <c r="L1765">
        <v>65.721422492979997</v>
      </c>
    </row>
    <row r="1766" spans="1:12" x14ac:dyDescent="0.2">
      <c r="A1766" s="8" t="s">
        <v>32</v>
      </c>
      <c r="B1766" s="8" t="s">
        <v>33</v>
      </c>
      <c r="C1766" s="8" t="s">
        <v>314</v>
      </c>
      <c r="D1766" s="8" t="s">
        <v>315</v>
      </c>
      <c r="E1766" s="8" t="s">
        <v>39</v>
      </c>
      <c r="F1766" s="8" t="s">
        <v>40</v>
      </c>
      <c r="G1766" s="8" t="s">
        <v>7</v>
      </c>
      <c r="H1766" s="8" t="s">
        <v>38</v>
      </c>
      <c r="I1766" s="9">
        <v>7.0115078999999998</v>
      </c>
      <c r="J1766">
        <v>7.9299183270536</v>
      </c>
      <c r="K1766">
        <v>8.9040308293037</v>
      </c>
      <c r="L1766">
        <v>8.8860011723746002</v>
      </c>
    </row>
    <row r="1767" spans="1:12" x14ac:dyDescent="0.2">
      <c r="A1767" s="8" t="s">
        <v>32</v>
      </c>
      <c r="B1767" s="8" t="s">
        <v>33</v>
      </c>
      <c r="C1767" s="8" t="s">
        <v>314</v>
      </c>
      <c r="D1767" s="8" t="s">
        <v>315</v>
      </c>
      <c r="E1767" s="8" t="s">
        <v>41</v>
      </c>
      <c r="F1767" s="8" t="s">
        <v>42</v>
      </c>
      <c r="G1767" s="8" t="s">
        <v>7</v>
      </c>
      <c r="H1767" s="8" t="s">
        <v>38</v>
      </c>
      <c r="I1767" s="9">
        <v>2.9608105999999998</v>
      </c>
      <c r="J1767">
        <v>2.891426574239</v>
      </c>
      <c r="K1767">
        <v>3.2466103975856999</v>
      </c>
      <c r="L1767">
        <v>3.7068805014507999</v>
      </c>
    </row>
    <row r="1768" spans="1:12" x14ac:dyDescent="0.2">
      <c r="A1768" s="8" t="s">
        <v>32</v>
      </c>
      <c r="B1768" s="8" t="s">
        <v>33</v>
      </c>
      <c r="C1768" s="8" t="s">
        <v>314</v>
      </c>
      <c r="D1768" s="8" t="s">
        <v>315</v>
      </c>
      <c r="E1768" s="8" t="s">
        <v>43</v>
      </c>
      <c r="F1768" s="8" t="s">
        <v>44</v>
      </c>
      <c r="G1768" s="8" t="s">
        <v>7</v>
      </c>
      <c r="H1768" s="8" t="s">
        <v>38</v>
      </c>
      <c r="I1768" s="9">
        <v>33.892429</v>
      </c>
      <c r="J1768">
        <v>33.173798178387003</v>
      </c>
      <c r="K1768">
        <v>37.248939065041</v>
      </c>
      <c r="L1768">
        <v>37.173514169823001</v>
      </c>
    </row>
    <row r="1769" spans="1:12" x14ac:dyDescent="0.2">
      <c r="A1769" s="8" t="s">
        <v>32</v>
      </c>
      <c r="B1769" s="8" t="s">
        <v>33</v>
      </c>
      <c r="C1769" s="8" t="s">
        <v>314</v>
      </c>
      <c r="D1769" s="8" t="s">
        <v>315</v>
      </c>
      <c r="E1769" s="8" t="s">
        <v>45</v>
      </c>
      <c r="F1769" s="8" t="s">
        <v>46</v>
      </c>
      <c r="G1769" s="8" t="s">
        <v>7</v>
      </c>
      <c r="H1769" s="8" t="s">
        <v>38</v>
      </c>
      <c r="I1769" s="9">
        <v>2.6043083</v>
      </c>
      <c r="J1769">
        <v>2.4796324971015</v>
      </c>
      <c r="K1769">
        <v>2.7842577778491</v>
      </c>
      <c r="L1769">
        <v>2.9669662037523001</v>
      </c>
    </row>
    <row r="1770" spans="1:12" x14ac:dyDescent="0.2">
      <c r="A1770" s="8" t="s">
        <v>32</v>
      </c>
      <c r="B1770" s="8" t="s">
        <v>33</v>
      </c>
      <c r="C1770" s="8" t="s">
        <v>314</v>
      </c>
      <c r="D1770" s="8" t="s">
        <v>315</v>
      </c>
      <c r="E1770" s="8" t="s">
        <v>47</v>
      </c>
      <c r="F1770" s="8" t="s">
        <v>48</v>
      </c>
      <c r="G1770" s="8" t="s">
        <v>7</v>
      </c>
      <c r="H1770" s="8" t="s">
        <v>38</v>
      </c>
      <c r="I1770" s="9">
        <v>1.1183434000000001</v>
      </c>
      <c r="J1770">
        <v>1.0005450681792001</v>
      </c>
      <c r="K1770">
        <v>1.1234741376444</v>
      </c>
      <c r="L1770">
        <v>1.1211992293855999</v>
      </c>
    </row>
    <row r="1771" spans="1:12" x14ac:dyDescent="0.2">
      <c r="A1771" s="8" t="s">
        <v>32</v>
      </c>
      <c r="B1771" s="8" t="s">
        <v>33</v>
      </c>
      <c r="C1771" s="8" t="s">
        <v>314</v>
      </c>
      <c r="D1771" s="8" t="s">
        <v>315</v>
      </c>
      <c r="E1771" s="8" t="s">
        <v>49</v>
      </c>
      <c r="F1771" s="8" t="s">
        <v>50</v>
      </c>
      <c r="G1771" s="8" t="s">
        <v>7</v>
      </c>
      <c r="H1771" s="8" t="s">
        <v>38</v>
      </c>
      <c r="I1771" s="9">
        <v>9.3210806999999996</v>
      </c>
      <c r="J1771">
        <v>8.8614348266173995</v>
      </c>
      <c r="K1771">
        <v>9.6246576576132004</v>
      </c>
      <c r="L1771">
        <v>9.6051688127343002</v>
      </c>
    </row>
    <row r="1772" spans="1:12" x14ac:dyDescent="0.2">
      <c r="A1772" s="8" t="s">
        <v>32</v>
      </c>
      <c r="B1772" s="8" t="s">
        <v>33</v>
      </c>
      <c r="C1772" s="8" t="s">
        <v>314</v>
      </c>
      <c r="D1772" s="8" t="s">
        <v>315</v>
      </c>
      <c r="E1772" s="8" t="s">
        <v>51</v>
      </c>
      <c r="F1772" s="8" t="s">
        <v>52</v>
      </c>
      <c r="G1772" s="8" t="s">
        <v>7</v>
      </c>
      <c r="H1772" s="8" t="s">
        <v>38</v>
      </c>
      <c r="I1772" s="9">
        <v>0.71535649999999995</v>
      </c>
      <c r="J1772">
        <v>0.73721826647363997</v>
      </c>
      <c r="K1772">
        <v>0.82777161065089999</v>
      </c>
      <c r="L1772">
        <v>0.82609546661660005</v>
      </c>
    </row>
    <row r="1773" spans="1:12" x14ac:dyDescent="0.2">
      <c r="A1773" s="8" t="s">
        <v>32</v>
      </c>
      <c r="B1773" s="8" t="s">
        <v>33</v>
      </c>
      <c r="C1773" s="8" t="s">
        <v>314</v>
      </c>
      <c r="D1773" s="8" t="s">
        <v>315</v>
      </c>
      <c r="E1773" s="8" t="s">
        <v>53</v>
      </c>
      <c r="F1773" s="8" t="s">
        <v>54</v>
      </c>
      <c r="G1773" s="8" t="s">
        <v>7</v>
      </c>
      <c r="H1773" s="8" t="s">
        <v>38</v>
      </c>
      <c r="I1773" s="9"/>
    </row>
    <row r="1774" spans="1:12" x14ac:dyDescent="0.2">
      <c r="A1774" s="8" t="s">
        <v>32</v>
      </c>
      <c r="B1774" s="8" t="s">
        <v>33</v>
      </c>
      <c r="C1774" s="8" t="s">
        <v>314</v>
      </c>
      <c r="D1774" s="8" t="s">
        <v>315</v>
      </c>
      <c r="E1774" s="8" t="s">
        <v>55</v>
      </c>
      <c r="F1774" s="8" t="s">
        <v>56</v>
      </c>
      <c r="G1774" s="8" t="s">
        <v>7</v>
      </c>
      <c r="H1774" s="8" t="s">
        <v>38</v>
      </c>
      <c r="I1774" s="9">
        <v>2.8858E-3</v>
      </c>
      <c r="J1774">
        <v>2.9144732237444998E-3</v>
      </c>
      <c r="K1774">
        <v>2.9434242536948E-3</v>
      </c>
      <c r="L1774">
        <v>2.9718010138035998E-3</v>
      </c>
    </row>
    <row r="1775" spans="1:12" x14ac:dyDescent="0.2">
      <c r="A1775" s="8" t="s">
        <v>32</v>
      </c>
      <c r="B1775" s="8" t="s">
        <v>33</v>
      </c>
      <c r="C1775" s="8" t="s">
        <v>314</v>
      </c>
      <c r="D1775" s="8" t="s">
        <v>315</v>
      </c>
      <c r="E1775" s="8" t="s">
        <v>57</v>
      </c>
      <c r="F1775" s="8" t="s">
        <v>58</v>
      </c>
      <c r="G1775" s="8" t="s">
        <v>7</v>
      </c>
      <c r="H1775" s="8" t="s">
        <v>38</v>
      </c>
      <c r="I1775" s="9"/>
    </row>
    <row r="1776" spans="1:12" x14ac:dyDescent="0.2">
      <c r="A1776" s="8" t="s">
        <v>32</v>
      </c>
      <c r="B1776" s="8" t="s">
        <v>33</v>
      </c>
      <c r="C1776" s="8" t="s">
        <v>314</v>
      </c>
      <c r="D1776" s="8" t="s">
        <v>315</v>
      </c>
      <c r="E1776" s="8" t="s">
        <v>59</v>
      </c>
      <c r="F1776" s="8" t="s">
        <v>60</v>
      </c>
      <c r="G1776" s="8" t="s">
        <v>7</v>
      </c>
      <c r="H1776" s="8" t="s">
        <v>38</v>
      </c>
      <c r="I1776" s="9">
        <v>0.50390440000000003</v>
      </c>
      <c r="J1776">
        <v>0.48881383856185001</v>
      </c>
      <c r="K1776">
        <v>0.52426882104251005</v>
      </c>
      <c r="L1776">
        <v>0.53333853763122996</v>
      </c>
    </row>
    <row r="1777" spans="1:12" x14ac:dyDescent="0.2">
      <c r="A1777" s="8" t="s">
        <v>32</v>
      </c>
      <c r="B1777" s="8" t="s">
        <v>316</v>
      </c>
      <c r="C1777" s="8" t="s">
        <v>317</v>
      </c>
      <c r="D1777" s="8" t="s">
        <v>318</v>
      </c>
      <c r="E1777" s="8" t="s">
        <v>36</v>
      </c>
      <c r="F1777" s="8" t="s">
        <v>37</v>
      </c>
      <c r="G1777" s="8" t="s">
        <v>7</v>
      </c>
      <c r="H1777" s="8" t="s">
        <v>38</v>
      </c>
      <c r="I1777" s="9">
        <v>291465.31</v>
      </c>
      <c r="J1777">
        <v>299702.47697947</v>
      </c>
      <c r="K1777">
        <v>283966.05695419002</v>
      </c>
      <c r="L1777">
        <v>271983.12730103999</v>
      </c>
    </row>
    <row r="1778" spans="1:12" x14ac:dyDescent="0.2">
      <c r="A1778" s="8" t="s">
        <v>32</v>
      </c>
      <c r="B1778" s="8" t="s">
        <v>316</v>
      </c>
      <c r="C1778" s="8" t="s">
        <v>317</v>
      </c>
      <c r="D1778" s="8" t="s">
        <v>318</v>
      </c>
      <c r="E1778" s="8" t="s">
        <v>64</v>
      </c>
      <c r="F1778" s="8" t="s">
        <v>65</v>
      </c>
      <c r="G1778" s="8" t="s">
        <v>7</v>
      </c>
      <c r="H1778" s="8" t="s">
        <v>38</v>
      </c>
      <c r="I1778" s="9">
        <v>44321.319000000003</v>
      </c>
      <c r="J1778">
        <v>44775.715232479997</v>
      </c>
      <c r="K1778">
        <v>42470.670564330001</v>
      </c>
      <c r="L1778">
        <v>43524.977853643999</v>
      </c>
    </row>
    <row r="1779" spans="1:12" x14ac:dyDescent="0.2">
      <c r="A1779" s="8" t="s">
        <v>32</v>
      </c>
      <c r="B1779" s="8" t="s">
        <v>316</v>
      </c>
      <c r="C1779" s="8" t="s">
        <v>317</v>
      </c>
      <c r="D1779" s="8" t="s">
        <v>318</v>
      </c>
      <c r="E1779" s="8" t="s">
        <v>39</v>
      </c>
      <c r="F1779" s="8" t="s">
        <v>40</v>
      </c>
      <c r="G1779" s="8" t="s">
        <v>7</v>
      </c>
      <c r="H1779" s="8" t="s">
        <v>38</v>
      </c>
      <c r="I1779" s="9">
        <v>69737.14</v>
      </c>
      <c r="J1779">
        <v>74416.227981050004</v>
      </c>
      <c r="K1779">
        <v>66274.379805839999</v>
      </c>
      <c r="L1779">
        <v>62382.768525250001</v>
      </c>
    </row>
    <row r="1780" spans="1:12" x14ac:dyDescent="0.2">
      <c r="A1780" s="8" t="s">
        <v>32</v>
      </c>
      <c r="B1780" s="8" t="s">
        <v>316</v>
      </c>
      <c r="C1780" s="8" t="s">
        <v>317</v>
      </c>
      <c r="D1780" s="8" t="s">
        <v>318</v>
      </c>
      <c r="E1780" s="8" t="s">
        <v>41</v>
      </c>
      <c r="F1780" s="8" t="s">
        <v>42</v>
      </c>
      <c r="G1780" s="8" t="s">
        <v>7</v>
      </c>
      <c r="H1780" s="8" t="s">
        <v>38</v>
      </c>
      <c r="I1780" s="9">
        <v>2910.7091</v>
      </c>
      <c r="J1780">
        <v>4850.2922499599999</v>
      </c>
      <c r="K1780">
        <v>4780.9930239498999</v>
      </c>
      <c r="L1780">
        <v>2560.3636744871001</v>
      </c>
    </row>
    <row r="1781" spans="1:12" x14ac:dyDescent="0.2">
      <c r="A1781" s="8" t="s">
        <v>32</v>
      </c>
      <c r="B1781" s="8" t="s">
        <v>316</v>
      </c>
      <c r="C1781" s="8" t="s">
        <v>317</v>
      </c>
      <c r="D1781" s="8" t="s">
        <v>318</v>
      </c>
      <c r="E1781" s="8" t="s">
        <v>43</v>
      </c>
      <c r="F1781" s="8" t="s">
        <v>44</v>
      </c>
      <c r="G1781" s="8" t="s">
        <v>7</v>
      </c>
      <c r="H1781" s="8" t="s">
        <v>38</v>
      </c>
      <c r="I1781" s="9">
        <v>94578.472999999998</v>
      </c>
      <c r="J1781">
        <v>96681.445512520004</v>
      </c>
      <c r="K1781">
        <v>99980.045756159001</v>
      </c>
      <c r="L1781">
        <v>101404.13228079</v>
      </c>
    </row>
    <row r="1782" spans="1:12" x14ac:dyDescent="0.2">
      <c r="A1782" s="8" t="s">
        <v>32</v>
      </c>
      <c r="B1782" s="8" t="s">
        <v>316</v>
      </c>
      <c r="C1782" s="8" t="s">
        <v>317</v>
      </c>
      <c r="D1782" s="8" t="s">
        <v>318</v>
      </c>
      <c r="E1782" s="8" t="s">
        <v>66</v>
      </c>
      <c r="F1782" s="8" t="s">
        <v>67</v>
      </c>
      <c r="G1782" s="8" t="s">
        <v>7</v>
      </c>
      <c r="H1782" s="8" t="s">
        <v>38</v>
      </c>
      <c r="I1782" s="9">
        <v>247.89168000000001</v>
      </c>
      <c r="J1782">
        <v>220.49606896</v>
      </c>
      <c r="K1782">
        <v>185.88562092999999</v>
      </c>
      <c r="L1782">
        <v>163.75700226461001</v>
      </c>
    </row>
    <row r="1783" spans="1:12" x14ac:dyDescent="0.2">
      <c r="A1783" s="8" t="s">
        <v>32</v>
      </c>
      <c r="B1783" s="8" t="s">
        <v>316</v>
      </c>
      <c r="C1783" s="8" t="s">
        <v>317</v>
      </c>
      <c r="D1783" s="8" t="s">
        <v>318</v>
      </c>
      <c r="E1783" s="8" t="s">
        <v>45</v>
      </c>
      <c r="F1783" s="8" t="s">
        <v>46</v>
      </c>
      <c r="G1783" s="8" t="s">
        <v>7</v>
      </c>
      <c r="H1783" s="8" t="s">
        <v>38</v>
      </c>
      <c r="I1783" s="9">
        <v>998.73981000000003</v>
      </c>
      <c r="J1783">
        <v>1283.0774973800001</v>
      </c>
      <c r="K1783">
        <v>370.77665268999999</v>
      </c>
      <c r="L1783">
        <v>355.84043491953997</v>
      </c>
    </row>
    <row r="1784" spans="1:12" x14ac:dyDescent="0.2">
      <c r="A1784" s="8" t="s">
        <v>32</v>
      </c>
      <c r="B1784" s="8" t="s">
        <v>316</v>
      </c>
      <c r="C1784" s="8" t="s">
        <v>317</v>
      </c>
      <c r="D1784" s="8" t="s">
        <v>318</v>
      </c>
      <c r="E1784" s="8" t="s">
        <v>47</v>
      </c>
      <c r="F1784" s="8" t="s">
        <v>48</v>
      </c>
      <c r="G1784" s="8" t="s">
        <v>7</v>
      </c>
      <c r="H1784" s="8" t="s">
        <v>38</v>
      </c>
      <c r="I1784" s="9"/>
      <c r="K1784">
        <v>589.35211770000001</v>
      </c>
      <c r="L1784">
        <v>605.50859508021995</v>
      </c>
    </row>
    <row r="1785" spans="1:12" x14ac:dyDescent="0.2">
      <c r="A1785" s="8" t="s">
        <v>32</v>
      </c>
      <c r="B1785" s="8" t="s">
        <v>316</v>
      </c>
      <c r="C1785" s="8" t="s">
        <v>317</v>
      </c>
      <c r="D1785" s="8" t="s">
        <v>318</v>
      </c>
      <c r="E1785" s="8" t="s">
        <v>49</v>
      </c>
      <c r="F1785" s="8" t="s">
        <v>50</v>
      </c>
      <c r="G1785" s="8" t="s">
        <v>7</v>
      </c>
      <c r="H1785" s="8" t="s">
        <v>38</v>
      </c>
      <c r="I1785" s="9">
        <v>50963.311000000002</v>
      </c>
      <c r="J1785">
        <v>49378.42771797</v>
      </c>
      <c r="K1785">
        <v>47672.613163629998</v>
      </c>
      <c r="L1785">
        <v>44863.804697863001</v>
      </c>
    </row>
    <row r="1786" spans="1:12" x14ac:dyDescent="0.2">
      <c r="A1786" s="8" t="s">
        <v>32</v>
      </c>
      <c r="B1786" s="8" t="s">
        <v>316</v>
      </c>
      <c r="C1786" s="8" t="s">
        <v>317</v>
      </c>
      <c r="D1786" s="8" t="s">
        <v>318</v>
      </c>
      <c r="E1786" s="8" t="s">
        <v>51</v>
      </c>
      <c r="F1786" s="8" t="s">
        <v>52</v>
      </c>
      <c r="G1786" s="8" t="s">
        <v>7</v>
      </c>
      <c r="H1786" s="8" t="s">
        <v>38</v>
      </c>
      <c r="I1786" s="9">
        <v>3210.6282000000001</v>
      </c>
      <c r="J1786">
        <v>2965.9604328599999</v>
      </c>
      <c r="K1786">
        <v>3020.3213701300001</v>
      </c>
      <c r="L1786">
        <v>2255.5113246743999</v>
      </c>
    </row>
    <row r="1787" spans="1:12" x14ac:dyDescent="0.2">
      <c r="A1787" s="8" t="s">
        <v>32</v>
      </c>
      <c r="B1787" s="8" t="s">
        <v>316</v>
      </c>
      <c r="C1787" s="8" t="s">
        <v>317</v>
      </c>
      <c r="D1787" s="8" t="s">
        <v>318</v>
      </c>
      <c r="E1787" s="8" t="s">
        <v>68</v>
      </c>
      <c r="F1787" s="8" t="s">
        <v>69</v>
      </c>
      <c r="G1787" s="8" t="s">
        <v>7</v>
      </c>
      <c r="H1787" s="8" t="s">
        <v>38</v>
      </c>
      <c r="I1787" s="9">
        <v>2194.8247000000001</v>
      </c>
      <c r="J1787">
        <v>3332.3601013011998</v>
      </c>
      <c r="K1787">
        <v>2206.8670966853001</v>
      </c>
      <c r="L1787">
        <v>2366.2054269568998</v>
      </c>
    </row>
    <row r="1788" spans="1:12" x14ac:dyDescent="0.2">
      <c r="A1788" s="8" t="s">
        <v>32</v>
      </c>
      <c r="B1788" s="8" t="s">
        <v>316</v>
      </c>
      <c r="C1788" s="8" t="s">
        <v>317</v>
      </c>
      <c r="D1788" s="8" t="s">
        <v>318</v>
      </c>
      <c r="E1788" s="8" t="s">
        <v>53</v>
      </c>
      <c r="F1788" s="8" t="s">
        <v>54</v>
      </c>
      <c r="G1788" s="8" t="s">
        <v>7</v>
      </c>
      <c r="H1788" s="8" t="s">
        <v>38</v>
      </c>
      <c r="I1788" s="9">
        <v>2543.1334000000002</v>
      </c>
      <c r="J1788">
        <v>3472.3371712437001</v>
      </c>
      <c r="K1788">
        <v>4457.0508096362</v>
      </c>
      <c r="L1788">
        <v>3902.9640878915002</v>
      </c>
    </row>
    <row r="1789" spans="1:12" x14ac:dyDescent="0.2">
      <c r="A1789" s="8" t="s">
        <v>32</v>
      </c>
      <c r="B1789" s="8" t="s">
        <v>316</v>
      </c>
      <c r="C1789" s="8" t="s">
        <v>317</v>
      </c>
      <c r="D1789" s="8" t="s">
        <v>318</v>
      </c>
      <c r="E1789" s="8" t="s">
        <v>70</v>
      </c>
      <c r="F1789" s="8" t="s">
        <v>71</v>
      </c>
      <c r="G1789" s="8" t="s">
        <v>7</v>
      </c>
      <c r="H1789" s="8" t="s">
        <v>38</v>
      </c>
      <c r="I1789" s="9">
        <v>17739.874</v>
      </c>
      <c r="J1789">
        <v>18615.704930520002</v>
      </c>
      <c r="K1789">
        <v>19062.95373741</v>
      </c>
      <c r="L1789">
        <v>19039.807304999998</v>
      </c>
    </row>
    <row r="1790" spans="1:12" x14ac:dyDescent="0.2">
      <c r="A1790" s="8" t="s">
        <v>32</v>
      </c>
      <c r="B1790" s="8" t="s">
        <v>316</v>
      </c>
      <c r="C1790" s="8" t="s">
        <v>317</v>
      </c>
      <c r="D1790" s="8" t="s">
        <v>318</v>
      </c>
      <c r="E1790" s="8" t="s">
        <v>83</v>
      </c>
      <c r="F1790" s="8" t="s">
        <v>84</v>
      </c>
      <c r="G1790" s="8" t="s">
        <v>7</v>
      </c>
      <c r="H1790" s="8" t="s">
        <v>38</v>
      </c>
      <c r="I1790" s="9">
        <v>3825</v>
      </c>
      <c r="J1790">
        <v>3900</v>
      </c>
      <c r="K1790">
        <v>3825</v>
      </c>
      <c r="L1790">
        <v>3825</v>
      </c>
    </row>
    <row r="1791" spans="1:12" x14ac:dyDescent="0.2">
      <c r="A1791" s="8" t="s">
        <v>32</v>
      </c>
      <c r="B1791" s="8" t="s">
        <v>316</v>
      </c>
      <c r="C1791" s="8" t="s">
        <v>317</v>
      </c>
      <c r="D1791" s="8" t="s">
        <v>318</v>
      </c>
      <c r="E1791" s="8" t="s">
        <v>55</v>
      </c>
      <c r="F1791" s="8" t="s">
        <v>56</v>
      </c>
      <c r="G1791" s="8" t="s">
        <v>7</v>
      </c>
      <c r="H1791" s="8" t="s">
        <v>38</v>
      </c>
      <c r="I1791" s="9">
        <v>2.4443570999999999</v>
      </c>
      <c r="J1791">
        <v>2.5462053104392002</v>
      </c>
      <c r="K1791">
        <v>2.5462053104392002</v>
      </c>
      <c r="L1791">
        <v>2.4962797161168999</v>
      </c>
    </row>
    <row r="1792" spans="1:12" x14ac:dyDescent="0.2">
      <c r="A1792" s="8" t="s">
        <v>32</v>
      </c>
      <c r="B1792" s="8" t="s">
        <v>316</v>
      </c>
      <c r="C1792" s="8" t="s">
        <v>317</v>
      </c>
      <c r="D1792" s="8" t="s">
        <v>318</v>
      </c>
      <c r="E1792" s="8" t="s">
        <v>57</v>
      </c>
      <c r="F1792" s="8" t="s">
        <v>58</v>
      </c>
      <c r="G1792" s="8" t="s">
        <v>7</v>
      </c>
      <c r="H1792" s="8" t="s">
        <v>38</v>
      </c>
      <c r="I1792" s="9">
        <v>406.37982</v>
      </c>
      <c r="J1792">
        <v>423.31231681999998</v>
      </c>
      <c r="K1792">
        <v>423.31231681999998</v>
      </c>
      <c r="L1792">
        <v>415.01207531373001</v>
      </c>
    </row>
    <row r="1793" spans="1:12" x14ac:dyDescent="0.2">
      <c r="A1793" s="8" t="s">
        <v>32</v>
      </c>
      <c r="B1793" s="8" t="s">
        <v>316</v>
      </c>
      <c r="C1793" s="8" t="s">
        <v>317</v>
      </c>
      <c r="D1793" s="8" t="s">
        <v>318</v>
      </c>
      <c r="E1793" s="8" t="s">
        <v>72</v>
      </c>
      <c r="F1793" s="8" t="s">
        <v>73</v>
      </c>
      <c r="G1793" s="8" t="s">
        <v>7</v>
      </c>
      <c r="H1793" s="8" t="s">
        <v>38</v>
      </c>
      <c r="I1793" s="9">
        <v>22833.183000000001</v>
      </c>
      <c r="J1793">
        <v>24490.094015577</v>
      </c>
      <c r="K1793">
        <v>24555.358888497001</v>
      </c>
      <c r="L1793">
        <v>20892.931746056001</v>
      </c>
    </row>
    <row r="1794" spans="1:12" x14ac:dyDescent="0.2">
      <c r="A1794" s="8" t="s">
        <v>32</v>
      </c>
      <c r="B1794" s="8" t="s">
        <v>316</v>
      </c>
      <c r="C1794" s="8" t="s">
        <v>317</v>
      </c>
      <c r="D1794" s="8" t="s">
        <v>318</v>
      </c>
      <c r="E1794" s="8" t="s">
        <v>74</v>
      </c>
      <c r="F1794" s="8" t="s">
        <v>75</v>
      </c>
      <c r="G1794" s="8" t="s">
        <v>7</v>
      </c>
      <c r="H1794" s="8" t="s">
        <v>38</v>
      </c>
      <c r="I1794" s="9">
        <v>6642.4078</v>
      </c>
      <c r="J1794">
        <v>7105.6690341599997</v>
      </c>
      <c r="K1794">
        <v>6595.3972040600001</v>
      </c>
      <c r="L1794">
        <v>6728.1408094983999</v>
      </c>
    </row>
    <row r="1795" spans="1:12" x14ac:dyDescent="0.2">
      <c r="A1795" s="8" t="s">
        <v>32</v>
      </c>
      <c r="B1795" s="8" t="s">
        <v>316</v>
      </c>
      <c r="C1795" s="8" t="s">
        <v>317</v>
      </c>
      <c r="D1795" s="8" t="s">
        <v>318</v>
      </c>
      <c r="E1795" s="8" t="s">
        <v>59</v>
      </c>
      <c r="F1795" s="8" t="s">
        <v>60</v>
      </c>
      <c r="G1795" s="8" t="s">
        <v>7</v>
      </c>
      <c r="H1795" s="8" t="s">
        <v>38</v>
      </c>
      <c r="I1795" s="9">
        <v>962.84319000000005</v>
      </c>
      <c r="J1795">
        <v>1375.8949677466001</v>
      </c>
      <c r="K1795">
        <v>1352.7232505449001</v>
      </c>
      <c r="L1795">
        <v>1392.5507676039001</v>
      </c>
    </row>
    <row r="1796" spans="1:12" x14ac:dyDescent="0.2">
      <c r="A1796" s="8" t="s">
        <v>32</v>
      </c>
      <c r="B1796" s="8" t="s">
        <v>316</v>
      </c>
      <c r="C1796" s="8" t="s">
        <v>317</v>
      </c>
      <c r="D1796" s="8" t="s">
        <v>318</v>
      </c>
      <c r="E1796" s="8" t="s">
        <v>76</v>
      </c>
      <c r="F1796" s="8" t="s">
        <v>77</v>
      </c>
      <c r="G1796" s="8" t="s">
        <v>7</v>
      </c>
      <c r="H1796" s="8" t="s">
        <v>38</v>
      </c>
      <c r="I1796" s="9">
        <v>44.628571000000001</v>
      </c>
      <c r="J1796">
        <v>55.314285718383999</v>
      </c>
      <c r="K1796">
        <v>44.838095241456003</v>
      </c>
      <c r="L1796">
        <v>44.838095241456003</v>
      </c>
    </row>
    <row r="1797" spans="1:12" x14ac:dyDescent="0.2">
      <c r="A1797" s="8" t="s">
        <v>32</v>
      </c>
      <c r="B1797" s="8" t="s">
        <v>316</v>
      </c>
      <c r="C1797" s="8" t="s">
        <v>317</v>
      </c>
      <c r="D1797" s="8" t="s">
        <v>318</v>
      </c>
      <c r="E1797" s="8" t="s">
        <v>78</v>
      </c>
      <c r="F1797" s="8" t="s">
        <v>79</v>
      </c>
      <c r="G1797" s="8" t="s">
        <v>7</v>
      </c>
      <c r="H1797" s="8" t="s">
        <v>38</v>
      </c>
      <c r="I1797" s="9">
        <v>103.39998</v>
      </c>
      <c r="J1797">
        <v>108.74283737143</v>
      </c>
      <c r="K1797">
        <v>90.514269257142999</v>
      </c>
      <c r="L1797">
        <v>36.331421965714</v>
      </c>
    </row>
    <row r="1798" spans="1:12" x14ac:dyDescent="0.2">
      <c r="A1798" s="8" t="s">
        <v>32</v>
      </c>
      <c r="B1798" s="8" t="s">
        <v>316</v>
      </c>
      <c r="C1798" s="8" t="s">
        <v>317</v>
      </c>
      <c r="D1798" s="8" t="s">
        <v>318</v>
      </c>
      <c r="E1798" s="8" t="s">
        <v>92</v>
      </c>
      <c r="F1798" s="8" t="s">
        <v>93</v>
      </c>
      <c r="G1798" s="8" t="s">
        <v>7</v>
      </c>
      <c r="H1798" s="8" t="s">
        <v>38</v>
      </c>
      <c r="I1798" s="9">
        <v>1609.1179999999999</v>
      </c>
      <c r="J1798">
        <v>1614.1022061801</v>
      </c>
      <c r="K1798">
        <v>1619.0522628699</v>
      </c>
      <c r="L1798">
        <v>1618.9180699476999</v>
      </c>
    </row>
    <row r="1799" spans="1:12" x14ac:dyDescent="0.2">
      <c r="A1799" s="8" t="s">
        <v>32</v>
      </c>
      <c r="B1799" s="8" t="s">
        <v>96</v>
      </c>
      <c r="C1799" s="8" t="s">
        <v>319</v>
      </c>
      <c r="D1799" s="8" t="s">
        <v>320</v>
      </c>
      <c r="E1799" s="8" t="s">
        <v>36</v>
      </c>
      <c r="F1799" s="8" t="s">
        <v>37</v>
      </c>
      <c r="G1799" s="8" t="s">
        <v>7</v>
      </c>
      <c r="H1799" s="8" t="s">
        <v>38</v>
      </c>
      <c r="I1799" s="9">
        <v>43011.28</v>
      </c>
      <c r="J1799">
        <v>46533.797583350002</v>
      </c>
      <c r="K1799">
        <v>45640.559655470002</v>
      </c>
      <c r="L1799">
        <v>48587.063422081999</v>
      </c>
    </row>
    <row r="1800" spans="1:12" x14ac:dyDescent="0.2">
      <c r="A1800" s="8" t="s">
        <v>32</v>
      </c>
      <c r="B1800" s="8" t="s">
        <v>96</v>
      </c>
      <c r="C1800" s="8" t="s">
        <v>319</v>
      </c>
      <c r="D1800" s="8" t="s">
        <v>320</v>
      </c>
      <c r="E1800" s="8" t="s">
        <v>64</v>
      </c>
      <c r="F1800" s="8" t="s">
        <v>65</v>
      </c>
      <c r="G1800" s="8" t="s">
        <v>7</v>
      </c>
      <c r="H1800" s="8" t="s">
        <v>38</v>
      </c>
      <c r="I1800" s="9">
        <v>14362.620999999999</v>
      </c>
      <c r="J1800">
        <v>14239.695390180001</v>
      </c>
      <c r="K1800">
        <v>15242.409101040001</v>
      </c>
      <c r="L1800">
        <v>17233.284027448</v>
      </c>
    </row>
    <row r="1801" spans="1:12" x14ac:dyDescent="0.2">
      <c r="A1801" s="8" t="s">
        <v>32</v>
      </c>
      <c r="B1801" s="8" t="s">
        <v>96</v>
      </c>
      <c r="C1801" s="8" t="s">
        <v>319</v>
      </c>
      <c r="D1801" s="8" t="s">
        <v>320</v>
      </c>
      <c r="E1801" s="8" t="s">
        <v>39</v>
      </c>
      <c r="F1801" s="8" t="s">
        <v>40</v>
      </c>
      <c r="G1801" s="8" t="s">
        <v>7</v>
      </c>
      <c r="H1801" s="8" t="s">
        <v>38</v>
      </c>
      <c r="I1801" s="9">
        <v>13741.617</v>
      </c>
      <c r="J1801">
        <v>14250.968013539999</v>
      </c>
      <c r="K1801">
        <v>14950.989362550001</v>
      </c>
      <c r="L1801">
        <v>16278.440532770999</v>
      </c>
    </row>
    <row r="1802" spans="1:12" x14ac:dyDescent="0.2">
      <c r="A1802" s="8" t="s">
        <v>32</v>
      </c>
      <c r="B1802" s="8" t="s">
        <v>96</v>
      </c>
      <c r="C1802" s="8" t="s">
        <v>319</v>
      </c>
      <c r="D1802" s="8" t="s">
        <v>320</v>
      </c>
      <c r="E1802" s="8" t="s">
        <v>43</v>
      </c>
      <c r="F1802" s="8" t="s">
        <v>44</v>
      </c>
      <c r="G1802" s="8" t="s">
        <v>7</v>
      </c>
      <c r="H1802" s="8" t="s">
        <v>38</v>
      </c>
      <c r="I1802" s="9">
        <v>13209.31</v>
      </c>
      <c r="J1802">
        <v>15797.83144317</v>
      </c>
      <c r="K1802">
        <v>17239.654091820001</v>
      </c>
      <c r="L1802">
        <v>17882.060494501999</v>
      </c>
    </row>
    <row r="1803" spans="1:12" x14ac:dyDescent="0.2">
      <c r="A1803" s="8" t="s">
        <v>32</v>
      </c>
      <c r="B1803" s="8" t="s">
        <v>96</v>
      </c>
      <c r="C1803" s="8" t="s">
        <v>319</v>
      </c>
      <c r="D1803" s="8" t="s">
        <v>320</v>
      </c>
      <c r="E1803" s="8" t="s">
        <v>49</v>
      </c>
      <c r="F1803" s="8" t="s">
        <v>50</v>
      </c>
      <c r="G1803" s="8" t="s">
        <v>7</v>
      </c>
      <c r="H1803" s="8" t="s">
        <v>38</v>
      </c>
      <c r="I1803" s="9">
        <v>863.32366999999999</v>
      </c>
      <c r="J1803">
        <v>972.44771419000006</v>
      </c>
      <c r="K1803">
        <v>1060.45236731</v>
      </c>
      <c r="L1803">
        <v>1099.9683220310999</v>
      </c>
    </row>
    <row r="1804" spans="1:12" x14ac:dyDescent="0.2">
      <c r="A1804" s="8" t="s">
        <v>32</v>
      </c>
      <c r="B1804" s="8" t="s">
        <v>96</v>
      </c>
      <c r="C1804" s="8" t="s">
        <v>319</v>
      </c>
      <c r="D1804" s="8" t="s">
        <v>320</v>
      </c>
      <c r="E1804" s="8" t="s">
        <v>51</v>
      </c>
      <c r="F1804" s="8" t="s">
        <v>52</v>
      </c>
      <c r="G1804" s="8" t="s">
        <v>7</v>
      </c>
      <c r="H1804" s="8" t="s">
        <v>38</v>
      </c>
      <c r="I1804" s="9"/>
    </row>
    <row r="1805" spans="1:12" x14ac:dyDescent="0.2">
      <c r="A1805" s="8" t="s">
        <v>32</v>
      </c>
      <c r="B1805" s="8" t="s">
        <v>96</v>
      </c>
      <c r="C1805" s="8" t="s">
        <v>319</v>
      </c>
      <c r="D1805" s="8" t="s">
        <v>320</v>
      </c>
      <c r="E1805" s="8" t="s">
        <v>53</v>
      </c>
      <c r="F1805" s="8" t="s">
        <v>54</v>
      </c>
      <c r="G1805" s="8" t="s">
        <v>7</v>
      </c>
      <c r="H1805" s="8" t="s">
        <v>38</v>
      </c>
      <c r="I1805" s="9">
        <v>2064.1284000000001</v>
      </c>
      <c r="J1805">
        <v>1934.9299345976001</v>
      </c>
      <c r="K1805">
        <v>1818.8027545934001</v>
      </c>
      <c r="L1805">
        <v>1951.1062299147</v>
      </c>
    </row>
    <row r="1806" spans="1:12" x14ac:dyDescent="0.2">
      <c r="A1806" s="8" t="s">
        <v>32</v>
      </c>
      <c r="B1806" s="8" t="s">
        <v>96</v>
      </c>
      <c r="C1806" s="8" t="s">
        <v>319</v>
      </c>
      <c r="D1806" s="8" t="s">
        <v>320</v>
      </c>
      <c r="E1806" s="8" t="s">
        <v>70</v>
      </c>
      <c r="F1806" s="8" t="s">
        <v>71</v>
      </c>
      <c r="G1806" s="8" t="s">
        <v>7</v>
      </c>
      <c r="H1806" s="8" t="s">
        <v>38</v>
      </c>
      <c r="I1806" s="9">
        <v>1513.9028000000001</v>
      </c>
      <c r="J1806">
        <v>1558.4293164999999</v>
      </c>
      <c r="K1806">
        <v>1616.3138339699999</v>
      </c>
      <c r="L1806">
        <v>1614.4904095075001</v>
      </c>
    </row>
    <row r="1807" spans="1:12" x14ac:dyDescent="0.2">
      <c r="A1807" s="8" t="s">
        <v>32</v>
      </c>
      <c r="B1807" s="8" t="s">
        <v>96</v>
      </c>
      <c r="C1807" s="8" t="s">
        <v>319</v>
      </c>
      <c r="D1807" s="8" t="s">
        <v>320</v>
      </c>
      <c r="E1807" s="8" t="s">
        <v>83</v>
      </c>
      <c r="F1807" s="8" t="s">
        <v>84</v>
      </c>
      <c r="G1807" s="8" t="s">
        <v>7</v>
      </c>
      <c r="H1807" s="8" t="s">
        <v>38</v>
      </c>
      <c r="I1807" s="9">
        <v>45</v>
      </c>
      <c r="J1807">
        <v>45</v>
      </c>
      <c r="K1807">
        <v>45</v>
      </c>
      <c r="L1807">
        <v>45</v>
      </c>
    </row>
    <row r="1808" spans="1:12" x14ac:dyDescent="0.2">
      <c r="A1808" s="8" t="s">
        <v>32</v>
      </c>
      <c r="B1808" s="8" t="s">
        <v>96</v>
      </c>
      <c r="C1808" s="8" t="s">
        <v>319</v>
      </c>
      <c r="D1808" s="8" t="s">
        <v>320</v>
      </c>
      <c r="E1808" s="8" t="s">
        <v>55</v>
      </c>
      <c r="F1808" s="8" t="s">
        <v>56</v>
      </c>
      <c r="G1808" s="8" t="s">
        <v>7</v>
      </c>
      <c r="H1808" s="8" t="s">
        <v>38</v>
      </c>
      <c r="I1808" s="9">
        <v>0.1930404</v>
      </c>
      <c r="J1808">
        <v>0.21621023680307999</v>
      </c>
      <c r="K1808">
        <v>0.21621023680307999</v>
      </c>
      <c r="L1808">
        <v>0.21621023680307999</v>
      </c>
    </row>
    <row r="1809" spans="1:12" x14ac:dyDescent="0.2">
      <c r="A1809" s="8" t="s">
        <v>32</v>
      </c>
      <c r="B1809" s="8" t="s">
        <v>96</v>
      </c>
      <c r="C1809" s="8" t="s">
        <v>319</v>
      </c>
      <c r="D1809" s="8" t="s">
        <v>320</v>
      </c>
      <c r="E1809" s="8" t="s">
        <v>57</v>
      </c>
      <c r="F1809" s="8" t="s">
        <v>58</v>
      </c>
      <c r="G1809" s="8" t="s">
        <v>7</v>
      </c>
      <c r="H1809" s="8" t="s">
        <v>38</v>
      </c>
      <c r="I1809" s="9">
        <v>8.3617618</v>
      </c>
      <c r="J1809">
        <v>9.3653900885104004</v>
      </c>
      <c r="K1809">
        <v>9.3653900885104004</v>
      </c>
      <c r="L1809">
        <v>9.3653900885104004</v>
      </c>
    </row>
    <row r="1810" spans="1:12" x14ac:dyDescent="0.2">
      <c r="A1810" s="8" t="s">
        <v>32</v>
      </c>
      <c r="B1810" s="8" t="s">
        <v>96</v>
      </c>
      <c r="C1810" s="8" t="s">
        <v>319</v>
      </c>
      <c r="D1810" s="8" t="s">
        <v>320</v>
      </c>
      <c r="E1810" s="8" t="s">
        <v>72</v>
      </c>
      <c r="F1810" s="8" t="s">
        <v>73</v>
      </c>
      <c r="G1810" s="8" t="s">
        <v>7</v>
      </c>
      <c r="H1810" s="8" t="s">
        <v>38</v>
      </c>
      <c r="I1810" s="9">
        <v>4097.0155000000004</v>
      </c>
      <c r="J1810">
        <v>4525.4800331777997</v>
      </c>
      <c r="K1810">
        <v>4960.8532574706996</v>
      </c>
      <c r="L1810">
        <v>5424.0014330654003</v>
      </c>
    </row>
    <row r="1811" spans="1:12" x14ac:dyDescent="0.2">
      <c r="A1811" s="8" t="s">
        <v>32</v>
      </c>
      <c r="B1811" s="8" t="s">
        <v>96</v>
      </c>
      <c r="C1811" s="8" t="s">
        <v>319</v>
      </c>
      <c r="D1811" s="8" t="s">
        <v>320</v>
      </c>
      <c r="E1811" s="8" t="s">
        <v>59</v>
      </c>
      <c r="F1811" s="8" t="s">
        <v>60</v>
      </c>
      <c r="G1811" s="8" t="s">
        <v>7</v>
      </c>
      <c r="H1811" s="8" t="s">
        <v>38</v>
      </c>
      <c r="I1811" s="9">
        <v>26.78593</v>
      </c>
      <c r="J1811">
        <v>27.744081075404999</v>
      </c>
      <c r="K1811">
        <v>29.494315106691001</v>
      </c>
      <c r="L1811">
        <v>30.446767869220999</v>
      </c>
    </row>
    <row r="1812" spans="1:12" x14ac:dyDescent="0.2">
      <c r="A1812" s="8" t="s">
        <v>32</v>
      </c>
      <c r="B1812" s="8" t="s">
        <v>96</v>
      </c>
      <c r="C1812" s="8" t="s">
        <v>319</v>
      </c>
      <c r="D1812" s="8" t="s">
        <v>320</v>
      </c>
      <c r="E1812" s="8" t="s">
        <v>76</v>
      </c>
      <c r="F1812" s="8" t="s">
        <v>77</v>
      </c>
      <c r="G1812" s="8" t="s">
        <v>7</v>
      </c>
      <c r="H1812" s="8" t="s">
        <v>38</v>
      </c>
      <c r="I1812" s="9">
        <v>0.83809520000000004</v>
      </c>
    </row>
    <row r="1813" spans="1:12" x14ac:dyDescent="0.2">
      <c r="A1813" s="8" t="s">
        <v>32</v>
      </c>
      <c r="B1813" s="8" t="s">
        <v>96</v>
      </c>
      <c r="C1813" s="8" t="s">
        <v>319</v>
      </c>
      <c r="D1813" s="8" t="s">
        <v>320</v>
      </c>
      <c r="E1813" s="8" t="s">
        <v>78</v>
      </c>
      <c r="F1813" s="8" t="s">
        <v>79</v>
      </c>
      <c r="G1813" s="8" t="s">
        <v>7</v>
      </c>
      <c r="H1813" s="8" t="s">
        <v>38</v>
      </c>
      <c r="I1813" s="9">
        <v>3.1428566</v>
      </c>
      <c r="J1813">
        <v>3.1428565714286001</v>
      </c>
      <c r="K1813">
        <v>3.1428565714286001</v>
      </c>
      <c r="L1813">
        <v>3.1428565714286001</v>
      </c>
    </row>
    <row r="1814" spans="1:12" x14ac:dyDescent="0.2">
      <c r="A1814" s="8" t="s">
        <v>32</v>
      </c>
      <c r="B1814" s="8" t="s">
        <v>96</v>
      </c>
      <c r="C1814" s="8" t="s">
        <v>319</v>
      </c>
      <c r="D1814" s="8" t="s">
        <v>320</v>
      </c>
      <c r="E1814" s="8" t="s">
        <v>92</v>
      </c>
      <c r="F1814" s="8" t="s">
        <v>93</v>
      </c>
      <c r="G1814" s="8" t="s">
        <v>7</v>
      </c>
      <c r="H1814" s="8" t="s">
        <v>38</v>
      </c>
      <c r="I1814" s="9">
        <v>0.4243016</v>
      </c>
      <c r="J1814">
        <v>0.42430157824631998</v>
      </c>
      <c r="K1814">
        <v>0.51213757824632</v>
      </c>
      <c r="L1814">
        <v>0.53298539625327002</v>
      </c>
    </row>
    <row r="1815" spans="1:12" x14ac:dyDescent="0.2">
      <c r="A1815" s="8" t="s">
        <v>32</v>
      </c>
      <c r="B1815" s="8" t="s">
        <v>96</v>
      </c>
      <c r="C1815" s="8" t="s">
        <v>319</v>
      </c>
      <c r="D1815" s="8" t="s">
        <v>320</v>
      </c>
      <c r="E1815" s="8" t="s">
        <v>113</v>
      </c>
      <c r="F1815" s="8" t="s">
        <v>114</v>
      </c>
      <c r="G1815" s="8" t="s">
        <v>7</v>
      </c>
      <c r="H1815" s="8" t="s">
        <v>38</v>
      </c>
      <c r="I1815" s="9"/>
    </row>
    <row r="1816" spans="1:12" x14ac:dyDescent="0.2">
      <c r="A1816" s="8" t="s">
        <v>32</v>
      </c>
      <c r="B1816" s="8" t="s">
        <v>153</v>
      </c>
      <c r="C1816" s="8" t="s">
        <v>321</v>
      </c>
      <c r="D1816" s="8" t="s">
        <v>322</v>
      </c>
      <c r="E1816" s="8" t="s">
        <v>36</v>
      </c>
      <c r="F1816" s="8" t="s">
        <v>37</v>
      </c>
      <c r="G1816" s="8" t="s">
        <v>7</v>
      </c>
      <c r="H1816" s="8" t="s">
        <v>38</v>
      </c>
      <c r="I1816" s="9">
        <v>13724.155000000001</v>
      </c>
      <c r="J1816">
        <v>14393.6509253</v>
      </c>
      <c r="K1816">
        <v>14754.214653200001</v>
      </c>
      <c r="L1816">
        <v>16355.416401793</v>
      </c>
    </row>
    <row r="1817" spans="1:12" x14ac:dyDescent="0.2">
      <c r="A1817" s="8" t="s">
        <v>32</v>
      </c>
      <c r="B1817" s="8" t="s">
        <v>153</v>
      </c>
      <c r="C1817" s="8" t="s">
        <v>321</v>
      </c>
      <c r="D1817" s="8" t="s">
        <v>322</v>
      </c>
      <c r="E1817" s="8" t="s">
        <v>39</v>
      </c>
      <c r="F1817" s="8" t="s">
        <v>40</v>
      </c>
      <c r="G1817" s="8" t="s">
        <v>7</v>
      </c>
      <c r="H1817" s="8" t="s">
        <v>38</v>
      </c>
      <c r="I1817" s="9">
        <v>638.77054999999996</v>
      </c>
      <c r="J1817">
        <v>923.37445255</v>
      </c>
      <c r="K1817">
        <v>1371.9102275</v>
      </c>
      <c r="L1817">
        <v>1500.1555470979999</v>
      </c>
    </row>
    <row r="1818" spans="1:12" x14ac:dyDescent="0.2">
      <c r="A1818" s="8" t="s">
        <v>32</v>
      </c>
      <c r="B1818" s="8" t="s">
        <v>153</v>
      </c>
      <c r="C1818" s="8" t="s">
        <v>321</v>
      </c>
      <c r="D1818" s="8" t="s">
        <v>322</v>
      </c>
      <c r="E1818" s="8" t="s">
        <v>41</v>
      </c>
      <c r="F1818" s="8" t="s">
        <v>42</v>
      </c>
      <c r="G1818" s="8" t="s">
        <v>7</v>
      </c>
      <c r="H1818" s="8" t="s">
        <v>38</v>
      </c>
      <c r="I1818" s="9">
        <v>3.1315642000000001</v>
      </c>
      <c r="J1818">
        <v>2.1808071999999998</v>
      </c>
      <c r="K1818">
        <v>2.009579</v>
      </c>
      <c r="L1818">
        <v>2.6763114186022001</v>
      </c>
    </row>
    <row r="1819" spans="1:12" x14ac:dyDescent="0.2">
      <c r="A1819" s="8" t="s">
        <v>32</v>
      </c>
      <c r="B1819" s="8" t="s">
        <v>153</v>
      </c>
      <c r="C1819" s="8" t="s">
        <v>321</v>
      </c>
      <c r="D1819" s="8" t="s">
        <v>322</v>
      </c>
      <c r="E1819" s="8" t="s">
        <v>43</v>
      </c>
      <c r="F1819" s="8" t="s">
        <v>44</v>
      </c>
      <c r="G1819" s="8" t="s">
        <v>7</v>
      </c>
      <c r="H1819" s="8" t="s">
        <v>38</v>
      </c>
      <c r="I1819" s="9">
        <v>2440.6813999999999</v>
      </c>
      <c r="J1819">
        <v>2490.9372011099999</v>
      </c>
      <c r="K1819">
        <v>2547.0756425099999</v>
      </c>
      <c r="L1819">
        <v>2535.0371521265001</v>
      </c>
    </row>
    <row r="1820" spans="1:12" x14ac:dyDescent="0.2">
      <c r="A1820" s="8" t="s">
        <v>32</v>
      </c>
      <c r="B1820" s="8" t="s">
        <v>153</v>
      </c>
      <c r="C1820" s="8" t="s">
        <v>321</v>
      </c>
      <c r="D1820" s="8" t="s">
        <v>322</v>
      </c>
      <c r="E1820" s="8" t="s">
        <v>66</v>
      </c>
      <c r="F1820" s="8" t="s">
        <v>67</v>
      </c>
      <c r="G1820" s="8" t="s">
        <v>7</v>
      </c>
      <c r="H1820" s="8" t="s">
        <v>38</v>
      </c>
      <c r="I1820" s="9"/>
    </row>
    <row r="1821" spans="1:12" x14ac:dyDescent="0.2">
      <c r="A1821" s="8" t="s">
        <v>32</v>
      </c>
      <c r="B1821" s="8" t="s">
        <v>153</v>
      </c>
      <c r="C1821" s="8" t="s">
        <v>321</v>
      </c>
      <c r="D1821" s="8" t="s">
        <v>322</v>
      </c>
      <c r="E1821" s="8" t="s">
        <v>45</v>
      </c>
      <c r="F1821" s="8" t="s">
        <v>46</v>
      </c>
      <c r="G1821" s="8" t="s">
        <v>7</v>
      </c>
      <c r="H1821" s="8" t="s">
        <v>38</v>
      </c>
      <c r="I1821" s="9"/>
    </row>
    <row r="1822" spans="1:12" x14ac:dyDescent="0.2">
      <c r="A1822" s="8" t="s">
        <v>32</v>
      </c>
      <c r="B1822" s="8" t="s">
        <v>153</v>
      </c>
      <c r="C1822" s="8" t="s">
        <v>321</v>
      </c>
      <c r="D1822" s="8" t="s">
        <v>322</v>
      </c>
      <c r="E1822" s="8" t="s">
        <v>47</v>
      </c>
      <c r="F1822" s="8" t="s">
        <v>48</v>
      </c>
      <c r="G1822" s="8" t="s">
        <v>7</v>
      </c>
      <c r="H1822" s="8" t="s">
        <v>38</v>
      </c>
      <c r="I1822" s="9"/>
    </row>
    <row r="1823" spans="1:12" x14ac:dyDescent="0.2">
      <c r="A1823" s="8" t="s">
        <v>32</v>
      </c>
      <c r="B1823" s="8" t="s">
        <v>153</v>
      </c>
      <c r="C1823" s="8" t="s">
        <v>321</v>
      </c>
      <c r="D1823" s="8" t="s">
        <v>322</v>
      </c>
      <c r="E1823" s="8" t="s">
        <v>49</v>
      </c>
      <c r="F1823" s="8" t="s">
        <v>50</v>
      </c>
      <c r="G1823" s="8" t="s">
        <v>7</v>
      </c>
      <c r="H1823" s="8" t="s">
        <v>38</v>
      </c>
      <c r="I1823" s="9">
        <v>78.447986999999998</v>
      </c>
      <c r="J1823">
        <v>78.578761499999999</v>
      </c>
      <c r="K1823">
        <v>80.349559209999995</v>
      </c>
      <c r="L1823">
        <v>79.969795303609999</v>
      </c>
    </row>
    <row r="1824" spans="1:12" x14ac:dyDescent="0.2">
      <c r="A1824" s="8" t="s">
        <v>32</v>
      </c>
      <c r="B1824" s="8" t="s">
        <v>153</v>
      </c>
      <c r="C1824" s="8" t="s">
        <v>321</v>
      </c>
      <c r="D1824" s="8" t="s">
        <v>322</v>
      </c>
      <c r="E1824" s="8" t="s">
        <v>51</v>
      </c>
      <c r="F1824" s="8" t="s">
        <v>52</v>
      </c>
      <c r="G1824" s="8" t="s">
        <v>7</v>
      </c>
      <c r="H1824" s="8" t="s">
        <v>38</v>
      </c>
      <c r="I1824" s="9"/>
    </row>
    <row r="1825" spans="1:12" x14ac:dyDescent="0.2">
      <c r="A1825" s="8" t="s">
        <v>32</v>
      </c>
      <c r="B1825" s="8" t="s">
        <v>153</v>
      </c>
      <c r="C1825" s="8" t="s">
        <v>321</v>
      </c>
      <c r="D1825" s="8" t="s">
        <v>322</v>
      </c>
      <c r="E1825" s="8" t="s">
        <v>68</v>
      </c>
      <c r="F1825" s="8" t="s">
        <v>69</v>
      </c>
      <c r="G1825" s="8" t="s">
        <v>7</v>
      </c>
      <c r="H1825" s="8" t="s">
        <v>38</v>
      </c>
      <c r="I1825" s="9">
        <v>7.0151234000000002</v>
      </c>
      <c r="J1825">
        <v>10.538240933578001</v>
      </c>
      <c r="K1825">
        <v>16.640688596238999</v>
      </c>
      <c r="L1825">
        <v>16.642211525480999</v>
      </c>
    </row>
    <row r="1826" spans="1:12" x14ac:dyDescent="0.2">
      <c r="A1826" s="8" t="s">
        <v>32</v>
      </c>
      <c r="B1826" s="8" t="s">
        <v>153</v>
      </c>
      <c r="C1826" s="8" t="s">
        <v>321</v>
      </c>
      <c r="D1826" s="8" t="s">
        <v>322</v>
      </c>
      <c r="E1826" s="8" t="s">
        <v>53</v>
      </c>
      <c r="F1826" s="8" t="s">
        <v>54</v>
      </c>
      <c r="G1826" s="8" t="s">
        <v>7</v>
      </c>
      <c r="H1826" s="8" t="s">
        <v>38</v>
      </c>
      <c r="I1826" s="9"/>
    </row>
    <row r="1827" spans="1:12" x14ac:dyDescent="0.2">
      <c r="A1827" s="8" t="s">
        <v>32</v>
      </c>
      <c r="B1827" s="8" t="s">
        <v>153</v>
      </c>
      <c r="C1827" s="8" t="s">
        <v>321</v>
      </c>
      <c r="D1827" s="8" t="s">
        <v>322</v>
      </c>
      <c r="E1827" s="8" t="s">
        <v>70</v>
      </c>
      <c r="F1827" s="8" t="s">
        <v>71</v>
      </c>
      <c r="G1827" s="8" t="s">
        <v>7</v>
      </c>
      <c r="H1827" s="8" t="s">
        <v>38</v>
      </c>
      <c r="I1827" s="9">
        <v>2517.8604</v>
      </c>
      <c r="J1827">
        <v>5888.9004781559997</v>
      </c>
      <c r="K1827">
        <v>5230.2196863999998</v>
      </c>
      <c r="L1827">
        <v>5224.3192787440003</v>
      </c>
    </row>
    <row r="1828" spans="1:12" x14ac:dyDescent="0.2">
      <c r="A1828" s="8" t="s">
        <v>32</v>
      </c>
      <c r="B1828" s="8" t="s">
        <v>153</v>
      </c>
      <c r="C1828" s="8" t="s">
        <v>321</v>
      </c>
      <c r="D1828" s="8" t="s">
        <v>322</v>
      </c>
      <c r="E1828" s="8" t="s">
        <v>55</v>
      </c>
      <c r="F1828" s="8" t="s">
        <v>56</v>
      </c>
      <c r="G1828" s="8" t="s">
        <v>7</v>
      </c>
      <c r="H1828" s="8" t="s">
        <v>38</v>
      </c>
      <c r="I1828" s="9">
        <v>0.4166801</v>
      </c>
      <c r="J1828">
        <v>0.46669252890793</v>
      </c>
      <c r="K1828">
        <v>0.46669252890793</v>
      </c>
      <c r="L1828">
        <v>0.46669252890793</v>
      </c>
    </row>
    <row r="1829" spans="1:12" x14ac:dyDescent="0.2">
      <c r="A1829" s="8" t="s">
        <v>32</v>
      </c>
      <c r="B1829" s="8" t="s">
        <v>153</v>
      </c>
      <c r="C1829" s="8" t="s">
        <v>321</v>
      </c>
      <c r="D1829" s="8" t="s">
        <v>322</v>
      </c>
      <c r="E1829" s="8" t="s">
        <v>57</v>
      </c>
      <c r="F1829" s="8" t="s">
        <v>58</v>
      </c>
      <c r="G1829" s="8" t="s">
        <v>7</v>
      </c>
      <c r="H1829" s="8" t="s">
        <v>38</v>
      </c>
      <c r="I1829" s="9">
        <v>0.29133540000000002</v>
      </c>
      <c r="J1829">
        <v>0.32630322860526001</v>
      </c>
      <c r="K1829">
        <v>0.32630322860526001</v>
      </c>
      <c r="L1829">
        <v>0.32630322860526001</v>
      </c>
    </row>
    <row r="1830" spans="1:12" x14ac:dyDescent="0.2">
      <c r="A1830" s="8" t="s">
        <v>32</v>
      </c>
      <c r="B1830" s="8" t="s">
        <v>153</v>
      </c>
      <c r="C1830" s="8" t="s">
        <v>321</v>
      </c>
      <c r="D1830" s="8" t="s">
        <v>322</v>
      </c>
      <c r="E1830" s="8" t="s">
        <v>59</v>
      </c>
      <c r="F1830" s="8" t="s">
        <v>60</v>
      </c>
      <c r="G1830" s="8" t="s">
        <v>7</v>
      </c>
      <c r="H1830" s="8" t="s">
        <v>38</v>
      </c>
      <c r="I1830" s="9">
        <v>12.589916000000001</v>
      </c>
      <c r="J1830">
        <v>12.782764823843999</v>
      </c>
      <c r="K1830">
        <v>12.954981434429</v>
      </c>
      <c r="L1830">
        <v>12.874287269936</v>
      </c>
    </row>
    <row r="1831" spans="1:12" x14ac:dyDescent="0.2">
      <c r="A1831" s="8" t="s">
        <v>32</v>
      </c>
      <c r="B1831" s="8" t="s">
        <v>153</v>
      </c>
      <c r="C1831" s="8" t="s">
        <v>321</v>
      </c>
      <c r="D1831" s="8" t="s">
        <v>322</v>
      </c>
      <c r="E1831" s="8" t="s">
        <v>92</v>
      </c>
      <c r="F1831" s="8" t="s">
        <v>93</v>
      </c>
      <c r="G1831" s="8" t="s">
        <v>7</v>
      </c>
      <c r="H1831" s="8" t="s">
        <v>38</v>
      </c>
      <c r="I1831" s="9">
        <v>14.437999</v>
      </c>
      <c r="J1831">
        <v>14.898154067688001</v>
      </c>
      <c r="K1831">
        <v>15.359036209924</v>
      </c>
      <c r="L1831">
        <v>15.812242700269</v>
      </c>
    </row>
    <row r="1832" spans="1:12" x14ac:dyDescent="0.2">
      <c r="A1832" s="8" t="s">
        <v>32</v>
      </c>
      <c r="B1832" s="8" t="s">
        <v>96</v>
      </c>
      <c r="C1832" s="8" t="s">
        <v>323</v>
      </c>
      <c r="D1832" s="8" t="s">
        <v>324</v>
      </c>
      <c r="E1832" s="8" t="s">
        <v>36</v>
      </c>
      <c r="F1832" s="8" t="s">
        <v>37</v>
      </c>
      <c r="G1832" s="8" t="s">
        <v>7</v>
      </c>
      <c r="H1832" s="8" t="s">
        <v>38</v>
      </c>
      <c r="I1832" s="9">
        <v>12330.365</v>
      </c>
      <c r="J1832">
        <v>7625.2857411300001</v>
      </c>
      <c r="K1832">
        <v>1957.80497064</v>
      </c>
      <c r="L1832">
        <v>1980.0028521178001</v>
      </c>
    </row>
    <row r="1833" spans="1:12" x14ac:dyDescent="0.2">
      <c r="A1833" s="8" t="s">
        <v>32</v>
      </c>
      <c r="B1833" s="8" t="s">
        <v>96</v>
      </c>
      <c r="C1833" s="8" t="s">
        <v>323</v>
      </c>
      <c r="D1833" s="8" t="s">
        <v>324</v>
      </c>
      <c r="E1833" s="8" t="s">
        <v>64</v>
      </c>
      <c r="F1833" s="8" t="s">
        <v>65</v>
      </c>
      <c r="G1833" s="8" t="s">
        <v>7</v>
      </c>
      <c r="H1833" s="8" t="s">
        <v>38</v>
      </c>
      <c r="I1833" s="9"/>
    </row>
    <row r="1834" spans="1:12" x14ac:dyDescent="0.2">
      <c r="A1834" s="8" t="s">
        <v>32</v>
      </c>
      <c r="B1834" s="8" t="s">
        <v>96</v>
      </c>
      <c r="C1834" s="8" t="s">
        <v>323</v>
      </c>
      <c r="D1834" s="8" t="s">
        <v>324</v>
      </c>
      <c r="E1834" s="8" t="s">
        <v>39</v>
      </c>
      <c r="F1834" s="8" t="s">
        <v>40</v>
      </c>
      <c r="G1834" s="8" t="s">
        <v>7</v>
      </c>
      <c r="H1834" s="8" t="s">
        <v>38</v>
      </c>
      <c r="I1834" s="9">
        <v>529.44871999999998</v>
      </c>
      <c r="J1834">
        <v>596.55680027999995</v>
      </c>
      <c r="K1834">
        <v>661.63700186000005</v>
      </c>
      <c r="L1834">
        <v>946.81138762935996</v>
      </c>
    </row>
    <row r="1835" spans="1:12" x14ac:dyDescent="0.2">
      <c r="A1835" s="8" t="s">
        <v>32</v>
      </c>
      <c r="B1835" s="8" t="s">
        <v>96</v>
      </c>
      <c r="C1835" s="8" t="s">
        <v>323</v>
      </c>
      <c r="D1835" s="8" t="s">
        <v>324</v>
      </c>
      <c r="E1835" s="8" t="s">
        <v>43</v>
      </c>
      <c r="F1835" s="8" t="s">
        <v>44</v>
      </c>
      <c r="G1835" s="8" t="s">
        <v>7</v>
      </c>
      <c r="H1835" s="8" t="s">
        <v>38</v>
      </c>
      <c r="I1835" s="9">
        <v>7226.7083000000002</v>
      </c>
      <c r="J1835">
        <v>7006.5359461199996</v>
      </c>
      <c r="K1835">
        <v>6388.1482659000003</v>
      </c>
      <c r="L1835">
        <v>6460.5780330094003</v>
      </c>
    </row>
    <row r="1836" spans="1:12" x14ac:dyDescent="0.2">
      <c r="A1836" s="8" t="s">
        <v>32</v>
      </c>
      <c r="B1836" s="8" t="s">
        <v>96</v>
      </c>
      <c r="C1836" s="8" t="s">
        <v>323</v>
      </c>
      <c r="D1836" s="8" t="s">
        <v>324</v>
      </c>
      <c r="E1836" s="8" t="s">
        <v>49</v>
      </c>
      <c r="F1836" s="8" t="s">
        <v>50</v>
      </c>
      <c r="G1836" s="8" t="s">
        <v>7</v>
      </c>
      <c r="H1836" s="8" t="s">
        <v>38</v>
      </c>
      <c r="I1836" s="9">
        <v>698.44511999999997</v>
      </c>
      <c r="J1836">
        <v>620.26872813</v>
      </c>
      <c r="K1836">
        <v>423.51302142999998</v>
      </c>
      <c r="L1836">
        <v>428.31487452313002</v>
      </c>
    </row>
    <row r="1837" spans="1:12" x14ac:dyDescent="0.2">
      <c r="A1837" s="8" t="s">
        <v>32</v>
      </c>
      <c r="B1837" s="8" t="s">
        <v>96</v>
      </c>
      <c r="C1837" s="8" t="s">
        <v>323</v>
      </c>
      <c r="D1837" s="8" t="s">
        <v>324</v>
      </c>
      <c r="E1837" s="8" t="s">
        <v>51</v>
      </c>
      <c r="F1837" s="8" t="s">
        <v>52</v>
      </c>
      <c r="G1837" s="8" t="s">
        <v>7</v>
      </c>
      <c r="H1837" s="8" t="s">
        <v>38</v>
      </c>
      <c r="I1837" s="9">
        <v>92.529347000000001</v>
      </c>
    </row>
    <row r="1838" spans="1:12" x14ac:dyDescent="0.2">
      <c r="A1838" s="8" t="s">
        <v>32</v>
      </c>
      <c r="B1838" s="8" t="s">
        <v>96</v>
      </c>
      <c r="C1838" s="8" t="s">
        <v>323</v>
      </c>
      <c r="D1838" s="8" t="s">
        <v>324</v>
      </c>
      <c r="E1838" s="8" t="s">
        <v>53</v>
      </c>
      <c r="F1838" s="8" t="s">
        <v>54</v>
      </c>
      <c r="G1838" s="8" t="s">
        <v>7</v>
      </c>
      <c r="H1838" s="8" t="s">
        <v>38</v>
      </c>
      <c r="I1838" s="9"/>
    </row>
    <row r="1839" spans="1:12" x14ac:dyDescent="0.2">
      <c r="A1839" s="8" t="s">
        <v>32</v>
      </c>
      <c r="B1839" s="8" t="s">
        <v>96</v>
      </c>
      <c r="C1839" s="8" t="s">
        <v>323</v>
      </c>
      <c r="D1839" s="8" t="s">
        <v>324</v>
      </c>
      <c r="E1839" s="8" t="s">
        <v>70</v>
      </c>
      <c r="F1839" s="8" t="s">
        <v>71</v>
      </c>
      <c r="G1839" s="8" t="s">
        <v>7</v>
      </c>
      <c r="H1839" s="8" t="s">
        <v>38</v>
      </c>
      <c r="I1839" s="9">
        <v>871.82988999999998</v>
      </c>
      <c r="J1839">
        <v>805.93058939000002</v>
      </c>
      <c r="K1839">
        <v>945.743962356</v>
      </c>
      <c r="L1839">
        <v>944.67703300107996</v>
      </c>
    </row>
    <row r="1840" spans="1:12" x14ac:dyDescent="0.2">
      <c r="A1840" s="8" t="s">
        <v>32</v>
      </c>
      <c r="B1840" s="8" t="s">
        <v>96</v>
      </c>
      <c r="C1840" s="8" t="s">
        <v>323</v>
      </c>
      <c r="D1840" s="8" t="s">
        <v>324</v>
      </c>
      <c r="E1840" s="8" t="s">
        <v>83</v>
      </c>
      <c r="F1840" s="8" t="s">
        <v>84</v>
      </c>
      <c r="G1840" s="8" t="s">
        <v>7</v>
      </c>
      <c r="H1840" s="8" t="s">
        <v>38</v>
      </c>
      <c r="I1840" s="9">
        <v>15</v>
      </c>
      <c r="J1840">
        <v>15</v>
      </c>
      <c r="K1840">
        <v>15</v>
      </c>
      <c r="L1840">
        <v>15</v>
      </c>
    </row>
    <row r="1841" spans="1:12" x14ac:dyDescent="0.2">
      <c r="A1841" s="8" t="s">
        <v>32</v>
      </c>
      <c r="B1841" s="8" t="s">
        <v>96</v>
      </c>
      <c r="C1841" s="8" t="s">
        <v>323</v>
      </c>
      <c r="D1841" s="8" t="s">
        <v>324</v>
      </c>
      <c r="E1841" s="8" t="s">
        <v>55</v>
      </c>
      <c r="F1841" s="8" t="s">
        <v>56</v>
      </c>
      <c r="G1841" s="8" t="s">
        <v>7</v>
      </c>
      <c r="H1841" s="8" t="s">
        <v>38</v>
      </c>
      <c r="I1841" s="9">
        <v>0.22925229999999999</v>
      </c>
      <c r="J1841">
        <v>0.25676852905594</v>
      </c>
      <c r="K1841">
        <v>0.25676852905594</v>
      </c>
      <c r="L1841">
        <v>0.25676852905594</v>
      </c>
    </row>
    <row r="1842" spans="1:12" x14ac:dyDescent="0.2">
      <c r="A1842" s="8" t="s">
        <v>32</v>
      </c>
      <c r="B1842" s="8" t="s">
        <v>96</v>
      </c>
      <c r="C1842" s="8" t="s">
        <v>323</v>
      </c>
      <c r="D1842" s="8" t="s">
        <v>324</v>
      </c>
      <c r="E1842" s="8" t="s">
        <v>57</v>
      </c>
      <c r="F1842" s="8" t="s">
        <v>58</v>
      </c>
      <c r="G1842" s="8" t="s">
        <v>7</v>
      </c>
      <c r="H1842" s="8" t="s">
        <v>38</v>
      </c>
      <c r="I1842" s="9">
        <v>0.93416330000000003</v>
      </c>
      <c r="J1842">
        <v>1.0462871335320001</v>
      </c>
      <c r="K1842">
        <v>1.0462871335320001</v>
      </c>
      <c r="L1842">
        <v>1.0462871335320001</v>
      </c>
    </row>
    <row r="1843" spans="1:12" x14ac:dyDescent="0.2">
      <c r="A1843" s="8" t="s">
        <v>32</v>
      </c>
      <c r="B1843" s="8" t="s">
        <v>96</v>
      </c>
      <c r="C1843" s="8" t="s">
        <v>323</v>
      </c>
      <c r="D1843" s="8" t="s">
        <v>324</v>
      </c>
      <c r="E1843" s="8" t="s">
        <v>74</v>
      </c>
      <c r="F1843" s="8" t="s">
        <v>75</v>
      </c>
      <c r="G1843" s="8" t="s">
        <v>7</v>
      </c>
      <c r="H1843" s="8" t="s">
        <v>38</v>
      </c>
      <c r="I1843" s="9">
        <v>11.44</v>
      </c>
      <c r="J1843">
        <v>11.44</v>
      </c>
      <c r="K1843">
        <v>11.44</v>
      </c>
      <c r="L1843">
        <v>12.490399999999999</v>
      </c>
    </row>
    <row r="1844" spans="1:12" x14ac:dyDescent="0.2">
      <c r="A1844" s="8" t="s">
        <v>32</v>
      </c>
      <c r="B1844" s="8" t="s">
        <v>96</v>
      </c>
      <c r="C1844" s="8" t="s">
        <v>323</v>
      </c>
      <c r="D1844" s="8" t="s">
        <v>324</v>
      </c>
      <c r="E1844" s="8" t="s">
        <v>59</v>
      </c>
      <c r="F1844" s="8" t="s">
        <v>60</v>
      </c>
      <c r="G1844" s="8" t="s">
        <v>7</v>
      </c>
      <c r="H1844" s="8" t="s">
        <v>38</v>
      </c>
      <c r="I1844" s="9">
        <v>11.921135</v>
      </c>
      <c r="J1844">
        <v>11.858264734509</v>
      </c>
      <c r="K1844">
        <v>11.768236983911001</v>
      </c>
      <c r="L1844">
        <v>11.643927174298</v>
      </c>
    </row>
    <row r="1845" spans="1:12" x14ac:dyDescent="0.2">
      <c r="A1845" s="8" t="s">
        <v>32</v>
      </c>
      <c r="B1845" s="8" t="s">
        <v>96</v>
      </c>
      <c r="C1845" s="8" t="s">
        <v>323</v>
      </c>
      <c r="D1845" s="8" t="s">
        <v>324</v>
      </c>
      <c r="E1845" s="8" t="s">
        <v>76</v>
      </c>
      <c r="F1845" s="8" t="s">
        <v>77</v>
      </c>
      <c r="G1845" s="8" t="s">
        <v>7</v>
      </c>
      <c r="H1845" s="8" t="s">
        <v>38</v>
      </c>
      <c r="I1845" s="9">
        <v>26.819047999999999</v>
      </c>
      <c r="J1845">
        <v>18.019047624336</v>
      </c>
      <c r="K1845">
        <v>15.295238099768</v>
      </c>
      <c r="L1845">
        <v>15.295238099768</v>
      </c>
    </row>
    <row r="1846" spans="1:12" x14ac:dyDescent="0.2">
      <c r="A1846" s="8" t="s">
        <v>32</v>
      </c>
      <c r="B1846" s="8" t="s">
        <v>96</v>
      </c>
      <c r="C1846" s="8" t="s">
        <v>323</v>
      </c>
      <c r="D1846" s="8" t="s">
        <v>324</v>
      </c>
      <c r="E1846" s="8" t="s">
        <v>78</v>
      </c>
      <c r="F1846" s="8" t="s">
        <v>79</v>
      </c>
      <c r="G1846" s="8" t="s">
        <v>7</v>
      </c>
      <c r="H1846" s="8" t="s">
        <v>38</v>
      </c>
      <c r="I1846" s="9">
        <v>5.0285704999999998</v>
      </c>
      <c r="J1846">
        <v>2.8285709142857001</v>
      </c>
      <c r="K1846">
        <v>3.2999993999999999</v>
      </c>
      <c r="L1846">
        <v>2.6399995199999999</v>
      </c>
    </row>
    <row r="1847" spans="1:12" x14ac:dyDescent="0.2">
      <c r="A1847" s="8" t="s">
        <v>32</v>
      </c>
      <c r="B1847" s="8" t="s">
        <v>96</v>
      </c>
      <c r="C1847" s="8" t="s">
        <v>323</v>
      </c>
      <c r="D1847" s="8" t="s">
        <v>324</v>
      </c>
      <c r="E1847" s="8" t="s">
        <v>92</v>
      </c>
      <c r="F1847" s="8" t="s">
        <v>93</v>
      </c>
      <c r="G1847" s="8" t="s">
        <v>7</v>
      </c>
      <c r="H1847" s="8" t="s">
        <v>38</v>
      </c>
      <c r="I1847" s="9">
        <v>5.5345999999999998E-3</v>
      </c>
      <c r="J1847">
        <v>5.4879717949076999E-3</v>
      </c>
      <c r="K1847">
        <v>5.4218018260166001E-3</v>
      </c>
      <c r="L1847">
        <v>5.3939190139265999E-3</v>
      </c>
    </row>
    <row r="1848" spans="1:12" x14ac:dyDescent="0.2">
      <c r="A1848" s="8" t="s">
        <v>32</v>
      </c>
      <c r="B1848" s="8" t="s">
        <v>125</v>
      </c>
      <c r="C1848" s="8" t="s">
        <v>325</v>
      </c>
      <c r="D1848" s="8" t="s">
        <v>326</v>
      </c>
      <c r="E1848" s="8" t="s">
        <v>36</v>
      </c>
      <c r="F1848" s="8" t="s">
        <v>37</v>
      </c>
      <c r="G1848" s="8" t="s">
        <v>7</v>
      </c>
      <c r="H1848" s="8" t="s">
        <v>38</v>
      </c>
      <c r="I1848" s="9">
        <v>139.09961999999999</v>
      </c>
      <c r="J1848">
        <v>118.69294439834999</v>
      </c>
      <c r="K1848">
        <v>126.39755286319</v>
      </c>
      <c r="L1848">
        <v>120.86587737687999</v>
      </c>
    </row>
    <row r="1849" spans="1:12" x14ac:dyDescent="0.2">
      <c r="A1849" s="8" t="s">
        <v>32</v>
      </c>
      <c r="B1849" s="8" t="s">
        <v>125</v>
      </c>
      <c r="C1849" s="8" t="s">
        <v>325</v>
      </c>
      <c r="D1849" s="8" t="s">
        <v>326</v>
      </c>
      <c r="E1849" s="8" t="s">
        <v>64</v>
      </c>
      <c r="F1849" s="8" t="s">
        <v>65</v>
      </c>
      <c r="G1849" s="8" t="s">
        <v>7</v>
      </c>
      <c r="H1849" s="8" t="s">
        <v>38</v>
      </c>
      <c r="I1849" s="9"/>
    </row>
    <row r="1850" spans="1:12" x14ac:dyDescent="0.2">
      <c r="A1850" s="8" t="s">
        <v>32</v>
      </c>
      <c r="B1850" s="8" t="s">
        <v>125</v>
      </c>
      <c r="C1850" s="8" t="s">
        <v>325</v>
      </c>
      <c r="D1850" s="8" t="s">
        <v>326</v>
      </c>
      <c r="E1850" s="8" t="s">
        <v>39</v>
      </c>
      <c r="F1850" s="8" t="s">
        <v>40</v>
      </c>
      <c r="G1850" s="8" t="s">
        <v>7</v>
      </c>
      <c r="H1850" s="8" t="s">
        <v>38</v>
      </c>
      <c r="I1850" s="9">
        <v>83.613837000000004</v>
      </c>
      <c r="J1850">
        <v>76.487018864852999</v>
      </c>
      <c r="K1850">
        <v>81.668309173341996</v>
      </c>
      <c r="L1850">
        <v>78.094168902194994</v>
      </c>
    </row>
    <row r="1851" spans="1:12" x14ac:dyDescent="0.2">
      <c r="A1851" s="8" t="s">
        <v>32</v>
      </c>
      <c r="B1851" s="8" t="s">
        <v>125</v>
      </c>
      <c r="C1851" s="8" t="s">
        <v>325</v>
      </c>
      <c r="D1851" s="8" t="s">
        <v>326</v>
      </c>
      <c r="E1851" s="8" t="s">
        <v>41</v>
      </c>
      <c r="F1851" s="8" t="s">
        <v>42</v>
      </c>
      <c r="G1851" s="8" t="s">
        <v>7</v>
      </c>
      <c r="H1851" s="8" t="s">
        <v>38</v>
      </c>
      <c r="I1851" s="9">
        <v>2.9604810000000001</v>
      </c>
      <c r="J1851">
        <v>3.0209707672472002</v>
      </c>
      <c r="K1851">
        <v>3.1405664496267001</v>
      </c>
      <c r="L1851">
        <v>3.5395580678501002</v>
      </c>
    </row>
    <row r="1852" spans="1:12" x14ac:dyDescent="0.2">
      <c r="A1852" s="8" t="s">
        <v>32</v>
      </c>
      <c r="B1852" s="8" t="s">
        <v>125</v>
      </c>
      <c r="C1852" s="8" t="s">
        <v>325</v>
      </c>
      <c r="D1852" s="8" t="s">
        <v>326</v>
      </c>
      <c r="E1852" s="8" t="s">
        <v>43</v>
      </c>
      <c r="F1852" s="8" t="s">
        <v>44</v>
      </c>
      <c r="G1852" s="8" t="s">
        <v>7</v>
      </c>
      <c r="H1852" s="8" t="s">
        <v>38</v>
      </c>
      <c r="I1852" s="9">
        <v>345.32382000000001</v>
      </c>
      <c r="J1852">
        <v>343.03050832205003</v>
      </c>
      <c r="K1852">
        <v>368.05646241481998</v>
      </c>
      <c r="L1852">
        <v>351.94880158912002</v>
      </c>
    </row>
    <row r="1853" spans="1:12" x14ac:dyDescent="0.2">
      <c r="A1853" s="8" t="s">
        <v>32</v>
      </c>
      <c r="B1853" s="8" t="s">
        <v>125</v>
      </c>
      <c r="C1853" s="8" t="s">
        <v>325</v>
      </c>
      <c r="D1853" s="8" t="s">
        <v>326</v>
      </c>
      <c r="E1853" s="8" t="s">
        <v>66</v>
      </c>
      <c r="F1853" s="8" t="s">
        <v>67</v>
      </c>
      <c r="G1853" s="8" t="s">
        <v>7</v>
      </c>
      <c r="H1853" s="8" t="s">
        <v>38</v>
      </c>
      <c r="I1853" s="9">
        <v>16.800729</v>
      </c>
      <c r="J1853">
        <v>15.460814350506</v>
      </c>
      <c r="K1853">
        <v>15.674527956635</v>
      </c>
      <c r="L1853">
        <v>14.988546305147</v>
      </c>
    </row>
    <row r="1854" spans="1:12" x14ac:dyDescent="0.2">
      <c r="A1854" s="8" t="s">
        <v>32</v>
      </c>
      <c r="B1854" s="8" t="s">
        <v>125</v>
      </c>
      <c r="C1854" s="8" t="s">
        <v>325</v>
      </c>
      <c r="D1854" s="8" t="s">
        <v>326</v>
      </c>
      <c r="E1854" s="8" t="s">
        <v>45</v>
      </c>
      <c r="F1854" s="8" t="s">
        <v>46</v>
      </c>
      <c r="G1854" s="8" t="s">
        <v>7</v>
      </c>
      <c r="H1854" s="8" t="s">
        <v>38</v>
      </c>
      <c r="I1854" s="9">
        <v>3.6287161000000001</v>
      </c>
      <c r="J1854">
        <v>3.3504437149109001</v>
      </c>
      <c r="K1854">
        <v>3.4590556421929</v>
      </c>
      <c r="L1854">
        <v>3.2405048996116999</v>
      </c>
    </row>
    <row r="1855" spans="1:12" x14ac:dyDescent="0.2">
      <c r="A1855" s="8" t="s">
        <v>32</v>
      </c>
      <c r="B1855" s="8" t="s">
        <v>125</v>
      </c>
      <c r="C1855" s="8" t="s">
        <v>325</v>
      </c>
      <c r="D1855" s="8" t="s">
        <v>326</v>
      </c>
      <c r="E1855" s="8" t="s">
        <v>47</v>
      </c>
      <c r="F1855" s="8" t="s">
        <v>48</v>
      </c>
      <c r="G1855" s="8" t="s">
        <v>7</v>
      </c>
      <c r="H1855" s="8" t="s">
        <v>38</v>
      </c>
      <c r="I1855" s="9">
        <v>4.1510942999999996</v>
      </c>
      <c r="J1855">
        <v>4.2452372738413002</v>
      </c>
      <c r="K1855">
        <v>4.6861227194527997</v>
      </c>
      <c r="L1855">
        <v>4.4810387634279998</v>
      </c>
    </row>
    <row r="1856" spans="1:12" x14ac:dyDescent="0.2">
      <c r="A1856" s="8" t="s">
        <v>32</v>
      </c>
      <c r="B1856" s="8" t="s">
        <v>125</v>
      </c>
      <c r="C1856" s="8" t="s">
        <v>325</v>
      </c>
      <c r="D1856" s="8" t="s">
        <v>326</v>
      </c>
      <c r="E1856" s="8" t="s">
        <v>49</v>
      </c>
      <c r="F1856" s="8" t="s">
        <v>50</v>
      </c>
      <c r="G1856" s="8" t="s">
        <v>7</v>
      </c>
      <c r="H1856" s="8" t="s">
        <v>38</v>
      </c>
      <c r="I1856" s="9">
        <v>37.305891000000003</v>
      </c>
      <c r="J1856">
        <v>35.450878093994</v>
      </c>
      <c r="K1856">
        <v>40.258928398908999</v>
      </c>
      <c r="L1856">
        <v>38.497032521302003</v>
      </c>
    </row>
    <row r="1857" spans="1:12" x14ac:dyDescent="0.2">
      <c r="A1857" s="8" t="s">
        <v>32</v>
      </c>
      <c r="B1857" s="8" t="s">
        <v>125</v>
      </c>
      <c r="C1857" s="8" t="s">
        <v>325</v>
      </c>
      <c r="D1857" s="8" t="s">
        <v>326</v>
      </c>
      <c r="E1857" s="8" t="s">
        <v>51</v>
      </c>
      <c r="F1857" s="8" t="s">
        <v>52</v>
      </c>
      <c r="G1857" s="8" t="s">
        <v>7</v>
      </c>
      <c r="H1857" s="8" t="s">
        <v>38</v>
      </c>
      <c r="I1857" s="9">
        <v>28.745462</v>
      </c>
      <c r="J1857">
        <v>21.313634119707999</v>
      </c>
      <c r="K1857">
        <v>29.092491339942999</v>
      </c>
      <c r="L1857">
        <v>27.819284560734999</v>
      </c>
    </row>
    <row r="1858" spans="1:12" x14ac:dyDescent="0.2">
      <c r="A1858" s="8" t="s">
        <v>32</v>
      </c>
      <c r="B1858" s="8" t="s">
        <v>125</v>
      </c>
      <c r="C1858" s="8" t="s">
        <v>325</v>
      </c>
      <c r="D1858" s="8" t="s">
        <v>326</v>
      </c>
      <c r="E1858" s="8" t="s">
        <v>53</v>
      </c>
      <c r="F1858" s="8" t="s">
        <v>54</v>
      </c>
      <c r="G1858" s="8" t="s">
        <v>7</v>
      </c>
      <c r="H1858" s="8" t="s">
        <v>38</v>
      </c>
      <c r="I1858" s="9"/>
    </row>
    <row r="1859" spans="1:12" x14ac:dyDescent="0.2">
      <c r="A1859" s="8" t="s">
        <v>32</v>
      </c>
      <c r="B1859" s="8" t="s">
        <v>125</v>
      </c>
      <c r="C1859" s="8" t="s">
        <v>325</v>
      </c>
      <c r="D1859" s="8" t="s">
        <v>326</v>
      </c>
      <c r="E1859" s="8" t="s">
        <v>70</v>
      </c>
      <c r="F1859" s="8" t="s">
        <v>71</v>
      </c>
      <c r="G1859" s="8" t="s">
        <v>7</v>
      </c>
      <c r="H1859" s="8" t="s">
        <v>38</v>
      </c>
      <c r="I1859" s="9">
        <v>162.49865</v>
      </c>
      <c r="J1859">
        <v>208.982639995</v>
      </c>
      <c r="K1859">
        <v>185.15471281800001</v>
      </c>
      <c r="L1859">
        <v>184.94583281857999</v>
      </c>
    </row>
    <row r="1860" spans="1:12" x14ac:dyDescent="0.2">
      <c r="A1860" s="8" t="s">
        <v>32</v>
      </c>
      <c r="B1860" s="8" t="s">
        <v>125</v>
      </c>
      <c r="C1860" s="8" t="s">
        <v>325</v>
      </c>
      <c r="D1860" s="8" t="s">
        <v>326</v>
      </c>
      <c r="E1860" s="8" t="s">
        <v>55</v>
      </c>
      <c r="F1860" s="8" t="s">
        <v>56</v>
      </c>
      <c r="G1860" s="8" t="s">
        <v>7</v>
      </c>
      <c r="H1860" s="8" t="s">
        <v>38</v>
      </c>
      <c r="I1860" s="9">
        <v>0.28945589999999999</v>
      </c>
      <c r="J1860">
        <v>0.32419811491400002</v>
      </c>
      <c r="K1860">
        <v>0.32419811491400002</v>
      </c>
      <c r="L1860">
        <v>0.32419811491400002</v>
      </c>
    </row>
    <row r="1861" spans="1:12" x14ac:dyDescent="0.2">
      <c r="A1861" s="8" t="s">
        <v>32</v>
      </c>
      <c r="B1861" s="8" t="s">
        <v>125</v>
      </c>
      <c r="C1861" s="8" t="s">
        <v>325</v>
      </c>
      <c r="D1861" s="8" t="s">
        <v>326</v>
      </c>
      <c r="E1861" s="8" t="s">
        <v>59</v>
      </c>
      <c r="F1861" s="8" t="s">
        <v>60</v>
      </c>
      <c r="G1861" s="8" t="s">
        <v>7</v>
      </c>
      <c r="H1861" s="8" t="s">
        <v>38</v>
      </c>
      <c r="I1861" s="9">
        <v>10.417158000000001</v>
      </c>
      <c r="J1861">
        <v>10.466233459961</v>
      </c>
      <c r="K1861">
        <v>10.706020419172001</v>
      </c>
      <c r="L1861">
        <v>10.780865503379999</v>
      </c>
    </row>
    <row r="1862" spans="1:12" x14ac:dyDescent="0.2">
      <c r="A1862" s="8" t="s">
        <v>32</v>
      </c>
      <c r="B1862" s="8" t="s">
        <v>207</v>
      </c>
      <c r="C1862" s="8" t="s">
        <v>327</v>
      </c>
      <c r="D1862" s="8" t="s">
        <v>328</v>
      </c>
      <c r="E1862" s="8" t="s">
        <v>36</v>
      </c>
      <c r="F1862" s="8" t="s">
        <v>37</v>
      </c>
      <c r="G1862" s="8" t="s">
        <v>7</v>
      </c>
      <c r="H1862" s="8" t="s">
        <v>38</v>
      </c>
      <c r="I1862" s="9">
        <v>18609.829000000002</v>
      </c>
      <c r="J1862">
        <v>21770.947048140999</v>
      </c>
      <c r="K1862">
        <v>21995.62442751</v>
      </c>
      <c r="L1862">
        <v>22582.225655445</v>
      </c>
    </row>
    <row r="1863" spans="1:12" x14ac:dyDescent="0.2">
      <c r="A1863" s="8" t="s">
        <v>32</v>
      </c>
      <c r="B1863" s="8" t="s">
        <v>207</v>
      </c>
      <c r="C1863" s="8" t="s">
        <v>327</v>
      </c>
      <c r="D1863" s="8" t="s">
        <v>328</v>
      </c>
      <c r="E1863" s="8" t="s">
        <v>64</v>
      </c>
      <c r="F1863" s="8" t="s">
        <v>65</v>
      </c>
      <c r="G1863" s="8" t="s">
        <v>7</v>
      </c>
      <c r="H1863" s="8" t="s">
        <v>38</v>
      </c>
      <c r="I1863" s="9">
        <v>854.00288</v>
      </c>
      <c r="J1863">
        <v>1823.7984664200001</v>
      </c>
      <c r="K1863">
        <v>1642.5942473699999</v>
      </c>
      <c r="L1863">
        <v>1638.4839042327001</v>
      </c>
    </row>
    <row r="1864" spans="1:12" x14ac:dyDescent="0.2">
      <c r="A1864" s="8" t="s">
        <v>32</v>
      </c>
      <c r="B1864" s="8" t="s">
        <v>207</v>
      </c>
      <c r="C1864" s="8" t="s">
        <v>327</v>
      </c>
      <c r="D1864" s="8" t="s">
        <v>328</v>
      </c>
      <c r="E1864" s="8" t="s">
        <v>39</v>
      </c>
      <c r="F1864" s="8" t="s">
        <v>40</v>
      </c>
      <c r="G1864" s="8" t="s">
        <v>7</v>
      </c>
      <c r="H1864" s="8" t="s">
        <v>38</v>
      </c>
      <c r="I1864" s="9">
        <v>1462.1203</v>
      </c>
      <c r="J1864">
        <v>2206.2361715100001</v>
      </c>
      <c r="K1864">
        <v>2433.1715996399998</v>
      </c>
      <c r="L1864">
        <v>2530.9499564328999</v>
      </c>
    </row>
    <row r="1865" spans="1:12" x14ac:dyDescent="0.2">
      <c r="A1865" s="8" t="s">
        <v>32</v>
      </c>
      <c r="B1865" s="8" t="s">
        <v>207</v>
      </c>
      <c r="C1865" s="8" t="s">
        <v>327</v>
      </c>
      <c r="D1865" s="8" t="s">
        <v>328</v>
      </c>
      <c r="E1865" s="8" t="s">
        <v>41</v>
      </c>
      <c r="F1865" s="8" t="s">
        <v>42</v>
      </c>
      <c r="G1865" s="8" t="s">
        <v>7</v>
      </c>
      <c r="H1865" s="8" t="s">
        <v>38</v>
      </c>
      <c r="I1865" s="9">
        <v>6.2096808000000001</v>
      </c>
      <c r="J1865">
        <v>25.6372134</v>
      </c>
      <c r="K1865">
        <v>17.691079999999999</v>
      </c>
      <c r="L1865">
        <v>19.938633984460001</v>
      </c>
    </row>
    <row r="1866" spans="1:12" x14ac:dyDescent="0.2">
      <c r="A1866" s="8" t="s">
        <v>32</v>
      </c>
      <c r="B1866" s="8" t="s">
        <v>207</v>
      </c>
      <c r="C1866" s="8" t="s">
        <v>327</v>
      </c>
      <c r="D1866" s="8" t="s">
        <v>328</v>
      </c>
      <c r="E1866" s="8" t="s">
        <v>43</v>
      </c>
      <c r="F1866" s="8" t="s">
        <v>44</v>
      </c>
      <c r="G1866" s="8" t="s">
        <v>7</v>
      </c>
      <c r="H1866" s="8" t="s">
        <v>38</v>
      </c>
      <c r="I1866" s="9">
        <v>16664.679</v>
      </c>
      <c r="J1866">
        <v>16829.79011016</v>
      </c>
      <c r="K1866">
        <v>17532.053933849998</v>
      </c>
      <c r="L1866">
        <v>18910.291322633999</v>
      </c>
    </row>
    <row r="1867" spans="1:12" x14ac:dyDescent="0.2">
      <c r="A1867" s="8" t="s">
        <v>32</v>
      </c>
      <c r="B1867" s="8" t="s">
        <v>207</v>
      </c>
      <c r="C1867" s="8" t="s">
        <v>327</v>
      </c>
      <c r="D1867" s="8" t="s">
        <v>328</v>
      </c>
      <c r="E1867" s="8" t="s">
        <v>49</v>
      </c>
      <c r="F1867" s="8" t="s">
        <v>50</v>
      </c>
      <c r="G1867" s="8" t="s">
        <v>7</v>
      </c>
      <c r="H1867" s="8" t="s">
        <v>38</v>
      </c>
      <c r="I1867" s="9">
        <v>1025.7418</v>
      </c>
      <c r="J1867">
        <v>1042.6401766900001</v>
      </c>
      <c r="K1867">
        <v>1060.5955019099999</v>
      </c>
      <c r="L1867">
        <v>1143.9714931444</v>
      </c>
    </row>
    <row r="1868" spans="1:12" x14ac:dyDescent="0.2">
      <c r="A1868" s="8" t="s">
        <v>32</v>
      </c>
      <c r="B1868" s="8" t="s">
        <v>207</v>
      </c>
      <c r="C1868" s="8" t="s">
        <v>327</v>
      </c>
      <c r="D1868" s="8" t="s">
        <v>328</v>
      </c>
      <c r="E1868" s="8" t="s">
        <v>53</v>
      </c>
      <c r="F1868" s="8" t="s">
        <v>54</v>
      </c>
      <c r="G1868" s="8" t="s">
        <v>7</v>
      </c>
      <c r="H1868" s="8" t="s">
        <v>38</v>
      </c>
      <c r="I1868" s="9">
        <v>4963.1448</v>
      </c>
      <c r="J1868">
        <v>12091.827770418</v>
      </c>
      <c r="K1868">
        <v>10915.768929170001</v>
      </c>
      <c r="L1868">
        <v>13672.749817264999</v>
      </c>
    </row>
    <row r="1869" spans="1:12" x14ac:dyDescent="0.2">
      <c r="A1869" s="8" t="s">
        <v>32</v>
      </c>
      <c r="B1869" s="8" t="s">
        <v>207</v>
      </c>
      <c r="C1869" s="8" t="s">
        <v>327</v>
      </c>
      <c r="D1869" s="8" t="s">
        <v>328</v>
      </c>
      <c r="E1869" s="8" t="s">
        <v>70</v>
      </c>
      <c r="F1869" s="8" t="s">
        <v>71</v>
      </c>
      <c r="G1869" s="8" t="s">
        <v>7</v>
      </c>
      <c r="H1869" s="8" t="s">
        <v>38</v>
      </c>
      <c r="I1869" s="9">
        <v>1171.8652999999999</v>
      </c>
      <c r="J1869">
        <v>1171.8652709999999</v>
      </c>
      <c r="K1869">
        <v>1171.8652709999999</v>
      </c>
      <c r="L1869">
        <v>1170.5432456871999</v>
      </c>
    </row>
    <row r="1870" spans="1:12" x14ac:dyDescent="0.2">
      <c r="A1870" s="8" t="s">
        <v>32</v>
      </c>
      <c r="B1870" s="8" t="s">
        <v>207</v>
      </c>
      <c r="C1870" s="8" t="s">
        <v>327</v>
      </c>
      <c r="D1870" s="8" t="s">
        <v>328</v>
      </c>
      <c r="E1870" s="8" t="s">
        <v>83</v>
      </c>
      <c r="F1870" s="8" t="s">
        <v>84</v>
      </c>
      <c r="G1870" s="8" t="s">
        <v>7</v>
      </c>
      <c r="H1870" s="8" t="s">
        <v>38</v>
      </c>
      <c r="I1870" s="9">
        <v>37.5</v>
      </c>
      <c r="J1870">
        <v>52.5</v>
      </c>
      <c r="K1870">
        <v>52.5</v>
      </c>
      <c r="L1870">
        <v>67.5</v>
      </c>
    </row>
    <row r="1871" spans="1:12" x14ac:dyDescent="0.2">
      <c r="A1871" s="8" t="s">
        <v>32</v>
      </c>
      <c r="B1871" s="8" t="s">
        <v>207</v>
      </c>
      <c r="C1871" s="8" t="s">
        <v>327</v>
      </c>
      <c r="D1871" s="8" t="s">
        <v>328</v>
      </c>
      <c r="E1871" s="8" t="s">
        <v>55</v>
      </c>
      <c r="F1871" s="8" t="s">
        <v>56</v>
      </c>
      <c r="G1871" s="8" t="s">
        <v>7</v>
      </c>
      <c r="H1871" s="8" t="s">
        <v>38</v>
      </c>
      <c r="I1871" s="9">
        <v>0.2676502</v>
      </c>
      <c r="J1871">
        <v>0.29977511342154001</v>
      </c>
      <c r="K1871">
        <v>0.29977511342154001</v>
      </c>
      <c r="L1871">
        <v>0.29977511342154001</v>
      </c>
    </row>
    <row r="1872" spans="1:12" x14ac:dyDescent="0.2">
      <c r="A1872" s="8" t="s">
        <v>32</v>
      </c>
      <c r="B1872" s="8" t="s">
        <v>207</v>
      </c>
      <c r="C1872" s="8" t="s">
        <v>327</v>
      </c>
      <c r="D1872" s="8" t="s">
        <v>328</v>
      </c>
      <c r="E1872" s="8" t="s">
        <v>57</v>
      </c>
      <c r="F1872" s="8" t="s">
        <v>58</v>
      </c>
      <c r="G1872" s="8" t="s">
        <v>7</v>
      </c>
      <c r="H1872" s="8" t="s">
        <v>38</v>
      </c>
      <c r="I1872" s="9">
        <v>1.4692200000000001E-2</v>
      </c>
      <c r="J1872">
        <v>1.6455630840697E-2</v>
      </c>
      <c r="K1872">
        <v>1.6455630840697E-2</v>
      </c>
      <c r="L1872">
        <v>1.6455630840697E-2</v>
      </c>
    </row>
    <row r="1873" spans="1:12" x14ac:dyDescent="0.2">
      <c r="A1873" s="8" t="s">
        <v>32</v>
      </c>
      <c r="B1873" s="8" t="s">
        <v>207</v>
      </c>
      <c r="C1873" s="8" t="s">
        <v>327</v>
      </c>
      <c r="D1873" s="8" t="s">
        <v>328</v>
      </c>
      <c r="E1873" s="8" t="s">
        <v>72</v>
      </c>
      <c r="F1873" s="8" t="s">
        <v>73</v>
      </c>
      <c r="G1873" s="8" t="s">
        <v>7</v>
      </c>
      <c r="H1873" s="8" t="s">
        <v>38</v>
      </c>
      <c r="I1873" s="9">
        <v>840.28666999999996</v>
      </c>
      <c r="J1873">
        <v>1263.6293603199999</v>
      </c>
      <c r="K1873">
        <v>1287.19868294</v>
      </c>
      <c r="L1873">
        <v>1392.6160147200001</v>
      </c>
    </row>
    <row r="1874" spans="1:12" x14ac:dyDescent="0.2">
      <c r="A1874" s="8" t="s">
        <v>32</v>
      </c>
      <c r="B1874" s="8" t="s">
        <v>207</v>
      </c>
      <c r="C1874" s="8" t="s">
        <v>327</v>
      </c>
      <c r="D1874" s="8" t="s">
        <v>328</v>
      </c>
      <c r="E1874" s="8" t="s">
        <v>74</v>
      </c>
      <c r="F1874" s="8" t="s">
        <v>75</v>
      </c>
      <c r="G1874" s="8" t="s">
        <v>7</v>
      </c>
      <c r="H1874" s="8" t="s">
        <v>38</v>
      </c>
      <c r="I1874" s="9">
        <v>19.7956</v>
      </c>
      <c r="J1874">
        <v>26.068999999999999</v>
      </c>
      <c r="K1874">
        <v>27.51172</v>
      </c>
      <c r="L1874">
        <v>36.089680000000001</v>
      </c>
    </row>
    <row r="1875" spans="1:12" x14ac:dyDescent="0.2">
      <c r="A1875" s="8" t="s">
        <v>32</v>
      </c>
      <c r="B1875" s="8" t="s">
        <v>207</v>
      </c>
      <c r="C1875" s="8" t="s">
        <v>327</v>
      </c>
      <c r="D1875" s="8" t="s">
        <v>328</v>
      </c>
      <c r="E1875" s="8" t="s">
        <v>59</v>
      </c>
      <c r="F1875" s="8" t="s">
        <v>60</v>
      </c>
      <c r="G1875" s="8" t="s">
        <v>7</v>
      </c>
      <c r="H1875" s="8" t="s">
        <v>38</v>
      </c>
      <c r="I1875" s="9">
        <v>25.352668000000001</v>
      </c>
      <c r="J1875">
        <v>28.911543705886999</v>
      </c>
      <c r="K1875">
        <v>27.737736622863999</v>
      </c>
      <c r="L1875">
        <v>27.333031870393999</v>
      </c>
    </row>
    <row r="1876" spans="1:12" x14ac:dyDescent="0.2">
      <c r="A1876" s="8" t="s">
        <v>32</v>
      </c>
      <c r="B1876" s="8" t="s">
        <v>207</v>
      </c>
      <c r="C1876" s="8" t="s">
        <v>327</v>
      </c>
      <c r="D1876" s="8" t="s">
        <v>328</v>
      </c>
      <c r="E1876" s="8" t="s">
        <v>76</v>
      </c>
      <c r="F1876" s="8" t="s">
        <v>77</v>
      </c>
      <c r="G1876" s="8" t="s">
        <v>7</v>
      </c>
      <c r="H1876" s="8" t="s">
        <v>38</v>
      </c>
      <c r="I1876" s="9">
        <v>9.6380952000000004</v>
      </c>
      <c r="J1876">
        <v>5.866666666784</v>
      </c>
      <c r="K1876">
        <v>8.5904761906479994</v>
      </c>
      <c r="L1876">
        <v>11.044897959405001</v>
      </c>
    </row>
    <row r="1877" spans="1:12" x14ac:dyDescent="0.2">
      <c r="A1877" s="8" t="s">
        <v>32</v>
      </c>
      <c r="B1877" s="8" t="s">
        <v>207</v>
      </c>
      <c r="C1877" s="8" t="s">
        <v>327</v>
      </c>
      <c r="D1877" s="8" t="s">
        <v>328</v>
      </c>
      <c r="E1877" s="8" t="s">
        <v>78</v>
      </c>
      <c r="F1877" s="8" t="s">
        <v>79</v>
      </c>
      <c r="G1877" s="8" t="s">
        <v>7</v>
      </c>
      <c r="H1877" s="8" t="s">
        <v>38</v>
      </c>
      <c r="I1877" s="9">
        <v>12.099997999999999</v>
      </c>
      <c r="J1877">
        <v>20.8999962</v>
      </c>
      <c r="K1877">
        <v>0.15714282857143</v>
      </c>
      <c r="L1877">
        <v>0.15714282857143</v>
      </c>
    </row>
    <row r="1878" spans="1:12" x14ac:dyDescent="0.2">
      <c r="A1878" s="8" t="s">
        <v>32</v>
      </c>
      <c r="B1878" s="8" t="s">
        <v>33</v>
      </c>
      <c r="C1878" s="8" t="s">
        <v>329</v>
      </c>
      <c r="D1878" s="8" t="s">
        <v>330</v>
      </c>
      <c r="E1878" s="8" t="s">
        <v>36</v>
      </c>
      <c r="F1878" s="8" t="s">
        <v>37</v>
      </c>
      <c r="G1878" s="8" t="s">
        <v>7</v>
      </c>
      <c r="H1878" s="8" t="s">
        <v>38</v>
      </c>
      <c r="I1878" s="9">
        <v>142.64551</v>
      </c>
      <c r="J1878">
        <v>142.36911122826999</v>
      </c>
      <c r="K1878">
        <v>149.73260208156</v>
      </c>
      <c r="L1878">
        <v>149.42941047111</v>
      </c>
    </row>
    <row r="1879" spans="1:12" x14ac:dyDescent="0.2">
      <c r="A1879" s="8" t="s">
        <v>32</v>
      </c>
      <c r="B1879" s="8" t="s">
        <v>33</v>
      </c>
      <c r="C1879" s="8" t="s">
        <v>329</v>
      </c>
      <c r="D1879" s="8" t="s">
        <v>330</v>
      </c>
      <c r="E1879" s="8" t="s">
        <v>39</v>
      </c>
      <c r="F1879" s="8" t="s">
        <v>40</v>
      </c>
      <c r="G1879" s="8" t="s">
        <v>7</v>
      </c>
      <c r="H1879" s="8" t="s">
        <v>38</v>
      </c>
      <c r="I1879" s="9">
        <v>16.267227999999999</v>
      </c>
      <c r="J1879">
        <v>19.249167929835998</v>
      </c>
      <c r="K1879">
        <v>20.244906868556001</v>
      </c>
      <c r="L1879">
        <v>20.203913218332001</v>
      </c>
    </row>
    <row r="1880" spans="1:12" x14ac:dyDescent="0.2">
      <c r="A1880" s="8" t="s">
        <v>32</v>
      </c>
      <c r="B1880" s="8" t="s">
        <v>33</v>
      </c>
      <c r="C1880" s="8" t="s">
        <v>329</v>
      </c>
      <c r="D1880" s="8" t="s">
        <v>330</v>
      </c>
      <c r="E1880" s="8" t="s">
        <v>41</v>
      </c>
      <c r="F1880" s="8" t="s">
        <v>42</v>
      </c>
      <c r="G1880" s="8" t="s">
        <v>7</v>
      </c>
      <c r="H1880" s="8" t="s">
        <v>38</v>
      </c>
      <c r="I1880" s="9">
        <v>6.8693039999999996</v>
      </c>
      <c r="J1880">
        <v>7.0186795612303001</v>
      </c>
      <c r="K1880">
        <v>7.3817495017306998</v>
      </c>
      <c r="L1880">
        <v>8.4282559172816995</v>
      </c>
    </row>
    <row r="1881" spans="1:12" x14ac:dyDescent="0.2">
      <c r="A1881" s="8" t="s">
        <v>32</v>
      </c>
      <c r="B1881" s="8" t="s">
        <v>33</v>
      </c>
      <c r="C1881" s="8" t="s">
        <v>329</v>
      </c>
      <c r="D1881" s="8" t="s">
        <v>330</v>
      </c>
      <c r="E1881" s="8" t="s">
        <v>43</v>
      </c>
      <c r="F1881" s="8" t="s">
        <v>44</v>
      </c>
      <c r="G1881" s="8" t="s">
        <v>7</v>
      </c>
      <c r="H1881" s="8" t="s">
        <v>38</v>
      </c>
      <c r="I1881" s="9">
        <v>78.632993999999997</v>
      </c>
      <c r="J1881">
        <v>80.526429865957994</v>
      </c>
      <c r="K1881">
        <v>84.692126159591993</v>
      </c>
      <c r="L1881">
        <v>84.520634168095995</v>
      </c>
    </row>
    <row r="1882" spans="1:12" x14ac:dyDescent="0.2">
      <c r="A1882" s="8" t="s">
        <v>32</v>
      </c>
      <c r="B1882" s="8" t="s">
        <v>33</v>
      </c>
      <c r="C1882" s="8" t="s">
        <v>329</v>
      </c>
      <c r="D1882" s="8" t="s">
        <v>330</v>
      </c>
      <c r="E1882" s="8" t="s">
        <v>45</v>
      </c>
      <c r="F1882" s="8" t="s">
        <v>46</v>
      </c>
      <c r="G1882" s="8" t="s">
        <v>7</v>
      </c>
      <c r="H1882" s="8" t="s">
        <v>38</v>
      </c>
      <c r="I1882" s="9">
        <v>6.0421918000000003</v>
      </c>
      <c r="J1882">
        <v>6.0190862468465998</v>
      </c>
      <c r="K1882">
        <v>6.3305081138199002</v>
      </c>
      <c r="L1882">
        <v>6.7459284035091001</v>
      </c>
    </row>
    <row r="1883" spans="1:12" x14ac:dyDescent="0.2">
      <c r="A1883" s="8" t="s">
        <v>32</v>
      </c>
      <c r="B1883" s="8" t="s">
        <v>33</v>
      </c>
      <c r="C1883" s="8" t="s">
        <v>329</v>
      </c>
      <c r="D1883" s="8" t="s">
        <v>330</v>
      </c>
      <c r="E1883" s="8" t="s">
        <v>47</v>
      </c>
      <c r="F1883" s="8" t="s">
        <v>48</v>
      </c>
      <c r="G1883" s="8" t="s">
        <v>7</v>
      </c>
      <c r="H1883" s="8" t="s">
        <v>38</v>
      </c>
      <c r="I1883" s="9">
        <v>2.5946411999999999</v>
      </c>
      <c r="J1883">
        <v>2.4287337201248</v>
      </c>
      <c r="K1883">
        <v>2.5544194221554002</v>
      </c>
      <c r="L1883">
        <v>2.5492470112869001</v>
      </c>
    </row>
    <row r="1884" spans="1:12" x14ac:dyDescent="0.2">
      <c r="A1884" s="8" t="s">
        <v>32</v>
      </c>
      <c r="B1884" s="8" t="s">
        <v>33</v>
      </c>
      <c r="C1884" s="8" t="s">
        <v>329</v>
      </c>
      <c r="D1884" s="8" t="s">
        <v>330</v>
      </c>
      <c r="E1884" s="8" t="s">
        <v>49</v>
      </c>
      <c r="F1884" s="8" t="s">
        <v>50</v>
      </c>
      <c r="G1884" s="8" t="s">
        <v>7</v>
      </c>
      <c r="H1884" s="8" t="s">
        <v>38</v>
      </c>
      <c r="I1884" s="9">
        <v>21.625610999999999</v>
      </c>
      <c r="J1884">
        <v>21.510340969706998</v>
      </c>
      <c r="K1884">
        <v>21.883380870476</v>
      </c>
      <c r="L1884">
        <v>21.839069495425001</v>
      </c>
    </row>
    <row r="1885" spans="1:12" x14ac:dyDescent="0.2">
      <c r="A1885" s="8" t="s">
        <v>32</v>
      </c>
      <c r="B1885" s="8" t="s">
        <v>33</v>
      </c>
      <c r="C1885" s="8" t="s">
        <v>329</v>
      </c>
      <c r="D1885" s="8" t="s">
        <v>330</v>
      </c>
      <c r="E1885" s="8" t="s">
        <v>51</v>
      </c>
      <c r="F1885" s="8" t="s">
        <v>52</v>
      </c>
      <c r="G1885" s="8" t="s">
        <v>7</v>
      </c>
      <c r="H1885" s="8" t="s">
        <v>38</v>
      </c>
      <c r="I1885" s="9">
        <v>1.659681</v>
      </c>
      <c r="J1885">
        <v>1.7895314462294001</v>
      </c>
      <c r="K1885">
        <v>1.8820868309339001</v>
      </c>
      <c r="L1885">
        <v>1.8782758176386001</v>
      </c>
    </row>
    <row r="1886" spans="1:12" x14ac:dyDescent="0.2">
      <c r="A1886" s="8" t="s">
        <v>32</v>
      </c>
      <c r="B1886" s="8" t="s">
        <v>33</v>
      </c>
      <c r="C1886" s="8" t="s">
        <v>329</v>
      </c>
      <c r="D1886" s="8" t="s">
        <v>330</v>
      </c>
      <c r="E1886" s="8" t="s">
        <v>53</v>
      </c>
      <c r="F1886" s="8" t="s">
        <v>54</v>
      </c>
      <c r="G1886" s="8" t="s">
        <v>7</v>
      </c>
      <c r="H1886" s="8" t="s">
        <v>38</v>
      </c>
      <c r="I1886" s="9"/>
    </row>
    <row r="1887" spans="1:12" x14ac:dyDescent="0.2">
      <c r="A1887" s="8" t="s">
        <v>32</v>
      </c>
      <c r="B1887" s="8" t="s">
        <v>33</v>
      </c>
      <c r="C1887" s="8" t="s">
        <v>329</v>
      </c>
      <c r="D1887" s="8" t="s">
        <v>330</v>
      </c>
      <c r="E1887" s="8" t="s">
        <v>55</v>
      </c>
      <c r="F1887" s="8" t="s">
        <v>56</v>
      </c>
      <c r="G1887" s="8" t="s">
        <v>7</v>
      </c>
      <c r="H1887" s="8" t="s">
        <v>38</v>
      </c>
      <c r="I1887" s="9">
        <v>9.5201999999999995E-3</v>
      </c>
      <c r="J1887">
        <v>9.5864219026426997E-3</v>
      </c>
      <c r="K1887">
        <v>9.6530734491812997E-3</v>
      </c>
      <c r="L1887">
        <v>9.7190902968036005E-3</v>
      </c>
    </row>
    <row r="1888" spans="1:12" x14ac:dyDescent="0.2">
      <c r="A1888" s="8" t="s">
        <v>32</v>
      </c>
      <c r="B1888" s="8" t="s">
        <v>33</v>
      </c>
      <c r="C1888" s="8" t="s">
        <v>329</v>
      </c>
      <c r="D1888" s="8" t="s">
        <v>330</v>
      </c>
      <c r="E1888" s="8" t="s">
        <v>57</v>
      </c>
      <c r="F1888" s="8" t="s">
        <v>58</v>
      </c>
      <c r="G1888" s="8" t="s">
        <v>7</v>
      </c>
      <c r="H1888" s="8" t="s">
        <v>38</v>
      </c>
      <c r="I1888" s="9">
        <v>2.1249999999999999E-4</v>
      </c>
      <c r="J1888">
        <v>2.1248E-4</v>
      </c>
      <c r="K1888">
        <v>2.1248E-4</v>
      </c>
      <c r="L1888">
        <v>1.8791200000000001E-4</v>
      </c>
    </row>
    <row r="1889" spans="1:12" x14ac:dyDescent="0.2">
      <c r="A1889" s="8" t="s">
        <v>32</v>
      </c>
      <c r="B1889" s="8" t="s">
        <v>33</v>
      </c>
      <c r="C1889" s="8" t="s">
        <v>329</v>
      </c>
      <c r="D1889" s="8" t="s">
        <v>330</v>
      </c>
      <c r="E1889" s="8" t="s">
        <v>59</v>
      </c>
      <c r="F1889" s="8" t="s">
        <v>60</v>
      </c>
      <c r="G1889" s="8" t="s">
        <v>7</v>
      </c>
      <c r="H1889" s="8" t="s">
        <v>38</v>
      </c>
      <c r="I1889" s="9">
        <v>1.2644363000000001</v>
      </c>
      <c r="J1889">
        <v>1.2718453112059001</v>
      </c>
      <c r="K1889">
        <v>1.318855385625</v>
      </c>
      <c r="L1889">
        <v>1.3757805766293001</v>
      </c>
    </row>
    <row r="1890" spans="1:12" x14ac:dyDescent="0.2">
      <c r="A1890" s="8" t="s">
        <v>32</v>
      </c>
      <c r="B1890" s="8" t="s">
        <v>33</v>
      </c>
      <c r="C1890" s="8" t="s">
        <v>329</v>
      </c>
      <c r="D1890" s="8" t="s">
        <v>330</v>
      </c>
      <c r="E1890" s="8" t="s">
        <v>92</v>
      </c>
      <c r="F1890" s="8" t="s">
        <v>93</v>
      </c>
      <c r="G1890" s="8" t="s">
        <v>7</v>
      </c>
      <c r="H1890" s="8" t="s">
        <v>38</v>
      </c>
      <c r="I1890" s="9">
        <v>3.3628600000000002E-2</v>
      </c>
      <c r="J1890">
        <v>3.3489726416646E-2</v>
      </c>
      <c r="K1890">
        <v>3.4474718370076998E-2</v>
      </c>
      <c r="L1890">
        <v>3.4800558616333001E-2</v>
      </c>
    </row>
    <row r="1891" spans="1:12" x14ac:dyDescent="0.2">
      <c r="A1891" s="8" t="s">
        <v>32</v>
      </c>
      <c r="B1891" s="8" t="s">
        <v>61</v>
      </c>
      <c r="C1891" s="8" t="s">
        <v>331</v>
      </c>
      <c r="D1891" s="8" t="s">
        <v>332</v>
      </c>
      <c r="E1891" s="8" t="s">
        <v>36</v>
      </c>
      <c r="F1891" s="8" t="s">
        <v>37</v>
      </c>
      <c r="G1891" s="8" t="s">
        <v>7</v>
      </c>
      <c r="H1891" s="8" t="s">
        <v>38</v>
      </c>
      <c r="I1891" s="9">
        <v>9436.8148999999994</v>
      </c>
      <c r="J1891">
        <v>8277.9799500000008</v>
      </c>
      <c r="K1891">
        <v>7651.3514830000004</v>
      </c>
      <c r="L1891">
        <v>7242.8893272775003</v>
      </c>
    </row>
    <row r="1892" spans="1:12" x14ac:dyDescent="0.2">
      <c r="A1892" s="8" t="s">
        <v>32</v>
      </c>
      <c r="B1892" s="8" t="s">
        <v>61</v>
      </c>
      <c r="C1892" s="8" t="s">
        <v>331</v>
      </c>
      <c r="D1892" s="8" t="s">
        <v>332</v>
      </c>
      <c r="E1892" s="8" t="s">
        <v>64</v>
      </c>
      <c r="F1892" s="8" t="s">
        <v>65</v>
      </c>
      <c r="G1892" s="8" t="s">
        <v>7</v>
      </c>
      <c r="H1892" s="8" t="s">
        <v>38</v>
      </c>
      <c r="I1892" s="9">
        <v>36.942335999999997</v>
      </c>
      <c r="J1892">
        <v>28.198656</v>
      </c>
      <c r="K1892">
        <v>11.741759999999999</v>
      </c>
      <c r="L1892">
        <v>11.542810642797001</v>
      </c>
    </row>
    <row r="1893" spans="1:12" x14ac:dyDescent="0.2">
      <c r="A1893" s="8" t="s">
        <v>32</v>
      </c>
      <c r="B1893" s="8" t="s">
        <v>61</v>
      </c>
      <c r="C1893" s="8" t="s">
        <v>331</v>
      </c>
      <c r="D1893" s="8" t="s">
        <v>332</v>
      </c>
      <c r="E1893" s="8" t="s">
        <v>39</v>
      </c>
      <c r="F1893" s="8" t="s">
        <v>40</v>
      </c>
      <c r="G1893" s="8" t="s">
        <v>7</v>
      </c>
      <c r="H1893" s="8" t="s">
        <v>38</v>
      </c>
      <c r="I1893" s="9">
        <v>764.82758000000001</v>
      </c>
      <c r="J1893">
        <v>1183.076235</v>
      </c>
      <c r="K1893">
        <v>852.57923300000004</v>
      </c>
      <c r="L1893">
        <v>906.72575572838002</v>
      </c>
    </row>
    <row r="1894" spans="1:12" x14ac:dyDescent="0.2">
      <c r="A1894" s="8" t="s">
        <v>32</v>
      </c>
      <c r="B1894" s="8" t="s">
        <v>61</v>
      </c>
      <c r="C1894" s="8" t="s">
        <v>331</v>
      </c>
      <c r="D1894" s="8" t="s">
        <v>332</v>
      </c>
      <c r="E1894" s="8" t="s">
        <v>41</v>
      </c>
      <c r="F1894" s="8" t="s">
        <v>42</v>
      </c>
      <c r="G1894" s="8" t="s">
        <v>7</v>
      </c>
      <c r="H1894" s="8" t="s">
        <v>38</v>
      </c>
      <c r="I1894" s="9">
        <v>13.452724999999999</v>
      </c>
      <c r="J1894">
        <v>16.251380000000001</v>
      </c>
      <c r="K1894">
        <v>6.8465949999999998</v>
      </c>
      <c r="L1894">
        <v>9.1181388624407003</v>
      </c>
    </row>
    <row r="1895" spans="1:12" x14ac:dyDescent="0.2">
      <c r="A1895" s="8" t="s">
        <v>32</v>
      </c>
      <c r="B1895" s="8" t="s">
        <v>61</v>
      </c>
      <c r="C1895" s="8" t="s">
        <v>331</v>
      </c>
      <c r="D1895" s="8" t="s">
        <v>332</v>
      </c>
      <c r="E1895" s="8" t="s">
        <v>43</v>
      </c>
      <c r="F1895" s="8" t="s">
        <v>44</v>
      </c>
      <c r="G1895" s="8" t="s">
        <v>7</v>
      </c>
      <c r="H1895" s="8" t="s">
        <v>38</v>
      </c>
      <c r="I1895" s="9">
        <v>8572.5712999999996</v>
      </c>
      <c r="J1895">
        <v>9822.8264349999008</v>
      </c>
      <c r="K1895">
        <v>8636.1527399999995</v>
      </c>
      <c r="L1895">
        <v>9636.5447785995002</v>
      </c>
    </row>
    <row r="1896" spans="1:12" x14ac:dyDescent="0.2">
      <c r="A1896" s="8" t="s">
        <v>32</v>
      </c>
      <c r="B1896" s="8" t="s">
        <v>61</v>
      </c>
      <c r="C1896" s="8" t="s">
        <v>331</v>
      </c>
      <c r="D1896" s="8" t="s">
        <v>332</v>
      </c>
      <c r="E1896" s="8" t="s">
        <v>66</v>
      </c>
      <c r="F1896" s="8" t="s">
        <v>67</v>
      </c>
      <c r="G1896" s="8" t="s">
        <v>7</v>
      </c>
      <c r="H1896" s="8" t="s">
        <v>38</v>
      </c>
      <c r="I1896" s="9">
        <v>84.063485999999997</v>
      </c>
      <c r="J1896">
        <v>62.977589999999999</v>
      </c>
      <c r="K1896">
        <v>56.354531999999999</v>
      </c>
      <c r="L1896">
        <v>62.882511164920999</v>
      </c>
    </row>
    <row r="1897" spans="1:12" x14ac:dyDescent="0.2">
      <c r="A1897" s="8" t="s">
        <v>32</v>
      </c>
      <c r="B1897" s="8" t="s">
        <v>61</v>
      </c>
      <c r="C1897" s="8" t="s">
        <v>331</v>
      </c>
      <c r="D1897" s="8" t="s">
        <v>332</v>
      </c>
      <c r="E1897" s="8" t="s">
        <v>45</v>
      </c>
      <c r="F1897" s="8" t="s">
        <v>46</v>
      </c>
      <c r="G1897" s="8" t="s">
        <v>7</v>
      </c>
      <c r="H1897" s="8" t="s">
        <v>38</v>
      </c>
      <c r="I1897" s="9">
        <v>217.26567</v>
      </c>
      <c r="J1897">
        <v>224.89731</v>
      </c>
      <c r="K1897">
        <v>88.484453999999999</v>
      </c>
      <c r="L1897">
        <v>85.402456903873997</v>
      </c>
    </row>
    <row r="1898" spans="1:12" x14ac:dyDescent="0.2">
      <c r="A1898" s="8" t="s">
        <v>32</v>
      </c>
      <c r="B1898" s="8" t="s">
        <v>61</v>
      </c>
      <c r="C1898" s="8" t="s">
        <v>331</v>
      </c>
      <c r="D1898" s="8" t="s">
        <v>332</v>
      </c>
      <c r="E1898" s="8" t="s">
        <v>49</v>
      </c>
      <c r="F1898" s="8" t="s">
        <v>50</v>
      </c>
      <c r="G1898" s="8" t="s">
        <v>7</v>
      </c>
      <c r="H1898" s="8" t="s">
        <v>38</v>
      </c>
      <c r="I1898" s="9">
        <v>1156.4680000000001</v>
      </c>
      <c r="J1898">
        <v>1104.934004</v>
      </c>
      <c r="K1898">
        <v>965.81112399999995</v>
      </c>
      <c r="L1898">
        <v>1077.6884596990001</v>
      </c>
    </row>
    <row r="1899" spans="1:12" x14ac:dyDescent="0.2">
      <c r="A1899" s="8" t="s">
        <v>32</v>
      </c>
      <c r="B1899" s="8" t="s">
        <v>61</v>
      </c>
      <c r="C1899" s="8" t="s">
        <v>331</v>
      </c>
      <c r="D1899" s="8" t="s">
        <v>332</v>
      </c>
      <c r="E1899" s="8" t="s">
        <v>51</v>
      </c>
      <c r="F1899" s="8" t="s">
        <v>52</v>
      </c>
      <c r="G1899" s="8" t="s">
        <v>7</v>
      </c>
      <c r="H1899" s="8" t="s">
        <v>38</v>
      </c>
      <c r="I1899" s="9">
        <v>547.48110999999994</v>
      </c>
      <c r="J1899">
        <v>322.67929099999998</v>
      </c>
      <c r="K1899">
        <v>85.682511000000005</v>
      </c>
      <c r="L1899">
        <v>95.607775690441002</v>
      </c>
    </row>
    <row r="1900" spans="1:12" x14ac:dyDescent="0.2">
      <c r="A1900" s="8" t="s">
        <v>32</v>
      </c>
      <c r="B1900" s="8" t="s">
        <v>61</v>
      </c>
      <c r="C1900" s="8" t="s">
        <v>331</v>
      </c>
      <c r="D1900" s="8" t="s">
        <v>332</v>
      </c>
      <c r="E1900" s="8" t="s">
        <v>53</v>
      </c>
      <c r="F1900" s="8" t="s">
        <v>54</v>
      </c>
      <c r="G1900" s="8" t="s">
        <v>7</v>
      </c>
      <c r="H1900" s="8" t="s">
        <v>38</v>
      </c>
      <c r="I1900" s="9">
        <v>1.2283999999999999E-3</v>
      </c>
      <c r="J1900">
        <v>8.4417618000000002E-4</v>
      </c>
      <c r="K1900">
        <v>3.8145418000000002E-4</v>
      </c>
      <c r="L1900">
        <v>3.0330041874968998E-4</v>
      </c>
    </row>
    <row r="1901" spans="1:12" x14ac:dyDescent="0.2">
      <c r="A1901" s="8" t="s">
        <v>32</v>
      </c>
      <c r="B1901" s="8" t="s">
        <v>61</v>
      </c>
      <c r="C1901" s="8" t="s">
        <v>331</v>
      </c>
      <c r="D1901" s="8" t="s">
        <v>332</v>
      </c>
      <c r="E1901" s="8" t="s">
        <v>70</v>
      </c>
      <c r="F1901" s="8" t="s">
        <v>71</v>
      </c>
      <c r="G1901" s="8" t="s">
        <v>7</v>
      </c>
      <c r="H1901" s="8" t="s">
        <v>38</v>
      </c>
      <c r="I1901" s="9">
        <v>1389.0302999999999</v>
      </c>
      <c r="J1901">
        <v>1550.9721639439999</v>
      </c>
      <c r="K1901">
        <v>2085.838815568</v>
      </c>
      <c r="L1901">
        <v>2083.4857023042</v>
      </c>
    </row>
    <row r="1902" spans="1:12" x14ac:dyDescent="0.2">
      <c r="A1902" s="8" t="s">
        <v>32</v>
      </c>
      <c r="B1902" s="8" t="s">
        <v>61</v>
      </c>
      <c r="C1902" s="8" t="s">
        <v>331</v>
      </c>
      <c r="D1902" s="8" t="s">
        <v>332</v>
      </c>
      <c r="E1902" s="8" t="s">
        <v>55</v>
      </c>
      <c r="F1902" s="8" t="s">
        <v>56</v>
      </c>
      <c r="G1902" s="8" t="s">
        <v>7</v>
      </c>
      <c r="H1902" s="8" t="s">
        <v>38</v>
      </c>
      <c r="I1902" s="9">
        <v>1.1398957999999999</v>
      </c>
      <c r="J1902">
        <v>1.2767128279918001</v>
      </c>
      <c r="K1902">
        <v>1.2767128279918001</v>
      </c>
      <c r="L1902">
        <v>1.2767128279918001</v>
      </c>
    </row>
    <row r="1903" spans="1:12" x14ac:dyDescent="0.2">
      <c r="A1903" s="8" t="s">
        <v>32</v>
      </c>
      <c r="B1903" s="8" t="s">
        <v>61</v>
      </c>
      <c r="C1903" s="8" t="s">
        <v>331</v>
      </c>
      <c r="D1903" s="8" t="s">
        <v>332</v>
      </c>
      <c r="E1903" s="8" t="s">
        <v>57</v>
      </c>
      <c r="F1903" s="8" t="s">
        <v>58</v>
      </c>
      <c r="G1903" s="8" t="s">
        <v>7</v>
      </c>
      <c r="H1903" s="8" t="s">
        <v>38</v>
      </c>
      <c r="I1903" s="9"/>
    </row>
    <row r="1904" spans="1:12" x14ac:dyDescent="0.2">
      <c r="A1904" s="8" t="s">
        <v>32</v>
      </c>
      <c r="B1904" s="8" t="s">
        <v>61</v>
      </c>
      <c r="C1904" s="8" t="s">
        <v>331</v>
      </c>
      <c r="D1904" s="8" t="s">
        <v>332</v>
      </c>
      <c r="E1904" s="8" t="s">
        <v>72</v>
      </c>
      <c r="F1904" s="8" t="s">
        <v>73</v>
      </c>
      <c r="G1904" s="8" t="s">
        <v>7</v>
      </c>
      <c r="H1904" s="8" t="s">
        <v>38</v>
      </c>
      <c r="I1904" s="9"/>
    </row>
    <row r="1905" spans="1:12" x14ac:dyDescent="0.2">
      <c r="A1905" s="8" t="s">
        <v>32</v>
      </c>
      <c r="B1905" s="8" t="s">
        <v>61</v>
      </c>
      <c r="C1905" s="8" t="s">
        <v>331</v>
      </c>
      <c r="D1905" s="8" t="s">
        <v>332</v>
      </c>
      <c r="E1905" s="8" t="s">
        <v>74</v>
      </c>
      <c r="F1905" s="8" t="s">
        <v>75</v>
      </c>
      <c r="G1905" s="8" t="s">
        <v>7</v>
      </c>
      <c r="H1905" s="8" t="s">
        <v>38</v>
      </c>
      <c r="I1905" s="9">
        <v>3.8</v>
      </c>
      <c r="J1905">
        <v>3.8519999999999999</v>
      </c>
      <c r="K1905">
        <v>2.76</v>
      </c>
      <c r="L1905">
        <v>2.6040000000000001</v>
      </c>
    </row>
    <row r="1906" spans="1:12" x14ac:dyDescent="0.2">
      <c r="A1906" s="8" t="s">
        <v>32</v>
      </c>
      <c r="B1906" s="8" t="s">
        <v>61</v>
      </c>
      <c r="C1906" s="8" t="s">
        <v>331</v>
      </c>
      <c r="D1906" s="8" t="s">
        <v>332</v>
      </c>
      <c r="E1906" s="8" t="s">
        <v>59</v>
      </c>
      <c r="F1906" s="8" t="s">
        <v>60</v>
      </c>
      <c r="G1906" s="8" t="s">
        <v>7</v>
      </c>
      <c r="H1906" s="8" t="s">
        <v>38</v>
      </c>
      <c r="I1906" s="9">
        <v>36.388966000000003</v>
      </c>
      <c r="J1906">
        <v>36.697445960751999</v>
      </c>
      <c r="K1906">
        <v>36.082969200958999</v>
      </c>
      <c r="L1906">
        <v>36.380275014478997</v>
      </c>
    </row>
    <row r="1907" spans="1:12" x14ac:dyDescent="0.2">
      <c r="A1907" s="8" t="s">
        <v>32</v>
      </c>
      <c r="B1907" s="8" t="s">
        <v>61</v>
      </c>
      <c r="C1907" s="8" t="s">
        <v>331</v>
      </c>
      <c r="D1907" s="8" t="s">
        <v>332</v>
      </c>
      <c r="E1907" s="8" t="s">
        <v>76</v>
      </c>
      <c r="F1907" s="8" t="s">
        <v>77</v>
      </c>
      <c r="G1907" s="8" t="s">
        <v>7</v>
      </c>
      <c r="H1907" s="8" t="s">
        <v>38</v>
      </c>
      <c r="I1907" s="9">
        <v>120.05714</v>
      </c>
      <c r="J1907">
        <v>53.847619063128001</v>
      </c>
      <c r="K1907">
        <v>109.37142860423999</v>
      </c>
      <c r="L1907">
        <v>112.07428574802999</v>
      </c>
    </row>
    <row r="1908" spans="1:12" x14ac:dyDescent="0.2">
      <c r="A1908" s="8" t="s">
        <v>32</v>
      </c>
      <c r="B1908" s="8" t="s">
        <v>61</v>
      </c>
      <c r="C1908" s="8" t="s">
        <v>331</v>
      </c>
      <c r="D1908" s="8" t="s">
        <v>332</v>
      </c>
      <c r="E1908" s="8" t="s">
        <v>78</v>
      </c>
      <c r="F1908" s="8" t="s">
        <v>79</v>
      </c>
      <c r="G1908" s="8" t="s">
        <v>7</v>
      </c>
      <c r="H1908" s="8" t="s">
        <v>38</v>
      </c>
      <c r="I1908" s="9">
        <v>234.14281</v>
      </c>
      <c r="J1908">
        <v>129.17140508571001</v>
      </c>
      <c r="K1908">
        <v>206.7999624</v>
      </c>
      <c r="L1908">
        <v>216.10281785142999</v>
      </c>
    </row>
    <row r="1909" spans="1:12" x14ac:dyDescent="0.2">
      <c r="A1909" s="8" t="s">
        <v>32</v>
      </c>
      <c r="B1909" s="8" t="s">
        <v>80</v>
      </c>
      <c r="C1909" s="8" t="s">
        <v>333</v>
      </c>
      <c r="D1909" s="8" t="s">
        <v>334</v>
      </c>
      <c r="E1909" s="8" t="s">
        <v>36</v>
      </c>
      <c r="F1909" s="8" t="s">
        <v>37</v>
      </c>
      <c r="G1909" s="8" t="s">
        <v>7</v>
      </c>
      <c r="H1909" s="8" t="s">
        <v>38</v>
      </c>
      <c r="I1909" s="9">
        <v>146.70894000000001</v>
      </c>
      <c r="J1909">
        <v>145.04011232707001</v>
      </c>
      <c r="K1909">
        <v>183.32599469234</v>
      </c>
      <c r="L1909">
        <v>185.21992459723</v>
      </c>
    </row>
    <row r="1910" spans="1:12" x14ac:dyDescent="0.2">
      <c r="A1910" s="8" t="s">
        <v>32</v>
      </c>
      <c r="B1910" s="8" t="s">
        <v>80</v>
      </c>
      <c r="C1910" s="8" t="s">
        <v>333</v>
      </c>
      <c r="D1910" s="8" t="s">
        <v>334</v>
      </c>
      <c r="E1910" s="8" t="s">
        <v>64</v>
      </c>
      <c r="F1910" s="8" t="s">
        <v>65</v>
      </c>
      <c r="G1910" s="8" t="s">
        <v>7</v>
      </c>
      <c r="H1910" s="8" t="s">
        <v>38</v>
      </c>
      <c r="I1910" s="9"/>
    </row>
    <row r="1911" spans="1:12" x14ac:dyDescent="0.2">
      <c r="A1911" s="8" t="s">
        <v>32</v>
      </c>
      <c r="B1911" s="8" t="s">
        <v>80</v>
      </c>
      <c r="C1911" s="8" t="s">
        <v>333</v>
      </c>
      <c r="D1911" s="8" t="s">
        <v>334</v>
      </c>
      <c r="E1911" s="8" t="s">
        <v>39</v>
      </c>
      <c r="F1911" s="8" t="s">
        <v>40</v>
      </c>
      <c r="G1911" s="8" t="s">
        <v>7</v>
      </c>
      <c r="H1911" s="8" t="s">
        <v>38</v>
      </c>
      <c r="I1911" s="9">
        <v>88.187859000000003</v>
      </c>
      <c r="J1911">
        <v>93.465419229042993</v>
      </c>
      <c r="K1911">
        <v>118.45105917715</v>
      </c>
      <c r="L1911">
        <v>119.67476999688</v>
      </c>
    </row>
    <row r="1912" spans="1:12" x14ac:dyDescent="0.2">
      <c r="A1912" s="8" t="s">
        <v>32</v>
      </c>
      <c r="B1912" s="8" t="s">
        <v>80</v>
      </c>
      <c r="C1912" s="8" t="s">
        <v>333</v>
      </c>
      <c r="D1912" s="8" t="s">
        <v>334</v>
      </c>
      <c r="E1912" s="8" t="s">
        <v>41</v>
      </c>
      <c r="F1912" s="8" t="s">
        <v>42</v>
      </c>
      <c r="G1912" s="8" t="s">
        <v>7</v>
      </c>
      <c r="H1912" s="8" t="s">
        <v>38</v>
      </c>
      <c r="I1912" s="9">
        <v>3.1224314999999998</v>
      </c>
      <c r="J1912">
        <v>3.6915584295203998</v>
      </c>
      <c r="K1912">
        <v>4.5550523347425997</v>
      </c>
      <c r="L1912">
        <v>5.1337465707287997</v>
      </c>
    </row>
    <row r="1913" spans="1:12" x14ac:dyDescent="0.2">
      <c r="A1913" s="8" t="s">
        <v>32</v>
      </c>
      <c r="B1913" s="8" t="s">
        <v>80</v>
      </c>
      <c r="C1913" s="8" t="s">
        <v>333</v>
      </c>
      <c r="D1913" s="8" t="s">
        <v>334</v>
      </c>
      <c r="E1913" s="8" t="s">
        <v>43</v>
      </c>
      <c r="F1913" s="8" t="s">
        <v>44</v>
      </c>
      <c r="G1913" s="8" t="s">
        <v>7</v>
      </c>
      <c r="H1913" s="8" t="s">
        <v>38</v>
      </c>
      <c r="I1913" s="9">
        <v>364.21445999999997</v>
      </c>
      <c r="J1913">
        <v>419.17557703906999</v>
      </c>
      <c r="K1913">
        <v>533.82613465764996</v>
      </c>
      <c r="L1913">
        <v>539.34106058039004</v>
      </c>
    </row>
    <row r="1914" spans="1:12" x14ac:dyDescent="0.2">
      <c r="A1914" s="8" t="s">
        <v>32</v>
      </c>
      <c r="B1914" s="8" t="s">
        <v>80</v>
      </c>
      <c r="C1914" s="8" t="s">
        <v>333</v>
      </c>
      <c r="D1914" s="8" t="s">
        <v>334</v>
      </c>
      <c r="E1914" s="8" t="s">
        <v>66</v>
      </c>
      <c r="F1914" s="8" t="s">
        <v>67</v>
      </c>
      <c r="G1914" s="8" t="s">
        <v>7</v>
      </c>
      <c r="H1914" s="8" t="s">
        <v>38</v>
      </c>
      <c r="I1914" s="9">
        <v>17.719798000000001</v>
      </c>
      <c r="J1914">
        <v>18.892767901515001</v>
      </c>
      <c r="K1914">
        <v>22.734209356832999</v>
      </c>
      <c r="L1914">
        <v>22.969075116254</v>
      </c>
    </row>
    <row r="1915" spans="1:12" x14ac:dyDescent="0.2">
      <c r="A1915" s="8" t="s">
        <v>32</v>
      </c>
      <c r="B1915" s="8" t="s">
        <v>80</v>
      </c>
      <c r="C1915" s="8" t="s">
        <v>333</v>
      </c>
      <c r="D1915" s="8" t="s">
        <v>334</v>
      </c>
      <c r="E1915" s="8" t="s">
        <v>45</v>
      </c>
      <c r="F1915" s="8" t="s">
        <v>46</v>
      </c>
      <c r="G1915" s="8" t="s">
        <v>7</v>
      </c>
      <c r="H1915" s="8" t="s">
        <v>38</v>
      </c>
      <c r="I1915" s="9">
        <v>3.8272217999999998</v>
      </c>
      <c r="J1915">
        <v>4.0941669719247002</v>
      </c>
      <c r="K1915">
        <v>5.0169864996323996</v>
      </c>
      <c r="L1915">
        <v>4.7000022592980004</v>
      </c>
    </row>
    <row r="1916" spans="1:12" x14ac:dyDescent="0.2">
      <c r="A1916" s="8" t="s">
        <v>32</v>
      </c>
      <c r="B1916" s="8" t="s">
        <v>80</v>
      </c>
      <c r="C1916" s="8" t="s">
        <v>333</v>
      </c>
      <c r="D1916" s="8" t="s">
        <v>334</v>
      </c>
      <c r="E1916" s="8" t="s">
        <v>47</v>
      </c>
      <c r="F1916" s="8" t="s">
        <v>48</v>
      </c>
      <c r="G1916" s="8" t="s">
        <v>7</v>
      </c>
      <c r="H1916" s="8" t="s">
        <v>38</v>
      </c>
      <c r="I1916" s="9">
        <v>4.3781762000000004</v>
      </c>
      <c r="J1916">
        <v>5.1875846047475003</v>
      </c>
      <c r="K1916">
        <v>6.7967147253549998</v>
      </c>
      <c r="L1916">
        <v>6.8669311793552996</v>
      </c>
    </row>
    <row r="1917" spans="1:12" x14ac:dyDescent="0.2">
      <c r="A1917" s="8" t="s">
        <v>32</v>
      </c>
      <c r="B1917" s="8" t="s">
        <v>80</v>
      </c>
      <c r="C1917" s="8" t="s">
        <v>333</v>
      </c>
      <c r="D1917" s="8" t="s">
        <v>334</v>
      </c>
      <c r="E1917" s="8" t="s">
        <v>49</v>
      </c>
      <c r="F1917" s="8" t="s">
        <v>50</v>
      </c>
      <c r="G1917" s="8" t="s">
        <v>7</v>
      </c>
      <c r="H1917" s="8" t="s">
        <v>38</v>
      </c>
      <c r="I1917" s="9">
        <v>39.346677</v>
      </c>
      <c r="J1917">
        <v>43.320176838732003</v>
      </c>
      <c r="K1917">
        <v>58.391226149501001</v>
      </c>
      <c r="L1917">
        <v>58.994462420350999</v>
      </c>
    </row>
    <row r="1918" spans="1:12" x14ac:dyDescent="0.2">
      <c r="A1918" s="8" t="s">
        <v>32</v>
      </c>
      <c r="B1918" s="8" t="s">
        <v>80</v>
      </c>
      <c r="C1918" s="8" t="s">
        <v>333</v>
      </c>
      <c r="D1918" s="8" t="s">
        <v>334</v>
      </c>
      <c r="E1918" s="8" t="s">
        <v>51</v>
      </c>
      <c r="F1918" s="8" t="s">
        <v>52</v>
      </c>
      <c r="G1918" s="8" t="s">
        <v>7</v>
      </c>
      <c r="H1918" s="8" t="s">
        <v>38</v>
      </c>
      <c r="I1918" s="9">
        <v>30.317957</v>
      </c>
      <c r="J1918">
        <v>26.044782210857999</v>
      </c>
      <c r="K1918">
        <v>42.195515594724</v>
      </c>
      <c r="L1918">
        <v>42.631434946866001</v>
      </c>
    </row>
    <row r="1919" spans="1:12" x14ac:dyDescent="0.2">
      <c r="A1919" s="8" t="s">
        <v>32</v>
      </c>
      <c r="B1919" s="8" t="s">
        <v>80</v>
      </c>
      <c r="C1919" s="8" t="s">
        <v>333</v>
      </c>
      <c r="D1919" s="8" t="s">
        <v>334</v>
      </c>
      <c r="E1919" s="8" t="s">
        <v>68</v>
      </c>
      <c r="F1919" s="8" t="s">
        <v>69</v>
      </c>
      <c r="G1919" s="8" t="s">
        <v>7</v>
      </c>
      <c r="H1919" s="8" t="s">
        <v>38</v>
      </c>
      <c r="I1919" s="9"/>
    </row>
    <row r="1920" spans="1:12" x14ac:dyDescent="0.2">
      <c r="A1920" s="8" t="s">
        <v>32</v>
      </c>
      <c r="B1920" s="8" t="s">
        <v>80</v>
      </c>
      <c r="C1920" s="8" t="s">
        <v>333</v>
      </c>
      <c r="D1920" s="8" t="s">
        <v>334</v>
      </c>
      <c r="E1920" s="8" t="s">
        <v>53</v>
      </c>
      <c r="F1920" s="8" t="s">
        <v>54</v>
      </c>
      <c r="G1920" s="8" t="s">
        <v>7</v>
      </c>
      <c r="H1920" s="8" t="s">
        <v>38</v>
      </c>
      <c r="I1920" s="9"/>
    </row>
    <row r="1921" spans="1:12" x14ac:dyDescent="0.2">
      <c r="A1921" s="8" t="s">
        <v>32</v>
      </c>
      <c r="B1921" s="8" t="s">
        <v>80</v>
      </c>
      <c r="C1921" s="8" t="s">
        <v>333</v>
      </c>
      <c r="D1921" s="8" t="s">
        <v>334</v>
      </c>
      <c r="E1921" s="8" t="s">
        <v>55</v>
      </c>
      <c r="F1921" s="8" t="s">
        <v>56</v>
      </c>
      <c r="G1921" s="8" t="s">
        <v>7</v>
      </c>
      <c r="H1921" s="8" t="s">
        <v>38</v>
      </c>
      <c r="I1921" s="9">
        <v>0.11062760000000001</v>
      </c>
      <c r="J1921">
        <v>0.11172630851890999</v>
      </c>
      <c r="K1921">
        <v>0.11283593753909001</v>
      </c>
      <c r="L1921">
        <v>0.11392064828989</v>
      </c>
    </row>
    <row r="1922" spans="1:12" x14ac:dyDescent="0.2">
      <c r="A1922" s="8" t="s">
        <v>32</v>
      </c>
      <c r="B1922" s="8" t="s">
        <v>80</v>
      </c>
      <c r="C1922" s="8" t="s">
        <v>333</v>
      </c>
      <c r="D1922" s="8" t="s">
        <v>334</v>
      </c>
      <c r="E1922" s="8" t="s">
        <v>57</v>
      </c>
      <c r="F1922" s="8" t="s">
        <v>58</v>
      </c>
      <c r="G1922" s="8" t="s">
        <v>7</v>
      </c>
      <c r="H1922" s="8" t="s">
        <v>38</v>
      </c>
      <c r="I1922" s="9">
        <v>2.2558999999999999E-3</v>
      </c>
      <c r="J1922">
        <v>2.382433938333E-3</v>
      </c>
      <c r="K1922">
        <v>2.5161131536798999E-3</v>
      </c>
      <c r="L1922">
        <v>3.0024037844159001E-3</v>
      </c>
    </row>
    <row r="1923" spans="1:12" x14ac:dyDescent="0.2">
      <c r="A1923" s="8" t="s">
        <v>32</v>
      </c>
      <c r="B1923" s="8" t="s">
        <v>80</v>
      </c>
      <c r="C1923" s="8" t="s">
        <v>333</v>
      </c>
      <c r="D1923" s="8" t="s">
        <v>334</v>
      </c>
      <c r="E1923" s="8" t="s">
        <v>59</v>
      </c>
      <c r="F1923" s="8" t="s">
        <v>60</v>
      </c>
      <c r="G1923" s="8" t="s">
        <v>7</v>
      </c>
      <c r="H1923" s="8" t="s">
        <v>38</v>
      </c>
      <c r="I1923" s="9">
        <v>5.277183</v>
      </c>
      <c r="J1923">
        <v>5.3360159161759002</v>
      </c>
      <c r="K1923">
        <v>5.6924147999776</v>
      </c>
      <c r="L1923">
        <v>5.8269315027303996</v>
      </c>
    </row>
    <row r="1924" spans="1:12" x14ac:dyDescent="0.2">
      <c r="A1924" s="8" t="s">
        <v>110</v>
      </c>
      <c r="B1924" s="8" t="s">
        <v>89</v>
      </c>
      <c r="C1924" s="8" t="s">
        <v>335</v>
      </c>
      <c r="D1924" s="8" t="s">
        <v>336</v>
      </c>
      <c r="E1924" s="8" t="s">
        <v>36</v>
      </c>
      <c r="F1924" s="8" t="s">
        <v>37</v>
      </c>
      <c r="G1924" s="8" t="s">
        <v>7</v>
      </c>
      <c r="H1924" s="8" t="s">
        <v>38</v>
      </c>
      <c r="I1924" s="9">
        <v>1291.1655000000001</v>
      </c>
      <c r="J1924">
        <v>1421.438056</v>
      </c>
      <c r="K1924">
        <v>1132.4749939999999</v>
      </c>
      <c r="L1924">
        <v>986.88140206761</v>
      </c>
    </row>
    <row r="1925" spans="1:12" x14ac:dyDescent="0.2">
      <c r="A1925" s="8" t="s">
        <v>110</v>
      </c>
      <c r="B1925" s="8" t="s">
        <v>89</v>
      </c>
      <c r="C1925" s="8" t="s">
        <v>335</v>
      </c>
      <c r="D1925" s="8" t="s">
        <v>336</v>
      </c>
      <c r="E1925" s="8" t="s">
        <v>64</v>
      </c>
      <c r="F1925" s="8" t="s">
        <v>65</v>
      </c>
      <c r="G1925" s="8" t="s">
        <v>7</v>
      </c>
      <c r="H1925" s="8" t="s">
        <v>38</v>
      </c>
      <c r="I1925" s="9">
        <v>1350.8154</v>
      </c>
      <c r="J1925">
        <v>1328.141652</v>
      </c>
      <c r="K1925">
        <v>1339.0114659999999</v>
      </c>
      <c r="L1925">
        <v>1469.4846882300001</v>
      </c>
    </row>
    <row r="1926" spans="1:12" x14ac:dyDescent="0.2">
      <c r="A1926" s="8" t="s">
        <v>110</v>
      </c>
      <c r="B1926" s="8" t="s">
        <v>89</v>
      </c>
      <c r="C1926" s="8" t="s">
        <v>335</v>
      </c>
      <c r="D1926" s="8" t="s">
        <v>336</v>
      </c>
      <c r="E1926" s="8" t="s">
        <v>39</v>
      </c>
      <c r="F1926" s="8" t="s">
        <v>40</v>
      </c>
      <c r="G1926" s="8" t="s">
        <v>7</v>
      </c>
      <c r="H1926" s="8" t="s">
        <v>38</v>
      </c>
      <c r="I1926" s="9">
        <v>1166.9795999999999</v>
      </c>
      <c r="J1926">
        <v>1257.654348</v>
      </c>
      <c r="K1926">
        <v>1203.275564</v>
      </c>
      <c r="L1926">
        <v>1019.0675148265</v>
      </c>
    </row>
    <row r="1927" spans="1:12" x14ac:dyDescent="0.2">
      <c r="A1927" s="8" t="s">
        <v>110</v>
      </c>
      <c r="B1927" s="8" t="s">
        <v>89</v>
      </c>
      <c r="C1927" s="8" t="s">
        <v>335</v>
      </c>
      <c r="D1927" s="8" t="s">
        <v>336</v>
      </c>
      <c r="E1927" s="8" t="s">
        <v>41</v>
      </c>
      <c r="F1927" s="8" t="s">
        <v>42</v>
      </c>
      <c r="G1927" s="8" t="s">
        <v>7</v>
      </c>
      <c r="H1927" s="8" t="s">
        <v>38</v>
      </c>
      <c r="I1927" s="9">
        <v>1.8469</v>
      </c>
      <c r="J1927">
        <v>2.15435</v>
      </c>
      <c r="K1927">
        <v>1.8469</v>
      </c>
      <c r="L1927">
        <v>2.2198660786058002</v>
      </c>
    </row>
    <row r="1928" spans="1:12" x14ac:dyDescent="0.2">
      <c r="A1928" s="8" t="s">
        <v>110</v>
      </c>
      <c r="B1928" s="8" t="s">
        <v>89</v>
      </c>
      <c r="C1928" s="8" t="s">
        <v>335</v>
      </c>
      <c r="D1928" s="8" t="s">
        <v>336</v>
      </c>
      <c r="E1928" s="8" t="s">
        <v>43</v>
      </c>
      <c r="F1928" s="8" t="s">
        <v>44</v>
      </c>
      <c r="G1928" s="8" t="s">
        <v>7</v>
      </c>
      <c r="H1928" s="8" t="s">
        <v>38</v>
      </c>
      <c r="I1928" s="9">
        <v>5870.1783999999998</v>
      </c>
      <c r="J1928">
        <v>5855.7586579999997</v>
      </c>
      <c r="K1928">
        <v>5819.5835180000004</v>
      </c>
      <c r="L1928">
        <v>5941.9010769571996</v>
      </c>
    </row>
    <row r="1929" spans="1:12" x14ac:dyDescent="0.2">
      <c r="A1929" s="8" t="s">
        <v>110</v>
      </c>
      <c r="B1929" s="8" t="s">
        <v>89</v>
      </c>
      <c r="C1929" s="8" t="s">
        <v>335</v>
      </c>
      <c r="D1929" s="8" t="s">
        <v>336</v>
      </c>
      <c r="E1929" s="8" t="s">
        <v>66</v>
      </c>
      <c r="F1929" s="8" t="s">
        <v>67</v>
      </c>
      <c r="G1929" s="8" t="s">
        <v>7</v>
      </c>
      <c r="H1929" s="8" t="s">
        <v>38</v>
      </c>
      <c r="I1929" s="9">
        <v>163.19932</v>
      </c>
      <c r="J1929">
        <v>153.729342</v>
      </c>
      <c r="K1929">
        <v>83.967156000000003</v>
      </c>
      <c r="L1929">
        <v>85.861148657149002</v>
      </c>
    </row>
    <row r="1930" spans="1:12" x14ac:dyDescent="0.2">
      <c r="A1930" s="8" t="s">
        <v>110</v>
      </c>
      <c r="B1930" s="8" t="s">
        <v>89</v>
      </c>
      <c r="C1930" s="8" t="s">
        <v>335</v>
      </c>
      <c r="D1930" s="8" t="s">
        <v>336</v>
      </c>
      <c r="E1930" s="8" t="s">
        <v>45</v>
      </c>
      <c r="F1930" s="8" t="s">
        <v>46</v>
      </c>
      <c r="G1930" s="8" t="s">
        <v>7</v>
      </c>
      <c r="H1930" s="8" t="s">
        <v>38</v>
      </c>
      <c r="I1930" s="9">
        <v>11.679641999999999</v>
      </c>
      <c r="J1930">
        <v>12.310974</v>
      </c>
      <c r="K1930">
        <v>9.7856459999999998</v>
      </c>
      <c r="L1930">
        <v>7.8916500000000003</v>
      </c>
    </row>
    <row r="1931" spans="1:12" x14ac:dyDescent="0.2">
      <c r="A1931" s="8" t="s">
        <v>110</v>
      </c>
      <c r="B1931" s="8" t="s">
        <v>89</v>
      </c>
      <c r="C1931" s="8" t="s">
        <v>335</v>
      </c>
      <c r="D1931" s="8" t="s">
        <v>336</v>
      </c>
      <c r="E1931" s="8" t="s">
        <v>47</v>
      </c>
      <c r="F1931" s="8" t="s">
        <v>48</v>
      </c>
      <c r="G1931" s="8" t="s">
        <v>7</v>
      </c>
      <c r="H1931" s="8" t="s">
        <v>38</v>
      </c>
      <c r="I1931" s="9">
        <v>63.29439</v>
      </c>
      <c r="J1931">
        <v>68.193162000000001</v>
      </c>
      <c r="K1931">
        <v>63.736902000000001</v>
      </c>
      <c r="L1931">
        <v>59.608781401156001</v>
      </c>
    </row>
    <row r="1932" spans="1:12" x14ac:dyDescent="0.2">
      <c r="A1932" s="8" t="s">
        <v>110</v>
      </c>
      <c r="B1932" s="8" t="s">
        <v>89</v>
      </c>
      <c r="C1932" s="8" t="s">
        <v>335</v>
      </c>
      <c r="D1932" s="8" t="s">
        <v>336</v>
      </c>
      <c r="E1932" s="8" t="s">
        <v>49</v>
      </c>
      <c r="F1932" s="8" t="s">
        <v>50</v>
      </c>
      <c r="G1932" s="8" t="s">
        <v>7</v>
      </c>
      <c r="H1932" s="8" t="s">
        <v>38</v>
      </c>
      <c r="I1932" s="9">
        <v>1190.6280999999999</v>
      </c>
      <c r="J1932">
        <v>1371.3500739999999</v>
      </c>
      <c r="K1932">
        <v>1351.4551819999999</v>
      </c>
      <c r="L1932">
        <v>1267.7056607067</v>
      </c>
    </row>
    <row r="1933" spans="1:12" x14ac:dyDescent="0.2">
      <c r="A1933" s="8" t="s">
        <v>110</v>
      </c>
      <c r="B1933" s="8" t="s">
        <v>89</v>
      </c>
      <c r="C1933" s="8" t="s">
        <v>335</v>
      </c>
      <c r="D1933" s="8" t="s">
        <v>336</v>
      </c>
      <c r="E1933" s="8" t="s">
        <v>51</v>
      </c>
      <c r="F1933" s="8" t="s">
        <v>52</v>
      </c>
      <c r="G1933" s="8" t="s">
        <v>7</v>
      </c>
      <c r="H1933" s="8" t="s">
        <v>38</v>
      </c>
      <c r="I1933" s="9">
        <v>27.363050000000001</v>
      </c>
      <c r="J1933">
        <v>26.748149999999999</v>
      </c>
      <c r="K1933">
        <v>29.5152</v>
      </c>
      <c r="L1933">
        <v>42.735271449266001</v>
      </c>
    </row>
    <row r="1934" spans="1:12" x14ac:dyDescent="0.2">
      <c r="A1934" s="8" t="s">
        <v>110</v>
      </c>
      <c r="B1934" s="8" t="s">
        <v>89</v>
      </c>
      <c r="C1934" s="8" t="s">
        <v>335</v>
      </c>
      <c r="D1934" s="8" t="s">
        <v>336</v>
      </c>
      <c r="E1934" s="8" t="s">
        <v>68</v>
      </c>
      <c r="F1934" s="8" t="s">
        <v>69</v>
      </c>
      <c r="G1934" s="8" t="s">
        <v>7</v>
      </c>
      <c r="H1934" s="8" t="s">
        <v>38</v>
      </c>
      <c r="I1934" s="9">
        <v>1.0846849999999999</v>
      </c>
      <c r="J1934">
        <v>1.1928000000000001</v>
      </c>
      <c r="K1934">
        <v>3.550125</v>
      </c>
      <c r="L1934">
        <v>2.2824263038816999</v>
      </c>
    </row>
    <row r="1935" spans="1:12" x14ac:dyDescent="0.2">
      <c r="A1935" s="8" t="s">
        <v>110</v>
      </c>
      <c r="B1935" s="8" t="s">
        <v>89</v>
      </c>
      <c r="C1935" s="8" t="s">
        <v>335</v>
      </c>
      <c r="D1935" s="8" t="s">
        <v>336</v>
      </c>
      <c r="E1935" s="8" t="s">
        <v>53</v>
      </c>
      <c r="F1935" s="8" t="s">
        <v>54</v>
      </c>
      <c r="G1935" s="8" t="s">
        <v>7</v>
      </c>
      <c r="H1935" s="8" t="s">
        <v>38</v>
      </c>
      <c r="I1935" s="9">
        <v>3.6600434000000002</v>
      </c>
      <c r="J1935">
        <v>4.0745397058649999</v>
      </c>
      <c r="K1935">
        <v>3.7151982560849999</v>
      </c>
      <c r="L1935">
        <v>2.8036151881963001</v>
      </c>
    </row>
    <row r="1936" spans="1:12" x14ac:dyDescent="0.2">
      <c r="A1936" s="8" t="s">
        <v>110</v>
      </c>
      <c r="B1936" s="8" t="s">
        <v>89</v>
      </c>
      <c r="C1936" s="8" t="s">
        <v>335</v>
      </c>
      <c r="D1936" s="8" t="s">
        <v>336</v>
      </c>
      <c r="E1936" s="8" t="s">
        <v>70</v>
      </c>
      <c r="F1936" s="8" t="s">
        <v>71</v>
      </c>
      <c r="G1936" s="8" t="s">
        <v>7</v>
      </c>
      <c r="H1936" s="8" t="s">
        <v>38</v>
      </c>
      <c r="I1936" s="9">
        <v>540.06732</v>
      </c>
      <c r="J1936">
        <v>613.26266673614998</v>
      </c>
      <c r="K1936">
        <v>662.63167018831996</v>
      </c>
      <c r="L1936">
        <v>661.8841304645</v>
      </c>
    </row>
    <row r="1937" spans="1:12" x14ac:dyDescent="0.2">
      <c r="A1937" s="8" t="s">
        <v>110</v>
      </c>
      <c r="B1937" s="8" t="s">
        <v>89</v>
      </c>
      <c r="C1937" s="8" t="s">
        <v>335</v>
      </c>
      <c r="D1937" s="8" t="s">
        <v>336</v>
      </c>
      <c r="E1937" s="8" t="s">
        <v>83</v>
      </c>
      <c r="F1937" s="8" t="s">
        <v>84</v>
      </c>
      <c r="G1937" s="8" t="s">
        <v>7</v>
      </c>
      <c r="H1937" s="8" t="s">
        <v>38</v>
      </c>
      <c r="I1937" s="9">
        <v>37.5</v>
      </c>
      <c r="J1937">
        <v>37.5</v>
      </c>
      <c r="K1937">
        <v>37.5</v>
      </c>
      <c r="L1937">
        <v>37.5</v>
      </c>
    </row>
    <row r="1938" spans="1:12" x14ac:dyDescent="0.2">
      <c r="A1938" s="8" t="s">
        <v>110</v>
      </c>
      <c r="B1938" s="8" t="s">
        <v>89</v>
      </c>
      <c r="C1938" s="8" t="s">
        <v>335</v>
      </c>
      <c r="D1938" s="8" t="s">
        <v>336</v>
      </c>
      <c r="E1938" s="8" t="s">
        <v>55</v>
      </c>
      <c r="F1938" s="8" t="s">
        <v>56</v>
      </c>
      <c r="G1938" s="8" t="s">
        <v>7</v>
      </c>
      <c r="H1938" s="8" t="s">
        <v>38</v>
      </c>
      <c r="I1938" s="9">
        <v>6.6741488999999996</v>
      </c>
      <c r="J1938">
        <v>7.4031824232923</v>
      </c>
      <c r="K1938">
        <v>7.4031824232923</v>
      </c>
      <c r="L1938">
        <v>7.4031824232923</v>
      </c>
    </row>
    <row r="1939" spans="1:12" x14ac:dyDescent="0.2">
      <c r="A1939" s="8" t="s">
        <v>110</v>
      </c>
      <c r="B1939" s="8" t="s">
        <v>89</v>
      </c>
      <c r="C1939" s="8" t="s">
        <v>335</v>
      </c>
      <c r="D1939" s="8" t="s">
        <v>336</v>
      </c>
      <c r="E1939" s="8" t="s">
        <v>57</v>
      </c>
      <c r="F1939" s="8" t="s">
        <v>58</v>
      </c>
      <c r="G1939" s="8" t="s">
        <v>7</v>
      </c>
      <c r="H1939" s="8" t="s">
        <v>38</v>
      </c>
      <c r="I1939" s="9">
        <v>44.117803000000002</v>
      </c>
      <c r="J1939">
        <v>48.936898228863001</v>
      </c>
      <c r="K1939">
        <v>48.936898228863001</v>
      </c>
      <c r="L1939">
        <v>48.936898228863001</v>
      </c>
    </row>
    <row r="1940" spans="1:12" x14ac:dyDescent="0.2">
      <c r="A1940" s="8" t="s">
        <v>110</v>
      </c>
      <c r="B1940" s="8" t="s">
        <v>89</v>
      </c>
      <c r="C1940" s="8" t="s">
        <v>335</v>
      </c>
      <c r="D1940" s="8" t="s">
        <v>336</v>
      </c>
      <c r="E1940" s="8" t="s">
        <v>72</v>
      </c>
      <c r="F1940" s="8" t="s">
        <v>73</v>
      </c>
      <c r="G1940" s="8" t="s">
        <v>7</v>
      </c>
      <c r="H1940" s="8" t="s">
        <v>38</v>
      </c>
      <c r="I1940" s="9">
        <v>1970.3474000000001</v>
      </c>
      <c r="J1940">
        <v>1669.0224464102</v>
      </c>
      <c r="K1940">
        <v>1049.2372328363001</v>
      </c>
      <c r="L1940">
        <v>1010.6224611032</v>
      </c>
    </row>
    <row r="1941" spans="1:12" x14ac:dyDescent="0.2">
      <c r="A1941" s="8" t="s">
        <v>110</v>
      </c>
      <c r="B1941" s="8" t="s">
        <v>89</v>
      </c>
      <c r="C1941" s="8" t="s">
        <v>335</v>
      </c>
      <c r="D1941" s="8" t="s">
        <v>336</v>
      </c>
      <c r="E1941" s="8" t="s">
        <v>59</v>
      </c>
      <c r="F1941" s="8" t="s">
        <v>60</v>
      </c>
      <c r="G1941" s="8" t="s">
        <v>7</v>
      </c>
      <c r="H1941" s="8" t="s">
        <v>38</v>
      </c>
      <c r="I1941" s="9">
        <v>37.665655000000001</v>
      </c>
      <c r="J1941">
        <v>39.956368166661001</v>
      </c>
      <c r="K1941">
        <v>33.084960953687002</v>
      </c>
      <c r="L1941">
        <v>33.960253964506997</v>
      </c>
    </row>
    <row r="1942" spans="1:12" x14ac:dyDescent="0.2">
      <c r="A1942" s="8" t="s">
        <v>110</v>
      </c>
      <c r="B1942" s="8" t="s">
        <v>89</v>
      </c>
      <c r="C1942" s="8" t="s">
        <v>335</v>
      </c>
      <c r="D1942" s="8" t="s">
        <v>336</v>
      </c>
      <c r="E1942" s="8" t="s">
        <v>76</v>
      </c>
      <c r="F1942" s="8" t="s">
        <v>77</v>
      </c>
      <c r="G1942" s="8" t="s">
        <v>7</v>
      </c>
      <c r="H1942" s="8" t="s">
        <v>38</v>
      </c>
      <c r="I1942" s="9">
        <v>447.33332999999999</v>
      </c>
      <c r="J1942">
        <v>384.05714293364002</v>
      </c>
      <c r="K1942">
        <v>268.81904767265002</v>
      </c>
      <c r="L1942">
        <v>268.81904767265002</v>
      </c>
    </row>
    <row r="1943" spans="1:12" x14ac:dyDescent="0.2">
      <c r="A1943" s="8" t="s">
        <v>110</v>
      </c>
      <c r="B1943" s="8" t="s">
        <v>89</v>
      </c>
      <c r="C1943" s="8" t="s">
        <v>335</v>
      </c>
      <c r="D1943" s="8" t="s">
        <v>336</v>
      </c>
      <c r="E1943" s="8" t="s">
        <v>78</v>
      </c>
      <c r="F1943" s="8" t="s">
        <v>79</v>
      </c>
      <c r="G1943" s="8" t="s">
        <v>7</v>
      </c>
      <c r="H1943" s="8" t="s">
        <v>38</v>
      </c>
      <c r="I1943" s="9">
        <v>26.714281</v>
      </c>
      <c r="J1943">
        <v>27.028566514285998</v>
      </c>
      <c r="K1943">
        <v>18.857139428570999</v>
      </c>
      <c r="L1943">
        <v>19.831424965714</v>
      </c>
    </row>
    <row r="1944" spans="1:12" x14ac:dyDescent="0.2">
      <c r="A1944" s="8" t="s">
        <v>110</v>
      </c>
      <c r="B1944" s="8" t="s">
        <v>89</v>
      </c>
      <c r="C1944" s="8" t="s">
        <v>335</v>
      </c>
      <c r="D1944" s="8" t="s">
        <v>336</v>
      </c>
      <c r="E1944" s="8" t="s">
        <v>92</v>
      </c>
      <c r="F1944" s="8" t="s">
        <v>93</v>
      </c>
      <c r="G1944" s="8" t="s">
        <v>7</v>
      </c>
      <c r="H1944" s="8" t="s">
        <v>38</v>
      </c>
      <c r="I1944" s="9">
        <v>1.8337045999999999</v>
      </c>
      <c r="J1944">
        <v>1.8926354491199999</v>
      </c>
      <c r="K1944">
        <v>1.88592666</v>
      </c>
      <c r="L1944">
        <v>2.0265553332240001</v>
      </c>
    </row>
    <row r="1945" spans="1:12" x14ac:dyDescent="0.2">
      <c r="A1945" s="8" t="s">
        <v>110</v>
      </c>
      <c r="B1945" s="8" t="s">
        <v>115</v>
      </c>
      <c r="C1945" s="8" t="s">
        <v>337</v>
      </c>
      <c r="D1945" s="8" t="s">
        <v>338</v>
      </c>
      <c r="E1945" s="8" t="s">
        <v>36</v>
      </c>
      <c r="F1945" s="8" t="s">
        <v>37</v>
      </c>
      <c r="G1945" s="8" t="s">
        <v>7</v>
      </c>
      <c r="H1945" s="8" t="s">
        <v>38</v>
      </c>
      <c r="I1945" s="9">
        <v>228.61442</v>
      </c>
      <c r="J1945">
        <v>236.88997599999999</v>
      </c>
      <c r="K1945">
        <v>198.472824</v>
      </c>
      <c r="L1945">
        <v>152.73129083928001</v>
      </c>
    </row>
    <row r="1946" spans="1:12" x14ac:dyDescent="0.2">
      <c r="A1946" s="8" t="s">
        <v>110</v>
      </c>
      <c r="B1946" s="8" t="s">
        <v>115</v>
      </c>
      <c r="C1946" s="8" t="s">
        <v>337</v>
      </c>
      <c r="D1946" s="8" t="s">
        <v>338</v>
      </c>
      <c r="E1946" s="8" t="s">
        <v>64</v>
      </c>
      <c r="F1946" s="8" t="s">
        <v>65</v>
      </c>
      <c r="G1946" s="8" t="s">
        <v>7</v>
      </c>
      <c r="H1946" s="8" t="s">
        <v>38</v>
      </c>
      <c r="I1946" s="9"/>
    </row>
    <row r="1947" spans="1:12" x14ac:dyDescent="0.2">
      <c r="A1947" s="8" t="s">
        <v>110</v>
      </c>
      <c r="B1947" s="8" t="s">
        <v>115</v>
      </c>
      <c r="C1947" s="8" t="s">
        <v>337</v>
      </c>
      <c r="D1947" s="8" t="s">
        <v>338</v>
      </c>
      <c r="E1947" s="8" t="s">
        <v>39</v>
      </c>
      <c r="F1947" s="8" t="s">
        <v>40</v>
      </c>
      <c r="G1947" s="8" t="s">
        <v>7</v>
      </c>
      <c r="H1947" s="8" t="s">
        <v>38</v>
      </c>
      <c r="I1947" s="9">
        <v>925.76850000000002</v>
      </c>
      <c r="J1947">
        <v>955.31413199999997</v>
      </c>
      <c r="K1947">
        <v>774.29118200000005</v>
      </c>
      <c r="L1947">
        <v>652.33217836351002</v>
      </c>
    </row>
    <row r="1948" spans="1:12" x14ac:dyDescent="0.2">
      <c r="A1948" s="8" t="s">
        <v>110</v>
      </c>
      <c r="B1948" s="8" t="s">
        <v>115</v>
      </c>
      <c r="C1948" s="8" t="s">
        <v>337</v>
      </c>
      <c r="D1948" s="8" t="s">
        <v>338</v>
      </c>
      <c r="E1948" s="8" t="s">
        <v>41</v>
      </c>
      <c r="F1948" s="8" t="s">
        <v>42</v>
      </c>
      <c r="G1948" s="8" t="s">
        <v>7</v>
      </c>
      <c r="H1948" s="8" t="s">
        <v>38</v>
      </c>
      <c r="I1948" s="9">
        <v>0.57330000000000003</v>
      </c>
      <c r="J1948">
        <v>0.72660000000000002</v>
      </c>
      <c r="K1948">
        <v>0.60340000000000005</v>
      </c>
      <c r="L1948">
        <v>0.51727995362319001</v>
      </c>
    </row>
    <row r="1949" spans="1:12" x14ac:dyDescent="0.2">
      <c r="A1949" s="8" t="s">
        <v>110</v>
      </c>
      <c r="B1949" s="8" t="s">
        <v>115</v>
      </c>
      <c r="C1949" s="8" t="s">
        <v>337</v>
      </c>
      <c r="D1949" s="8" t="s">
        <v>338</v>
      </c>
      <c r="E1949" s="8" t="s">
        <v>43</v>
      </c>
      <c r="F1949" s="8" t="s">
        <v>44</v>
      </c>
      <c r="G1949" s="8" t="s">
        <v>7</v>
      </c>
      <c r="H1949" s="8" t="s">
        <v>38</v>
      </c>
      <c r="I1949" s="9">
        <v>4656.3342000000002</v>
      </c>
      <c r="J1949">
        <v>4976.4920819998997</v>
      </c>
      <c r="K1949">
        <v>4315.7827939999997</v>
      </c>
      <c r="L1949">
        <v>4175.4179188362004</v>
      </c>
    </row>
    <row r="1950" spans="1:12" x14ac:dyDescent="0.2">
      <c r="A1950" s="8" t="s">
        <v>110</v>
      </c>
      <c r="B1950" s="8" t="s">
        <v>115</v>
      </c>
      <c r="C1950" s="8" t="s">
        <v>337</v>
      </c>
      <c r="D1950" s="8" t="s">
        <v>338</v>
      </c>
      <c r="E1950" s="8" t="s">
        <v>66</v>
      </c>
      <c r="F1950" s="8" t="s">
        <v>67</v>
      </c>
      <c r="G1950" s="8" t="s">
        <v>7</v>
      </c>
      <c r="H1950" s="8" t="s">
        <v>38</v>
      </c>
      <c r="I1950" s="9">
        <v>9.5425979999999999</v>
      </c>
      <c r="J1950">
        <v>10.009428</v>
      </c>
      <c r="K1950">
        <v>9.5011019999999995</v>
      </c>
      <c r="L1950">
        <v>9.8627448165687994</v>
      </c>
    </row>
    <row r="1951" spans="1:12" x14ac:dyDescent="0.2">
      <c r="A1951" s="8" t="s">
        <v>110</v>
      </c>
      <c r="B1951" s="8" t="s">
        <v>115</v>
      </c>
      <c r="C1951" s="8" t="s">
        <v>337</v>
      </c>
      <c r="D1951" s="8" t="s">
        <v>338</v>
      </c>
      <c r="E1951" s="8" t="s">
        <v>45</v>
      </c>
      <c r="F1951" s="8" t="s">
        <v>46</v>
      </c>
      <c r="G1951" s="8" t="s">
        <v>7</v>
      </c>
      <c r="H1951" s="8" t="s">
        <v>38</v>
      </c>
      <c r="I1951" s="9">
        <v>0.29343599999999997</v>
      </c>
      <c r="J1951">
        <v>0.25564500000000001</v>
      </c>
      <c r="K1951">
        <v>0.30899700000000002</v>
      </c>
      <c r="L1951">
        <v>0.36266801701006002</v>
      </c>
    </row>
    <row r="1952" spans="1:12" x14ac:dyDescent="0.2">
      <c r="A1952" s="8" t="s">
        <v>110</v>
      </c>
      <c r="B1952" s="8" t="s">
        <v>115</v>
      </c>
      <c r="C1952" s="8" t="s">
        <v>337</v>
      </c>
      <c r="D1952" s="8" t="s">
        <v>338</v>
      </c>
      <c r="E1952" s="8" t="s">
        <v>47</v>
      </c>
      <c r="F1952" s="8" t="s">
        <v>48</v>
      </c>
      <c r="G1952" s="8" t="s">
        <v>7</v>
      </c>
      <c r="H1952" s="8" t="s">
        <v>38</v>
      </c>
      <c r="I1952" s="9"/>
    </row>
    <row r="1953" spans="1:12" x14ac:dyDescent="0.2">
      <c r="A1953" s="8" t="s">
        <v>110</v>
      </c>
      <c r="B1953" s="8" t="s">
        <v>115</v>
      </c>
      <c r="C1953" s="8" t="s">
        <v>337</v>
      </c>
      <c r="D1953" s="8" t="s">
        <v>338</v>
      </c>
      <c r="E1953" s="8" t="s">
        <v>49</v>
      </c>
      <c r="F1953" s="8" t="s">
        <v>50</v>
      </c>
      <c r="G1953" s="8" t="s">
        <v>7</v>
      </c>
      <c r="H1953" s="8" t="s">
        <v>38</v>
      </c>
      <c r="I1953" s="9">
        <v>1644.1005</v>
      </c>
      <c r="J1953">
        <v>1675.4132059999999</v>
      </c>
      <c r="K1953">
        <v>1450.61266</v>
      </c>
      <c r="L1953">
        <v>1432.1850322611999</v>
      </c>
    </row>
    <row r="1954" spans="1:12" x14ac:dyDescent="0.2">
      <c r="A1954" s="8" t="s">
        <v>110</v>
      </c>
      <c r="B1954" s="8" t="s">
        <v>115</v>
      </c>
      <c r="C1954" s="8" t="s">
        <v>337</v>
      </c>
      <c r="D1954" s="8" t="s">
        <v>338</v>
      </c>
      <c r="E1954" s="8" t="s">
        <v>51</v>
      </c>
      <c r="F1954" s="8" t="s">
        <v>52</v>
      </c>
      <c r="G1954" s="8" t="s">
        <v>7</v>
      </c>
      <c r="H1954" s="8" t="s">
        <v>38</v>
      </c>
      <c r="I1954" s="9"/>
    </row>
    <row r="1955" spans="1:12" x14ac:dyDescent="0.2">
      <c r="A1955" s="8" t="s">
        <v>110</v>
      </c>
      <c r="B1955" s="8" t="s">
        <v>115</v>
      </c>
      <c r="C1955" s="8" t="s">
        <v>337</v>
      </c>
      <c r="D1955" s="8" t="s">
        <v>338</v>
      </c>
      <c r="E1955" s="8" t="s">
        <v>68</v>
      </c>
      <c r="F1955" s="8" t="s">
        <v>69</v>
      </c>
      <c r="G1955" s="8" t="s">
        <v>7</v>
      </c>
      <c r="H1955" s="8" t="s">
        <v>38</v>
      </c>
      <c r="I1955" s="9"/>
    </row>
    <row r="1956" spans="1:12" x14ac:dyDescent="0.2">
      <c r="A1956" s="8" t="s">
        <v>110</v>
      </c>
      <c r="B1956" s="8" t="s">
        <v>115</v>
      </c>
      <c r="C1956" s="8" t="s">
        <v>337</v>
      </c>
      <c r="D1956" s="8" t="s">
        <v>338</v>
      </c>
      <c r="E1956" s="8" t="s">
        <v>53</v>
      </c>
      <c r="F1956" s="8" t="s">
        <v>54</v>
      </c>
      <c r="G1956" s="8" t="s">
        <v>7</v>
      </c>
      <c r="H1956" s="8" t="s">
        <v>38</v>
      </c>
      <c r="I1956" s="9">
        <v>0</v>
      </c>
      <c r="J1956">
        <v>0</v>
      </c>
      <c r="K1956">
        <v>0</v>
      </c>
      <c r="L1956">
        <v>0</v>
      </c>
    </row>
    <row r="1957" spans="1:12" x14ac:dyDescent="0.2">
      <c r="A1957" s="8" t="s">
        <v>110</v>
      </c>
      <c r="B1957" s="8" t="s">
        <v>115</v>
      </c>
      <c r="C1957" s="8" t="s">
        <v>337</v>
      </c>
      <c r="D1957" s="8" t="s">
        <v>338</v>
      </c>
      <c r="E1957" s="8" t="s">
        <v>70</v>
      </c>
      <c r="F1957" s="8" t="s">
        <v>71</v>
      </c>
      <c r="G1957" s="8" t="s">
        <v>7</v>
      </c>
      <c r="H1957" s="8" t="s">
        <v>38</v>
      </c>
      <c r="I1957" s="9">
        <v>404.40215000000001</v>
      </c>
      <c r="J1957">
        <v>393.81188238737002</v>
      </c>
      <c r="K1957">
        <v>392.50353726316001</v>
      </c>
      <c r="L1957">
        <v>392.06073925176997</v>
      </c>
    </row>
    <row r="1958" spans="1:12" x14ac:dyDescent="0.2">
      <c r="A1958" s="8" t="s">
        <v>110</v>
      </c>
      <c r="B1958" s="8" t="s">
        <v>115</v>
      </c>
      <c r="C1958" s="8" t="s">
        <v>337</v>
      </c>
      <c r="D1958" s="8" t="s">
        <v>338</v>
      </c>
      <c r="E1958" s="8" t="s">
        <v>55</v>
      </c>
      <c r="F1958" s="8" t="s">
        <v>56</v>
      </c>
      <c r="G1958" s="8" t="s">
        <v>7</v>
      </c>
      <c r="H1958" s="8" t="s">
        <v>38</v>
      </c>
      <c r="I1958" s="9">
        <v>40.212200000000003</v>
      </c>
      <c r="J1958">
        <v>40.212200000000003</v>
      </c>
      <c r="K1958">
        <v>40.212200000000003</v>
      </c>
      <c r="L1958">
        <v>40.212200000000003</v>
      </c>
    </row>
    <row r="1959" spans="1:12" x14ac:dyDescent="0.2">
      <c r="A1959" s="8" t="s">
        <v>110</v>
      </c>
      <c r="B1959" s="8" t="s">
        <v>115</v>
      </c>
      <c r="C1959" s="8" t="s">
        <v>337</v>
      </c>
      <c r="D1959" s="8" t="s">
        <v>338</v>
      </c>
      <c r="E1959" s="8" t="s">
        <v>74</v>
      </c>
      <c r="F1959" s="8" t="s">
        <v>75</v>
      </c>
      <c r="G1959" s="8" t="s">
        <v>7</v>
      </c>
      <c r="H1959" s="8" t="s">
        <v>38</v>
      </c>
      <c r="I1959" s="9">
        <v>75.456119999999999</v>
      </c>
      <c r="J1959">
        <v>82.922719999999998</v>
      </c>
      <c r="K1959">
        <v>74.991680000000002</v>
      </c>
      <c r="L1959">
        <v>75.9816</v>
      </c>
    </row>
    <row r="1960" spans="1:12" x14ac:dyDescent="0.2">
      <c r="A1960" s="8" t="s">
        <v>110</v>
      </c>
      <c r="B1960" s="8" t="s">
        <v>115</v>
      </c>
      <c r="C1960" s="8" t="s">
        <v>337</v>
      </c>
      <c r="D1960" s="8" t="s">
        <v>338</v>
      </c>
      <c r="E1960" s="8" t="s">
        <v>59</v>
      </c>
      <c r="F1960" s="8" t="s">
        <v>60</v>
      </c>
      <c r="G1960" s="8" t="s">
        <v>7</v>
      </c>
      <c r="H1960" s="8" t="s">
        <v>38</v>
      </c>
      <c r="I1960" s="9">
        <v>7.5806975000000003</v>
      </c>
      <c r="J1960">
        <v>8.5864110222660006</v>
      </c>
      <c r="K1960">
        <v>8.4073002226592006</v>
      </c>
      <c r="L1960">
        <v>9.8952764524856001</v>
      </c>
    </row>
    <row r="1961" spans="1:12" x14ac:dyDescent="0.2">
      <c r="A1961" s="8" t="s">
        <v>110</v>
      </c>
      <c r="B1961" s="8" t="s">
        <v>89</v>
      </c>
      <c r="C1961" s="8" t="s">
        <v>339</v>
      </c>
      <c r="D1961" s="8" t="s">
        <v>340</v>
      </c>
      <c r="E1961" s="8" t="s">
        <v>36</v>
      </c>
      <c r="F1961" s="8" t="s">
        <v>37</v>
      </c>
      <c r="G1961" s="8" t="s">
        <v>7</v>
      </c>
      <c r="H1961" s="8" t="s">
        <v>38</v>
      </c>
      <c r="I1961" s="9">
        <v>1383.0245</v>
      </c>
      <c r="J1961">
        <v>1450.5602585199999</v>
      </c>
      <c r="K1961">
        <v>995.64645206999</v>
      </c>
      <c r="L1961">
        <v>997.71319975077995</v>
      </c>
    </row>
    <row r="1962" spans="1:12" x14ac:dyDescent="0.2">
      <c r="A1962" s="8" t="s">
        <v>110</v>
      </c>
      <c r="B1962" s="8" t="s">
        <v>89</v>
      </c>
      <c r="C1962" s="8" t="s">
        <v>339</v>
      </c>
      <c r="D1962" s="8" t="s">
        <v>340</v>
      </c>
      <c r="E1962" s="8" t="s">
        <v>64</v>
      </c>
      <c r="F1962" s="8" t="s">
        <v>65</v>
      </c>
      <c r="G1962" s="8" t="s">
        <v>7</v>
      </c>
      <c r="H1962" s="8" t="s">
        <v>38</v>
      </c>
      <c r="I1962" s="9"/>
    </row>
    <row r="1963" spans="1:12" x14ac:dyDescent="0.2">
      <c r="A1963" s="8" t="s">
        <v>110</v>
      </c>
      <c r="B1963" s="8" t="s">
        <v>89</v>
      </c>
      <c r="C1963" s="8" t="s">
        <v>339</v>
      </c>
      <c r="D1963" s="8" t="s">
        <v>340</v>
      </c>
      <c r="E1963" s="8" t="s">
        <v>39</v>
      </c>
      <c r="F1963" s="8" t="s">
        <v>40</v>
      </c>
      <c r="G1963" s="8" t="s">
        <v>7</v>
      </c>
      <c r="H1963" s="8" t="s">
        <v>38</v>
      </c>
      <c r="I1963" s="9">
        <v>682.59654</v>
      </c>
      <c r="J1963">
        <v>656.74157080999998</v>
      </c>
      <c r="K1963">
        <v>600.00360903000001</v>
      </c>
      <c r="L1963">
        <v>613.77758414941002</v>
      </c>
    </row>
    <row r="1964" spans="1:12" x14ac:dyDescent="0.2">
      <c r="A1964" s="8" t="s">
        <v>110</v>
      </c>
      <c r="B1964" s="8" t="s">
        <v>89</v>
      </c>
      <c r="C1964" s="8" t="s">
        <v>339</v>
      </c>
      <c r="D1964" s="8" t="s">
        <v>340</v>
      </c>
      <c r="E1964" s="8" t="s">
        <v>41</v>
      </c>
      <c r="F1964" s="8" t="s">
        <v>42</v>
      </c>
      <c r="G1964" s="8" t="s">
        <v>7</v>
      </c>
      <c r="H1964" s="8" t="s">
        <v>38</v>
      </c>
      <c r="I1964" s="9">
        <v>1.2305391999999999</v>
      </c>
      <c r="J1964">
        <v>1.6185893</v>
      </c>
      <c r="K1964">
        <v>4.4259255499999997</v>
      </c>
      <c r="L1964">
        <v>2.6603682901418</v>
      </c>
    </row>
    <row r="1965" spans="1:12" x14ac:dyDescent="0.2">
      <c r="A1965" s="8" t="s">
        <v>110</v>
      </c>
      <c r="B1965" s="8" t="s">
        <v>89</v>
      </c>
      <c r="C1965" s="8" t="s">
        <v>339</v>
      </c>
      <c r="D1965" s="8" t="s">
        <v>340</v>
      </c>
      <c r="E1965" s="8" t="s">
        <v>43</v>
      </c>
      <c r="F1965" s="8" t="s">
        <v>44</v>
      </c>
      <c r="G1965" s="8" t="s">
        <v>7</v>
      </c>
      <c r="H1965" s="8" t="s">
        <v>38</v>
      </c>
      <c r="I1965" s="9">
        <v>2942.8964999999998</v>
      </c>
      <c r="J1965">
        <v>3040.2921539600002</v>
      </c>
      <c r="K1965">
        <v>2973.76120051</v>
      </c>
      <c r="L1965">
        <v>2992.2957625181002</v>
      </c>
    </row>
    <row r="1966" spans="1:12" x14ac:dyDescent="0.2">
      <c r="A1966" s="8" t="s">
        <v>110</v>
      </c>
      <c r="B1966" s="8" t="s">
        <v>89</v>
      </c>
      <c r="C1966" s="8" t="s">
        <v>339</v>
      </c>
      <c r="D1966" s="8" t="s">
        <v>340</v>
      </c>
      <c r="E1966" s="8" t="s">
        <v>66</v>
      </c>
      <c r="F1966" s="8" t="s">
        <v>67</v>
      </c>
      <c r="G1966" s="8" t="s">
        <v>7</v>
      </c>
      <c r="H1966" s="8" t="s">
        <v>38</v>
      </c>
      <c r="I1966" s="9">
        <v>80.456890999999999</v>
      </c>
      <c r="J1966">
        <v>75.860964269999997</v>
      </c>
      <c r="K1966">
        <v>71.539296660000005</v>
      </c>
      <c r="L1966">
        <v>66.795046125626996</v>
      </c>
    </row>
    <row r="1967" spans="1:12" x14ac:dyDescent="0.2">
      <c r="A1967" s="8" t="s">
        <v>110</v>
      </c>
      <c r="B1967" s="8" t="s">
        <v>89</v>
      </c>
      <c r="C1967" s="8" t="s">
        <v>339</v>
      </c>
      <c r="D1967" s="8" t="s">
        <v>340</v>
      </c>
      <c r="E1967" s="8" t="s">
        <v>45</v>
      </c>
      <c r="F1967" s="8" t="s">
        <v>46</v>
      </c>
      <c r="G1967" s="8" t="s">
        <v>7</v>
      </c>
      <c r="H1967" s="8" t="s">
        <v>38</v>
      </c>
      <c r="I1967" s="9">
        <v>7.3400761000000001</v>
      </c>
      <c r="J1967">
        <v>7.9077009900000004</v>
      </c>
      <c r="K1967">
        <v>5.4679034099999999</v>
      </c>
      <c r="L1967">
        <v>3.1036403562729</v>
      </c>
    </row>
    <row r="1968" spans="1:12" x14ac:dyDescent="0.2">
      <c r="A1968" s="8" t="s">
        <v>110</v>
      </c>
      <c r="B1968" s="8" t="s">
        <v>89</v>
      </c>
      <c r="C1968" s="8" t="s">
        <v>339</v>
      </c>
      <c r="D1968" s="8" t="s">
        <v>340</v>
      </c>
      <c r="E1968" s="8" t="s">
        <v>47</v>
      </c>
      <c r="F1968" s="8" t="s">
        <v>48</v>
      </c>
      <c r="G1968" s="8" t="s">
        <v>7</v>
      </c>
      <c r="H1968" s="8" t="s">
        <v>38</v>
      </c>
      <c r="I1968" s="9"/>
    </row>
    <row r="1969" spans="1:12" x14ac:dyDescent="0.2">
      <c r="A1969" s="8" t="s">
        <v>110</v>
      </c>
      <c r="B1969" s="8" t="s">
        <v>89</v>
      </c>
      <c r="C1969" s="8" t="s">
        <v>339</v>
      </c>
      <c r="D1969" s="8" t="s">
        <v>340</v>
      </c>
      <c r="E1969" s="8" t="s">
        <v>49</v>
      </c>
      <c r="F1969" s="8" t="s">
        <v>50</v>
      </c>
      <c r="G1969" s="8" t="s">
        <v>7</v>
      </c>
      <c r="H1969" s="8" t="s">
        <v>38</v>
      </c>
      <c r="I1969" s="9">
        <v>1265.6568</v>
      </c>
      <c r="J1969">
        <v>1329.5584474299999</v>
      </c>
      <c r="K1969">
        <v>1305.4499063799999</v>
      </c>
      <c r="L1969">
        <v>1256.2885747152</v>
      </c>
    </row>
    <row r="1970" spans="1:12" x14ac:dyDescent="0.2">
      <c r="A1970" s="8" t="s">
        <v>110</v>
      </c>
      <c r="B1970" s="8" t="s">
        <v>89</v>
      </c>
      <c r="C1970" s="8" t="s">
        <v>339</v>
      </c>
      <c r="D1970" s="8" t="s">
        <v>340</v>
      </c>
      <c r="E1970" s="8" t="s">
        <v>51</v>
      </c>
      <c r="F1970" s="8" t="s">
        <v>52</v>
      </c>
      <c r="G1970" s="8" t="s">
        <v>7</v>
      </c>
      <c r="H1970" s="8" t="s">
        <v>38</v>
      </c>
      <c r="I1970" s="9">
        <v>14.754849</v>
      </c>
      <c r="J1970">
        <v>23.938625900000002</v>
      </c>
      <c r="K1970">
        <v>24.245062359999999</v>
      </c>
      <c r="L1970">
        <v>24.223394606071</v>
      </c>
    </row>
    <row r="1971" spans="1:12" x14ac:dyDescent="0.2">
      <c r="A1971" s="8" t="s">
        <v>110</v>
      </c>
      <c r="B1971" s="8" t="s">
        <v>89</v>
      </c>
      <c r="C1971" s="8" t="s">
        <v>339</v>
      </c>
      <c r="D1971" s="8" t="s">
        <v>340</v>
      </c>
      <c r="E1971" s="8" t="s">
        <v>68</v>
      </c>
      <c r="F1971" s="8" t="s">
        <v>69</v>
      </c>
      <c r="G1971" s="8" t="s">
        <v>7</v>
      </c>
      <c r="H1971" s="8" t="s">
        <v>38</v>
      </c>
      <c r="I1971" s="9">
        <v>0.49922100000000003</v>
      </c>
      <c r="J1971">
        <v>0.34144934999999998</v>
      </c>
      <c r="K1971">
        <v>1.140655</v>
      </c>
      <c r="L1971">
        <v>2.0498973358746002</v>
      </c>
    </row>
    <row r="1972" spans="1:12" x14ac:dyDescent="0.2">
      <c r="A1972" s="8" t="s">
        <v>110</v>
      </c>
      <c r="B1972" s="8" t="s">
        <v>89</v>
      </c>
      <c r="C1972" s="8" t="s">
        <v>339</v>
      </c>
      <c r="D1972" s="8" t="s">
        <v>340</v>
      </c>
      <c r="E1972" s="8" t="s">
        <v>53</v>
      </c>
      <c r="F1972" s="8" t="s">
        <v>54</v>
      </c>
      <c r="G1972" s="8" t="s">
        <v>7</v>
      </c>
      <c r="H1972" s="8" t="s">
        <v>38</v>
      </c>
      <c r="I1972" s="9">
        <v>25.356885999999999</v>
      </c>
      <c r="J1972">
        <v>24.446725050000001</v>
      </c>
      <c r="K1972">
        <v>22.47092232</v>
      </c>
      <c r="L1972">
        <v>20.435725503802001</v>
      </c>
    </row>
    <row r="1973" spans="1:12" x14ac:dyDescent="0.2">
      <c r="A1973" s="8" t="s">
        <v>110</v>
      </c>
      <c r="B1973" s="8" t="s">
        <v>89</v>
      </c>
      <c r="C1973" s="8" t="s">
        <v>339</v>
      </c>
      <c r="D1973" s="8" t="s">
        <v>340</v>
      </c>
      <c r="E1973" s="8" t="s">
        <v>70</v>
      </c>
      <c r="F1973" s="8" t="s">
        <v>71</v>
      </c>
      <c r="G1973" s="8" t="s">
        <v>7</v>
      </c>
      <c r="H1973" s="8" t="s">
        <v>38</v>
      </c>
      <c r="I1973" s="9">
        <v>563.79427999999996</v>
      </c>
      <c r="J1973">
        <v>599.09176930908995</v>
      </c>
      <c r="K1973">
        <v>624.05392636364002</v>
      </c>
      <c r="L1973">
        <v>623.34990764441</v>
      </c>
    </row>
    <row r="1974" spans="1:12" x14ac:dyDescent="0.2">
      <c r="A1974" s="8" t="s">
        <v>110</v>
      </c>
      <c r="B1974" s="8" t="s">
        <v>89</v>
      </c>
      <c r="C1974" s="8" t="s">
        <v>339</v>
      </c>
      <c r="D1974" s="8" t="s">
        <v>340</v>
      </c>
      <c r="E1974" s="8" t="s">
        <v>83</v>
      </c>
      <c r="F1974" s="8" t="s">
        <v>84</v>
      </c>
      <c r="G1974" s="8" t="s">
        <v>7</v>
      </c>
      <c r="H1974" s="8" t="s">
        <v>38</v>
      </c>
      <c r="I1974" s="9"/>
    </row>
    <row r="1975" spans="1:12" x14ac:dyDescent="0.2">
      <c r="A1975" s="8" t="s">
        <v>110</v>
      </c>
      <c r="B1975" s="8" t="s">
        <v>89</v>
      </c>
      <c r="C1975" s="8" t="s">
        <v>339</v>
      </c>
      <c r="D1975" s="8" t="s">
        <v>340</v>
      </c>
      <c r="E1975" s="8" t="s">
        <v>55</v>
      </c>
      <c r="F1975" s="8" t="s">
        <v>56</v>
      </c>
      <c r="G1975" s="8" t="s">
        <v>7</v>
      </c>
      <c r="H1975" s="8" t="s">
        <v>38</v>
      </c>
      <c r="I1975" s="9">
        <v>1.6096900000000001</v>
      </c>
      <c r="J1975">
        <v>1.6096900000000001</v>
      </c>
      <c r="K1975">
        <v>1.6096900000000001</v>
      </c>
      <c r="L1975">
        <v>1.6096900000000001</v>
      </c>
    </row>
    <row r="1976" spans="1:12" x14ac:dyDescent="0.2">
      <c r="A1976" s="8" t="s">
        <v>110</v>
      </c>
      <c r="B1976" s="8" t="s">
        <v>89</v>
      </c>
      <c r="C1976" s="8" t="s">
        <v>339</v>
      </c>
      <c r="D1976" s="8" t="s">
        <v>340</v>
      </c>
      <c r="E1976" s="8" t="s">
        <v>57</v>
      </c>
      <c r="F1976" s="8" t="s">
        <v>58</v>
      </c>
      <c r="G1976" s="8" t="s">
        <v>7</v>
      </c>
      <c r="H1976" s="8" t="s">
        <v>38</v>
      </c>
      <c r="I1976" s="9">
        <v>2.0810932000000002</v>
      </c>
      <c r="J1976">
        <v>2.0810932074999999</v>
      </c>
      <c r="K1976">
        <v>2.0810932074999999</v>
      </c>
      <c r="L1976">
        <v>2.0810932074999999</v>
      </c>
    </row>
    <row r="1977" spans="1:12" x14ac:dyDescent="0.2">
      <c r="A1977" s="8" t="s">
        <v>110</v>
      </c>
      <c r="B1977" s="8" t="s">
        <v>89</v>
      </c>
      <c r="C1977" s="8" t="s">
        <v>339</v>
      </c>
      <c r="D1977" s="8" t="s">
        <v>340</v>
      </c>
      <c r="E1977" s="8" t="s">
        <v>72</v>
      </c>
      <c r="F1977" s="8" t="s">
        <v>73</v>
      </c>
      <c r="G1977" s="8" t="s">
        <v>7</v>
      </c>
      <c r="H1977" s="8" t="s">
        <v>38</v>
      </c>
      <c r="I1977" s="9">
        <v>0.12386270000000001</v>
      </c>
      <c r="J1977">
        <v>0.12551149327778</v>
      </c>
      <c r="K1977">
        <v>0.11360210668432</v>
      </c>
      <c r="L1977">
        <v>0.10771433036923</v>
      </c>
    </row>
    <row r="1978" spans="1:12" x14ac:dyDescent="0.2">
      <c r="A1978" s="8" t="s">
        <v>110</v>
      </c>
      <c r="B1978" s="8" t="s">
        <v>89</v>
      </c>
      <c r="C1978" s="8" t="s">
        <v>339</v>
      </c>
      <c r="D1978" s="8" t="s">
        <v>340</v>
      </c>
      <c r="E1978" s="8" t="s">
        <v>74</v>
      </c>
      <c r="F1978" s="8" t="s">
        <v>75</v>
      </c>
      <c r="G1978" s="8" t="s">
        <v>7</v>
      </c>
      <c r="H1978" s="8" t="s">
        <v>38</v>
      </c>
      <c r="I1978" s="9"/>
    </row>
    <row r="1979" spans="1:12" x14ac:dyDescent="0.2">
      <c r="A1979" s="8" t="s">
        <v>110</v>
      </c>
      <c r="B1979" s="8" t="s">
        <v>89</v>
      </c>
      <c r="C1979" s="8" t="s">
        <v>339</v>
      </c>
      <c r="D1979" s="8" t="s">
        <v>340</v>
      </c>
      <c r="E1979" s="8" t="s">
        <v>59</v>
      </c>
      <c r="F1979" s="8" t="s">
        <v>60</v>
      </c>
      <c r="G1979" s="8" t="s">
        <v>7</v>
      </c>
      <c r="H1979" s="8" t="s">
        <v>38</v>
      </c>
      <c r="I1979" s="9">
        <v>96.105356999999998</v>
      </c>
      <c r="J1979">
        <v>104.94188878996999</v>
      </c>
      <c r="K1979">
        <v>89.677912189869005</v>
      </c>
      <c r="L1979">
        <v>89.845999261626005</v>
      </c>
    </row>
    <row r="1980" spans="1:12" x14ac:dyDescent="0.2">
      <c r="A1980" s="8" t="s">
        <v>110</v>
      </c>
      <c r="B1980" s="8" t="s">
        <v>89</v>
      </c>
      <c r="C1980" s="8" t="s">
        <v>339</v>
      </c>
      <c r="D1980" s="8" t="s">
        <v>340</v>
      </c>
      <c r="E1980" s="8" t="s">
        <v>76</v>
      </c>
      <c r="F1980" s="8" t="s">
        <v>77</v>
      </c>
      <c r="G1980" s="8" t="s">
        <v>7</v>
      </c>
      <c r="H1980" s="8" t="s">
        <v>38</v>
      </c>
      <c r="I1980" s="9">
        <v>200.09523999999999</v>
      </c>
      <c r="J1980">
        <v>201.66666669023999</v>
      </c>
      <c r="K1980">
        <v>195.80000002291999</v>
      </c>
      <c r="L1980">
        <v>195.80000002291999</v>
      </c>
    </row>
    <row r="1981" spans="1:12" x14ac:dyDescent="0.2">
      <c r="A1981" s="8" t="s">
        <v>110</v>
      </c>
      <c r="B1981" s="8" t="s">
        <v>89</v>
      </c>
      <c r="C1981" s="8" t="s">
        <v>339</v>
      </c>
      <c r="D1981" s="8" t="s">
        <v>340</v>
      </c>
      <c r="E1981" s="8" t="s">
        <v>78</v>
      </c>
      <c r="F1981" s="8" t="s">
        <v>79</v>
      </c>
      <c r="G1981" s="8" t="s">
        <v>7</v>
      </c>
      <c r="H1981" s="8" t="s">
        <v>38</v>
      </c>
      <c r="I1981" s="9">
        <v>9.4285697000000006</v>
      </c>
      <c r="J1981">
        <v>9.5857125428571006</v>
      </c>
      <c r="K1981">
        <v>9.2714268857143001</v>
      </c>
      <c r="L1981">
        <v>8.2342842171428998</v>
      </c>
    </row>
    <row r="1982" spans="1:12" x14ac:dyDescent="0.2">
      <c r="A1982" s="8" t="s">
        <v>110</v>
      </c>
      <c r="B1982" s="8" t="s">
        <v>89</v>
      </c>
      <c r="C1982" s="8" t="s">
        <v>339</v>
      </c>
      <c r="D1982" s="8" t="s">
        <v>340</v>
      </c>
      <c r="E1982" s="8" t="s">
        <v>92</v>
      </c>
      <c r="F1982" s="8" t="s">
        <v>93</v>
      </c>
      <c r="G1982" s="8" t="s">
        <v>7</v>
      </c>
      <c r="H1982" s="8" t="s">
        <v>38</v>
      </c>
      <c r="I1982" s="9">
        <v>2.9264200000000001E-2</v>
      </c>
      <c r="J1982">
        <v>2.145E-2</v>
      </c>
      <c r="K1982">
        <v>2.145E-2</v>
      </c>
      <c r="L1982">
        <v>2.145E-2</v>
      </c>
    </row>
    <row r="1983" spans="1:12" x14ac:dyDescent="0.2">
      <c r="A1983" s="8" t="s">
        <v>32</v>
      </c>
      <c r="B1983" s="8" t="s">
        <v>168</v>
      </c>
      <c r="C1983" s="8" t="s">
        <v>341</v>
      </c>
      <c r="D1983" s="8" t="s">
        <v>342</v>
      </c>
      <c r="E1983" s="8" t="s">
        <v>36</v>
      </c>
      <c r="F1983" s="8" t="s">
        <v>37</v>
      </c>
      <c r="G1983" s="8" t="s">
        <v>7</v>
      </c>
      <c r="H1983" s="8" t="s">
        <v>38</v>
      </c>
      <c r="I1983" s="9">
        <v>561.2011</v>
      </c>
      <c r="J1983">
        <v>548.13490033429002</v>
      </c>
      <c r="K1983">
        <v>418.45995132227</v>
      </c>
      <c r="L1983">
        <v>416.18135624069998</v>
      </c>
    </row>
    <row r="1984" spans="1:12" x14ac:dyDescent="0.2">
      <c r="A1984" s="8" t="s">
        <v>32</v>
      </c>
      <c r="B1984" s="8" t="s">
        <v>168</v>
      </c>
      <c r="C1984" s="8" t="s">
        <v>341</v>
      </c>
      <c r="D1984" s="8" t="s">
        <v>342</v>
      </c>
      <c r="E1984" s="8" t="s">
        <v>64</v>
      </c>
      <c r="F1984" s="8" t="s">
        <v>65</v>
      </c>
      <c r="G1984" s="8" t="s">
        <v>7</v>
      </c>
      <c r="H1984" s="8" t="s">
        <v>38</v>
      </c>
      <c r="I1984" s="9">
        <v>321.84172999999998</v>
      </c>
      <c r="J1984">
        <v>209.32638010973</v>
      </c>
      <c r="K1984">
        <v>82.860165018974001</v>
      </c>
      <c r="L1984">
        <v>82.115527008515002</v>
      </c>
    </row>
    <row r="1985" spans="1:12" x14ac:dyDescent="0.2">
      <c r="A1985" s="8" t="s">
        <v>32</v>
      </c>
      <c r="B1985" s="8" t="s">
        <v>168</v>
      </c>
      <c r="C1985" s="8" t="s">
        <v>341</v>
      </c>
      <c r="D1985" s="8" t="s">
        <v>342</v>
      </c>
      <c r="E1985" s="8" t="s">
        <v>39</v>
      </c>
      <c r="F1985" s="8" t="s">
        <v>40</v>
      </c>
      <c r="G1985" s="8" t="s">
        <v>7</v>
      </c>
      <c r="H1985" s="8" t="s">
        <v>38</v>
      </c>
      <c r="I1985" s="9">
        <v>255.54509999999999</v>
      </c>
      <c r="J1985">
        <v>251.77555018492001</v>
      </c>
      <c r="K1985">
        <v>206.53192042936001</v>
      </c>
      <c r="L1985">
        <v>205.46192782791999</v>
      </c>
    </row>
    <row r="1986" spans="1:12" x14ac:dyDescent="0.2">
      <c r="A1986" s="8" t="s">
        <v>32</v>
      </c>
      <c r="B1986" s="8" t="s">
        <v>168</v>
      </c>
      <c r="C1986" s="8" t="s">
        <v>341</v>
      </c>
      <c r="D1986" s="8" t="s">
        <v>342</v>
      </c>
      <c r="E1986" s="8" t="s">
        <v>41</v>
      </c>
      <c r="F1986" s="8" t="s">
        <v>42</v>
      </c>
      <c r="G1986" s="8" t="s">
        <v>7</v>
      </c>
      <c r="H1986" s="8" t="s">
        <v>38</v>
      </c>
      <c r="I1986" s="9">
        <v>41.651207999999997</v>
      </c>
      <c r="J1986">
        <v>40.313458117128</v>
      </c>
      <c r="K1986">
        <v>37.924017431688</v>
      </c>
      <c r="L1986">
        <v>50.506340328840999</v>
      </c>
    </row>
    <row r="1987" spans="1:12" x14ac:dyDescent="0.2">
      <c r="A1987" s="8" t="s">
        <v>32</v>
      </c>
      <c r="B1987" s="8" t="s">
        <v>168</v>
      </c>
      <c r="C1987" s="8" t="s">
        <v>341</v>
      </c>
      <c r="D1987" s="8" t="s">
        <v>342</v>
      </c>
      <c r="E1987" s="8" t="s">
        <v>43</v>
      </c>
      <c r="F1987" s="8" t="s">
        <v>44</v>
      </c>
      <c r="G1987" s="8" t="s">
        <v>7</v>
      </c>
      <c r="H1987" s="8" t="s">
        <v>38</v>
      </c>
      <c r="I1987" s="9">
        <v>704.40256999999997</v>
      </c>
      <c r="J1987">
        <v>664.76081235634001</v>
      </c>
      <c r="K1987">
        <v>623.85697264895998</v>
      </c>
      <c r="L1987">
        <v>620.90372673443005</v>
      </c>
    </row>
    <row r="1988" spans="1:12" x14ac:dyDescent="0.2">
      <c r="A1988" s="8" t="s">
        <v>32</v>
      </c>
      <c r="B1988" s="8" t="s">
        <v>168</v>
      </c>
      <c r="C1988" s="8" t="s">
        <v>341</v>
      </c>
      <c r="D1988" s="8" t="s">
        <v>342</v>
      </c>
      <c r="E1988" s="8" t="s">
        <v>66</v>
      </c>
      <c r="F1988" s="8" t="s">
        <v>67</v>
      </c>
      <c r="G1988" s="8" t="s">
        <v>7</v>
      </c>
      <c r="H1988" s="8" t="s">
        <v>38</v>
      </c>
      <c r="I1988" s="9"/>
    </row>
    <row r="1989" spans="1:12" x14ac:dyDescent="0.2">
      <c r="A1989" s="8" t="s">
        <v>32</v>
      </c>
      <c r="B1989" s="8" t="s">
        <v>168</v>
      </c>
      <c r="C1989" s="8" t="s">
        <v>341</v>
      </c>
      <c r="D1989" s="8" t="s">
        <v>342</v>
      </c>
      <c r="E1989" s="8" t="s">
        <v>45</v>
      </c>
      <c r="F1989" s="8" t="s">
        <v>46</v>
      </c>
      <c r="G1989" s="8" t="s">
        <v>7</v>
      </c>
      <c r="H1989" s="8" t="s">
        <v>38</v>
      </c>
      <c r="I1989" s="9">
        <v>48.370798000000001</v>
      </c>
      <c r="J1989">
        <v>54.620482880768002</v>
      </c>
      <c r="K1989">
        <v>51.383048620384002</v>
      </c>
      <c r="L1989">
        <v>49.593328511606003</v>
      </c>
    </row>
    <row r="1990" spans="1:12" x14ac:dyDescent="0.2">
      <c r="A1990" s="8" t="s">
        <v>32</v>
      </c>
      <c r="B1990" s="8" t="s">
        <v>168</v>
      </c>
      <c r="C1990" s="8" t="s">
        <v>341</v>
      </c>
      <c r="D1990" s="8" t="s">
        <v>342</v>
      </c>
      <c r="E1990" s="8" t="s">
        <v>47</v>
      </c>
      <c r="F1990" s="8" t="s">
        <v>48</v>
      </c>
      <c r="G1990" s="8" t="s">
        <v>7</v>
      </c>
      <c r="H1990" s="8" t="s">
        <v>38</v>
      </c>
      <c r="I1990" s="9">
        <v>50.732235000000003</v>
      </c>
      <c r="J1990">
        <v>46.635750017786997</v>
      </c>
      <c r="K1990">
        <v>43.871307429657001</v>
      </c>
      <c r="L1990">
        <v>43.663954218865001</v>
      </c>
    </row>
    <row r="1991" spans="1:12" x14ac:dyDescent="0.2">
      <c r="A1991" s="8" t="s">
        <v>32</v>
      </c>
      <c r="B1991" s="8" t="s">
        <v>168</v>
      </c>
      <c r="C1991" s="8" t="s">
        <v>341</v>
      </c>
      <c r="D1991" s="8" t="s">
        <v>342</v>
      </c>
      <c r="E1991" s="8" t="s">
        <v>49</v>
      </c>
      <c r="F1991" s="8" t="s">
        <v>50</v>
      </c>
      <c r="G1991" s="8" t="s">
        <v>7</v>
      </c>
      <c r="H1991" s="8" t="s">
        <v>38</v>
      </c>
      <c r="I1991" s="9">
        <v>232.95468</v>
      </c>
      <c r="J1991">
        <v>215.84855979304999</v>
      </c>
      <c r="K1991">
        <v>198.48217940110001</v>
      </c>
      <c r="L1991">
        <v>197.52992109234</v>
      </c>
    </row>
    <row r="1992" spans="1:12" x14ac:dyDescent="0.2">
      <c r="A1992" s="8" t="s">
        <v>32</v>
      </c>
      <c r="B1992" s="8" t="s">
        <v>168</v>
      </c>
      <c r="C1992" s="8" t="s">
        <v>341</v>
      </c>
      <c r="D1992" s="8" t="s">
        <v>342</v>
      </c>
      <c r="E1992" s="8" t="s">
        <v>51</v>
      </c>
      <c r="F1992" s="8" t="s">
        <v>52</v>
      </c>
      <c r="G1992" s="8" t="s">
        <v>7</v>
      </c>
      <c r="H1992" s="8" t="s">
        <v>38</v>
      </c>
      <c r="I1992" s="9">
        <v>10.579241</v>
      </c>
      <c r="J1992">
        <v>10.510030220577001</v>
      </c>
      <c r="K1992">
        <v>9.8869146399855001</v>
      </c>
      <c r="L1992">
        <v>9.8401851574251999</v>
      </c>
    </row>
    <row r="1993" spans="1:12" x14ac:dyDescent="0.2">
      <c r="A1993" s="8" t="s">
        <v>32</v>
      </c>
      <c r="B1993" s="8" t="s">
        <v>168</v>
      </c>
      <c r="C1993" s="8" t="s">
        <v>341</v>
      </c>
      <c r="D1993" s="8" t="s">
        <v>342</v>
      </c>
      <c r="E1993" s="8" t="s">
        <v>53</v>
      </c>
      <c r="F1993" s="8" t="s">
        <v>54</v>
      </c>
      <c r="G1993" s="8" t="s">
        <v>7</v>
      </c>
      <c r="H1993" s="8" t="s">
        <v>38</v>
      </c>
      <c r="I1993" s="9">
        <v>1.046E-5</v>
      </c>
      <c r="J1993">
        <v>2.9267513268112E-6</v>
      </c>
      <c r="K1993">
        <v>2.5675473086131998E-6</v>
      </c>
      <c r="L1993">
        <v>2.5675473086131998E-6</v>
      </c>
    </row>
    <row r="1994" spans="1:12" x14ac:dyDescent="0.2">
      <c r="A1994" s="8" t="s">
        <v>32</v>
      </c>
      <c r="B1994" s="8" t="s">
        <v>168</v>
      </c>
      <c r="C1994" s="8" t="s">
        <v>341</v>
      </c>
      <c r="D1994" s="8" t="s">
        <v>342</v>
      </c>
      <c r="E1994" s="8" t="s">
        <v>70</v>
      </c>
      <c r="F1994" s="8" t="s">
        <v>71</v>
      </c>
      <c r="G1994" s="8" t="s">
        <v>7</v>
      </c>
      <c r="H1994" s="8" t="s">
        <v>38</v>
      </c>
      <c r="I1994" s="9"/>
    </row>
    <row r="1995" spans="1:12" x14ac:dyDescent="0.2">
      <c r="A1995" s="8" t="s">
        <v>32</v>
      </c>
      <c r="B1995" s="8" t="s">
        <v>168</v>
      </c>
      <c r="C1995" s="8" t="s">
        <v>341</v>
      </c>
      <c r="D1995" s="8" t="s">
        <v>342</v>
      </c>
      <c r="E1995" s="8" t="s">
        <v>55</v>
      </c>
      <c r="F1995" s="8" t="s">
        <v>56</v>
      </c>
      <c r="G1995" s="8" t="s">
        <v>7</v>
      </c>
      <c r="H1995" s="8" t="s">
        <v>38</v>
      </c>
      <c r="I1995" s="9">
        <v>3.08019E-2</v>
      </c>
      <c r="J1995">
        <v>3.0801907665547999E-2</v>
      </c>
      <c r="K1995">
        <v>3.0801907665547999E-2</v>
      </c>
      <c r="L1995">
        <v>3.0801907665547999E-2</v>
      </c>
    </row>
    <row r="1996" spans="1:12" x14ac:dyDescent="0.2">
      <c r="A1996" s="8" t="s">
        <v>32</v>
      </c>
      <c r="B1996" s="8" t="s">
        <v>168</v>
      </c>
      <c r="C1996" s="8" t="s">
        <v>341</v>
      </c>
      <c r="D1996" s="8" t="s">
        <v>342</v>
      </c>
      <c r="E1996" s="8" t="s">
        <v>57</v>
      </c>
      <c r="F1996" s="8" t="s">
        <v>58</v>
      </c>
      <c r="G1996" s="8" t="s">
        <v>7</v>
      </c>
      <c r="H1996" s="8" t="s">
        <v>38</v>
      </c>
      <c r="I1996" s="9">
        <v>1.2083699999999999E-2</v>
      </c>
      <c r="J1996">
        <v>1.2083693333333E-2</v>
      </c>
      <c r="K1996">
        <v>1.2083693333333E-2</v>
      </c>
      <c r="L1996">
        <v>1.2083693333333E-2</v>
      </c>
    </row>
    <row r="1997" spans="1:12" x14ac:dyDescent="0.2">
      <c r="A1997" s="8" t="s">
        <v>32</v>
      </c>
      <c r="B1997" s="8" t="s">
        <v>168</v>
      </c>
      <c r="C1997" s="8" t="s">
        <v>341</v>
      </c>
      <c r="D1997" s="8" t="s">
        <v>342</v>
      </c>
      <c r="E1997" s="8" t="s">
        <v>59</v>
      </c>
      <c r="F1997" s="8" t="s">
        <v>60</v>
      </c>
      <c r="G1997" s="8" t="s">
        <v>7</v>
      </c>
      <c r="H1997" s="8" t="s">
        <v>38</v>
      </c>
      <c r="I1997" s="9">
        <v>4.7559690000000003</v>
      </c>
      <c r="J1997">
        <v>4.4961960020200999</v>
      </c>
      <c r="K1997">
        <v>4.3781796623011999</v>
      </c>
      <c r="L1997">
        <v>3.7502156105446001</v>
      </c>
    </row>
    <row r="1998" spans="1:12" x14ac:dyDescent="0.2">
      <c r="A1998" s="8" t="s">
        <v>32</v>
      </c>
      <c r="B1998" s="8" t="s">
        <v>168</v>
      </c>
      <c r="C1998" s="8" t="s">
        <v>341</v>
      </c>
      <c r="D1998" s="8" t="s">
        <v>342</v>
      </c>
      <c r="E1998" s="8" t="s">
        <v>92</v>
      </c>
      <c r="F1998" s="8" t="s">
        <v>93</v>
      </c>
      <c r="G1998" s="8" t="s">
        <v>7</v>
      </c>
      <c r="H1998" s="8" t="s">
        <v>38</v>
      </c>
      <c r="I1998" s="9">
        <v>0.84846120000000003</v>
      </c>
      <c r="J1998">
        <v>0.858797734368</v>
      </c>
      <c r="K1998">
        <v>0.86926017772966002</v>
      </c>
      <c r="L1998">
        <v>0.88104925764759001</v>
      </c>
    </row>
    <row r="1999" spans="1:12" x14ac:dyDescent="0.2">
      <c r="A1999" s="8" t="s">
        <v>32</v>
      </c>
      <c r="B1999" s="8" t="s">
        <v>207</v>
      </c>
      <c r="C1999" s="8" t="s">
        <v>343</v>
      </c>
      <c r="D1999" s="8" t="s">
        <v>344</v>
      </c>
      <c r="E1999" s="8" t="s">
        <v>36</v>
      </c>
      <c r="F1999" s="8" t="s">
        <v>37</v>
      </c>
      <c r="G1999" s="8" t="s">
        <v>7</v>
      </c>
      <c r="H1999" s="8" t="s">
        <v>38</v>
      </c>
      <c r="I1999" s="9">
        <v>28372.703000000001</v>
      </c>
      <c r="J1999">
        <v>30245.303071000999</v>
      </c>
      <c r="K1999">
        <v>31983.776627998999</v>
      </c>
      <c r="L1999">
        <v>28947.850073074002</v>
      </c>
    </row>
    <row r="2000" spans="1:12" x14ac:dyDescent="0.2">
      <c r="A2000" s="8" t="s">
        <v>32</v>
      </c>
      <c r="B2000" s="8" t="s">
        <v>207</v>
      </c>
      <c r="C2000" s="8" t="s">
        <v>343</v>
      </c>
      <c r="D2000" s="8" t="s">
        <v>344</v>
      </c>
      <c r="E2000" s="8" t="s">
        <v>64</v>
      </c>
      <c r="F2000" s="8" t="s">
        <v>65</v>
      </c>
      <c r="G2000" s="8" t="s">
        <v>7</v>
      </c>
      <c r="H2000" s="8" t="s">
        <v>38</v>
      </c>
      <c r="I2000" s="9">
        <v>12.760797</v>
      </c>
      <c r="J2000">
        <v>10.107336999999999</v>
      </c>
      <c r="K2000">
        <v>7.4546099999999997</v>
      </c>
      <c r="L2000">
        <v>6.5452680828301997</v>
      </c>
    </row>
    <row r="2001" spans="1:12" x14ac:dyDescent="0.2">
      <c r="A2001" s="8" t="s">
        <v>32</v>
      </c>
      <c r="B2001" s="8" t="s">
        <v>207</v>
      </c>
      <c r="C2001" s="8" t="s">
        <v>343</v>
      </c>
      <c r="D2001" s="8" t="s">
        <v>344</v>
      </c>
      <c r="E2001" s="8" t="s">
        <v>39</v>
      </c>
      <c r="F2001" s="8" t="s">
        <v>40</v>
      </c>
      <c r="G2001" s="8" t="s">
        <v>7</v>
      </c>
      <c r="H2001" s="8" t="s">
        <v>38</v>
      </c>
      <c r="I2001" s="9">
        <v>6700.1124</v>
      </c>
      <c r="J2001">
        <v>7592.7036260000004</v>
      </c>
      <c r="K2001">
        <v>6629.2066619999996</v>
      </c>
      <c r="L2001">
        <v>6339.7162787002999</v>
      </c>
    </row>
    <row r="2002" spans="1:12" x14ac:dyDescent="0.2">
      <c r="A2002" s="8" t="s">
        <v>32</v>
      </c>
      <c r="B2002" s="8" t="s">
        <v>207</v>
      </c>
      <c r="C2002" s="8" t="s">
        <v>343</v>
      </c>
      <c r="D2002" s="8" t="s">
        <v>344</v>
      </c>
      <c r="E2002" s="8" t="s">
        <v>41</v>
      </c>
      <c r="F2002" s="8" t="s">
        <v>42</v>
      </c>
      <c r="G2002" s="8" t="s">
        <v>7</v>
      </c>
      <c r="H2002" s="8" t="s">
        <v>38</v>
      </c>
      <c r="I2002" s="9">
        <v>36.995530000000002</v>
      </c>
      <c r="J2002">
        <v>49.869104999999998</v>
      </c>
      <c r="K2002">
        <v>83.677165000000002</v>
      </c>
      <c r="L2002">
        <v>105.618136752</v>
      </c>
    </row>
    <row r="2003" spans="1:12" x14ac:dyDescent="0.2">
      <c r="A2003" s="8" t="s">
        <v>32</v>
      </c>
      <c r="B2003" s="8" t="s">
        <v>207</v>
      </c>
      <c r="C2003" s="8" t="s">
        <v>343</v>
      </c>
      <c r="D2003" s="8" t="s">
        <v>344</v>
      </c>
      <c r="E2003" s="8" t="s">
        <v>43</v>
      </c>
      <c r="F2003" s="8" t="s">
        <v>44</v>
      </c>
      <c r="G2003" s="8" t="s">
        <v>7</v>
      </c>
      <c r="H2003" s="8" t="s">
        <v>38</v>
      </c>
      <c r="I2003" s="9">
        <v>16565.858</v>
      </c>
      <c r="J2003">
        <v>18539.615352000001</v>
      </c>
      <c r="K2003">
        <v>17442.316101</v>
      </c>
      <c r="L2003">
        <v>18163.010606357999</v>
      </c>
    </row>
    <row r="2004" spans="1:12" x14ac:dyDescent="0.2">
      <c r="A2004" s="8" t="s">
        <v>32</v>
      </c>
      <c r="B2004" s="8" t="s">
        <v>207</v>
      </c>
      <c r="C2004" s="8" t="s">
        <v>343</v>
      </c>
      <c r="D2004" s="8" t="s">
        <v>344</v>
      </c>
      <c r="E2004" s="8" t="s">
        <v>66</v>
      </c>
      <c r="F2004" s="8" t="s">
        <v>67</v>
      </c>
      <c r="G2004" s="8" t="s">
        <v>7</v>
      </c>
      <c r="H2004" s="8" t="s">
        <v>38</v>
      </c>
      <c r="I2004" s="9">
        <v>37.087791000000003</v>
      </c>
      <c r="J2004">
        <v>51.269049000000003</v>
      </c>
      <c r="K2004">
        <v>28.617419999999999</v>
      </c>
      <c r="L2004">
        <v>25.701868524769999</v>
      </c>
    </row>
    <row r="2005" spans="1:12" x14ac:dyDescent="0.2">
      <c r="A2005" s="8" t="s">
        <v>32</v>
      </c>
      <c r="B2005" s="8" t="s">
        <v>207</v>
      </c>
      <c r="C2005" s="8" t="s">
        <v>343</v>
      </c>
      <c r="D2005" s="8" t="s">
        <v>344</v>
      </c>
      <c r="E2005" s="8" t="s">
        <v>45</v>
      </c>
      <c r="F2005" s="8" t="s">
        <v>46</v>
      </c>
      <c r="G2005" s="8" t="s">
        <v>7</v>
      </c>
      <c r="H2005" s="8" t="s">
        <v>38</v>
      </c>
      <c r="I2005" s="9"/>
    </row>
    <row r="2006" spans="1:12" x14ac:dyDescent="0.2">
      <c r="A2006" s="8" t="s">
        <v>32</v>
      </c>
      <c r="B2006" s="8" t="s">
        <v>207</v>
      </c>
      <c r="C2006" s="8" t="s">
        <v>343</v>
      </c>
      <c r="D2006" s="8" t="s">
        <v>344</v>
      </c>
      <c r="E2006" s="8" t="s">
        <v>49</v>
      </c>
      <c r="F2006" s="8" t="s">
        <v>50</v>
      </c>
      <c r="G2006" s="8" t="s">
        <v>7</v>
      </c>
      <c r="H2006" s="8" t="s">
        <v>38</v>
      </c>
      <c r="I2006" s="9">
        <v>10501.147000000001</v>
      </c>
      <c r="J2006">
        <v>10922.807382000001</v>
      </c>
      <c r="K2006">
        <v>10996.199122</v>
      </c>
      <c r="L2006">
        <v>11352.302102861</v>
      </c>
    </row>
    <row r="2007" spans="1:12" x14ac:dyDescent="0.2">
      <c r="A2007" s="8" t="s">
        <v>32</v>
      </c>
      <c r="B2007" s="8" t="s">
        <v>207</v>
      </c>
      <c r="C2007" s="8" t="s">
        <v>343</v>
      </c>
      <c r="D2007" s="8" t="s">
        <v>344</v>
      </c>
      <c r="E2007" s="8" t="s">
        <v>51</v>
      </c>
      <c r="F2007" s="8" t="s">
        <v>52</v>
      </c>
      <c r="G2007" s="8" t="s">
        <v>7</v>
      </c>
      <c r="H2007" s="8" t="s">
        <v>38</v>
      </c>
      <c r="I2007" s="9"/>
    </row>
    <row r="2008" spans="1:12" x14ac:dyDescent="0.2">
      <c r="A2008" s="8" t="s">
        <v>32</v>
      </c>
      <c r="B2008" s="8" t="s">
        <v>207</v>
      </c>
      <c r="C2008" s="8" t="s">
        <v>343</v>
      </c>
      <c r="D2008" s="8" t="s">
        <v>344</v>
      </c>
      <c r="E2008" s="8" t="s">
        <v>68</v>
      </c>
      <c r="F2008" s="8" t="s">
        <v>69</v>
      </c>
      <c r="G2008" s="8" t="s">
        <v>7</v>
      </c>
      <c r="H2008" s="8" t="s">
        <v>38</v>
      </c>
      <c r="I2008" s="9"/>
    </row>
    <row r="2009" spans="1:12" x14ac:dyDescent="0.2">
      <c r="A2009" s="8" t="s">
        <v>32</v>
      </c>
      <c r="B2009" s="8" t="s">
        <v>207</v>
      </c>
      <c r="C2009" s="8" t="s">
        <v>343</v>
      </c>
      <c r="D2009" s="8" t="s">
        <v>344</v>
      </c>
      <c r="E2009" s="8" t="s">
        <v>53</v>
      </c>
      <c r="F2009" s="8" t="s">
        <v>54</v>
      </c>
      <c r="G2009" s="8" t="s">
        <v>7</v>
      </c>
      <c r="H2009" s="8" t="s">
        <v>38</v>
      </c>
      <c r="I2009" s="9">
        <v>2.28253E-2</v>
      </c>
      <c r="J2009">
        <v>2.0246493303570999E-2</v>
      </c>
      <c r="K2009">
        <v>1.4660564306526E-2</v>
      </c>
      <c r="L2009">
        <v>1.1786881514651E-2</v>
      </c>
    </row>
    <row r="2010" spans="1:12" x14ac:dyDescent="0.2">
      <c r="A2010" s="8" t="s">
        <v>32</v>
      </c>
      <c r="B2010" s="8" t="s">
        <v>207</v>
      </c>
      <c r="C2010" s="8" t="s">
        <v>343</v>
      </c>
      <c r="D2010" s="8" t="s">
        <v>344</v>
      </c>
      <c r="E2010" s="8" t="s">
        <v>70</v>
      </c>
      <c r="F2010" s="8" t="s">
        <v>71</v>
      </c>
      <c r="G2010" s="8" t="s">
        <v>7</v>
      </c>
      <c r="H2010" s="8" t="s">
        <v>38</v>
      </c>
      <c r="I2010" s="9">
        <v>4610.3616000000002</v>
      </c>
      <c r="J2010">
        <v>5241.6000000000004</v>
      </c>
      <c r="K2010">
        <v>4492.8</v>
      </c>
      <c r="L2010">
        <v>4487.7315032433999</v>
      </c>
    </row>
    <row r="2011" spans="1:12" x14ac:dyDescent="0.2">
      <c r="A2011" s="8" t="s">
        <v>32</v>
      </c>
      <c r="B2011" s="8" t="s">
        <v>207</v>
      </c>
      <c r="C2011" s="8" t="s">
        <v>343</v>
      </c>
      <c r="D2011" s="8" t="s">
        <v>344</v>
      </c>
      <c r="E2011" s="8" t="s">
        <v>55</v>
      </c>
      <c r="F2011" s="8" t="s">
        <v>56</v>
      </c>
      <c r="G2011" s="8" t="s">
        <v>7</v>
      </c>
      <c r="H2011" s="8" t="s">
        <v>38</v>
      </c>
      <c r="I2011" s="9">
        <v>1.5925643</v>
      </c>
      <c r="J2011">
        <v>1.7837133614027001</v>
      </c>
      <c r="K2011">
        <v>1.7837133614027001</v>
      </c>
      <c r="L2011">
        <v>1.7837133614027001</v>
      </c>
    </row>
    <row r="2012" spans="1:12" x14ac:dyDescent="0.2">
      <c r="A2012" s="8" t="s">
        <v>32</v>
      </c>
      <c r="B2012" s="8" t="s">
        <v>207</v>
      </c>
      <c r="C2012" s="8" t="s">
        <v>343</v>
      </c>
      <c r="D2012" s="8" t="s">
        <v>344</v>
      </c>
      <c r="E2012" s="8" t="s">
        <v>57</v>
      </c>
      <c r="F2012" s="8" t="s">
        <v>58</v>
      </c>
      <c r="G2012" s="8" t="s">
        <v>7</v>
      </c>
      <c r="H2012" s="8" t="s">
        <v>38</v>
      </c>
      <c r="I2012" s="9">
        <v>17.828188000000001</v>
      </c>
      <c r="J2012">
        <v>19.968033005870002</v>
      </c>
      <c r="K2012">
        <v>19.968033005870002</v>
      </c>
      <c r="L2012">
        <v>19.968033005870002</v>
      </c>
    </row>
    <row r="2013" spans="1:12" x14ac:dyDescent="0.2">
      <c r="A2013" s="8" t="s">
        <v>32</v>
      </c>
      <c r="B2013" s="8" t="s">
        <v>207</v>
      </c>
      <c r="C2013" s="8" t="s">
        <v>343</v>
      </c>
      <c r="D2013" s="8" t="s">
        <v>344</v>
      </c>
      <c r="E2013" s="8" t="s">
        <v>74</v>
      </c>
      <c r="F2013" s="8" t="s">
        <v>75</v>
      </c>
      <c r="G2013" s="8" t="s">
        <v>7</v>
      </c>
      <c r="H2013" s="8" t="s">
        <v>38</v>
      </c>
      <c r="I2013" s="9">
        <v>43.50168</v>
      </c>
      <c r="J2013">
        <v>46.001919999999998</v>
      </c>
      <c r="K2013">
        <v>66.001919999999998</v>
      </c>
      <c r="L2013">
        <v>59.911512677697999</v>
      </c>
    </row>
    <row r="2014" spans="1:12" x14ac:dyDescent="0.2">
      <c r="A2014" s="8" t="s">
        <v>32</v>
      </c>
      <c r="B2014" s="8" t="s">
        <v>207</v>
      </c>
      <c r="C2014" s="8" t="s">
        <v>343</v>
      </c>
      <c r="D2014" s="8" t="s">
        <v>344</v>
      </c>
      <c r="E2014" s="8" t="s">
        <v>59</v>
      </c>
      <c r="F2014" s="8" t="s">
        <v>60</v>
      </c>
      <c r="G2014" s="8" t="s">
        <v>7</v>
      </c>
      <c r="H2014" s="8" t="s">
        <v>38</v>
      </c>
      <c r="I2014" s="9">
        <v>160.54658000000001</v>
      </c>
      <c r="J2014">
        <v>166.92200976389</v>
      </c>
      <c r="K2014">
        <v>165.46373186152999</v>
      </c>
      <c r="L2014">
        <v>176.12313699161001</v>
      </c>
    </row>
    <row r="2015" spans="1:12" x14ac:dyDescent="0.2">
      <c r="A2015" s="8" t="s">
        <v>32</v>
      </c>
      <c r="B2015" s="8" t="s">
        <v>207</v>
      </c>
      <c r="C2015" s="8" t="s">
        <v>343</v>
      </c>
      <c r="D2015" s="8" t="s">
        <v>344</v>
      </c>
      <c r="E2015" s="8" t="s">
        <v>76</v>
      </c>
      <c r="F2015" s="8" t="s">
        <v>77</v>
      </c>
      <c r="G2015" s="8" t="s">
        <v>7</v>
      </c>
      <c r="H2015" s="8" t="s">
        <v>38</v>
      </c>
      <c r="I2015" s="9">
        <v>435.49524000000002</v>
      </c>
      <c r="J2015">
        <v>209.83809525708</v>
      </c>
      <c r="K2015">
        <v>344.66666669134003</v>
      </c>
      <c r="L2015">
        <v>307.22476192425</v>
      </c>
    </row>
    <row r="2016" spans="1:12" x14ac:dyDescent="0.2">
      <c r="A2016" s="8" t="s">
        <v>32</v>
      </c>
      <c r="B2016" s="8" t="s">
        <v>207</v>
      </c>
      <c r="C2016" s="8" t="s">
        <v>343</v>
      </c>
      <c r="D2016" s="8" t="s">
        <v>344</v>
      </c>
      <c r="E2016" s="8" t="s">
        <v>78</v>
      </c>
      <c r="F2016" s="8" t="s">
        <v>79</v>
      </c>
      <c r="G2016" s="8" t="s">
        <v>7</v>
      </c>
      <c r="H2016" s="8" t="s">
        <v>38</v>
      </c>
      <c r="I2016" s="9">
        <v>90.671412000000004</v>
      </c>
      <c r="J2016">
        <v>31.742851371429001</v>
      </c>
      <c r="K2016">
        <v>63.642845571429</v>
      </c>
      <c r="L2016">
        <v>52.35999048</v>
      </c>
    </row>
    <row r="2017" spans="1:12" x14ac:dyDescent="0.2">
      <c r="A2017" s="8" t="s">
        <v>32</v>
      </c>
      <c r="B2017" s="8" t="s">
        <v>140</v>
      </c>
      <c r="C2017" s="8" t="s">
        <v>345</v>
      </c>
      <c r="D2017" s="8" t="s">
        <v>346</v>
      </c>
      <c r="E2017" s="8" t="s">
        <v>36</v>
      </c>
      <c r="F2017" s="8" t="s">
        <v>37</v>
      </c>
      <c r="G2017" s="8" t="s">
        <v>7</v>
      </c>
      <c r="H2017" s="8" t="s">
        <v>38</v>
      </c>
      <c r="I2017" s="9">
        <v>3602.1251999999999</v>
      </c>
      <c r="J2017">
        <v>3874.7458660000002</v>
      </c>
      <c r="K2017">
        <v>3117.5405759999999</v>
      </c>
      <c r="L2017">
        <v>3647.9098070175</v>
      </c>
    </row>
    <row r="2018" spans="1:12" x14ac:dyDescent="0.2">
      <c r="A2018" s="8" t="s">
        <v>32</v>
      </c>
      <c r="B2018" s="8" t="s">
        <v>140</v>
      </c>
      <c r="C2018" s="8" t="s">
        <v>345</v>
      </c>
      <c r="D2018" s="8" t="s">
        <v>346</v>
      </c>
      <c r="E2018" s="8" t="s">
        <v>64</v>
      </c>
      <c r="F2018" s="8" t="s">
        <v>65</v>
      </c>
      <c r="G2018" s="8" t="s">
        <v>7</v>
      </c>
      <c r="H2018" s="8" t="s">
        <v>38</v>
      </c>
      <c r="I2018" s="9">
        <v>0.30293999999999999</v>
      </c>
      <c r="J2018">
        <v>0.79774199999999995</v>
      </c>
      <c r="K2018">
        <v>0.10098</v>
      </c>
      <c r="L2018">
        <v>9.5396994056043002E-2</v>
      </c>
    </row>
    <row r="2019" spans="1:12" x14ac:dyDescent="0.2">
      <c r="A2019" s="8" t="s">
        <v>32</v>
      </c>
      <c r="B2019" s="8" t="s">
        <v>140</v>
      </c>
      <c r="C2019" s="8" t="s">
        <v>345</v>
      </c>
      <c r="D2019" s="8" t="s">
        <v>346</v>
      </c>
      <c r="E2019" s="8" t="s">
        <v>39</v>
      </c>
      <c r="F2019" s="8" t="s">
        <v>40</v>
      </c>
      <c r="G2019" s="8" t="s">
        <v>7</v>
      </c>
      <c r="H2019" s="8" t="s">
        <v>38</v>
      </c>
      <c r="I2019" s="9">
        <v>811.09369000000004</v>
      </c>
      <c r="J2019">
        <v>846.28827999999999</v>
      </c>
      <c r="K2019">
        <v>679.01323300000001</v>
      </c>
      <c r="L2019">
        <v>263.25250153483</v>
      </c>
    </row>
    <row r="2020" spans="1:12" x14ac:dyDescent="0.2">
      <c r="A2020" s="8" t="s">
        <v>32</v>
      </c>
      <c r="B2020" s="8" t="s">
        <v>140</v>
      </c>
      <c r="C2020" s="8" t="s">
        <v>345</v>
      </c>
      <c r="D2020" s="8" t="s">
        <v>346</v>
      </c>
      <c r="E2020" s="8" t="s">
        <v>43</v>
      </c>
      <c r="F2020" s="8" t="s">
        <v>44</v>
      </c>
      <c r="G2020" s="8" t="s">
        <v>7</v>
      </c>
      <c r="H2020" s="8" t="s">
        <v>38</v>
      </c>
      <c r="I2020" s="9">
        <v>1983.7225000000001</v>
      </c>
      <c r="J2020">
        <v>2210.352774</v>
      </c>
      <c r="K2020">
        <v>2227.6340449999998</v>
      </c>
      <c r="L2020">
        <v>2174.7088278643</v>
      </c>
    </row>
    <row r="2021" spans="1:12" x14ac:dyDescent="0.2">
      <c r="A2021" s="8" t="s">
        <v>32</v>
      </c>
      <c r="B2021" s="8" t="s">
        <v>140</v>
      </c>
      <c r="C2021" s="8" t="s">
        <v>345</v>
      </c>
      <c r="D2021" s="8" t="s">
        <v>346</v>
      </c>
      <c r="E2021" s="8" t="s">
        <v>66</v>
      </c>
      <c r="F2021" s="8" t="s">
        <v>67</v>
      </c>
      <c r="G2021" s="8" t="s">
        <v>7</v>
      </c>
      <c r="H2021" s="8" t="s">
        <v>38</v>
      </c>
      <c r="I2021" s="9">
        <v>16.710291000000002</v>
      </c>
      <c r="J2021">
        <v>14.187927</v>
      </c>
      <c r="K2021">
        <v>16.080441</v>
      </c>
      <c r="L2021">
        <v>15.449690173792</v>
      </c>
    </row>
    <row r="2022" spans="1:12" x14ac:dyDescent="0.2">
      <c r="A2022" s="8" t="s">
        <v>32</v>
      </c>
      <c r="B2022" s="8" t="s">
        <v>140</v>
      </c>
      <c r="C2022" s="8" t="s">
        <v>345</v>
      </c>
      <c r="D2022" s="8" t="s">
        <v>346</v>
      </c>
      <c r="E2022" s="8" t="s">
        <v>45</v>
      </c>
      <c r="F2022" s="8" t="s">
        <v>46</v>
      </c>
      <c r="G2022" s="8" t="s">
        <v>7</v>
      </c>
      <c r="H2022" s="8" t="s">
        <v>38</v>
      </c>
      <c r="I2022" s="9">
        <v>0.63059100000000001</v>
      </c>
      <c r="J2022">
        <v>0.31492500000000001</v>
      </c>
    </row>
    <row r="2023" spans="1:12" x14ac:dyDescent="0.2">
      <c r="A2023" s="8" t="s">
        <v>32</v>
      </c>
      <c r="B2023" s="8" t="s">
        <v>140</v>
      </c>
      <c r="C2023" s="8" t="s">
        <v>345</v>
      </c>
      <c r="D2023" s="8" t="s">
        <v>346</v>
      </c>
      <c r="E2023" s="8" t="s">
        <v>47</v>
      </c>
      <c r="F2023" s="8" t="s">
        <v>48</v>
      </c>
      <c r="G2023" s="8" t="s">
        <v>7</v>
      </c>
      <c r="H2023" s="8" t="s">
        <v>38</v>
      </c>
      <c r="I2023" s="9">
        <v>15.936446999999999</v>
      </c>
      <c r="J2023">
        <v>7.3029840000000004</v>
      </c>
      <c r="K2023">
        <v>3.1359210000000002</v>
      </c>
      <c r="L2023">
        <v>3.5471542777392999</v>
      </c>
    </row>
    <row r="2024" spans="1:12" x14ac:dyDescent="0.2">
      <c r="A2024" s="8" t="s">
        <v>32</v>
      </c>
      <c r="B2024" s="8" t="s">
        <v>140</v>
      </c>
      <c r="C2024" s="8" t="s">
        <v>345</v>
      </c>
      <c r="D2024" s="8" t="s">
        <v>346</v>
      </c>
      <c r="E2024" s="8" t="s">
        <v>49</v>
      </c>
      <c r="F2024" s="8" t="s">
        <v>50</v>
      </c>
      <c r="G2024" s="8" t="s">
        <v>7</v>
      </c>
      <c r="H2024" s="8" t="s">
        <v>38</v>
      </c>
      <c r="I2024" s="9">
        <v>1598.5773999999999</v>
      </c>
      <c r="J2024">
        <v>1877.717533</v>
      </c>
      <c r="K2024">
        <v>1495.0065569999999</v>
      </c>
      <c r="L2024">
        <v>1359.869876062</v>
      </c>
    </row>
    <row r="2025" spans="1:12" x14ac:dyDescent="0.2">
      <c r="A2025" s="8" t="s">
        <v>32</v>
      </c>
      <c r="B2025" s="8" t="s">
        <v>140</v>
      </c>
      <c r="C2025" s="8" t="s">
        <v>345</v>
      </c>
      <c r="D2025" s="8" t="s">
        <v>346</v>
      </c>
      <c r="E2025" s="8" t="s">
        <v>51</v>
      </c>
      <c r="F2025" s="8" t="s">
        <v>52</v>
      </c>
      <c r="G2025" s="8" t="s">
        <v>7</v>
      </c>
      <c r="H2025" s="8" t="s">
        <v>38</v>
      </c>
      <c r="I2025" s="9"/>
    </row>
    <row r="2026" spans="1:12" x14ac:dyDescent="0.2">
      <c r="A2026" s="8" t="s">
        <v>32</v>
      </c>
      <c r="B2026" s="8" t="s">
        <v>140</v>
      </c>
      <c r="C2026" s="8" t="s">
        <v>345</v>
      </c>
      <c r="D2026" s="8" t="s">
        <v>346</v>
      </c>
      <c r="E2026" s="8" t="s">
        <v>53</v>
      </c>
      <c r="F2026" s="8" t="s">
        <v>54</v>
      </c>
      <c r="G2026" s="8" t="s">
        <v>7</v>
      </c>
      <c r="H2026" s="8" t="s">
        <v>38</v>
      </c>
      <c r="I2026" s="9">
        <v>57.935299000000001</v>
      </c>
      <c r="J2026">
        <v>55.491224466509998</v>
      </c>
      <c r="K2026">
        <v>47.951450169254997</v>
      </c>
      <c r="L2026">
        <v>38.390796904227003</v>
      </c>
    </row>
    <row r="2027" spans="1:12" x14ac:dyDescent="0.2">
      <c r="A2027" s="8" t="s">
        <v>32</v>
      </c>
      <c r="B2027" s="8" t="s">
        <v>140</v>
      </c>
      <c r="C2027" s="8" t="s">
        <v>345</v>
      </c>
      <c r="D2027" s="8" t="s">
        <v>346</v>
      </c>
      <c r="E2027" s="8" t="s">
        <v>70</v>
      </c>
      <c r="F2027" s="8" t="s">
        <v>71</v>
      </c>
      <c r="G2027" s="8" t="s">
        <v>7</v>
      </c>
      <c r="H2027" s="8" t="s">
        <v>38</v>
      </c>
      <c r="I2027" s="9">
        <v>530.53405999999995</v>
      </c>
      <c r="J2027">
        <v>533.97071934799999</v>
      </c>
      <c r="K2027">
        <v>515.49868319999996</v>
      </c>
      <c r="L2027">
        <v>514.91712973583003</v>
      </c>
    </row>
    <row r="2028" spans="1:12" x14ac:dyDescent="0.2">
      <c r="A2028" s="8" t="s">
        <v>32</v>
      </c>
      <c r="B2028" s="8" t="s">
        <v>140</v>
      </c>
      <c r="C2028" s="8" t="s">
        <v>345</v>
      </c>
      <c r="D2028" s="8" t="s">
        <v>346</v>
      </c>
      <c r="E2028" s="8" t="s">
        <v>83</v>
      </c>
      <c r="F2028" s="8" t="s">
        <v>84</v>
      </c>
      <c r="G2028" s="8" t="s">
        <v>7</v>
      </c>
      <c r="H2028" s="8" t="s">
        <v>38</v>
      </c>
      <c r="I2028" s="9"/>
    </row>
    <row r="2029" spans="1:12" x14ac:dyDescent="0.2">
      <c r="A2029" s="8" t="s">
        <v>32</v>
      </c>
      <c r="B2029" s="8" t="s">
        <v>140</v>
      </c>
      <c r="C2029" s="8" t="s">
        <v>345</v>
      </c>
      <c r="D2029" s="8" t="s">
        <v>346</v>
      </c>
      <c r="E2029" s="8" t="s">
        <v>55</v>
      </c>
      <c r="F2029" s="8" t="s">
        <v>56</v>
      </c>
      <c r="G2029" s="8" t="s">
        <v>7</v>
      </c>
      <c r="H2029" s="8" t="s">
        <v>38</v>
      </c>
      <c r="I2029" s="9">
        <v>0.18346000000000001</v>
      </c>
      <c r="J2029">
        <v>0.20547992542900001</v>
      </c>
      <c r="K2029">
        <v>0.20547992542900001</v>
      </c>
      <c r="L2029">
        <v>0.20547992542900001</v>
      </c>
    </row>
    <row r="2030" spans="1:12" x14ac:dyDescent="0.2">
      <c r="A2030" s="8" t="s">
        <v>32</v>
      </c>
      <c r="B2030" s="8" t="s">
        <v>140</v>
      </c>
      <c r="C2030" s="8" t="s">
        <v>345</v>
      </c>
      <c r="D2030" s="8" t="s">
        <v>346</v>
      </c>
      <c r="E2030" s="8" t="s">
        <v>57</v>
      </c>
      <c r="F2030" s="8" t="s">
        <v>58</v>
      </c>
      <c r="G2030" s="8" t="s">
        <v>7</v>
      </c>
      <c r="H2030" s="8" t="s">
        <v>38</v>
      </c>
      <c r="I2030" s="9">
        <v>11.345826000000001</v>
      </c>
      <c r="J2030">
        <v>12.707619429780999</v>
      </c>
      <c r="K2030">
        <v>12.707619429780999</v>
      </c>
      <c r="L2030">
        <v>12.707619429780999</v>
      </c>
    </row>
    <row r="2031" spans="1:12" x14ac:dyDescent="0.2">
      <c r="A2031" s="8" t="s">
        <v>32</v>
      </c>
      <c r="B2031" s="8" t="s">
        <v>140</v>
      </c>
      <c r="C2031" s="8" t="s">
        <v>345</v>
      </c>
      <c r="D2031" s="8" t="s">
        <v>346</v>
      </c>
      <c r="E2031" s="8" t="s">
        <v>72</v>
      </c>
      <c r="F2031" s="8" t="s">
        <v>73</v>
      </c>
      <c r="G2031" s="8" t="s">
        <v>7</v>
      </c>
      <c r="H2031" s="8" t="s">
        <v>38</v>
      </c>
      <c r="I2031" s="9">
        <v>0.59003019999999995</v>
      </c>
      <c r="J2031">
        <v>0.59003017153505999</v>
      </c>
      <c r="K2031">
        <v>0.50673530674128997</v>
      </c>
      <c r="L2031">
        <v>0.53170733804104997</v>
      </c>
    </row>
    <row r="2032" spans="1:12" x14ac:dyDescent="0.2">
      <c r="A2032" s="8" t="s">
        <v>32</v>
      </c>
      <c r="B2032" s="8" t="s">
        <v>140</v>
      </c>
      <c r="C2032" s="8" t="s">
        <v>345</v>
      </c>
      <c r="D2032" s="8" t="s">
        <v>346</v>
      </c>
      <c r="E2032" s="8" t="s">
        <v>74</v>
      </c>
      <c r="F2032" s="8" t="s">
        <v>75</v>
      </c>
      <c r="G2032" s="8" t="s">
        <v>7</v>
      </c>
      <c r="H2032" s="8" t="s">
        <v>38</v>
      </c>
      <c r="I2032" s="9">
        <v>18.600000000000001</v>
      </c>
      <c r="J2032">
        <v>22.8</v>
      </c>
      <c r="K2032">
        <v>22.4</v>
      </c>
      <c r="L2032">
        <v>20</v>
      </c>
    </row>
    <row r="2033" spans="1:12" x14ac:dyDescent="0.2">
      <c r="A2033" s="8" t="s">
        <v>32</v>
      </c>
      <c r="B2033" s="8" t="s">
        <v>140</v>
      </c>
      <c r="C2033" s="8" t="s">
        <v>345</v>
      </c>
      <c r="D2033" s="8" t="s">
        <v>346</v>
      </c>
      <c r="E2033" s="8" t="s">
        <v>59</v>
      </c>
      <c r="F2033" s="8" t="s">
        <v>60</v>
      </c>
      <c r="G2033" s="8" t="s">
        <v>7</v>
      </c>
      <c r="H2033" s="8" t="s">
        <v>38</v>
      </c>
      <c r="I2033" s="9">
        <v>52.326248999999997</v>
      </c>
      <c r="J2033">
        <v>79.527502863118997</v>
      </c>
      <c r="K2033">
        <v>79.151469320036</v>
      </c>
      <c r="L2033">
        <v>83.236359518775004</v>
      </c>
    </row>
    <row r="2034" spans="1:12" x14ac:dyDescent="0.2">
      <c r="A2034" s="8" t="s">
        <v>32</v>
      </c>
      <c r="B2034" s="8" t="s">
        <v>140</v>
      </c>
      <c r="C2034" s="8" t="s">
        <v>345</v>
      </c>
      <c r="D2034" s="8" t="s">
        <v>346</v>
      </c>
      <c r="E2034" s="8" t="s">
        <v>76</v>
      </c>
      <c r="F2034" s="8" t="s">
        <v>77</v>
      </c>
      <c r="G2034" s="8" t="s">
        <v>7</v>
      </c>
      <c r="H2034" s="8" t="s">
        <v>38</v>
      </c>
      <c r="I2034" s="9">
        <v>101.09524</v>
      </c>
      <c r="J2034">
        <v>96.276190483571995</v>
      </c>
      <c r="K2034">
        <v>37.714285718912002</v>
      </c>
      <c r="L2034">
        <v>37.714285718912002</v>
      </c>
    </row>
    <row r="2035" spans="1:12" x14ac:dyDescent="0.2">
      <c r="A2035" s="8" t="s">
        <v>32</v>
      </c>
      <c r="B2035" s="8" t="s">
        <v>140</v>
      </c>
      <c r="C2035" s="8" t="s">
        <v>345</v>
      </c>
      <c r="D2035" s="8" t="s">
        <v>346</v>
      </c>
      <c r="E2035" s="8" t="s">
        <v>78</v>
      </c>
      <c r="F2035" s="8" t="s">
        <v>79</v>
      </c>
      <c r="G2035" s="8" t="s">
        <v>7</v>
      </c>
      <c r="H2035" s="8" t="s">
        <v>38</v>
      </c>
      <c r="I2035" s="9">
        <v>44.314278000000002</v>
      </c>
      <c r="J2035">
        <v>16.971425485714001</v>
      </c>
      <c r="K2035">
        <v>31.114280057142999</v>
      </c>
      <c r="L2035">
        <v>32.497136948570997</v>
      </c>
    </row>
    <row r="2036" spans="1:12" x14ac:dyDescent="0.2">
      <c r="A2036" s="8" t="s">
        <v>32</v>
      </c>
      <c r="B2036" s="8" t="s">
        <v>140</v>
      </c>
      <c r="C2036" s="8" t="s">
        <v>345</v>
      </c>
      <c r="D2036" s="8" t="s">
        <v>346</v>
      </c>
      <c r="E2036" s="8" t="s">
        <v>92</v>
      </c>
      <c r="F2036" s="8" t="s">
        <v>93</v>
      </c>
      <c r="G2036" s="8" t="s">
        <v>7</v>
      </c>
      <c r="H2036" s="8" t="s">
        <v>38</v>
      </c>
      <c r="I2036" s="9">
        <v>2.4188113000000002</v>
      </c>
      <c r="J2036">
        <v>2.4170359477879999</v>
      </c>
      <c r="K2036">
        <v>2.4152619035168001</v>
      </c>
      <c r="L2036">
        <v>2.4129648926160998</v>
      </c>
    </row>
    <row r="2037" spans="1:12" x14ac:dyDescent="0.2">
      <c r="A2037" s="8" t="s">
        <v>32</v>
      </c>
      <c r="B2037" s="8" t="s">
        <v>120</v>
      </c>
      <c r="C2037" s="8" t="s">
        <v>347</v>
      </c>
      <c r="D2037" s="8" t="s">
        <v>348</v>
      </c>
      <c r="E2037" s="8" t="s">
        <v>36</v>
      </c>
      <c r="F2037" s="8" t="s">
        <v>37</v>
      </c>
      <c r="G2037" s="8" t="s">
        <v>7</v>
      </c>
      <c r="H2037" s="8" t="s">
        <v>38</v>
      </c>
      <c r="I2037" s="9">
        <v>1230.2414000000001</v>
      </c>
      <c r="J2037">
        <v>1674.916833</v>
      </c>
      <c r="K2037">
        <v>1720.5732</v>
      </c>
      <c r="L2037">
        <v>1833.4208069094</v>
      </c>
    </row>
    <row r="2038" spans="1:12" x14ac:dyDescent="0.2">
      <c r="A2038" s="8" t="s">
        <v>32</v>
      </c>
      <c r="B2038" s="8" t="s">
        <v>120</v>
      </c>
      <c r="C2038" s="8" t="s">
        <v>347</v>
      </c>
      <c r="D2038" s="8" t="s">
        <v>348</v>
      </c>
      <c r="E2038" s="8" t="s">
        <v>39</v>
      </c>
      <c r="F2038" s="8" t="s">
        <v>40</v>
      </c>
      <c r="G2038" s="8" t="s">
        <v>7</v>
      </c>
      <c r="H2038" s="8" t="s">
        <v>38</v>
      </c>
      <c r="I2038" s="9">
        <v>274.53807</v>
      </c>
      <c r="J2038">
        <v>521.00635499999999</v>
      </c>
      <c r="K2038">
        <v>603.45133699999997</v>
      </c>
      <c r="L2038">
        <v>666.49358086882</v>
      </c>
    </row>
    <row r="2039" spans="1:12" x14ac:dyDescent="0.2">
      <c r="A2039" s="8" t="s">
        <v>32</v>
      </c>
      <c r="B2039" s="8" t="s">
        <v>120</v>
      </c>
      <c r="C2039" s="8" t="s">
        <v>347</v>
      </c>
      <c r="D2039" s="8" t="s">
        <v>348</v>
      </c>
      <c r="E2039" s="8" t="s">
        <v>41</v>
      </c>
      <c r="F2039" s="8" t="s">
        <v>42</v>
      </c>
      <c r="G2039" s="8" t="s">
        <v>7</v>
      </c>
      <c r="H2039" s="8" t="s">
        <v>38</v>
      </c>
      <c r="I2039" s="9">
        <v>11.235708000000001</v>
      </c>
      <c r="J2039">
        <v>9.9981860000000005</v>
      </c>
      <c r="K2039">
        <v>22.075174000000001</v>
      </c>
      <c r="L2039">
        <v>24.879702908429</v>
      </c>
    </row>
    <row r="2040" spans="1:12" x14ac:dyDescent="0.2">
      <c r="A2040" s="8" t="s">
        <v>32</v>
      </c>
      <c r="B2040" s="8" t="s">
        <v>120</v>
      </c>
      <c r="C2040" s="8" t="s">
        <v>347</v>
      </c>
      <c r="D2040" s="8" t="s">
        <v>348</v>
      </c>
      <c r="E2040" s="8" t="s">
        <v>43</v>
      </c>
      <c r="F2040" s="8" t="s">
        <v>44</v>
      </c>
      <c r="G2040" s="8" t="s">
        <v>7</v>
      </c>
      <c r="H2040" s="8" t="s">
        <v>38</v>
      </c>
      <c r="I2040" s="9">
        <v>1074.7994000000001</v>
      </c>
      <c r="J2040">
        <v>1277.8636469999999</v>
      </c>
      <c r="K2040">
        <v>1404.2626379999999</v>
      </c>
      <c r="L2040">
        <v>1431.8869294235001</v>
      </c>
    </row>
    <row r="2041" spans="1:12" x14ac:dyDescent="0.2">
      <c r="A2041" s="8" t="s">
        <v>32</v>
      </c>
      <c r="B2041" s="8" t="s">
        <v>120</v>
      </c>
      <c r="C2041" s="8" t="s">
        <v>347</v>
      </c>
      <c r="D2041" s="8" t="s">
        <v>348</v>
      </c>
      <c r="E2041" s="8" t="s">
        <v>45</v>
      </c>
      <c r="F2041" s="8" t="s">
        <v>46</v>
      </c>
      <c r="G2041" s="8" t="s">
        <v>7</v>
      </c>
      <c r="H2041" s="8" t="s">
        <v>38</v>
      </c>
      <c r="I2041" s="9">
        <v>69.030086999999995</v>
      </c>
      <c r="J2041">
        <v>84.019524000000004</v>
      </c>
      <c r="K2041">
        <v>92.280192</v>
      </c>
      <c r="L2041">
        <v>86.449726528111995</v>
      </c>
    </row>
    <row r="2042" spans="1:12" x14ac:dyDescent="0.2">
      <c r="A2042" s="8" t="s">
        <v>32</v>
      </c>
      <c r="B2042" s="8" t="s">
        <v>120</v>
      </c>
      <c r="C2042" s="8" t="s">
        <v>347</v>
      </c>
      <c r="D2042" s="8" t="s">
        <v>348</v>
      </c>
      <c r="E2042" s="8" t="s">
        <v>47</v>
      </c>
      <c r="F2042" s="8" t="s">
        <v>48</v>
      </c>
      <c r="G2042" s="8" t="s">
        <v>7</v>
      </c>
      <c r="H2042" s="8" t="s">
        <v>38</v>
      </c>
      <c r="I2042" s="9"/>
    </row>
    <row r="2043" spans="1:12" x14ac:dyDescent="0.2">
      <c r="A2043" s="8" t="s">
        <v>32</v>
      </c>
      <c r="B2043" s="8" t="s">
        <v>120</v>
      </c>
      <c r="C2043" s="8" t="s">
        <v>347</v>
      </c>
      <c r="D2043" s="8" t="s">
        <v>348</v>
      </c>
      <c r="E2043" s="8" t="s">
        <v>49</v>
      </c>
      <c r="F2043" s="8" t="s">
        <v>50</v>
      </c>
      <c r="G2043" s="8" t="s">
        <v>7</v>
      </c>
      <c r="H2043" s="8" t="s">
        <v>38</v>
      </c>
      <c r="I2043" s="9">
        <v>114.12869999999999</v>
      </c>
      <c r="J2043">
        <v>139.85141200000001</v>
      </c>
      <c r="K2043">
        <v>160.062074</v>
      </c>
      <c r="L2043">
        <v>163.21077372210999</v>
      </c>
    </row>
    <row r="2044" spans="1:12" x14ac:dyDescent="0.2">
      <c r="A2044" s="8" t="s">
        <v>32</v>
      </c>
      <c r="B2044" s="8" t="s">
        <v>120</v>
      </c>
      <c r="C2044" s="8" t="s">
        <v>347</v>
      </c>
      <c r="D2044" s="8" t="s">
        <v>348</v>
      </c>
      <c r="E2044" s="8" t="s">
        <v>51</v>
      </c>
      <c r="F2044" s="8" t="s">
        <v>52</v>
      </c>
      <c r="G2044" s="8" t="s">
        <v>7</v>
      </c>
      <c r="H2044" s="8" t="s">
        <v>38</v>
      </c>
      <c r="I2044" s="9">
        <v>236.63122999999999</v>
      </c>
      <c r="J2044">
        <v>275.87507099999999</v>
      </c>
      <c r="K2044">
        <v>259.96983299999999</v>
      </c>
      <c r="L2044">
        <v>265.08389231753</v>
      </c>
    </row>
    <row r="2045" spans="1:12" x14ac:dyDescent="0.2">
      <c r="A2045" s="8" t="s">
        <v>32</v>
      </c>
      <c r="B2045" s="8" t="s">
        <v>120</v>
      </c>
      <c r="C2045" s="8" t="s">
        <v>347</v>
      </c>
      <c r="D2045" s="8" t="s">
        <v>348</v>
      </c>
      <c r="E2045" s="8" t="s">
        <v>53</v>
      </c>
      <c r="F2045" s="8" t="s">
        <v>54</v>
      </c>
      <c r="G2045" s="8" t="s">
        <v>7</v>
      </c>
      <c r="H2045" s="8" t="s">
        <v>38</v>
      </c>
      <c r="I2045" s="9"/>
    </row>
    <row r="2046" spans="1:12" x14ac:dyDescent="0.2">
      <c r="A2046" s="8" t="s">
        <v>32</v>
      </c>
      <c r="B2046" s="8" t="s">
        <v>120</v>
      </c>
      <c r="C2046" s="8" t="s">
        <v>347</v>
      </c>
      <c r="D2046" s="8" t="s">
        <v>348</v>
      </c>
      <c r="E2046" s="8" t="s">
        <v>70</v>
      </c>
      <c r="F2046" s="8" t="s">
        <v>71</v>
      </c>
      <c r="G2046" s="8" t="s">
        <v>7</v>
      </c>
      <c r="H2046" s="8" t="s">
        <v>38</v>
      </c>
      <c r="I2046" s="9">
        <v>58.593263999999998</v>
      </c>
      <c r="J2046">
        <v>58.593263550000003</v>
      </c>
      <c r="K2046">
        <v>58.593263550000003</v>
      </c>
      <c r="L2046">
        <v>58.527162284360998</v>
      </c>
    </row>
    <row r="2047" spans="1:12" x14ac:dyDescent="0.2">
      <c r="A2047" s="8" t="s">
        <v>32</v>
      </c>
      <c r="B2047" s="8" t="s">
        <v>120</v>
      </c>
      <c r="C2047" s="8" t="s">
        <v>347</v>
      </c>
      <c r="D2047" s="8" t="s">
        <v>348</v>
      </c>
      <c r="E2047" s="8" t="s">
        <v>55</v>
      </c>
      <c r="F2047" s="8" t="s">
        <v>56</v>
      </c>
      <c r="G2047" s="8" t="s">
        <v>7</v>
      </c>
      <c r="H2047" s="8" t="s">
        <v>38</v>
      </c>
      <c r="I2047" s="9">
        <v>1.0693648</v>
      </c>
      <c r="J2047">
        <v>1.1977162845513001</v>
      </c>
      <c r="K2047">
        <v>1.1977162845513001</v>
      </c>
      <c r="L2047">
        <v>1.1977162845513001</v>
      </c>
    </row>
    <row r="2048" spans="1:12" x14ac:dyDescent="0.2">
      <c r="A2048" s="8" t="s">
        <v>32</v>
      </c>
      <c r="B2048" s="8" t="s">
        <v>120</v>
      </c>
      <c r="C2048" s="8" t="s">
        <v>347</v>
      </c>
      <c r="D2048" s="8" t="s">
        <v>348</v>
      </c>
      <c r="E2048" s="8" t="s">
        <v>57</v>
      </c>
      <c r="F2048" s="8" t="s">
        <v>58</v>
      </c>
      <c r="G2048" s="8" t="s">
        <v>7</v>
      </c>
      <c r="H2048" s="8" t="s">
        <v>38</v>
      </c>
      <c r="I2048" s="9">
        <v>0.1323568</v>
      </c>
      <c r="J2048">
        <v>0.14824306459629</v>
      </c>
      <c r="K2048">
        <v>0.14824306459629</v>
      </c>
      <c r="L2048">
        <v>0.14824306459629</v>
      </c>
    </row>
    <row r="2049" spans="1:12" x14ac:dyDescent="0.2">
      <c r="A2049" s="8" t="s">
        <v>32</v>
      </c>
      <c r="B2049" s="8" t="s">
        <v>120</v>
      </c>
      <c r="C2049" s="8" t="s">
        <v>347</v>
      </c>
      <c r="D2049" s="8" t="s">
        <v>348</v>
      </c>
      <c r="E2049" s="8" t="s">
        <v>59</v>
      </c>
      <c r="F2049" s="8" t="s">
        <v>60</v>
      </c>
      <c r="G2049" s="8" t="s">
        <v>7</v>
      </c>
      <c r="H2049" s="8" t="s">
        <v>38</v>
      </c>
      <c r="I2049" s="9">
        <v>57.731636999999999</v>
      </c>
      <c r="J2049">
        <v>59.527780587777002</v>
      </c>
      <c r="K2049">
        <v>61.373767281696999</v>
      </c>
      <c r="L2049">
        <v>62.901414112108</v>
      </c>
    </row>
    <row r="2050" spans="1:12" x14ac:dyDescent="0.2">
      <c r="A2050" s="8" t="s">
        <v>32</v>
      </c>
      <c r="B2050" s="8" t="s">
        <v>61</v>
      </c>
      <c r="C2050" s="8" t="s">
        <v>349</v>
      </c>
      <c r="D2050" s="8" t="s">
        <v>350</v>
      </c>
      <c r="E2050" s="8" t="s">
        <v>36</v>
      </c>
      <c r="F2050" s="8" t="s">
        <v>37</v>
      </c>
      <c r="G2050" s="8" t="s">
        <v>7</v>
      </c>
      <c r="H2050" s="8" t="s">
        <v>38</v>
      </c>
      <c r="I2050" s="9">
        <v>285.76990999999998</v>
      </c>
      <c r="J2050">
        <v>389.64078305024998</v>
      </c>
      <c r="K2050">
        <v>414.88845630589998</v>
      </c>
      <c r="L2050">
        <v>412.92752879825002</v>
      </c>
    </row>
    <row r="2051" spans="1:12" x14ac:dyDescent="0.2">
      <c r="A2051" s="8" t="s">
        <v>32</v>
      </c>
      <c r="B2051" s="8" t="s">
        <v>61</v>
      </c>
      <c r="C2051" s="8" t="s">
        <v>349</v>
      </c>
      <c r="D2051" s="8" t="s">
        <v>350</v>
      </c>
      <c r="E2051" s="8" t="s">
        <v>39</v>
      </c>
      <c r="F2051" s="8" t="s">
        <v>40</v>
      </c>
      <c r="G2051" s="8" t="s">
        <v>7</v>
      </c>
      <c r="H2051" s="8" t="s">
        <v>38</v>
      </c>
      <c r="I2051" s="9">
        <v>154.01025000000001</v>
      </c>
      <c r="J2051">
        <v>206.66722183795</v>
      </c>
      <c r="K2051">
        <v>220.05863815295999</v>
      </c>
      <c r="L2051">
        <v>219.01855369098999</v>
      </c>
    </row>
    <row r="2052" spans="1:12" x14ac:dyDescent="0.2">
      <c r="A2052" s="8" t="s">
        <v>32</v>
      </c>
      <c r="B2052" s="8" t="s">
        <v>61</v>
      </c>
      <c r="C2052" s="8" t="s">
        <v>349</v>
      </c>
      <c r="D2052" s="8" t="s">
        <v>350</v>
      </c>
      <c r="E2052" s="8" t="s">
        <v>41</v>
      </c>
      <c r="F2052" s="8" t="s">
        <v>42</v>
      </c>
      <c r="G2052" s="8" t="s">
        <v>7</v>
      </c>
      <c r="H2052" s="8" t="s">
        <v>38</v>
      </c>
      <c r="I2052" s="9">
        <v>29.276667</v>
      </c>
      <c r="J2052">
        <v>42.479353421230996</v>
      </c>
      <c r="K2052">
        <v>45.231866354882001</v>
      </c>
      <c r="L2052">
        <v>60.238766632344003</v>
      </c>
    </row>
    <row r="2053" spans="1:12" x14ac:dyDescent="0.2">
      <c r="A2053" s="8" t="s">
        <v>32</v>
      </c>
      <c r="B2053" s="8" t="s">
        <v>61</v>
      </c>
      <c r="C2053" s="8" t="s">
        <v>349</v>
      </c>
      <c r="D2053" s="8" t="s">
        <v>350</v>
      </c>
      <c r="E2053" s="8" t="s">
        <v>43</v>
      </c>
      <c r="F2053" s="8" t="s">
        <v>44</v>
      </c>
      <c r="G2053" s="8" t="s">
        <v>7</v>
      </c>
      <c r="H2053" s="8" t="s">
        <v>38</v>
      </c>
      <c r="I2053" s="9">
        <v>493.88729999999998</v>
      </c>
      <c r="J2053">
        <v>697.57039292357001</v>
      </c>
      <c r="K2053">
        <v>742.77054058920999</v>
      </c>
      <c r="L2053">
        <v>739.25991221963</v>
      </c>
    </row>
    <row r="2054" spans="1:12" x14ac:dyDescent="0.2">
      <c r="A2054" s="8" t="s">
        <v>32</v>
      </c>
      <c r="B2054" s="8" t="s">
        <v>61</v>
      </c>
      <c r="C2054" s="8" t="s">
        <v>349</v>
      </c>
      <c r="D2054" s="8" t="s">
        <v>350</v>
      </c>
      <c r="E2054" s="8" t="s">
        <v>66</v>
      </c>
      <c r="F2054" s="8" t="s">
        <v>67</v>
      </c>
      <c r="G2054" s="8" t="s">
        <v>7</v>
      </c>
      <c r="H2054" s="8" t="s">
        <v>38</v>
      </c>
      <c r="I2054" s="9"/>
    </row>
    <row r="2055" spans="1:12" x14ac:dyDescent="0.2">
      <c r="A2055" s="8" t="s">
        <v>32</v>
      </c>
      <c r="B2055" s="8" t="s">
        <v>61</v>
      </c>
      <c r="C2055" s="8" t="s">
        <v>349</v>
      </c>
      <c r="D2055" s="8" t="s">
        <v>350</v>
      </c>
      <c r="E2055" s="8" t="s">
        <v>45</v>
      </c>
      <c r="F2055" s="8" t="s">
        <v>46</v>
      </c>
      <c r="G2055" s="8" t="s">
        <v>7</v>
      </c>
      <c r="H2055" s="8" t="s">
        <v>38</v>
      </c>
      <c r="I2055" s="9">
        <v>33.999872000000003</v>
      </c>
      <c r="J2055">
        <v>57.555042526718999</v>
      </c>
      <c r="K2055">
        <v>61.284414086406997</v>
      </c>
      <c r="L2055">
        <v>59.149820067755002</v>
      </c>
    </row>
    <row r="2056" spans="1:12" x14ac:dyDescent="0.2">
      <c r="A2056" s="8" t="s">
        <v>32</v>
      </c>
      <c r="B2056" s="8" t="s">
        <v>61</v>
      </c>
      <c r="C2056" s="8" t="s">
        <v>349</v>
      </c>
      <c r="D2056" s="8" t="s">
        <v>350</v>
      </c>
      <c r="E2056" s="8" t="s">
        <v>47</v>
      </c>
      <c r="F2056" s="8" t="s">
        <v>48</v>
      </c>
      <c r="G2056" s="8" t="s">
        <v>7</v>
      </c>
      <c r="H2056" s="8" t="s">
        <v>38</v>
      </c>
      <c r="I2056" s="9">
        <v>35.659728000000001</v>
      </c>
      <c r="J2056">
        <v>49.141319043232002</v>
      </c>
      <c r="K2056">
        <v>52.325182004958002</v>
      </c>
      <c r="L2056">
        <v>52.077872427702999</v>
      </c>
    </row>
    <row r="2057" spans="1:12" x14ac:dyDescent="0.2">
      <c r="A2057" s="8" t="s">
        <v>32</v>
      </c>
      <c r="B2057" s="8" t="s">
        <v>61</v>
      </c>
      <c r="C2057" s="8" t="s">
        <v>349</v>
      </c>
      <c r="D2057" s="8" t="s">
        <v>350</v>
      </c>
      <c r="E2057" s="8" t="s">
        <v>49</v>
      </c>
      <c r="F2057" s="8" t="s">
        <v>50</v>
      </c>
      <c r="G2057" s="8" t="s">
        <v>7</v>
      </c>
      <c r="H2057" s="8" t="s">
        <v>38</v>
      </c>
      <c r="I2057" s="9">
        <v>160.84236000000001</v>
      </c>
      <c r="J2057">
        <v>218.60219508304999</v>
      </c>
      <c r="K2057">
        <v>232.76696009362999</v>
      </c>
      <c r="L2057">
        <v>231.66681105843</v>
      </c>
    </row>
    <row r="2058" spans="1:12" x14ac:dyDescent="0.2">
      <c r="A2058" s="8" t="s">
        <v>32</v>
      </c>
      <c r="B2058" s="8" t="s">
        <v>61</v>
      </c>
      <c r="C2058" s="8" t="s">
        <v>349</v>
      </c>
      <c r="D2058" s="8" t="s">
        <v>350</v>
      </c>
      <c r="E2058" s="8" t="s">
        <v>51</v>
      </c>
      <c r="F2058" s="8" t="s">
        <v>52</v>
      </c>
      <c r="G2058" s="8" t="s">
        <v>7</v>
      </c>
      <c r="H2058" s="8" t="s">
        <v>38</v>
      </c>
      <c r="I2058" s="9">
        <v>7.4361572000000002</v>
      </c>
      <c r="J2058">
        <v>11.074695872295999</v>
      </c>
      <c r="K2058">
        <v>11.792094612959</v>
      </c>
      <c r="L2058">
        <v>11.736360493708</v>
      </c>
    </row>
    <row r="2059" spans="1:12" x14ac:dyDescent="0.2">
      <c r="A2059" s="8" t="s">
        <v>32</v>
      </c>
      <c r="B2059" s="8" t="s">
        <v>61</v>
      </c>
      <c r="C2059" s="8" t="s">
        <v>349</v>
      </c>
      <c r="D2059" s="8" t="s">
        <v>350</v>
      </c>
      <c r="E2059" s="8" t="s">
        <v>53</v>
      </c>
      <c r="F2059" s="8" t="s">
        <v>54</v>
      </c>
      <c r="G2059" s="8" t="s">
        <v>7</v>
      </c>
      <c r="H2059" s="8" t="s">
        <v>38</v>
      </c>
      <c r="I2059" s="9">
        <v>7.3540000000000002E-6</v>
      </c>
      <c r="J2059">
        <v>3.0839950179030998E-6</v>
      </c>
      <c r="K2059">
        <v>3.0623062794501001E-6</v>
      </c>
      <c r="L2059">
        <v>9.6158889814030994E-7</v>
      </c>
    </row>
    <row r="2060" spans="1:12" x14ac:dyDescent="0.2">
      <c r="A2060" s="8" t="s">
        <v>32</v>
      </c>
      <c r="B2060" s="8" t="s">
        <v>61</v>
      </c>
      <c r="C2060" s="8" t="s">
        <v>349</v>
      </c>
      <c r="D2060" s="8" t="s">
        <v>350</v>
      </c>
      <c r="E2060" s="8" t="s">
        <v>55</v>
      </c>
      <c r="F2060" s="8" t="s">
        <v>56</v>
      </c>
      <c r="G2060" s="8" t="s">
        <v>7</v>
      </c>
      <c r="H2060" s="8" t="s">
        <v>38</v>
      </c>
      <c r="I2060" s="9">
        <v>1.91956E-2</v>
      </c>
      <c r="J2060">
        <v>1.9472696453867001E-2</v>
      </c>
      <c r="K2060">
        <v>1.9753823889780999E-2</v>
      </c>
      <c r="L2060">
        <v>2.002771173235E-2</v>
      </c>
    </row>
    <row r="2061" spans="1:12" x14ac:dyDescent="0.2">
      <c r="A2061" s="8" t="s">
        <v>32</v>
      </c>
      <c r="B2061" s="8" t="s">
        <v>61</v>
      </c>
      <c r="C2061" s="8" t="s">
        <v>349</v>
      </c>
      <c r="D2061" s="8" t="s">
        <v>350</v>
      </c>
      <c r="E2061" s="8" t="s">
        <v>57</v>
      </c>
      <c r="F2061" s="8" t="s">
        <v>58</v>
      </c>
      <c r="G2061" s="8" t="s">
        <v>7</v>
      </c>
      <c r="H2061" s="8" t="s">
        <v>38</v>
      </c>
      <c r="I2061" s="9">
        <v>3.7120000000000002E-4</v>
      </c>
      <c r="J2061">
        <v>4.4382328128341999E-4</v>
      </c>
      <c r="K2061">
        <v>5.3068922831536996E-4</v>
      </c>
      <c r="L2061">
        <v>6.0877307397843997E-4</v>
      </c>
    </row>
    <row r="2062" spans="1:12" x14ac:dyDescent="0.2">
      <c r="A2062" s="8" t="s">
        <v>32</v>
      </c>
      <c r="B2062" s="8" t="s">
        <v>61</v>
      </c>
      <c r="C2062" s="8" t="s">
        <v>349</v>
      </c>
      <c r="D2062" s="8" t="s">
        <v>350</v>
      </c>
      <c r="E2062" s="8" t="s">
        <v>59</v>
      </c>
      <c r="F2062" s="8" t="s">
        <v>60</v>
      </c>
      <c r="G2062" s="8" t="s">
        <v>7</v>
      </c>
      <c r="H2062" s="8" t="s">
        <v>38</v>
      </c>
      <c r="I2062" s="9">
        <v>3.5510624000000002</v>
      </c>
      <c r="J2062">
        <v>4.3714159552853999</v>
      </c>
      <c r="K2062">
        <v>4.5898348658232999</v>
      </c>
      <c r="L2062">
        <v>4.2767517441012002</v>
      </c>
    </row>
    <row r="2063" spans="1:12" x14ac:dyDescent="0.2">
      <c r="A2063" s="8" t="s">
        <v>32</v>
      </c>
      <c r="B2063" s="8" t="s">
        <v>61</v>
      </c>
      <c r="C2063" s="8" t="s">
        <v>349</v>
      </c>
      <c r="D2063" s="8" t="s">
        <v>350</v>
      </c>
      <c r="E2063" s="8" t="s">
        <v>92</v>
      </c>
      <c r="F2063" s="8" t="s">
        <v>93</v>
      </c>
      <c r="G2063" s="8" t="s">
        <v>7</v>
      </c>
      <c r="H2063" s="8" t="s">
        <v>38</v>
      </c>
      <c r="I2063" s="9">
        <v>3.5518551999999999</v>
      </c>
      <c r="J2063">
        <v>3.6349450702695001</v>
      </c>
      <c r="K2063">
        <v>3.7301007003811999</v>
      </c>
      <c r="L2063">
        <v>3.8220248373907002</v>
      </c>
    </row>
    <row r="2064" spans="1:12" x14ac:dyDescent="0.2">
      <c r="A2064" s="8" t="s">
        <v>32</v>
      </c>
      <c r="B2064" s="8" t="s">
        <v>351</v>
      </c>
      <c r="C2064" s="8" t="s">
        <v>352</v>
      </c>
      <c r="D2064" s="8" t="s">
        <v>351</v>
      </c>
      <c r="E2064" s="8" t="s">
        <v>36</v>
      </c>
      <c r="F2064" s="8" t="s">
        <v>37</v>
      </c>
      <c r="G2064" s="8" t="s">
        <v>7</v>
      </c>
      <c r="H2064" s="8" t="s">
        <v>38</v>
      </c>
      <c r="I2064" s="9">
        <v>136614.60999999999</v>
      </c>
      <c r="J2064">
        <v>154331.989401</v>
      </c>
      <c r="K2064">
        <v>126332.50221599999</v>
      </c>
      <c r="L2064">
        <v>157592.96849192001</v>
      </c>
    </row>
    <row r="2065" spans="1:12" x14ac:dyDescent="0.2">
      <c r="A2065" s="8" t="s">
        <v>32</v>
      </c>
      <c r="B2065" s="8" t="s">
        <v>351</v>
      </c>
      <c r="C2065" s="8" t="s">
        <v>352</v>
      </c>
      <c r="D2065" s="8" t="s">
        <v>351</v>
      </c>
      <c r="E2065" s="8" t="s">
        <v>64</v>
      </c>
      <c r="F2065" s="8" t="s">
        <v>65</v>
      </c>
      <c r="G2065" s="8" t="s">
        <v>7</v>
      </c>
      <c r="H2065" s="8" t="s">
        <v>38</v>
      </c>
      <c r="I2065" s="9">
        <v>42647.127</v>
      </c>
      <c r="J2065">
        <v>42537.141810000001</v>
      </c>
      <c r="K2065">
        <v>45689.240899999997</v>
      </c>
      <c r="L2065">
        <v>44440.156376020997</v>
      </c>
    </row>
    <row r="2066" spans="1:12" x14ac:dyDescent="0.2">
      <c r="A2066" s="8" t="s">
        <v>32</v>
      </c>
      <c r="B2066" s="8" t="s">
        <v>351</v>
      </c>
      <c r="C2066" s="8" t="s">
        <v>352</v>
      </c>
      <c r="D2066" s="8" t="s">
        <v>351</v>
      </c>
      <c r="E2066" s="8" t="s">
        <v>39</v>
      </c>
      <c r="F2066" s="8" t="s">
        <v>40</v>
      </c>
      <c r="G2066" s="8" t="s">
        <v>7</v>
      </c>
      <c r="H2066" s="8" t="s">
        <v>38</v>
      </c>
      <c r="I2066" s="9">
        <v>50828.870999999999</v>
      </c>
      <c r="J2066">
        <v>43001.029104000001</v>
      </c>
      <c r="K2066">
        <v>45064.065385000002</v>
      </c>
      <c r="L2066">
        <v>44312.188150870003</v>
      </c>
    </row>
    <row r="2067" spans="1:12" x14ac:dyDescent="0.2">
      <c r="A2067" s="8" t="s">
        <v>32</v>
      </c>
      <c r="B2067" s="8" t="s">
        <v>351</v>
      </c>
      <c r="C2067" s="8" t="s">
        <v>352</v>
      </c>
      <c r="D2067" s="8" t="s">
        <v>351</v>
      </c>
      <c r="E2067" s="8" t="s">
        <v>41</v>
      </c>
      <c r="F2067" s="8" t="s">
        <v>42</v>
      </c>
      <c r="G2067" s="8" t="s">
        <v>7</v>
      </c>
      <c r="H2067" s="8" t="s">
        <v>38</v>
      </c>
      <c r="I2067" s="9">
        <v>37.631999999999998</v>
      </c>
      <c r="J2067">
        <v>40.768000000000001</v>
      </c>
      <c r="K2067">
        <v>53.311999999999998</v>
      </c>
      <c r="L2067">
        <v>37.63214</v>
      </c>
    </row>
    <row r="2068" spans="1:12" x14ac:dyDescent="0.2">
      <c r="A2068" s="8" t="s">
        <v>32</v>
      </c>
      <c r="B2068" s="8" t="s">
        <v>351</v>
      </c>
      <c r="C2068" s="8" t="s">
        <v>352</v>
      </c>
      <c r="D2068" s="8" t="s">
        <v>351</v>
      </c>
      <c r="E2068" s="8" t="s">
        <v>43</v>
      </c>
      <c r="F2068" s="8" t="s">
        <v>44</v>
      </c>
      <c r="G2068" s="8" t="s">
        <v>7</v>
      </c>
      <c r="H2068" s="8" t="s">
        <v>38</v>
      </c>
      <c r="I2068" s="9">
        <v>104538.02</v>
      </c>
      <c r="J2068">
        <v>102976.65513</v>
      </c>
      <c r="K2068">
        <v>126219.70609000001</v>
      </c>
      <c r="L2068">
        <v>122781.66572139</v>
      </c>
    </row>
    <row r="2069" spans="1:12" x14ac:dyDescent="0.2">
      <c r="A2069" s="8" t="s">
        <v>32</v>
      </c>
      <c r="B2069" s="8" t="s">
        <v>351</v>
      </c>
      <c r="C2069" s="8" t="s">
        <v>352</v>
      </c>
      <c r="D2069" s="8" t="s">
        <v>351</v>
      </c>
      <c r="E2069" s="8" t="s">
        <v>66</v>
      </c>
      <c r="F2069" s="8" t="s">
        <v>67</v>
      </c>
      <c r="G2069" s="8" t="s">
        <v>7</v>
      </c>
      <c r="H2069" s="8" t="s">
        <v>38</v>
      </c>
      <c r="I2069" s="9">
        <v>1212.1574000000001</v>
      </c>
      <c r="J2069">
        <v>1104.8309999999999</v>
      </c>
      <c r="K2069">
        <v>1748.78964</v>
      </c>
      <c r="L2069">
        <v>1751.9463739662001</v>
      </c>
    </row>
    <row r="2070" spans="1:12" x14ac:dyDescent="0.2">
      <c r="A2070" s="8" t="s">
        <v>32</v>
      </c>
      <c r="B2070" s="8" t="s">
        <v>351</v>
      </c>
      <c r="C2070" s="8" t="s">
        <v>352</v>
      </c>
      <c r="D2070" s="8" t="s">
        <v>351</v>
      </c>
      <c r="E2070" s="8" t="s">
        <v>45</v>
      </c>
      <c r="F2070" s="8" t="s">
        <v>46</v>
      </c>
      <c r="G2070" s="8" t="s">
        <v>7</v>
      </c>
      <c r="H2070" s="8" t="s">
        <v>38</v>
      </c>
      <c r="I2070" s="9">
        <v>1323.5382</v>
      </c>
      <c r="J2070">
        <v>1166.1569999999999</v>
      </c>
      <c r="K2070">
        <v>1789.8262199999999</v>
      </c>
      <c r="L2070">
        <v>1957.1291120471001</v>
      </c>
    </row>
    <row r="2071" spans="1:12" x14ac:dyDescent="0.2">
      <c r="A2071" s="8" t="s">
        <v>32</v>
      </c>
      <c r="B2071" s="8" t="s">
        <v>351</v>
      </c>
      <c r="C2071" s="8" t="s">
        <v>352</v>
      </c>
      <c r="D2071" s="8" t="s">
        <v>351</v>
      </c>
      <c r="E2071" s="8" t="s">
        <v>47</v>
      </c>
      <c r="F2071" s="8" t="s">
        <v>48</v>
      </c>
      <c r="G2071" s="8" t="s">
        <v>7</v>
      </c>
      <c r="H2071" s="8" t="s">
        <v>38</v>
      </c>
      <c r="I2071" s="9"/>
    </row>
    <row r="2072" spans="1:12" x14ac:dyDescent="0.2">
      <c r="A2072" s="8" t="s">
        <v>32</v>
      </c>
      <c r="B2072" s="8" t="s">
        <v>351</v>
      </c>
      <c r="C2072" s="8" t="s">
        <v>352</v>
      </c>
      <c r="D2072" s="8" t="s">
        <v>351</v>
      </c>
      <c r="E2072" s="8" t="s">
        <v>49</v>
      </c>
      <c r="F2072" s="8" t="s">
        <v>50</v>
      </c>
      <c r="G2072" s="8" t="s">
        <v>7</v>
      </c>
      <c r="H2072" s="8" t="s">
        <v>38</v>
      </c>
      <c r="I2072" s="9">
        <v>30412.494999999999</v>
      </c>
      <c r="J2072">
        <v>30192.696479999999</v>
      </c>
      <c r="K2072">
        <v>32824.602189999998</v>
      </c>
      <c r="L2072">
        <v>31251.681664639</v>
      </c>
    </row>
    <row r="2073" spans="1:12" x14ac:dyDescent="0.2">
      <c r="A2073" s="8" t="s">
        <v>32</v>
      </c>
      <c r="B2073" s="8" t="s">
        <v>351</v>
      </c>
      <c r="C2073" s="8" t="s">
        <v>352</v>
      </c>
      <c r="D2073" s="8" t="s">
        <v>351</v>
      </c>
      <c r="E2073" s="8" t="s">
        <v>68</v>
      </c>
      <c r="F2073" s="8" t="s">
        <v>69</v>
      </c>
      <c r="G2073" s="8" t="s">
        <v>7</v>
      </c>
      <c r="H2073" s="8" t="s">
        <v>38</v>
      </c>
      <c r="I2073" s="9">
        <v>289.47246000000001</v>
      </c>
      <c r="J2073">
        <v>471.94273986301999</v>
      </c>
      <c r="K2073">
        <v>406.18865469548001</v>
      </c>
      <c r="L2073">
        <v>455.12375095442002</v>
      </c>
    </row>
    <row r="2074" spans="1:12" x14ac:dyDescent="0.2">
      <c r="A2074" s="8" t="s">
        <v>32</v>
      </c>
      <c r="B2074" s="8" t="s">
        <v>351</v>
      </c>
      <c r="C2074" s="8" t="s">
        <v>352</v>
      </c>
      <c r="D2074" s="8" t="s">
        <v>351</v>
      </c>
      <c r="E2074" s="8" t="s">
        <v>53</v>
      </c>
      <c r="F2074" s="8" t="s">
        <v>54</v>
      </c>
      <c r="G2074" s="8" t="s">
        <v>7</v>
      </c>
      <c r="H2074" s="8" t="s">
        <v>38</v>
      </c>
      <c r="I2074" s="9">
        <v>13014.582</v>
      </c>
      <c r="J2074">
        <v>14365.951086674</v>
      </c>
      <c r="K2074">
        <v>12543.323165487</v>
      </c>
      <c r="L2074">
        <v>12041.925552905999</v>
      </c>
    </row>
    <row r="2075" spans="1:12" x14ac:dyDescent="0.2">
      <c r="A2075" s="8" t="s">
        <v>32</v>
      </c>
      <c r="B2075" s="8" t="s">
        <v>351</v>
      </c>
      <c r="C2075" s="8" t="s">
        <v>352</v>
      </c>
      <c r="D2075" s="8" t="s">
        <v>351</v>
      </c>
      <c r="E2075" s="8" t="s">
        <v>70</v>
      </c>
      <c r="F2075" s="8" t="s">
        <v>71</v>
      </c>
      <c r="G2075" s="8" t="s">
        <v>7</v>
      </c>
      <c r="H2075" s="8" t="s">
        <v>38</v>
      </c>
      <c r="I2075" s="9">
        <v>18327.564999999999</v>
      </c>
      <c r="J2075">
        <v>19755.208829029001</v>
      </c>
      <c r="K2075">
        <v>19081.235083799998</v>
      </c>
      <c r="L2075">
        <v>18391.551888000002</v>
      </c>
    </row>
    <row r="2076" spans="1:12" x14ac:dyDescent="0.2">
      <c r="A2076" s="8" t="s">
        <v>32</v>
      </c>
      <c r="B2076" s="8" t="s">
        <v>351</v>
      </c>
      <c r="C2076" s="8" t="s">
        <v>352</v>
      </c>
      <c r="D2076" s="8" t="s">
        <v>351</v>
      </c>
      <c r="E2076" s="8" t="s">
        <v>83</v>
      </c>
      <c r="F2076" s="8" t="s">
        <v>84</v>
      </c>
      <c r="G2076" s="8" t="s">
        <v>7</v>
      </c>
      <c r="H2076" s="8" t="s">
        <v>38</v>
      </c>
      <c r="I2076" s="9"/>
    </row>
    <row r="2077" spans="1:12" x14ac:dyDescent="0.2">
      <c r="A2077" s="8" t="s">
        <v>32</v>
      </c>
      <c r="B2077" s="8" t="s">
        <v>351</v>
      </c>
      <c r="C2077" s="8" t="s">
        <v>352</v>
      </c>
      <c r="D2077" s="8" t="s">
        <v>351</v>
      </c>
      <c r="E2077" s="8" t="s">
        <v>55</v>
      </c>
      <c r="F2077" s="8" t="s">
        <v>56</v>
      </c>
      <c r="G2077" s="8" t="s">
        <v>7</v>
      </c>
      <c r="H2077" s="8" t="s">
        <v>38</v>
      </c>
      <c r="I2077" s="9">
        <v>7.8760364999999997</v>
      </c>
      <c r="J2077">
        <v>8.5680732335180991</v>
      </c>
      <c r="K2077">
        <v>8.2385319553059002</v>
      </c>
      <c r="L2077">
        <v>8.2385319553059002</v>
      </c>
    </row>
    <row r="2078" spans="1:12" x14ac:dyDescent="0.2">
      <c r="A2078" s="8" t="s">
        <v>32</v>
      </c>
      <c r="B2078" s="8" t="s">
        <v>351</v>
      </c>
      <c r="C2078" s="8" t="s">
        <v>352</v>
      </c>
      <c r="D2078" s="8" t="s">
        <v>351</v>
      </c>
      <c r="E2078" s="8" t="s">
        <v>57</v>
      </c>
      <c r="F2078" s="8" t="s">
        <v>58</v>
      </c>
      <c r="G2078" s="8" t="s">
        <v>7</v>
      </c>
      <c r="H2078" s="8" t="s">
        <v>38</v>
      </c>
      <c r="I2078" s="9">
        <v>30990.177</v>
      </c>
      <c r="J2078">
        <v>33713.163481584001</v>
      </c>
      <c r="K2078">
        <v>32416.503347677</v>
      </c>
      <c r="L2078">
        <v>32416.503347677</v>
      </c>
    </row>
    <row r="2079" spans="1:12" x14ac:dyDescent="0.2">
      <c r="A2079" s="8" t="s">
        <v>32</v>
      </c>
      <c r="B2079" s="8" t="s">
        <v>351</v>
      </c>
      <c r="C2079" s="8" t="s">
        <v>352</v>
      </c>
      <c r="D2079" s="8" t="s">
        <v>351</v>
      </c>
      <c r="E2079" s="8" t="s">
        <v>72</v>
      </c>
      <c r="F2079" s="8" t="s">
        <v>73</v>
      </c>
      <c r="G2079" s="8" t="s">
        <v>7</v>
      </c>
      <c r="H2079" s="8" t="s">
        <v>38</v>
      </c>
      <c r="I2079" s="9">
        <v>3180.0018</v>
      </c>
      <c r="J2079">
        <v>3461.8834612252999</v>
      </c>
      <c r="K2079">
        <v>3529.8479724413</v>
      </c>
      <c r="L2079">
        <v>3297.7246793979002</v>
      </c>
    </row>
    <row r="2080" spans="1:12" x14ac:dyDescent="0.2">
      <c r="A2080" s="8" t="s">
        <v>32</v>
      </c>
      <c r="B2080" s="8" t="s">
        <v>351</v>
      </c>
      <c r="C2080" s="8" t="s">
        <v>352</v>
      </c>
      <c r="D2080" s="8" t="s">
        <v>351</v>
      </c>
      <c r="E2080" s="8" t="s">
        <v>74</v>
      </c>
      <c r="F2080" s="8" t="s">
        <v>75</v>
      </c>
      <c r="G2080" s="8" t="s">
        <v>7</v>
      </c>
      <c r="H2080" s="8" t="s">
        <v>38</v>
      </c>
      <c r="I2080" s="9">
        <v>1295.8748000000001</v>
      </c>
      <c r="J2080">
        <v>1348.3876114078</v>
      </c>
      <c r="K2080">
        <v>1315.7276487309</v>
      </c>
      <c r="L2080">
        <v>906.49467704577</v>
      </c>
    </row>
    <row r="2081" spans="1:12" x14ac:dyDescent="0.2">
      <c r="A2081" s="8" t="s">
        <v>32</v>
      </c>
      <c r="B2081" s="8" t="s">
        <v>351</v>
      </c>
      <c r="C2081" s="8" t="s">
        <v>352</v>
      </c>
      <c r="D2081" s="8" t="s">
        <v>351</v>
      </c>
      <c r="E2081" s="8" t="s">
        <v>59</v>
      </c>
      <c r="F2081" s="8" t="s">
        <v>60</v>
      </c>
      <c r="G2081" s="8" t="s">
        <v>7</v>
      </c>
      <c r="H2081" s="8" t="s">
        <v>38</v>
      </c>
      <c r="I2081" s="9">
        <v>1090.7759000000001</v>
      </c>
      <c r="J2081">
        <v>944.67968360979</v>
      </c>
      <c r="K2081">
        <v>932.07173269558996</v>
      </c>
      <c r="L2081">
        <v>975.3502625909</v>
      </c>
    </row>
    <row r="2082" spans="1:12" x14ac:dyDescent="0.2">
      <c r="A2082" s="8" t="s">
        <v>32</v>
      </c>
      <c r="B2082" s="8" t="s">
        <v>351</v>
      </c>
      <c r="C2082" s="8" t="s">
        <v>352</v>
      </c>
      <c r="D2082" s="8" t="s">
        <v>351</v>
      </c>
      <c r="E2082" s="8" t="s">
        <v>76</v>
      </c>
      <c r="F2082" s="8" t="s">
        <v>77</v>
      </c>
      <c r="G2082" s="8" t="s">
        <v>7</v>
      </c>
      <c r="H2082" s="8" t="s">
        <v>38</v>
      </c>
      <c r="I2082" s="9">
        <v>1445.6095</v>
      </c>
      <c r="J2082">
        <v>1654.6095241626001</v>
      </c>
      <c r="K2082">
        <v>1401.5047622792999</v>
      </c>
      <c r="L2082">
        <v>1401.5047622792999</v>
      </c>
    </row>
    <row r="2083" spans="1:12" x14ac:dyDescent="0.2">
      <c r="A2083" s="8" t="s">
        <v>32</v>
      </c>
      <c r="B2083" s="8" t="s">
        <v>351</v>
      </c>
      <c r="C2083" s="8" t="s">
        <v>352</v>
      </c>
      <c r="D2083" s="8" t="s">
        <v>351</v>
      </c>
      <c r="E2083" s="8" t="s">
        <v>78</v>
      </c>
      <c r="F2083" s="8" t="s">
        <v>79</v>
      </c>
      <c r="G2083" s="8" t="s">
        <v>7</v>
      </c>
      <c r="H2083" s="8" t="s">
        <v>38</v>
      </c>
      <c r="I2083" s="9">
        <v>1297.3712</v>
      </c>
      <c r="J2083">
        <v>1152.9569332286001</v>
      </c>
      <c r="K2083">
        <v>1099.2140858570999</v>
      </c>
      <c r="L2083">
        <v>1069.7655197828999</v>
      </c>
    </row>
    <row r="2084" spans="1:12" x14ac:dyDescent="0.2">
      <c r="A2084" s="8" t="s">
        <v>32</v>
      </c>
      <c r="B2084" s="8" t="s">
        <v>351</v>
      </c>
      <c r="C2084" s="8" t="s">
        <v>352</v>
      </c>
      <c r="D2084" s="8" t="s">
        <v>351</v>
      </c>
      <c r="E2084" s="8" t="s">
        <v>92</v>
      </c>
      <c r="F2084" s="8" t="s">
        <v>93</v>
      </c>
      <c r="G2084" s="8" t="s">
        <v>7</v>
      </c>
      <c r="H2084" s="8" t="s">
        <v>38</v>
      </c>
      <c r="I2084" s="9">
        <v>484.32028000000003</v>
      </c>
      <c r="J2084">
        <v>491.5289464114</v>
      </c>
      <c r="K2084">
        <v>498.65878926527</v>
      </c>
      <c r="L2084">
        <v>505.93658527947002</v>
      </c>
    </row>
    <row r="2085" spans="1:12" x14ac:dyDescent="0.2">
      <c r="A2085" s="8" t="s">
        <v>32</v>
      </c>
      <c r="B2085" s="8" t="s">
        <v>105</v>
      </c>
      <c r="C2085" s="8" t="s">
        <v>353</v>
      </c>
      <c r="D2085" s="8" t="s">
        <v>354</v>
      </c>
      <c r="E2085" s="8" t="s">
        <v>59</v>
      </c>
      <c r="F2085" s="8" t="s">
        <v>60</v>
      </c>
      <c r="G2085" s="8" t="s">
        <v>7</v>
      </c>
      <c r="H2085" s="8" t="s">
        <v>38</v>
      </c>
      <c r="I2085" s="9">
        <v>8.0870800000000007E-2</v>
      </c>
      <c r="J2085">
        <v>8.0916315040618997E-2</v>
      </c>
      <c r="K2085">
        <v>8.0977051625374996E-2</v>
      </c>
      <c r="L2085">
        <v>8.1083340648697003E-2</v>
      </c>
    </row>
    <row r="2086" spans="1:12" x14ac:dyDescent="0.2">
      <c r="A2086" s="8" t="s">
        <v>32</v>
      </c>
      <c r="B2086" s="8" t="s">
        <v>89</v>
      </c>
      <c r="C2086" s="8" t="s">
        <v>355</v>
      </c>
      <c r="D2086" s="8" t="s">
        <v>356</v>
      </c>
      <c r="E2086" s="8" t="s">
        <v>36</v>
      </c>
      <c r="F2086" s="8" t="s">
        <v>37</v>
      </c>
      <c r="G2086" s="8" t="s">
        <v>7</v>
      </c>
      <c r="H2086" s="8" t="s">
        <v>38</v>
      </c>
      <c r="I2086" s="9">
        <v>3539.2840000000001</v>
      </c>
      <c r="J2086">
        <v>3255.642452</v>
      </c>
      <c r="K2086">
        <v>4338.2513360000003</v>
      </c>
      <c r="L2086">
        <v>4168.8590809511998</v>
      </c>
    </row>
    <row r="2087" spans="1:12" x14ac:dyDescent="0.2">
      <c r="A2087" s="8" t="s">
        <v>32</v>
      </c>
      <c r="B2087" s="8" t="s">
        <v>89</v>
      </c>
      <c r="C2087" s="8" t="s">
        <v>355</v>
      </c>
      <c r="D2087" s="8" t="s">
        <v>356</v>
      </c>
      <c r="E2087" s="8" t="s">
        <v>64</v>
      </c>
      <c r="F2087" s="8" t="s">
        <v>65</v>
      </c>
      <c r="G2087" s="8" t="s">
        <v>7</v>
      </c>
      <c r="H2087" s="8" t="s">
        <v>38</v>
      </c>
      <c r="I2087" s="9">
        <v>9.5588999999999993E-2</v>
      </c>
      <c r="J2087">
        <v>0.108186</v>
      </c>
      <c r="K2087">
        <v>8.2991999999999996E-2</v>
      </c>
      <c r="L2087">
        <v>8.1100603697475002E-2</v>
      </c>
    </row>
    <row r="2088" spans="1:12" x14ac:dyDescent="0.2">
      <c r="A2088" s="8" t="s">
        <v>32</v>
      </c>
      <c r="B2088" s="8" t="s">
        <v>89</v>
      </c>
      <c r="C2088" s="8" t="s">
        <v>355</v>
      </c>
      <c r="D2088" s="8" t="s">
        <v>356</v>
      </c>
      <c r="E2088" s="8" t="s">
        <v>39</v>
      </c>
      <c r="F2088" s="8" t="s">
        <v>40</v>
      </c>
      <c r="G2088" s="8" t="s">
        <v>7</v>
      </c>
      <c r="H2088" s="8" t="s">
        <v>38</v>
      </c>
      <c r="I2088" s="9">
        <v>1065.5432000000001</v>
      </c>
      <c r="J2088">
        <v>1131.6978779999999</v>
      </c>
      <c r="K2088">
        <v>835.88669200000004</v>
      </c>
      <c r="L2088">
        <v>667.22187741984999</v>
      </c>
    </row>
    <row r="2089" spans="1:12" x14ac:dyDescent="0.2">
      <c r="A2089" s="8" t="s">
        <v>32</v>
      </c>
      <c r="B2089" s="8" t="s">
        <v>89</v>
      </c>
      <c r="C2089" s="8" t="s">
        <v>355</v>
      </c>
      <c r="D2089" s="8" t="s">
        <v>356</v>
      </c>
      <c r="E2089" s="8" t="s">
        <v>43</v>
      </c>
      <c r="F2089" s="8" t="s">
        <v>44</v>
      </c>
      <c r="G2089" s="8" t="s">
        <v>7</v>
      </c>
      <c r="H2089" s="8" t="s">
        <v>38</v>
      </c>
      <c r="I2089" s="9">
        <v>1946.9742000000001</v>
      </c>
      <c r="J2089">
        <v>2237.477488</v>
      </c>
      <c r="K2089">
        <v>2255.8254820000002</v>
      </c>
      <c r="L2089">
        <v>2419.5307427488001</v>
      </c>
    </row>
    <row r="2090" spans="1:12" x14ac:dyDescent="0.2">
      <c r="A2090" s="8" t="s">
        <v>32</v>
      </c>
      <c r="B2090" s="8" t="s">
        <v>89</v>
      </c>
      <c r="C2090" s="8" t="s">
        <v>355</v>
      </c>
      <c r="D2090" s="8" t="s">
        <v>356</v>
      </c>
      <c r="E2090" s="8" t="s">
        <v>66</v>
      </c>
      <c r="F2090" s="8" t="s">
        <v>67</v>
      </c>
      <c r="G2090" s="8" t="s">
        <v>7</v>
      </c>
      <c r="H2090" s="8" t="s">
        <v>38</v>
      </c>
      <c r="I2090" s="9">
        <v>3.8287469999999999</v>
      </c>
      <c r="J2090">
        <v>4.547517</v>
      </c>
      <c r="K2090">
        <v>3.5138219999999998</v>
      </c>
      <c r="L2090">
        <v>3.5138219999999998</v>
      </c>
    </row>
    <row r="2091" spans="1:12" x14ac:dyDescent="0.2">
      <c r="A2091" s="8" t="s">
        <v>32</v>
      </c>
      <c r="B2091" s="8" t="s">
        <v>89</v>
      </c>
      <c r="C2091" s="8" t="s">
        <v>355</v>
      </c>
      <c r="D2091" s="8" t="s">
        <v>356</v>
      </c>
      <c r="E2091" s="8" t="s">
        <v>49</v>
      </c>
      <c r="F2091" s="8" t="s">
        <v>50</v>
      </c>
      <c r="G2091" s="8" t="s">
        <v>7</v>
      </c>
      <c r="H2091" s="8" t="s">
        <v>38</v>
      </c>
      <c r="I2091" s="9">
        <v>221.99695</v>
      </c>
      <c r="J2091">
        <v>214.21091699999999</v>
      </c>
      <c r="K2091">
        <v>192.89086399999999</v>
      </c>
      <c r="L2091">
        <v>177.08711304528001</v>
      </c>
    </row>
    <row r="2092" spans="1:12" x14ac:dyDescent="0.2">
      <c r="A2092" s="8" t="s">
        <v>32</v>
      </c>
      <c r="B2092" s="8" t="s">
        <v>89</v>
      </c>
      <c r="C2092" s="8" t="s">
        <v>355</v>
      </c>
      <c r="D2092" s="8" t="s">
        <v>356</v>
      </c>
      <c r="E2092" s="8" t="s">
        <v>51</v>
      </c>
      <c r="F2092" s="8" t="s">
        <v>52</v>
      </c>
      <c r="G2092" s="8" t="s">
        <v>7</v>
      </c>
      <c r="H2092" s="8" t="s">
        <v>38</v>
      </c>
      <c r="I2092" s="9">
        <v>3.701295</v>
      </c>
      <c r="J2092">
        <v>2.9536259999999999</v>
      </c>
      <c r="K2092">
        <v>3.752424</v>
      </c>
      <c r="L2092">
        <v>4.920559467446</v>
      </c>
    </row>
    <row r="2093" spans="1:12" x14ac:dyDescent="0.2">
      <c r="A2093" s="8" t="s">
        <v>32</v>
      </c>
      <c r="B2093" s="8" t="s">
        <v>89</v>
      </c>
      <c r="C2093" s="8" t="s">
        <v>355</v>
      </c>
      <c r="D2093" s="8" t="s">
        <v>356</v>
      </c>
      <c r="E2093" s="8" t="s">
        <v>68</v>
      </c>
      <c r="F2093" s="8" t="s">
        <v>69</v>
      </c>
      <c r="G2093" s="8" t="s">
        <v>7</v>
      </c>
      <c r="H2093" s="8" t="s">
        <v>38</v>
      </c>
      <c r="I2093" s="9">
        <v>0.80408219999999997</v>
      </c>
      <c r="J2093">
        <v>0.64782625111770997</v>
      </c>
      <c r="K2093">
        <v>0.83470952310038005</v>
      </c>
      <c r="L2093">
        <v>0.65638552316892995</v>
      </c>
    </row>
    <row r="2094" spans="1:12" x14ac:dyDescent="0.2">
      <c r="A2094" s="8" t="s">
        <v>32</v>
      </c>
      <c r="B2094" s="8" t="s">
        <v>89</v>
      </c>
      <c r="C2094" s="8" t="s">
        <v>355</v>
      </c>
      <c r="D2094" s="8" t="s">
        <v>356</v>
      </c>
      <c r="E2094" s="8" t="s">
        <v>53</v>
      </c>
      <c r="F2094" s="8" t="s">
        <v>54</v>
      </c>
      <c r="G2094" s="8" t="s">
        <v>7</v>
      </c>
      <c r="H2094" s="8" t="s">
        <v>38</v>
      </c>
      <c r="I2094" s="9">
        <v>2.2215600000000002</v>
      </c>
      <c r="J2094">
        <v>2.32254</v>
      </c>
      <c r="K2094">
        <v>2.5245000000000002</v>
      </c>
      <c r="L2094">
        <v>5.2516892999999998</v>
      </c>
    </row>
    <row r="2095" spans="1:12" x14ac:dyDescent="0.2">
      <c r="A2095" s="8" t="s">
        <v>32</v>
      </c>
      <c r="B2095" s="8" t="s">
        <v>89</v>
      </c>
      <c r="C2095" s="8" t="s">
        <v>355</v>
      </c>
      <c r="D2095" s="8" t="s">
        <v>356</v>
      </c>
      <c r="E2095" s="8" t="s">
        <v>70</v>
      </c>
      <c r="F2095" s="8" t="s">
        <v>71</v>
      </c>
      <c r="G2095" s="8" t="s">
        <v>7</v>
      </c>
      <c r="H2095" s="8" t="s">
        <v>38</v>
      </c>
      <c r="I2095" s="9">
        <v>369.72451000000001</v>
      </c>
      <c r="J2095">
        <v>372.51337711500003</v>
      </c>
      <c r="K2095">
        <v>344.62467508499998</v>
      </c>
      <c r="L2095">
        <v>344.23589101984999</v>
      </c>
    </row>
    <row r="2096" spans="1:12" x14ac:dyDescent="0.2">
      <c r="A2096" s="8" t="s">
        <v>32</v>
      </c>
      <c r="B2096" s="8" t="s">
        <v>89</v>
      </c>
      <c r="C2096" s="8" t="s">
        <v>355</v>
      </c>
      <c r="D2096" s="8" t="s">
        <v>356</v>
      </c>
      <c r="E2096" s="8" t="s">
        <v>83</v>
      </c>
      <c r="F2096" s="8" t="s">
        <v>84</v>
      </c>
      <c r="G2096" s="8" t="s">
        <v>7</v>
      </c>
      <c r="H2096" s="8" t="s">
        <v>38</v>
      </c>
      <c r="I2096" s="9"/>
    </row>
    <row r="2097" spans="1:12" x14ac:dyDescent="0.2">
      <c r="A2097" s="8" t="s">
        <v>32</v>
      </c>
      <c r="B2097" s="8" t="s">
        <v>89</v>
      </c>
      <c r="C2097" s="8" t="s">
        <v>355</v>
      </c>
      <c r="D2097" s="8" t="s">
        <v>356</v>
      </c>
      <c r="E2097" s="8" t="s">
        <v>55</v>
      </c>
      <c r="F2097" s="8" t="s">
        <v>56</v>
      </c>
      <c r="G2097" s="8" t="s">
        <v>7</v>
      </c>
      <c r="H2097" s="8" t="s">
        <v>38</v>
      </c>
      <c r="I2097" s="9">
        <v>0.10807940000000001</v>
      </c>
      <c r="J2097">
        <v>0.10894407904618</v>
      </c>
      <c r="K2097">
        <v>0.10894407904618</v>
      </c>
      <c r="L2097">
        <v>0.10894407904618</v>
      </c>
    </row>
    <row r="2098" spans="1:12" x14ac:dyDescent="0.2">
      <c r="A2098" s="8" t="s">
        <v>32</v>
      </c>
      <c r="B2098" s="8" t="s">
        <v>89</v>
      </c>
      <c r="C2098" s="8" t="s">
        <v>355</v>
      </c>
      <c r="D2098" s="8" t="s">
        <v>356</v>
      </c>
      <c r="E2098" s="8" t="s">
        <v>57</v>
      </c>
      <c r="F2098" s="8" t="s">
        <v>58</v>
      </c>
      <c r="G2098" s="8" t="s">
        <v>7</v>
      </c>
      <c r="H2098" s="8" t="s">
        <v>38</v>
      </c>
      <c r="I2098" s="9">
        <v>0.2492431</v>
      </c>
      <c r="J2098">
        <v>0.25123720258952997</v>
      </c>
      <c r="K2098">
        <v>0.25123720258952997</v>
      </c>
      <c r="L2098">
        <v>0.25123720258952997</v>
      </c>
    </row>
    <row r="2099" spans="1:12" x14ac:dyDescent="0.2">
      <c r="A2099" s="8" t="s">
        <v>32</v>
      </c>
      <c r="B2099" s="8" t="s">
        <v>89</v>
      </c>
      <c r="C2099" s="8" t="s">
        <v>355</v>
      </c>
      <c r="D2099" s="8" t="s">
        <v>356</v>
      </c>
      <c r="E2099" s="8" t="s">
        <v>72</v>
      </c>
      <c r="F2099" s="8" t="s">
        <v>73</v>
      </c>
      <c r="G2099" s="8" t="s">
        <v>7</v>
      </c>
      <c r="H2099" s="8" t="s">
        <v>38</v>
      </c>
      <c r="I2099" s="9">
        <v>0.77664659999999996</v>
      </c>
      <c r="J2099">
        <v>0.85033675109476003</v>
      </c>
      <c r="K2099">
        <v>0.85033675109476003</v>
      </c>
      <c r="L2099">
        <v>0.85972420152201001</v>
      </c>
    </row>
    <row r="2100" spans="1:12" x14ac:dyDescent="0.2">
      <c r="A2100" s="8" t="s">
        <v>32</v>
      </c>
      <c r="B2100" s="8" t="s">
        <v>89</v>
      </c>
      <c r="C2100" s="8" t="s">
        <v>355</v>
      </c>
      <c r="D2100" s="8" t="s">
        <v>356</v>
      </c>
      <c r="E2100" s="8" t="s">
        <v>74</v>
      </c>
      <c r="F2100" s="8" t="s">
        <v>75</v>
      </c>
      <c r="G2100" s="8" t="s">
        <v>7</v>
      </c>
      <c r="H2100" s="8" t="s">
        <v>38</v>
      </c>
      <c r="I2100" s="9">
        <v>352.29536000000002</v>
      </c>
      <c r="J2100">
        <v>357.01747999999998</v>
      </c>
      <c r="K2100">
        <v>172.32</v>
      </c>
      <c r="L2100">
        <v>174.23663999999999</v>
      </c>
    </row>
    <row r="2101" spans="1:12" x14ac:dyDescent="0.2">
      <c r="A2101" s="8" t="s">
        <v>32</v>
      </c>
      <c r="B2101" s="8" t="s">
        <v>89</v>
      </c>
      <c r="C2101" s="8" t="s">
        <v>355</v>
      </c>
      <c r="D2101" s="8" t="s">
        <v>356</v>
      </c>
      <c r="E2101" s="8" t="s">
        <v>59</v>
      </c>
      <c r="F2101" s="8" t="s">
        <v>60</v>
      </c>
      <c r="G2101" s="8" t="s">
        <v>7</v>
      </c>
      <c r="H2101" s="8" t="s">
        <v>38</v>
      </c>
      <c r="I2101" s="9">
        <v>14.942659000000001</v>
      </c>
      <c r="J2101">
        <v>13.137831613746</v>
      </c>
      <c r="K2101">
        <v>12.115575215886</v>
      </c>
      <c r="L2101">
        <v>13.252719870253999</v>
      </c>
    </row>
    <row r="2102" spans="1:12" x14ac:dyDescent="0.2">
      <c r="A2102" s="8" t="s">
        <v>32</v>
      </c>
      <c r="B2102" s="8" t="s">
        <v>89</v>
      </c>
      <c r="C2102" s="8" t="s">
        <v>355</v>
      </c>
      <c r="D2102" s="8" t="s">
        <v>356</v>
      </c>
      <c r="E2102" s="8" t="s">
        <v>76</v>
      </c>
      <c r="F2102" s="8" t="s">
        <v>77</v>
      </c>
      <c r="G2102" s="8" t="s">
        <v>7</v>
      </c>
      <c r="H2102" s="8" t="s">
        <v>38</v>
      </c>
      <c r="I2102" s="9">
        <v>31.638095</v>
      </c>
      <c r="J2102">
        <v>16.552380952711999</v>
      </c>
      <c r="K2102">
        <v>16.342857143183998</v>
      </c>
      <c r="L2102">
        <v>16.342857143183998</v>
      </c>
    </row>
    <row r="2103" spans="1:12" x14ac:dyDescent="0.2">
      <c r="A2103" s="8" t="s">
        <v>32</v>
      </c>
      <c r="B2103" s="8" t="s">
        <v>89</v>
      </c>
      <c r="C2103" s="8" t="s">
        <v>355</v>
      </c>
      <c r="D2103" s="8" t="s">
        <v>356</v>
      </c>
      <c r="E2103" s="8" t="s">
        <v>78</v>
      </c>
      <c r="F2103" s="8" t="s">
        <v>79</v>
      </c>
      <c r="G2103" s="8" t="s">
        <v>7</v>
      </c>
      <c r="H2103" s="8" t="s">
        <v>38</v>
      </c>
      <c r="I2103" s="9">
        <v>6.4428559999999999</v>
      </c>
      <c r="J2103">
        <v>4.0857135428570999</v>
      </c>
      <c r="K2103">
        <v>4.0857135428570999</v>
      </c>
      <c r="L2103">
        <v>3.8028564514286001</v>
      </c>
    </row>
    <row r="2104" spans="1:12" x14ac:dyDescent="0.2">
      <c r="A2104" s="8" t="s">
        <v>32</v>
      </c>
      <c r="B2104" s="8" t="s">
        <v>89</v>
      </c>
      <c r="C2104" s="8" t="s">
        <v>355</v>
      </c>
      <c r="D2104" s="8" t="s">
        <v>356</v>
      </c>
      <c r="E2104" s="8" t="s">
        <v>92</v>
      </c>
      <c r="F2104" s="8" t="s">
        <v>93</v>
      </c>
      <c r="G2104" s="8" t="s">
        <v>7</v>
      </c>
      <c r="H2104" s="8" t="s">
        <v>38</v>
      </c>
      <c r="I2104" s="9">
        <v>19.723996</v>
      </c>
      <c r="J2104">
        <v>19.834912894995</v>
      </c>
      <c r="K2104">
        <v>19.947978359379999</v>
      </c>
      <c r="L2104">
        <v>20.04535675851</v>
      </c>
    </row>
    <row r="2105" spans="1:12" x14ac:dyDescent="0.2">
      <c r="A2105" s="8" t="s">
        <v>32</v>
      </c>
      <c r="B2105" s="8" t="s">
        <v>125</v>
      </c>
      <c r="C2105" s="8" t="s">
        <v>357</v>
      </c>
      <c r="D2105" s="8" t="s">
        <v>358</v>
      </c>
      <c r="E2105" s="8" t="s">
        <v>36</v>
      </c>
      <c r="F2105" s="8" t="s">
        <v>37</v>
      </c>
      <c r="G2105" s="8" t="s">
        <v>7</v>
      </c>
      <c r="H2105" s="8" t="s">
        <v>38</v>
      </c>
      <c r="I2105" s="9">
        <v>1274.2372</v>
      </c>
      <c r="J2105">
        <v>1234.7848153596001</v>
      </c>
      <c r="K2105">
        <v>1239.2301703823</v>
      </c>
      <c r="L2105">
        <v>1184.9963739192999</v>
      </c>
    </row>
    <row r="2106" spans="1:12" x14ac:dyDescent="0.2">
      <c r="A2106" s="8" t="s">
        <v>32</v>
      </c>
      <c r="B2106" s="8" t="s">
        <v>125</v>
      </c>
      <c r="C2106" s="8" t="s">
        <v>357</v>
      </c>
      <c r="D2106" s="8" t="s">
        <v>358</v>
      </c>
      <c r="E2106" s="8" t="s">
        <v>64</v>
      </c>
      <c r="F2106" s="8" t="s">
        <v>65</v>
      </c>
      <c r="G2106" s="8" t="s">
        <v>7</v>
      </c>
      <c r="H2106" s="8" t="s">
        <v>38</v>
      </c>
      <c r="I2106" s="9"/>
    </row>
    <row r="2107" spans="1:12" x14ac:dyDescent="0.2">
      <c r="A2107" s="8" t="s">
        <v>32</v>
      </c>
      <c r="B2107" s="8" t="s">
        <v>125</v>
      </c>
      <c r="C2107" s="8" t="s">
        <v>357</v>
      </c>
      <c r="D2107" s="8" t="s">
        <v>358</v>
      </c>
      <c r="E2107" s="8" t="s">
        <v>39</v>
      </c>
      <c r="F2107" s="8" t="s">
        <v>40</v>
      </c>
      <c r="G2107" s="8" t="s">
        <v>7</v>
      </c>
      <c r="H2107" s="8" t="s">
        <v>38</v>
      </c>
      <c r="I2107" s="9">
        <v>765.95367999999996</v>
      </c>
      <c r="J2107">
        <v>795.70870825712996</v>
      </c>
      <c r="K2107">
        <v>800.69455775984</v>
      </c>
      <c r="L2107">
        <v>765.65287889144997</v>
      </c>
    </row>
    <row r="2108" spans="1:12" x14ac:dyDescent="0.2">
      <c r="A2108" s="8" t="s">
        <v>32</v>
      </c>
      <c r="B2108" s="8" t="s">
        <v>125</v>
      </c>
      <c r="C2108" s="8" t="s">
        <v>357</v>
      </c>
      <c r="D2108" s="8" t="s">
        <v>358</v>
      </c>
      <c r="E2108" s="8" t="s">
        <v>41</v>
      </c>
      <c r="F2108" s="8" t="s">
        <v>42</v>
      </c>
      <c r="G2108" s="8" t="s">
        <v>7</v>
      </c>
      <c r="H2108" s="8" t="s">
        <v>38</v>
      </c>
      <c r="I2108" s="9">
        <v>27.119809</v>
      </c>
      <c r="J2108">
        <v>31.427721756760999</v>
      </c>
      <c r="K2108">
        <v>30.790823147347002</v>
      </c>
      <c r="L2108">
        <v>34.702627132723002</v>
      </c>
    </row>
    <row r="2109" spans="1:12" x14ac:dyDescent="0.2">
      <c r="A2109" s="8" t="s">
        <v>32</v>
      </c>
      <c r="B2109" s="8" t="s">
        <v>125</v>
      </c>
      <c r="C2109" s="8" t="s">
        <v>357</v>
      </c>
      <c r="D2109" s="8" t="s">
        <v>358</v>
      </c>
      <c r="E2109" s="8" t="s">
        <v>43</v>
      </c>
      <c r="F2109" s="8" t="s">
        <v>44</v>
      </c>
      <c r="G2109" s="8" t="s">
        <v>7</v>
      </c>
      <c r="H2109" s="8" t="s">
        <v>38</v>
      </c>
      <c r="I2109" s="9">
        <v>3163.3766000000001</v>
      </c>
      <c r="J2109">
        <v>3568.6102912707001</v>
      </c>
      <c r="K2109">
        <v>3608.5087273985</v>
      </c>
      <c r="L2109">
        <v>3450.585580808</v>
      </c>
    </row>
    <row r="2110" spans="1:12" x14ac:dyDescent="0.2">
      <c r="A2110" s="8" t="s">
        <v>32</v>
      </c>
      <c r="B2110" s="8" t="s">
        <v>125</v>
      </c>
      <c r="C2110" s="8" t="s">
        <v>357</v>
      </c>
      <c r="D2110" s="8" t="s">
        <v>358</v>
      </c>
      <c r="E2110" s="8" t="s">
        <v>66</v>
      </c>
      <c r="F2110" s="8" t="s">
        <v>67</v>
      </c>
      <c r="G2110" s="8" t="s">
        <v>7</v>
      </c>
      <c r="H2110" s="8" t="s">
        <v>38</v>
      </c>
      <c r="I2110" s="9">
        <v>153.90491</v>
      </c>
      <c r="J2110">
        <v>160.84173233607001</v>
      </c>
      <c r="K2110">
        <v>153.67661406695001</v>
      </c>
      <c r="L2110">
        <v>146.95109494418</v>
      </c>
    </row>
    <row r="2111" spans="1:12" x14ac:dyDescent="0.2">
      <c r="A2111" s="8" t="s">
        <v>32</v>
      </c>
      <c r="B2111" s="8" t="s">
        <v>125</v>
      </c>
      <c r="C2111" s="8" t="s">
        <v>357</v>
      </c>
      <c r="D2111" s="8" t="s">
        <v>358</v>
      </c>
      <c r="E2111" s="8" t="s">
        <v>45</v>
      </c>
      <c r="F2111" s="8" t="s">
        <v>46</v>
      </c>
      <c r="G2111" s="8" t="s">
        <v>7</v>
      </c>
      <c r="H2111" s="8" t="s">
        <v>38</v>
      </c>
      <c r="I2111" s="9">
        <v>33.241250000000001</v>
      </c>
      <c r="J2111">
        <v>34.855290218470003</v>
      </c>
      <c r="K2111">
        <v>33.913363160411997</v>
      </c>
      <c r="L2111">
        <v>31.770642294136</v>
      </c>
    </row>
    <row r="2112" spans="1:12" x14ac:dyDescent="0.2">
      <c r="A2112" s="8" t="s">
        <v>32</v>
      </c>
      <c r="B2112" s="8" t="s">
        <v>125</v>
      </c>
      <c r="C2112" s="8" t="s">
        <v>357</v>
      </c>
      <c r="D2112" s="8" t="s">
        <v>358</v>
      </c>
      <c r="E2112" s="8" t="s">
        <v>47</v>
      </c>
      <c r="F2112" s="8" t="s">
        <v>48</v>
      </c>
      <c r="G2112" s="8" t="s">
        <v>7</v>
      </c>
      <c r="H2112" s="8" t="s">
        <v>38</v>
      </c>
      <c r="I2112" s="9">
        <v>38.026552000000002</v>
      </c>
      <c r="J2112">
        <v>44.163994329311997</v>
      </c>
      <c r="K2112">
        <v>45.943806066764999</v>
      </c>
      <c r="L2112">
        <v>43.933116618984002</v>
      </c>
    </row>
    <row r="2113" spans="1:12" x14ac:dyDescent="0.2">
      <c r="A2113" s="8" t="s">
        <v>32</v>
      </c>
      <c r="B2113" s="8" t="s">
        <v>125</v>
      </c>
      <c r="C2113" s="8" t="s">
        <v>357</v>
      </c>
      <c r="D2113" s="8" t="s">
        <v>358</v>
      </c>
      <c r="E2113" s="8" t="s">
        <v>49</v>
      </c>
      <c r="F2113" s="8" t="s">
        <v>50</v>
      </c>
      <c r="G2113" s="8" t="s">
        <v>7</v>
      </c>
      <c r="H2113" s="8" t="s">
        <v>38</v>
      </c>
      <c r="I2113" s="9">
        <v>341.74468999999999</v>
      </c>
      <c r="J2113">
        <v>368.8020899938</v>
      </c>
      <c r="K2113">
        <v>394.70763135098002</v>
      </c>
      <c r="L2113">
        <v>377.43360603052002</v>
      </c>
    </row>
    <row r="2114" spans="1:12" x14ac:dyDescent="0.2">
      <c r="A2114" s="8" t="s">
        <v>32</v>
      </c>
      <c r="B2114" s="8" t="s">
        <v>125</v>
      </c>
      <c r="C2114" s="8" t="s">
        <v>357</v>
      </c>
      <c r="D2114" s="8" t="s">
        <v>358</v>
      </c>
      <c r="E2114" s="8" t="s">
        <v>51</v>
      </c>
      <c r="F2114" s="8" t="s">
        <v>52</v>
      </c>
      <c r="G2114" s="8" t="s">
        <v>7</v>
      </c>
      <c r="H2114" s="8" t="s">
        <v>38</v>
      </c>
      <c r="I2114" s="9">
        <v>263.32594</v>
      </c>
      <c r="J2114">
        <v>221.72970688821999</v>
      </c>
      <c r="K2114">
        <v>285.22935914010998</v>
      </c>
      <c r="L2114">
        <v>272.74655216962998</v>
      </c>
    </row>
    <row r="2115" spans="1:12" x14ac:dyDescent="0.2">
      <c r="A2115" s="8" t="s">
        <v>32</v>
      </c>
      <c r="B2115" s="8" t="s">
        <v>125</v>
      </c>
      <c r="C2115" s="8" t="s">
        <v>357</v>
      </c>
      <c r="D2115" s="8" t="s">
        <v>358</v>
      </c>
      <c r="E2115" s="8" t="s">
        <v>53</v>
      </c>
      <c r="F2115" s="8" t="s">
        <v>54</v>
      </c>
      <c r="G2115" s="8" t="s">
        <v>7</v>
      </c>
      <c r="H2115" s="8" t="s">
        <v>38</v>
      </c>
      <c r="I2115" s="9"/>
    </row>
    <row r="2116" spans="1:12" x14ac:dyDescent="0.2">
      <c r="A2116" s="8" t="s">
        <v>32</v>
      </c>
      <c r="B2116" s="8" t="s">
        <v>125</v>
      </c>
      <c r="C2116" s="8" t="s">
        <v>357</v>
      </c>
      <c r="D2116" s="8" t="s">
        <v>358</v>
      </c>
      <c r="E2116" s="8" t="s">
        <v>70</v>
      </c>
      <c r="F2116" s="8" t="s">
        <v>71</v>
      </c>
      <c r="G2116" s="8" t="s">
        <v>7</v>
      </c>
      <c r="H2116" s="8" t="s">
        <v>38</v>
      </c>
      <c r="I2116" s="9">
        <v>533.73434999999995</v>
      </c>
      <c r="J2116">
        <v>604.89892900501002</v>
      </c>
      <c r="K2116">
        <v>640.48121894648</v>
      </c>
      <c r="L2116">
        <v>639.75866798029006</v>
      </c>
    </row>
    <row r="2117" spans="1:12" x14ac:dyDescent="0.2">
      <c r="A2117" s="8" t="s">
        <v>32</v>
      </c>
      <c r="B2117" s="8" t="s">
        <v>125</v>
      </c>
      <c r="C2117" s="8" t="s">
        <v>357</v>
      </c>
      <c r="D2117" s="8" t="s">
        <v>358</v>
      </c>
      <c r="E2117" s="8" t="s">
        <v>55</v>
      </c>
      <c r="F2117" s="8" t="s">
        <v>56</v>
      </c>
      <c r="G2117" s="8" t="s">
        <v>7</v>
      </c>
      <c r="H2117" s="8" t="s">
        <v>38</v>
      </c>
      <c r="I2117" s="9">
        <v>1.4021041999999999</v>
      </c>
      <c r="J2117">
        <v>1.5703930808390001</v>
      </c>
      <c r="K2117">
        <v>1.5703930808390001</v>
      </c>
      <c r="L2117">
        <v>1.5703930808390001</v>
      </c>
    </row>
    <row r="2118" spans="1:12" x14ac:dyDescent="0.2">
      <c r="A2118" s="8" t="s">
        <v>32</v>
      </c>
      <c r="B2118" s="8" t="s">
        <v>125</v>
      </c>
      <c r="C2118" s="8" t="s">
        <v>357</v>
      </c>
      <c r="D2118" s="8" t="s">
        <v>358</v>
      </c>
      <c r="E2118" s="8" t="s">
        <v>57</v>
      </c>
      <c r="F2118" s="8" t="s">
        <v>58</v>
      </c>
      <c r="G2118" s="8" t="s">
        <v>7</v>
      </c>
      <c r="H2118" s="8" t="s">
        <v>38</v>
      </c>
      <c r="I2118" s="9">
        <v>1.0929040000000001</v>
      </c>
      <c r="J2118">
        <v>1.2240807678700001</v>
      </c>
      <c r="K2118">
        <v>1.2240807678700001</v>
      </c>
      <c r="L2118">
        <v>1.2240807678700001</v>
      </c>
    </row>
    <row r="2119" spans="1:12" x14ac:dyDescent="0.2">
      <c r="A2119" s="8" t="s">
        <v>32</v>
      </c>
      <c r="B2119" s="8" t="s">
        <v>125</v>
      </c>
      <c r="C2119" s="8" t="s">
        <v>357</v>
      </c>
      <c r="D2119" s="8" t="s">
        <v>358</v>
      </c>
      <c r="E2119" s="8" t="s">
        <v>59</v>
      </c>
      <c r="F2119" s="8" t="s">
        <v>60</v>
      </c>
      <c r="G2119" s="8" t="s">
        <v>7</v>
      </c>
      <c r="H2119" s="8" t="s">
        <v>38</v>
      </c>
      <c r="I2119" s="9">
        <v>44.827492999999997</v>
      </c>
      <c r="J2119">
        <v>47.660603963851997</v>
      </c>
      <c r="K2119">
        <v>47.021476037653002</v>
      </c>
      <c r="L2119">
        <v>49.415400590546</v>
      </c>
    </row>
    <row r="2120" spans="1:12" x14ac:dyDescent="0.2">
      <c r="A2120" s="8" t="s">
        <v>32</v>
      </c>
      <c r="B2120" s="8" t="s">
        <v>125</v>
      </c>
      <c r="C2120" s="8" t="s">
        <v>357</v>
      </c>
      <c r="D2120" s="8" t="s">
        <v>358</v>
      </c>
      <c r="E2120" s="8" t="s">
        <v>76</v>
      </c>
      <c r="F2120" s="8" t="s">
        <v>77</v>
      </c>
      <c r="G2120" s="8" t="s">
        <v>7</v>
      </c>
      <c r="H2120" s="8" t="s">
        <v>38</v>
      </c>
      <c r="I2120" s="9">
        <v>45.885714</v>
      </c>
      <c r="J2120">
        <v>39.600000007656</v>
      </c>
      <c r="K2120">
        <v>36.876190482032001</v>
      </c>
      <c r="L2120">
        <v>17.348571429587</v>
      </c>
    </row>
    <row r="2121" spans="1:12" x14ac:dyDescent="0.2">
      <c r="A2121" s="8" t="s">
        <v>32</v>
      </c>
      <c r="B2121" s="8" t="s">
        <v>125</v>
      </c>
      <c r="C2121" s="8" t="s">
        <v>357</v>
      </c>
      <c r="D2121" s="8" t="s">
        <v>358</v>
      </c>
      <c r="E2121" s="8" t="s">
        <v>78</v>
      </c>
      <c r="F2121" s="8" t="s">
        <v>79</v>
      </c>
      <c r="G2121" s="8" t="s">
        <v>7</v>
      </c>
      <c r="H2121" s="8" t="s">
        <v>38</v>
      </c>
      <c r="I2121" s="9">
        <v>145.67140000000001</v>
      </c>
      <c r="J2121">
        <v>134.82854691429</v>
      </c>
      <c r="K2121">
        <v>162.32854191429001</v>
      </c>
      <c r="L2121">
        <v>147.90283025143</v>
      </c>
    </row>
    <row r="2122" spans="1:12" x14ac:dyDescent="0.2">
      <c r="A2122" s="8" t="s">
        <v>32</v>
      </c>
      <c r="B2122" s="8" t="s">
        <v>125</v>
      </c>
      <c r="C2122" s="8" t="s">
        <v>357</v>
      </c>
      <c r="D2122" s="8" t="s">
        <v>358</v>
      </c>
      <c r="E2122" s="8" t="s">
        <v>92</v>
      </c>
      <c r="F2122" s="8" t="s">
        <v>93</v>
      </c>
      <c r="G2122" s="8" t="s">
        <v>7</v>
      </c>
      <c r="H2122" s="8" t="s">
        <v>38</v>
      </c>
      <c r="I2122" s="9">
        <v>9.6448397000000003</v>
      </c>
      <c r="J2122">
        <v>10.107624681874</v>
      </c>
      <c r="K2122">
        <v>10.586258719733999</v>
      </c>
      <c r="L2122">
        <v>11.034627561384999</v>
      </c>
    </row>
    <row r="2123" spans="1:12" x14ac:dyDescent="0.2">
      <c r="A2123" s="8" t="s">
        <v>110</v>
      </c>
      <c r="B2123" s="8" t="s">
        <v>89</v>
      </c>
      <c r="C2123" s="8" t="s">
        <v>359</v>
      </c>
      <c r="D2123" s="8" t="s">
        <v>360</v>
      </c>
      <c r="E2123" s="8" t="s">
        <v>36</v>
      </c>
      <c r="F2123" s="8" t="s">
        <v>37</v>
      </c>
      <c r="G2123" s="8" t="s">
        <v>7</v>
      </c>
      <c r="H2123" s="8" t="s">
        <v>38</v>
      </c>
      <c r="I2123" s="9">
        <v>821.07646999999997</v>
      </c>
      <c r="J2123">
        <v>778.59919500000001</v>
      </c>
      <c r="K2123">
        <v>807.05964600000004</v>
      </c>
      <c r="L2123">
        <v>807.63512006691997</v>
      </c>
    </row>
    <row r="2124" spans="1:12" x14ac:dyDescent="0.2">
      <c r="A2124" s="8" t="s">
        <v>110</v>
      </c>
      <c r="B2124" s="8" t="s">
        <v>89</v>
      </c>
      <c r="C2124" s="8" t="s">
        <v>359</v>
      </c>
      <c r="D2124" s="8" t="s">
        <v>360</v>
      </c>
      <c r="E2124" s="8" t="s">
        <v>39</v>
      </c>
      <c r="F2124" s="8" t="s">
        <v>40</v>
      </c>
      <c r="G2124" s="8" t="s">
        <v>7</v>
      </c>
      <c r="H2124" s="8" t="s">
        <v>38</v>
      </c>
      <c r="I2124" s="9">
        <v>81.032745000000006</v>
      </c>
      <c r="J2124">
        <v>85.288225999999995</v>
      </c>
      <c r="K2124">
        <v>93.784126000000001</v>
      </c>
      <c r="L2124">
        <v>64.691563019697</v>
      </c>
    </row>
    <row r="2125" spans="1:12" x14ac:dyDescent="0.2">
      <c r="A2125" s="8" t="s">
        <v>110</v>
      </c>
      <c r="B2125" s="8" t="s">
        <v>89</v>
      </c>
      <c r="C2125" s="8" t="s">
        <v>359</v>
      </c>
      <c r="D2125" s="8" t="s">
        <v>360</v>
      </c>
      <c r="E2125" s="8" t="s">
        <v>41</v>
      </c>
      <c r="F2125" s="8" t="s">
        <v>42</v>
      </c>
      <c r="G2125" s="8" t="s">
        <v>7</v>
      </c>
      <c r="H2125" s="8" t="s">
        <v>38</v>
      </c>
      <c r="I2125" s="9">
        <v>2.0143249999999999</v>
      </c>
      <c r="J2125">
        <v>2.1243699999999999</v>
      </c>
      <c r="K2125">
        <v>2.1401599999999998</v>
      </c>
      <c r="L2125">
        <v>2.5862691293737998</v>
      </c>
    </row>
    <row r="2126" spans="1:12" x14ac:dyDescent="0.2">
      <c r="A2126" s="8" t="s">
        <v>110</v>
      </c>
      <c r="B2126" s="8" t="s">
        <v>89</v>
      </c>
      <c r="C2126" s="8" t="s">
        <v>359</v>
      </c>
      <c r="D2126" s="8" t="s">
        <v>360</v>
      </c>
      <c r="E2126" s="8" t="s">
        <v>43</v>
      </c>
      <c r="F2126" s="8" t="s">
        <v>44</v>
      </c>
      <c r="G2126" s="8" t="s">
        <v>7</v>
      </c>
      <c r="H2126" s="8" t="s">
        <v>38</v>
      </c>
      <c r="I2126" s="9">
        <v>525.11870999999996</v>
      </c>
      <c r="J2126">
        <v>552.74359100000004</v>
      </c>
      <c r="K2126">
        <v>666.62375499999996</v>
      </c>
      <c r="L2126">
        <v>687.01557903807998</v>
      </c>
    </row>
    <row r="2127" spans="1:12" x14ac:dyDescent="0.2">
      <c r="A2127" s="8" t="s">
        <v>110</v>
      </c>
      <c r="B2127" s="8" t="s">
        <v>89</v>
      </c>
      <c r="C2127" s="8" t="s">
        <v>359</v>
      </c>
      <c r="D2127" s="8" t="s">
        <v>360</v>
      </c>
      <c r="E2127" s="8" t="s">
        <v>45</v>
      </c>
      <c r="F2127" s="8" t="s">
        <v>46</v>
      </c>
      <c r="G2127" s="8" t="s">
        <v>7</v>
      </c>
      <c r="H2127" s="8" t="s">
        <v>38</v>
      </c>
      <c r="I2127" s="9">
        <v>55.833198000000003</v>
      </c>
      <c r="J2127">
        <v>67.159274999999994</v>
      </c>
      <c r="K2127">
        <v>59.114325000000001</v>
      </c>
      <c r="L2127">
        <v>77.977418793077007</v>
      </c>
    </row>
    <row r="2128" spans="1:12" x14ac:dyDescent="0.2">
      <c r="A2128" s="8" t="s">
        <v>110</v>
      </c>
      <c r="B2128" s="8" t="s">
        <v>89</v>
      </c>
      <c r="C2128" s="8" t="s">
        <v>359</v>
      </c>
      <c r="D2128" s="8" t="s">
        <v>360</v>
      </c>
      <c r="E2128" s="8" t="s">
        <v>49</v>
      </c>
      <c r="F2128" s="8" t="s">
        <v>50</v>
      </c>
      <c r="G2128" s="8" t="s">
        <v>7</v>
      </c>
      <c r="H2128" s="8" t="s">
        <v>38</v>
      </c>
      <c r="I2128" s="9">
        <v>125.63773</v>
      </c>
      <c r="J2128">
        <v>129.52383</v>
      </c>
      <c r="K2128">
        <v>156.212872</v>
      </c>
      <c r="L2128">
        <v>135.56520958666999</v>
      </c>
    </row>
    <row r="2129" spans="1:12" x14ac:dyDescent="0.2">
      <c r="A2129" s="8" t="s">
        <v>110</v>
      </c>
      <c r="B2129" s="8" t="s">
        <v>89</v>
      </c>
      <c r="C2129" s="8" t="s">
        <v>359</v>
      </c>
      <c r="D2129" s="8" t="s">
        <v>360</v>
      </c>
      <c r="E2129" s="8" t="s">
        <v>51</v>
      </c>
      <c r="F2129" s="8" t="s">
        <v>52</v>
      </c>
      <c r="G2129" s="8" t="s">
        <v>7</v>
      </c>
      <c r="H2129" s="8" t="s">
        <v>38</v>
      </c>
      <c r="I2129" s="9"/>
    </row>
    <row r="2130" spans="1:12" x14ac:dyDescent="0.2">
      <c r="A2130" s="8" t="s">
        <v>110</v>
      </c>
      <c r="B2130" s="8" t="s">
        <v>89</v>
      </c>
      <c r="C2130" s="8" t="s">
        <v>359</v>
      </c>
      <c r="D2130" s="8" t="s">
        <v>360</v>
      </c>
      <c r="E2130" s="8" t="s">
        <v>53</v>
      </c>
      <c r="F2130" s="8" t="s">
        <v>54</v>
      </c>
      <c r="G2130" s="8" t="s">
        <v>7</v>
      </c>
      <c r="H2130" s="8" t="s">
        <v>38</v>
      </c>
      <c r="I2130" s="9">
        <v>0.14081099999999999</v>
      </c>
      <c r="J2130">
        <v>1.7318070000000001</v>
      </c>
      <c r="K2130">
        <v>0.13239600000000001</v>
      </c>
      <c r="L2130">
        <v>0.12774167217280999</v>
      </c>
    </row>
    <row r="2131" spans="1:12" x14ac:dyDescent="0.2">
      <c r="A2131" s="8" t="s">
        <v>110</v>
      </c>
      <c r="B2131" s="8" t="s">
        <v>89</v>
      </c>
      <c r="C2131" s="8" t="s">
        <v>359</v>
      </c>
      <c r="D2131" s="8" t="s">
        <v>360</v>
      </c>
      <c r="E2131" s="8" t="s">
        <v>83</v>
      </c>
      <c r="F2131" s="8" t="s">
        <v>84</v>
      </c>
      <c r="G2131" s="8" t="s">
        <v>7</v>
      </c>
      <c r="H2131" s="8" t="s">
        <v>38</v>
      </c>
      <c r="I2131" s="9"/>
    </row>
    <row r="2132" spans="1:12" x14ac:dyDescent="0.2">
      <c r="A2132" s="8" t="s">
        <v>110</v>
      </c>
      <c r="B2132" s="8" t="s">
        <v>89</v>
      </c>
      <c r="C2132" s="8" t="s">
        <v>359</v>
      </c>
      <c r="D2132" s="8" t="s">
        <v>360</v>
      </c>
      <c r="E2132" s="8" t="s">
        <v>55</v>
      </c>
      <c r="F2132" s="8" t="s">
        <v>56</v>
      </c>
      <c r="G2132" s="8" t="s">
        <v>7</v>
      </c>
      <c r="H2132" s="8" t="s">
        <v>38</v>
      </c>
      <c r="I2132" s="9">
        <v>2.1206300000000001E-2</v>
      </c>
      <c r="J2132">
        <v>2.1264851114545999E-2</v>
      </c>
      <c r="K2132">
        <v>2.1323539535938001E-2</v>
      </c>
      <c r="L2132">
        <v>2.138234148172E-2</v>
      </c>
    </row>
    <row r="2133" spans="1:12" x14ac:dyDescent="0.2">
      <c r="A2133" s="8" t="s">
        <v>110</v>
      </c>
      <c r="B2133" s="8" t="s">
        <v>89</v>
      </c>
      <c r="C2133" s="8" t="s">
        <v>359</v>
      </c>
      <c r="D2133" s="8" t="s">
        <v>360</v>
      </c>
      <c r="E2133" s="8" t="s">
        <v>57</v>
      </c>
      <c r="F2133" s="8" t="s">
        <v>58</v>
      </c>
      <c r="G2133" s="8" t="s">
        <v>7</v>
      </c>
      <c r="H2133" s="8" t="s">
        <v>38</v>
      </c>
      <c r="I2133" s="9">
        <v>3.9664491000000002</v>
      </c>
      <c r="J2133">
        <v>4.3819031188102997</v>
      </c>
      <c r="K2133">
        <v>4.8424770298487001</v>
      </c>
      <c r="L2133">
        <v>5.2421545534914999</v>
      </c>
    </row>
    <row r="2134" spans="1:12" x14ac:dyDescent="0.2">
      <c r="A2134" s="8" t="s">
        <v>110</v>
      </c>
      <c r="B2134" s="8" t="s">
        <v>89</v>
      </c>
      <c r="C2134" s="8" t="s">
        <v>359</v>
      </c>
      <c r="D2134" s="8" t="s">
        <v>360</v>
      </c>
      <c r="E2134" s="8" t="s">
        <v>72</v>
      </c>
      <c r="F2134" s="8" t="s">
        <v>73</v>
      </c>
      <c r="G2134" s="8" t="s">
        <v>7</v>
      </c>
      <c r="H2134" s="8" t="s">
        <v>38</v>
      </c>
      <c r="I2134" s="9">
        <v>2.18E-2</v>
      </c>
      <c r="J2134">
        <v>2.18E-2</v>
      </c>
      <c r="K2134">
        <v>2.18E-2</v>
      </c>
      <c r="L2134">
        <v>1.7516802797302E-2</v>
      </c>
    </row>
    <row r="2135" spans="1:12" x14ac:dyDescent="0.2">
      <c r="A2135" s="8" t="s">
        <v>110</v>
      </c>
      <c r="B2135" s="8" t="s">
        <v>89</v>
      </c>
      <c r="C2135" s="8" t="s">
        <v>359</v>
      </c>
      <c r="D2135" s="8" t="s">
        <v>360</v>
      </c>
      <c r="E2135" s="8" t="s">
        <v>59</v>
      </c>
      <c r="F2135" s="8" t="s">
        <v>60</v>
      </c>
      <c r="G2135" s="8" t="s">
        <v>7</v>
      </c>
      <c r="H2135" s="8" t="s">
        <v>38</v>
      </c>
      <c r="I2135" s="9">
        <v>5.1322907999999998</v>
      </c>
      <c r="J2135">
        <v>5.5528136081705997</v>
      </c>
      <c r="K2135">
        <v>6.2214047646520001</v>
      </c>
      <c r="L2135">
        <v>6.7134009682153</v>
      </c>
    </row>
    <row r="2136" spans="1:12" x14ac:dyDescent="0.2">
      <c r="A2136" s="8" t="s">
        <v>110</v>
      </c>
      <c r="B2136" s="8" t="s">
        <v>89</v>
      </c>
      <c r="C2136" s="8" t="s">
        <v>359</v>
      </c>
      <c r="D2136" s="8" t="s">
        <v>360</v>
      </c>
      <c r="E2136" s="8" t="s">
        <v>92</v>
      </c>
      <c r="F2136" s="8" t="s">
        <v>93</v>
      </c>
      <c r="G2136" s="8" t="s">
        <v>7</v>
      </c>
      <c r="H2136" s="8" t="s">
        <v>38</v>
      </c>
      <c r="I2136" s="9">
        <v>0.43737130000000002</v>
      </c>
      <c r="J2136">
        <v>0.29678825198999997</v>
      </c>
      <c r="K2136">
        <v>0.16805556536999999</v>
      </c>
      <c r="L2136">
        <v>0.146634306104</v>
      </c>
    </row>
    <row r="2137" spans="1:12" x14ac:dyDescent="0.2">
      <c r="A2137" s="8" t="s">
        <v>32</v>
      </c>
      <c r="B2137" s="8" t="s">
        <v>153</v>
      </c>
      <c r="C2137" s="8" t="s">
        <v>361</v>
      </c>
      <c r="D2137" s="8" t="s">
        <v>362</v>
      </c>
      <c r="E2137" s="8" t="s">
        <v>36</v>
      </c>
      <c r="F2137" s="8" t="s">
        <v>37</v>
      </c>
      <c r="G2137" s="8" t="s">
        <v>7</v>
      </c>
      <c r="H2137" s="8" t="s">
        <v>38</v>
      </c>
      <c r="I2137" s="9">
        <v>8490.3395999999993</v>
      </c>
      <c r="J2137">
        <v>8687.0575279998993</v>
      </c>
      <c r="K2137">
        <v>6967.7105419999998</v>
      </c>
      <c r="L2137">
        <v>6947.4597922634002</v>
      </c>
    </row>
    <row r="2138" spans="1:12" x14ac:dyDescent="0.2">
      <c r="A2138" s="8" t="s">
        <v>32</v>
      </c>
      <c r="B2138" s="8" t="s">
        <v>153</v>
      </c>
      <c r="C2138" s="8" t="s">
        <v>361</v>
      </c>
      <c r="D2138" s="8" t="s">
        <v>362</v>
      </c>
      <c r="E2138" s="8" t="s">
        <v>64</v>
      </c>
      <c r="F2138" s="8" t="s">
        <v>65</v>
      </c>
      <c r="G2138" s="8" t="s">
        <v>7</v>
      </c>
      <c r="H2138" s="8" t="s">
        <v>38</v>
      </c>
      <c r="I2138" s="9">
        <v>1026.3082999999999</v>
      </c>
      <c r="J2138">
        <v>1028.73471</v>
      </c>
      <c r="K2138">
        <v>950.548946</v>
      </c>
      <c r="L2138">
        <v>941.53032415527002</v>
      </c>
    </row>
    <row r="2139" spans="1:12" x14ac:dyDescent="0.2">
      <c r="A2139" s="8" t="s">
        <v>32</v>
      </c>
      <c r="B2139" s="8" t="s">
        <v>153</v>
      </c>
      <c r="C2139" s="8" t="s">
        <v>361</v>
      </c>
      <c r="D2139" s="8" t="s">
        <v>362</v>
      </c>
      <c r="E2139" s="8" t="s">
        <v>39</v>
      </c>
      <c r="F2139" s="8" t="s">
        <v>40</v>
      </c>
      <c r="G2139" s="8" t="s">
        <v>7</v>
      </c>
      <c r="H2139" s="8" t="s">
        <v>38</v>
      </c>
      <c r="I2139" s="9">
        <v>8409.7031000000006</v>
      </c>
      <c r="J2139">
        <v>7110.7591339999999</v>
      </c>
      <c r="K2139">
        <v>3184.7380159999998</v>
      </c>
      <c r="L2139">
        <v>3288.2905324919002</v>
      </c>
    </row>
    <row r="2140" spans="1:12" x14ac:dyDescent="0.2">
      <c r="A2140" s="8" t="s">
        <v>32</v>
      </c>
      <c r="B2140" s="8" t="s">
        <v>153</v>
      </c>
      <c r="C2140" s="8" t="s">
        <v>361</v>
      </c>
      <c r="D2140" s="8" t="s">
        <v>362</v>
      </c>
      <c r="E2140" s="8" t="s">
        <v>41</v>
      </c>
      <c r="F2140" s="8" t="s">
        <v>42</v>
      </c>
      <c r="G2140" s="8" t="s">
        <v>7</v>
      </c>
      <c r="H2140" s="8" t="s">
        <v>38</v>
      </c>
      <c r="I2140" s="9">
        <v>279.42286999999999</v>
      </c>
      <c r="J2140">
        <v>117.07282499999999</v>
      </c>
      <c r="K2140">
        <v>182.49731499999999</v>
      </c>
      <c r="L2140">
        <v>243.04575634934</v>
      </c>
    </row>
    <row r="2141" spans="1:12" x14ac:dyDescent="0.2">
      <c r="A2141" s="8" t="s">
        <v>32</v>
      </c>
      <c r="B2141" s="8" t="s">
        <v>153</v>
      </c>
      <c r="C2141" s="8" t="s">
        <v>361</v>
      </c>
      <c r="D2141" s="8" t="s">
        <v>362</v>
      </c>
      <c r="E2141" s="8" t="s">
        <v>43</v>
      </c>
      <c r="F2141" s="8" t="s">
        <v>44</v>
      </c>
      <c r="G2141" s="8" t="s">
        <v>7</v>
      </c>
      <c r="H2141" s="8" t="s">
        <v>38</v>
      </c>
      <c r="I2141" s="9">
        <v>4312.5057999999999</v>
      </c>
      <c r="J2141">
        <v>3732.2252520000002</v>
      </c>
      <c r="K2141">
        <v>12633.738105</v>
      </c>
      <c r="L2141">
        <v>12572.588829742001</v>
      </c>
    </row>
    <row r="2142" spans="1:12" x14ac:dyDescent="0.2">
      <c r="A2142" s="8" t="s">
        <v>32</v>
      </c>
      <c r="B2142" s="8" t="s">
        <v>153</v>
      </c>
      <c r="C2142" s="8" t="s">
        <v>361</v>
      </c>
      <c r="D2142" s="8" t="s">
        <v>362</v>
      </c>
      <c r="E2142" s="8" t="s">
        <v>66</v>
      </c>
      <c r="F2142" s="8" t="s">
        <v>67</v>
      </c>
      <c r="G2142" s="8" t="s">
        <v>7</v>
      </c>
      <c r="H2142" s="8" t="s">
        <v>38</v>
      </c>
      <c r="I2142" s="9">
        <v>1032.2322999999999</v>
      </c>
      <c r="J2142">
        <v>898.56179399999996</v>
      </c>
      <c r="K2142">
        <v>32.316491999999997</v>
      </c>
      <c r="L2142">
        <v>32.163751432864998</v>
      </c>
    </row>
    <row r="2143" spans="1:12" x14ac:dyDescent="0.2">
      <c r="A2143" s="8" t="s">
        <v>32</v>
      </c>
      <c r="B2143" s="8" t="s">
        <v>153</v>
      </c>
      <c r="C2143" s="8" t="s">
        <v>361</v>
      </c>
      <c r="D2143" s="8" t="s">
        <v>362</v>
      </c>
      <c r="E2143" s="8" t="s">
        <v>45</v>
      </c>
      <c r="F2143" s="8" t="s">
        <v>46</v>
      </c>
      <c r="G2143" s="8" t="s">
        <v>7</v>
      </c>
      <c r="H2143" s="8" t="s">
        <v>38</v>
      </c>
      <c r="I2143" s="9">
        <v>244.71154999999999</v>
      </c>
      <c r="J2143">
        <v>213.02045699999999</v>
      </c>
      <c r="K2143">
        <v>133.32368399999999</v>
      </c>
      <c r="L2143">
        <v>128.67989417752</v>
      </c>
    </row>
    <row r="2144" spans="1:12" x14ac:dyDescent="0.2">
      <c r="A2144" s="8" t="s">
        <v>32</v>
      </c>
      <c r="B2144" s="8" t="s">
        <v>153</v>
      </c>
      <c r="C2144" s="8" t="s">
        <v>361</v>
      </c>
      <c r="D2144" s="8" t="s">
        <v>362</v>
      </c>
      <c r="E2144" s="8" t="s">
        <v>49</v>
      </c>
      <c r="F2144" s="8" t="s">
        <v>50</v>
      </c>
      <c r="G2144" s="8" t="s">
        <v>7</v>
      </c>
      <c r="H2144" s="8" t="s">
        <v>38</v>
      </c>
      <c r="I2144" s="9">
        <v>5308.0778</v>
      </c>
      <c r="J2144">
        <v>4627.5903669999998</v>
      </c>
      <c r="K2144">
        <v>270.69491399999998</v>
      </c>
      <c r="L2144">
        <v>269.41181221019002</v>
      </c>
    </row>
    <row r="2145" spans="1:12" x14ac:dyDescent="0.2">
      <c r="A2145" s="8" t="s">
        <v>32</v>
      </c>
      <c r="B2145" s="8" t="s">
        <v>153</v>
      </c>
      <c r="C2145" s="8" t="s">
        <v>361</v>
      </c>
      <c r="D2145" s="8" t="s">
        <v>362</v>
      </c>
      <c r="E2145" s="8" t="s">
        <v>51</v>
      </c>
      <c r="F2145" s="8" t="s">
        <v>52</v>
      </c>
      <c r="G2145" s="8" t="s">
        <v>7</v>
      </c>
      <c r="H2145" s="8" t="s">
        <v>38</v>
      </c>
      <c r="I2145" s="9">
        <v>1478.3168000000001</v>
      </c>
      <c r="J2145">
        <v>1286.8834609999999</v>
      </c>
      <c r="K2145">
        <v>1592.0379089999999</v>
      </c>
      <c r="L2145">
        <v>1584.5133059855</v>
      </c>
    </row>
    <row r="2146" spans="1:12" x14ac:dyDescent="0.2">
      <c r="A2146" s="8" t="s">
        <v>32</v>
      </c>
      <c r="B2146" s="8" t="s">
        <v>153</v>
      </c>
      <c r="C2146" s="8" t="s">
        <v>361</v>
      </c>
      <c r="D2146" s="8" t="s">
        <v>362</v>
      </c>
      <c r="E2146" s="8" t="s">
        <v>68</v>
      </c>
      <c r="F2146" s="8" t="s">
        <v>69</v>
      </c>
      <c r="G2146" s="8" t="s">
        <v>7</v>
      </c>
      <c r="H2146" s="8" t="s">
        <v>38</v>
      </c>
      <c r="I2146" s="9">
        <v>9.3341502999999992</v>
      </c>
      <c r="J2146">
        <v>7.2158026077358004</v>
      </c>
      <c r="K2146">
        <v>2.5277957005267999</v>
      </c>
      <c r="L2146">
        <v>2.5349756820253999</v>
      </c>
    </row>
    <row r="2147" spans="1:12" x14ac:dyDescent="0.2">
      <c r="A2147" s="8" t="s">
        <v>32</v>
      </c>
      <c r="B2147" s="8" t="s">
        <v>153</v>
      </c>
      <c r="C2147" s="8" t="s">
        <v>361</v>
      </c>
      <c r="D2147" s="8" t="s">
        <v>362</v>
      </c>
      <c r="E2147" s="8" t="s">
        <v>53</v>
      </c>
      <c r="F2147" s="8" t="s">
        <v>54</v>
      </c>
      <c r="G2147" s="8" t="s">
        <v>7</v>
      </c>
      <c r="H2147" s="8" t="s">
        <v>38</v>
      </c>
      <c r="I2147" s="9">
        <v>50.784033999999998</v>
      </c>
      <c r="J2147">
        <v>42.175132465588</v>
      </c>
      <c r="K2147">
        <v>26.363866877606998</v>
      </c>
      <c r="L2147">
        <v>22.454987126633998</v>
      </c>
    </row>
    <row r="2148" spans="1:12" x14ac:dyDescent="0.2">
      <c r="A2148" s="8" t="s">
        <v>32</v>
      </c>
      <c r="B2148" s="8" t="s">
        <v>153</v>
      </c>
      <c r="C2148" s="8" t="s">
        <v>361</v>
      </c>
      <c r="D2148" s="8" t="s">
        <v>362</v>
      </c>
      <c r="E2148" s="8" t="s">
        <v>70</v>
      </c>
      <c r="F2148" s="8" t="s">
        <v>71</v>
      </c>
      <c r="G2148" s="8" t="s">
        <v>7</v>
      </c>
      <c r="H2148" s="8" t="s">
        <v>38</v>
      </c>
      <c r="I2148" s="9">
        <v>2451.6655000000001</v>
      </c>
      <c r="J2148">
        <v>2737.6931171000001</v>
      </c>
      <c r="K2148">
        <v>3309.7483953000001</v>
      </c>
      <c r="L2148">
        <v>3306.0145435802001</v>
      </c>
    </row>
    <row r="2149" spans="1:12" x14ac:dyDescent="0.2">
      <c r="A2149" s="8" t="s">
        <v>32</v>
      </c>
      <c r="B2149" s="8" t="s">
        <v>153</v>
      </c>
      <c r="C2149" s="8" t="s">
        <v>361</v>
      </c>
      <c r="D2149" s="8" t="s">
        <v>362</v>
      </c>
      <c r="E2149" s="8" t="s">
        <v>55</v>
      </c>
      <c r="F2149" s="8" t="s">
        <v>56</v>
      </c>
      <c r="G2149" s="8" t="s">
        <v>7</v>
      </c>
      <c r="H2149" s="8" t="s">
        <v>38</v>
      </c>
      <c r="I2149" s="9">
        <v>2.9718846000000001</v>
      </c>
      <c r="J2149">
        <v>3.3285877959710999</v>
      </c>
      <c r="K2149">
        <v>3.3285877959710999</v>
      </c>
      <c r="L2149">
        <v>3.3285877959710999</v>
      </c>
    </row>
    <row r="2150" spans="1:12" x14ac:dyDescent="0.2">
      <c r="A2150" s="8" t="s">
        <v>32</v>
      </c>
      <c r="B2150" s="8" t="s">
        <v>153</v>
      </c>
      <c r="C2150" s="8" t="s">
        <v>361</v>
      </c>
      <c r="D2150" s="8" t="s">
        <v>362</v>
      </c>
      <c r="E2150" s="8" t="s">
        <v>57</v>
      </c>
      <c r="F2150" s="8" t="s">
        <v>58</v>
      </c>
      <c r="G2150" s="8" t="s">
        <v>7</v>
      </c>
      <c r="H2150" s="8" t="s">
        <v>38</v>
      </c>
      <c r="I2150" s="9">
        <v>6.3102225000000001</v>
      </c>
      <c r="J2150">
        <v>7.0676128362061004</v>
      </c>
      <c r="K2150">
        <v>7.0676128362061004</v>
      </c>
      <c r="L2150">
        <v>7.0676128362061004</v>
      </c>
    </row>
    <row r="2151" spans="1:12" x14ac:dyDescent="0.2">
      <c r="A2151" s="8" t="s">
        <v>32</v>
      </c>
      <c r="B2151" s="8" t="s">
        <v>153</v>
      </c>
      <c r="C2151" s="8" t="s">
        <v>361</v>
      </c>
      <c r="D2151" s="8" t="s">
        <v>362</v>
      </c>
      <c r="E2151" s="8" t="s">
        <v>72</v>
      </c>
      <c r="F2151" s="8" t="s">
        <v>73</v>
      </c>
      <c r="G2151" s="8" t="s">
        <v>7</v>
      </c>
      <c r="H2151" s="8" t="s">
        <v>38</v>
      </c>
      <c r="I2151" s="9">
        <v>98.031199999999998</v>
      </c>
      <c r="J2151">
        <v>95.697124198056997</v>
      </c>
      <c r="K2151">
        <v>91.028971798152</v>
      </c>
      <c r="L2151">
        <v>90.219393707330994</v>
      </c>
    </row>
    <row r="2152" spans="1:12" x14ac:dyDescent="0.2">
      <c r="A2152" s="8" t="s">
        <v>32</v>
      </c>
      <c r="B2152" s="8" t="s">
        <v>153</v>
      </c>
      <c r="C2152" s="8" t="s">
        <v>361</v>
      </c>
      <c r="D2152" s="8" t="s">
        <v>362</v>
      </c>
      <c r="E2152" s="8" t="s">
        <v>74</v>
      </c>
      <c r="F2152" s="8" t="s">
        <v>75</v>
      </c>
      <c r="G2152" s="8" t="s">
        <v>7</v>
      </c>
      <c r="H2152" s="8" t="s">
        <v>38</v>
      </c>
      <c r="I2152" s="9">
        <v>18.168620000000001</v>
      </c>
      <c r="J2152">
        <v>19.220839999999999</v>
      </c>
      <c r="K2152">
        <v>18.376840000000001</v>
      </c>
      <c r="L2152">
        <v>22.364143255232001</v>
      </c>
    </row>
    <row r="2153" spans="1:12" x14ac:dyDescent="0.2">
      <c r="A2153" s="8" t="s">
        <v>32</v>
      </c>
      <c r="B2153" s="8" t="s">
        <v>153</v>
      </c>
      <c r="C2153" s="8" t="s">
        <v>361</v>
      </c>
      <c r="D2153" s="8" t="s">
        <v>362</v>
      </c>
      <c r="E2153" s="8" t="s">
        <v>59</v>
      </c>
      <c r="F2153" s="8" t="s">
        <v>60</v>
      </c>
      <c r="G2153" s="8" t="s">
        <v>7</v>
      </c>
      <c r="H2153" s="8" t="s">
        <v>38</v>
      </c>
      <c r="I2153" s="9">
        <v>201.25644</v>
      </c>
      <c r="J2153">
        <v>187.93371169368001</v>
      </c>
      <c r="K2153">
        <v>231.28079135844001</v>
      </c>
      <c r="L2153">
        <v>235.43040478396</v>
      </c>
    </row>
    <row r="2154" spans="1:12" x14ac:dyDescent="0.2">
      <c r="A2154" s="8" t="s">
        <v>32</v>
      </c>
      <c r="B2154" s="8" t="s">
        <v>153</v>
      </c>
      <c r="C2154" s="8" t="s">
        <v>361</v>
      </c>
      <c r="D2154" s="8" t="s">
        <v>362</v>
      </c>
      <c r="E2154" s="8" t="s">
        <v>76</v>
      </c>
      <c r="F2154" s="8" t="s">
        <v>77</v>
      </c>
      <c r="G2154" s="8" t="s">
        <v>7</v>
      </c>
      <c r="H2154" s="8" t="s">
        <v>38</v>
      </c>
      <c r="I2154" s="9">
        <v>840.19047999999998</v>
      </c>
      <c r="J2154">
        <v>750.51428593679998</v>
      </c>
      <c r="K2154">
        <v>1018.2857145898</v>
      </c>
      <c r="L2154">
        <v>1169.8552384448001</v>
      </c>
    </row>
    <row r="2155" spans="1:12" x14ac:dyDescent="0.2">
      <c r="A2155" s="8" t="s">
        <v>32</v>
      </c>
      <c r="B2155" s="8" t="s">
        <v>153</v>
      </c>
      <c r="C2155" s="8" t="s">
        <v>361</v>
      </c>
      <c r="D2155" s="8" t="s">
        <v>362</v>
      </c>
      <c r="E2155" s="8" t="s">
        <v>78</v>
      </c>
      <c r="F2155" s="8" t="s">
        <v>79</v>
      </c>
      <c r="G2155" s="8" t="s">
        <v>7</v>
      </c>
      <c r="H2155" s="8" t="s">
        <v>38</v>
      </c>
      <c r="I2155" s="9">
        <v>413.59992</v>
      </c>
      <c r="J2155">
        <v>239.48567074286001</v>
      </c>
      <c r="K2155">
        <v>329.05708302856999</v>
      </c>
      <c r="L2155">
        <v>326.88851199429001</v>
      </c>
    </row>
    <row r="2156" spans="1:12" x14ac:dyDescent="0.2">
      <c r="A2156" s="8" t="s">
        <v>32</v>
      </c>
      <c r="B2156" s="8" t="s">
        <v>153</v>
      </c>
      <c r="C2156" s="8" t="s">
        <v>361</v>
      </c>
      <c r="D2156" s="8" t="s">
        <v>362</v>
      </c>
      <c r="E2156" s="8" t="s">
        <v>92</v>
      </c>
      <c r="F2156" s="8" t="s">
        <v>93</v>
      </c>
      <c r="G2156" s="8" t="s">
        <v>7</v>
      </c>
      <c r="H2156" s="8" t="s">
        <v>38</v>
      </c>
      <c r="I2156" s="9">
        <v>44.680092000000002</v>
      </c>
      <c r="J2156">
        <v>45.499278391969</v>
      </c>
      <c r="K2156">
        <v>46.342196960648003</v>
      </c>
      <c r="L2156">
        <v>47.124233929951998</v>
      </c>
    </row>
    <row r="2157" spans="1:12" x14ac:dyDescent="0.2">
      <c r="A2157" s="8" t="s">
        <v>32</v>
      </c>
      <c r="B2157" s="8" t="s">
        <v>168</v>
      </c>
      <c r="C2157" s="8" t="s">
        <v>363</v>
      </c>
      <c r="D2157" s="8" t="s">
        <v>364</v>
      </c>
      <c r="E2157" s="8" t="s">
        <v>36</v>
      </c>
      <c r="F2157" s="8" t="s">
        <v>37</v>
      </c>
      <c r="G2157" s="8" t="s">
        <v>7</v>
      </c>
      <c r="H2157" s="8" t="s">
        <v>38</v>
      </c>
      <c r="I2157" s="9">
        <v>12976.29</v>
      </c>
      <c r="J2157">
        <v>14532.576788</v>
      </c>
      <c r="K2157">
        <v>15395.869901</v>
      </c>
      <c r="L2157">
        <v>17025.504558223001</v>
      </c>
    </row>
    <row r="2158" spans="1:12" x14ac:dyDescent="0.2">
      <c r="A2158" s="8" t="s">
        <v>32</v>
      </c>
      <c r="B2158" s="8" t="s">
        <v>168</v>
      </c>
      <c r="C2158" s="8" t="s">
        <v>363</v>
      </c>
      <c r="D2158" s="8" t="s">
        <v>364</v>
      </c>
      <c r="E2158" s="8" t="s">
        <v>64</v>
      </c>
      <c r="F2158" s="8" t="s">
        <v>65</v>
      </c>
      <c r="G2158" s="8" t="s">
        <v>7</v>
      </c>
      <c r="H2158" s="8" t="s">
        <v>38</v>
      </c>
      <c r="I2158" s="9">
        <v>7.0818000000000003</v>
      </c>
      <c r="J2158">
        <v>16.617144</v>
      </c>
      <c r="K2158">
        <v>11.571972000000001</v>
      </c>
      <c r="L2158">
        <v>12.827820734521</v>
      </c>
    </row>
    <row r="2159" spans="1:12" x14ac:dyDescent="0.2">
      <c r="A2159" s="8" t="s">
        <v>32</v>
      </c>
      <c r="B2159" s="8" t="s">
        <v>168</v>
      </c>
      <c r="C2159" s="8" t="s">
        <v>363</v>
      </c>
      <c r="D2159" s="8" t="s">
        <v>364</v>
      </c>
      <c r="E2159" s="8" t="s">
        <v>39</v>
      </c>
      <c r="F2159" s="8" t="s">
        <v>40</v>
      </c>
      <c r="G2159" s="8" t="s">
        <v>7</v>
      </c>
      <c r="H2159" s="8" t="s">
        <v>38</v>
      </c>
      <c r="I2159" s="9">
        <v>2202.2449999999999</v>
      </c>
      <c r="J2159">
        <v>2220.443526</v>
      </c>
      <c r="K2159">
        <v>2210.65218</v>
      </c>
      <c r="L2159">
        <v>2260.3729256310999</v>
      </c>
    </row>
    <row r="2160" spans="1:12" x14ac:dyDescent="0.2">
      <c r="A2160" s="8" t="s">
        <v>32</v>
      </c>
      <c r="B2160" s="8" t="s">
        <v>168</v>
      </c>
      <c r="C2160" s="8" t="s">
        <v>363</v>
      </c>
      <c r="D2160" s="8" t="s">
        <v>364</v>
      </c>
      <c r="E2160" s="8" t="s">
        <v>41</v>
      </c>
      <c r="F2160" s="8" t="s">
        <v>42</v>
      </c>
      <c r="G2160" s="8" t="s">
        <v>7</v>
      </c>
      <c r="H2160" s="8" t="s">
        <v>38</v>
      </c>
      <c r="I2160" s="9">
        <v>4.4615999999999998</v>
      </c>
      <c r="J2160">
        <v>19.487324999999998</v>
      </c>
      <c r="K2160">
        <v>7.0856500000000002</v>
      </c>
      <c r="L2160">
        <v>9.4365068520414006</v>
      </c>
    </row>
    <row r="2161" spans="1:12" x14ac:dyDescent="0.2">
      <c r="A2161" s="8" t="s">
        <v>32</v>
      </c>
      <c r="B2161" s="8" t="s">
        <v>168</v>
      </c>
      <c r="C2161" s="8" t="s">
        <v>363</v>
      </c>
      <c r="D2161" s="8" t="s">
        <v>364</v>
      </c>
      <c r="E2161" s="8" t="s">
        <v>43</v>
      </c>
      <c r="F2161" s="8" t="s">
        <v>44</v>
      </c>
      <c r="G2161" s="8" t="s">
        <v>7</v>
      </c>
      <c r="H2161" s="8" t="s">
        <v>38</v>
      </c>
      <c r="I2161" s="9">
        <v>1984.3715999999999</v>
      </c>
      <c r="J2161">
        <v>1936.6732050000001</v>
      </c>
      <c r="K2161">
        <v>2269.9358790000001</v>
      </c>
      <c r="L2161">
        <v>2259.2072611315002</v>
      </c>
    </row>
    <row r="2162" spans="1:12" x14ac:dyDescent="0.2">
      <c r="A2162" s="8" t="s">
        <v>32</v>
      </c>
      <c r="B2162" s="8" t="s">
        <v>168</v>
      </c>
      <c r="C2162" s="8" t="s">
        <v>363</v>
      </c>
      <c r="D2162" s="8" t="s">
        <v>364</v>
      </c>
      <c r="E2162" s="8" t="s">
        <v>66</v>
      </c>
      <c r="F2162" s="8" t="s">
        <v>67</v>
      </c>
      <c r="G2162" s="8" t="s">
        <v>7</v>
      </c>
      <c r="H2162" s="8" t="s">
        <v>38</v>
      </c>
      <c r="I2162" s="9">
        <v>742.89706999999999</v>
      </c>
      <c r="J2162">
        <v>712.97146299999997</v>
      </c>
      <c r="K2162">
        <v>707.71427900000003</v>
      </c>
      <c r="L2162">
        <v>704.94594993883004</v>
      </c>
    </row>
    <row r="2163" spans="1:12" x14ac:dyDescent="0.2">
      <c r="A2163" s="8" t="s">
        <v>32</v>
      </c>
      <c r="B2163" s="8" t="s">
        <v>168</v>
      </c>
      <c r="C2163" s="8" t="s">
        <v>363</v>
      </c>
      <c r="D2163" s="8" t="s">
        <v>364</v>
      </c>
      <c r="E2163" s="8" t="s">
        <v>45</v>
      </c>
      <c r="F2163" s="8" t="s">
        <v>46</v>
      </c>
      <c r="G2163" s="8" t="s">
        <v>7</v>
      </c>
      <c r="H2163" s="8" t="s">
        <v>38</v>
      </c>
      <c r="I2163" s="9"/>
    </row>
    <row r="2164" spans="1:12" x14ac:dyDescent="0.2">
      <c r="A2164" s="8" t="s">
        <v>32</v>
      </c>
      <c r="B2164" s="8" t="s">
        <v>168</v>
      </c>
      <c r="C2164" s="8" t="s">
        <v>363</v>
      </c>
      <c r="D2164" s="8" t="s">
        <v>364</v>
      </c>
      <c r="E2164" s="8" t="s">
        <v>47</v>
      </c>
      <c r="F2164" s="8" t="s">
        <v>48</v>
      </c>
      <c r="G2164" s="8" t="s">
        <v>7</v>
      </c>
      <c r="H2164" s="8" t="s">
        <v>38</v>
      </c>
      <c r="I2164" s="9">
        <v>54.103631999999998</v>
      </c>
      <c r="J2164">
        <v>35.927188000000001</v>
      </c>
      <c r="K2164">
        <v>33.814770000000003</v>
      </c>
      <c r="L2164">
        <v>37.484519297063002</v>
      </c>
    </row>
    <row r="2165" spans="1:12" x14ac:dyDescent="0.2">
      <c r="A2165" s="8" t="s">
        <v>32</v>
      </c>
      <c r="B2165" s="8" t="s">
        <v>168</v>
      </c>
      <c r="C2165" s="8" t="s">
        <v>363</v>
      </c>
      <c r="D2165" s="8" t="s">
        <v>364</v>
      </c>
      <c r="E2165" s="8" t="s">
        <v>49</v>
      </c>
      <c r="F2165" s="8" t="s">
        <v>50</v>
      </c>
      <c r="G2165" s="8" t="s">
        <v>7</v>
      </c>
      <c r="H2165" s="8" t="s">
        <v>38</v>
      </c>
      <c r="I2165" s="9">
        <v>1580.6464000000001</v>
      </c>
      <c r="J2165">
        <v>1650.1160609999999</v>
      </c>
      <c r="K2165">
        <v>1546.038483</v>
      </c>
      <c r="L2165">
        <v>1684.9191337407001</v>
      </c>
    </row>
    <row r="2166" spans="1:12" x14ac:dyDescent="0.2">
      <c r="A2166" s="8" t="s">
        <v>32</v>
      </c>
      <c r="B2166" s="8" t="s">
        <v>168</v>
      </c>
      <c r="C2166" s="8" t="s">
        <v>363</v>
      </c>
      <c r="D2166" s="8" t="s">
        <v>364</v>
      </c>
      <c r="E2166" s="8" t="s">
        <v>51</v>
      </c>
      <c r="F2166" s="8" t="s">
        <v>52</v>
      </c>
      <c r="G2166" s="8" t="s">
        <v>7</v>
      </c>
      <c r="H2166" s="8" t="s">
        <v>38</v>
      </c>
      <c r="I2166" s="9">
        <v>1117.6602</v>
      </c>
      <c r="J2166">
        <v>1494.1086720000001</v>
      </c>
      <c r="K2166">
        <v>1452.3205780000001</v>
      </c>
      <c r="L2166">
        <v>1609.9337281183</v>
      </c>
    </row>
    <row r="2167" spans="1:12" x14ac:dyDescent="0.2">
      <c r="A2167" s="8" t="s">
        <v>32</v>
      </c>
      <c r="B2167" s="8" t="s">
        <v>168</v>
      </c>
      <c r="C2167" s="8" t="s">
        <v>363</v>
      </c>
      <c r="D2167" s="8" t="s">
        <v>364</v>
      </c>
      <c r="E2167" s="8" t="s">
        <v>68</v>
      </c>
      <c r="F2167" s="8" t="s">
        <v>69</v>
      </c>
      <c r="G2167" s="8" t="s">
        <v>7</v>
      </c>
      <c r="H2167" s="8" t="s">
        <v>38</v>
      </c>
      <c r="I2167" s="9">
        <v>360.34296000000001</v>
      </c>
      <c r="J2167">
        <v>341.48528698236998</v>
      </c>
      <c r="K2167">
        <v>368.76535279472</v>
      </c>
      <c r="L2167">
        <v>740.12340521047997</v>
      </c>
    </row>
    <row r="2168" spans="1:12" x14ac:dyDescent="0.2">
      <c r="A2168" s="8" t="s">
        <v>32</v>
      </c>
      <c r="B2168" s="8" t="s">
        <v>168</v>
      </c>
      <c r="C2168" s="8" t="s">
        <v>363</v>
      </c>
      <c r="D2168" s="8" t="s">
        <v>364</v>
      </c>
      <c r="E2168" s="8" t="s">
        <v>53</v>
      </c>
      <c r="F2168" s="8" t="s">
        <v>54</v>
      </c>
      <c r="G2168" s="8" t="s">
        <v>7</v>
      </c>
      <c r="H2168" s="8" t="s">
        <v>38</v>
      </c>
      <c r="I2168" s="9">
        <v>980.64498000000003</v>
      </c>
      <c r="J2168">
        <v>1383.3613542892001</v>
      </c>
      <c r="K2168">
        <v>380.84837428451999</v>
      </c>
      <c r="L2168">
        <v>237.52953064383999</v>
      </c>
    </row>
    <row r="2169" spans="1:12" x14ac:dyDescent="0.2">
      <c r="A2169" s="8" t="s">
        <v>32</v>
      </c>
      <c r="B2169" s="8" t="s">
        <v>168</v>
      </c>
      <c r="C2169" s="8" t="s">
        <v>363</v>
      </c>
      <c r="D2169" s="8" t="s">
        <v>364</v>
      </c>
      <c r="E2169" s="8" t="s">
        <v>70</v>
      </c>
      <c r="F2169" s="8" t="s">
        <v>71</v>
      </c>
      <c r="G2169" s="8" t="s">
        <v>7</v>
      </c>
      <c r="H2169" s="8" t="s">
        <v>38</v>
      </c>
      <c r="I2169" s="9">
        <v>441.27553</v>
      </c>
      <c r="J2169">
        <v>482.715114615</v>
      </c>
      <c r="K2169">
        <v>506.98153568999999</v>
      </c>
      <c r="L2169">
        <v>506.40959074045998</v>
      </c>
    </row>
    <row r="2170" spans="1:12" x14ac:dyDescent="0.2">
      <c r="A2170" s="8" t="s">
        <v>32</v>
      </c>
      <c r="B2170" s="8" t="s">
        <v>168</v>
      </c>
      <c r="C2170" s="8" t="s">
        <v>363</v>
      </c>
      <c r="D2170" s="8" t="s">
        <v>364</v>
      </c>
      <c r="E2170" s="8" t="s">
        <v>83</v>
      </c>
      <c r="F2170" s="8" t="s">
        <v>84</v>
      </c>
      <c r="G2170" s="8" t="s">
        <v>7</v>
      </c>
      <c r="H2170" s="8" t="s">
        <v>38</v>
      </c>
      <c r="I2170" s="9">
        <v>45</v>
      </c>
      <c r="J2170">
        <v>45</v>
      </c>
      <c r="K2170">
        <v>45</v>
      </c>
      <c r="L2170">
        <v>45</v>
      </c>
    </row>
    <row r="2171" spans="1:12" x14ac:dyDescent="0.2">
      <c r="A2171" s="8" t="s">
        <v>32</v>
      </c>
      <c r="B2171" s="8" t="s">
        <v>168</v>
      </c>
      <c r="C2171" s="8" t="s">
        <v>363</v>
      </c>
      <c r="D2171" s="8" t="s">
        <v>364</v>
      </c>
      <c r="E2171" s="8" t="s">
        <v>55</v>
      </c>
      <c r="F2171" s="8" t="s">
        <v>56</v>
      </c>
      <c r="G2171" s="8" t="s">
        <v>7</v>
      </c>
      <c r="H2171" s="8" t="s">
        <v>38</v>
      </c>
      <c r="I2171" s="9">
        <v>0.1653944</v>
      </c>
      <c r="J2171">
        <v>0.18524603135616999</v>
      </c>
      <c r="K2171">
        <v>0.18524603135616999</v>
      </c>
      <c r="L2171">
        <v>0.18524603135616999</v>
      </c>
    </row>
    <row r="2172" spans="1:12" x14ac:dyDescent="0.2">
      <c r="A2172" s="8" t="s">
        <v>32</v>
      </c>
      <c r="B2172" s="8" t="s">
        <v>168</v>
      </c>
      <c r="C2172" s="8" t="s">
        <v>363</v>
      </c>
      <c r="D2172" s="8" t="s">
        <v>364</v>
      </c>
      <c r="E2172" s="8" t="s">
        <v>57</v>
      </c>
      <c r="F2172" s="8" t="s">
        <v>58</v>
      </c>
      <c r="G2172" s="8" t="s">
        <v>7</v>
      </c>
      <c r="H2172" s="8" t="s">
        <v>38</v>
      </c>
      <c r="I2172" s="9">
        <v>0.25894339999999999</v>
      </c>
      <c r="J2172">
        <v>0.29002328902694002</v>
      </c>
      <c r="K2172">
        <v>0.29002328902694002</v>
      </c>
      <c r="L2172">
        <v>0.29002328902694002</v>
      </c>
    </row>
    <row r="2173" spans="1:12" x14ac:dyDescent="0.2">
      <c r="A2173" s="8" t="s">
        <v>32</v>
      </c>
      <c r="B2173" s="8" t="s">
        <v>168</v>
      </c>
      <c r="C2173" s="8" t="s">
        <v>363</v>
      </c>
      <c r="D2173" s="8" t="s">
        <v>364</v>
      </c>
      <c r="E2173" s="8" t="s">
        <v>74</v>
      </c>
      <c r="F2173" s="8" t="s">
        <v>75</v>
      </c>
      <c r="G2173" s="8" t="s">
        <v>7</v>
      </c>
      <c r="H2173" s="8" t="s">
        <v>38</v>
      </c>
      <c r="I2173" s="9"/>
    </row>
    <row r="2174" spans="1:12" x14ac:dyDescent="0.2">
      <c r="A2174" s="8" t="s">
        <v>32</v>
      </c>
      <c r="B2174" s="8" t="s">
        <v>168</v>
      </c>
      <c r="C2174" s="8" t="s">
        <v>363</v>
      </c>
      <c r="D2174" s="8" t="s">
        <v>364</v>
      </c>
      <c r="E2174" s="8" t="s">
        <v>59</v>
      </c>
      <c r="F2174" s="8" t="s">
        <v>60</v>
      </c>
      <c r="G2174" s="8" t="s">
        <v>7</v>
      </c>
      <c r="H2174" s="8" t="s">
        <v>38</v>
      </c>
      <c r="I2174" s="9">
        <v>17.191831000000001</v>
      </c>
      <c r="J2174">
        <v>15.814747115997999</v>
      </c>
      <c r="K2174">
        <v>17.354065970274</v>
      </c>
      <c r="L2174">
        <v>17.467299678157001</v>
      </c>
    </row>
    <row r="2175" spans="1:12" x14ac:dyDescent="0.2">
      <c r="A2175" s="8" t="s">
        <v>32</v>
      </c>
      <c r="B2175" s="8" t="s">
        <v>168</v>
      </c>
      <c r="C2175" s="8" t="s">
        <v>363</v>
      </c>
      <c r="D2175" s="8" t="s">
        <v>364</v>
      </c>
      <c r="E2175" s="8" t="s">
        <v>92</v>
      </c>
      <c r="F2175" s="8" t="s">
        <v>93</v>
      </c>
      <c r="G2175" s="8" t="s">
        <v>7</v>
      </c>
      <c r="H2175" s="8" t="s">
        <v>38</v>
      </c>
      <c r="I2175" s="9">
        <v>0.88238649999999996</v>
      </c>
      <c r="J2175">
        <v>0.89322205664999998</v>
      </c>
      <c r="K2175">
        <v>0.90419067063364</v>
      </c>
      <c r="L2175">
        <v>0.91653689097436997</v>
      </c>
    </row>
    <row r="2176" spans="1:12" x14ac:dyDescent="0.2">
      <c r="A2176" s="8" t="s">
        <v>32</v>
      </c>
      <c r="B2176" s="8" t="s">
        <v>105</v>
      </c>
      <c r="C2176" s="8" t="s">
        <v>365</v>
      </c>
      <c r="D2176" s="8" t="s">
        <v>366</v>
      </c>
      <c r="E2176" s="8" t="s">
        <v>59</v>
      </c>
      <c r="F2176" s="8" t="s">
        <v>60</v>
      </c>
      <c r="G2176" s="8" t="s">
        <v>7</v>
      </c>
      <c r="H2176" s="8" t="s">
        <v>38</v>
      </c>
      <c r="I2176" s="9">
        <v>9.7266199999999997E-2</v>
      </c>
      <c r="J2176">
        <v>9.3213458909798E-2</v>
      </c>
      <c r="K2176">
        <v>9.1329221102632002E-2</v>
      </c>
      <c r="L2176">
        <v>9.0558183295465E-2</v>
      </c>
    </row>
    <row r="2177" spans="1:12" x14ac:dyDescent="0.2">
      <c r="A2177" s="8" t="s">
        <v>32</v>
      </c>
      <c r="B2177" s="8" t="s">
        <v>80</v>
      </c>
      <c r="C2177" s="8" t="s">
        <v>367</v>
      </c>
      <c r="D2177" s="8" t="s">
        <v>368</v>
      </c>
      <c r="E2177" s="8" t="s">
        <v>36</v>
      </c>
      <c r="F2177" s="8" t="s">
        <v>37</v>
      </c>
      <c r="G2177" s="8" t="s">
        <v>7</v>
      </c>
      <c r="H2177" s="8" t="s">
        <v>38</v>
      </c>
      <c r="I2177" s="9">
        <v>1485.2511</v>
      </c>
      <c r="J2177">
        <v>1494.8931419999999</v>
      </c>
      <c r="K2177">
        <v>1683.3778500000001</v>
      </c>
      <c r="L2177">
        <v>1732.960813039</v>
      </c>
    </row>
    <row r="2178" spans="1:12" x14ac:dyDescent="0.2">
      <c r="A2178" s="8" t="s">
        <v>32</v>
      </c>
      <c r="B2178" s="8" t="s">
        <v>80</v>
      </c>
      <c r="C2178" s="8" t="s">
        <v>367</v>
      </c>
      <c r="D2178" s="8" t="s">
        <v>368</v>
      </c>
      <c r="E2178" s="8" t="s">
        <v>64</v>
      </c>
      <c r="F2178" s="8" t="s">
        <v>65</v>
      </c>
      <c r="G2178" s="8" t="s">
        <v>7</v>
      </c>
      <c r="H2178" s="8" t="s">
        <v>38</v>
      </c>
      <c r="I2178" s="9">
        <v>274.53089999999997</v>
      </c>
      <c r="J2178">
        <v>391.82068800000002</v>
      </c>
      <c r="K2178">
        <v>466.00904800000001</v>
      </c>
      <c r="L2178">
        <v>483.70376651235</v>
      </c>
    </row>
    <row r="2179" spans="1:12" x14ac:dyDescent="0.2">
      <c r="A2179" s="8" t="s">
        <v>32</v>
      </c>
      <c r="B2179" s="8" t="s">
        <v>80</v>
      </c>
      <c r="C2179" s="8" t="s">
        <v>367</v>
      </c>
      <c r="D2179" s="8" t="s">
        <v>368</v>
      </c>
      <c r="E2179" s="8" t="s">
        <v>39</v>
      </c>
      <c r="F2179" s="8" t="s">
        <v>40</v>
      </c>
      <c r="G2179" s="8" t="s">
        <v>7</v>
      </c>
      <c r="H2179" s="8" t="s">
        <v>38</v>
      </c>
      <c r="I2179" s="9">
        <v>689.60990000000004</v>
      </c>
      <c r="J2179">
        <v>755.21313099999998</v>
      </c>
      <c r="K2179">
        <v>1026.308689</v>
      </c>
      <c r="L2179">
        <v>1048.7500723865001</v>
      </c>
    </row>
    <row r="2180" spans="1:12" x14ac:dyDescent="0.2">
      <c r="A2180" s="8" t="s">
        <v>32</v>
      </c>
      <c r="B2180" s="8" t="s">
        <v>80</v>
      </c>
      <c r="C2180" s="8" t="s">
        <v>367</v>
      </c>
      <c r="D2180" s="8" t="s">
        <v>368</v>
      </c>
      <c r="E2180" s="8" t="s">
        <v>41</v>
      </c>
      <c r="F2180" s="8" t="s">
        <v>42</v>
      </c>
      <c r="G2180" s="8" t="s">
        <v>7</v>
      </c>
      <c r="H2180" s="8" t="s">
        <v>38</v>
      </c>
      <c r="I2180" s="9">
        <v>33.642895000000003</v>
      </c>
      <c r="J2180">
        <v>47.368034999999999</v>
      </c>
      <c r="K2180">
        <v>106.990455</v>
      </c>
      <c r="L2180">
        <v>120.58300126819999</v>
      </c>
    </row>
    <row r="2181" spans="1:12" x14ac:dyDescent="0.2">
      <c r="A2181" s="8" t="s">
        <v>32</v>
      </c>
      <c r="B2181" s="8" t="s">
        <v>80</v>
      </c>
      <c r="C2181" s="8" t="s">
        <v>367</v>
      </c>
      <c r="D2181" s="8" t="s">
        <v>368</v>
      </c>
      <c r="E2181" s="8" t="s">
        <v>43</v>
      </c>
      <c r="F2181" s="8" t="s">
        <v>44</v>
      </c>
      <c r="G2181" s="8" t="s">
        <v>7</v>
      </c>
      <c r="H2181" s="8" t="s">
        <v>38</v>
      </c>
      <c r="I2181" s="9">
        <v>3150.8778000000002</v>
      </c>
      <c r="J2181">
        <v>4036.2911159999999</v>
      </c>
      <c r="K2181">
        <v>4072.9380150000002</v>
      </c>
      <c r="L2181">
        <v>4153.1492137170999</v>
      </c>
    </row>
    <row r="2182" spans="1:12" x14ac:dyDescent="0.2">
      <c r="A2182" s="8" t="s">
        <v>32</v>
      </c>
      <c r="B2182" s="8" t="s">
        <v>80</v>
      </c>
      <c r="C2182" s="8" t="s">
        <v>367</v>
      </c>
      <c r="D2182" s="8" t="s">
        <v>368</v>
      </c>
      <c r="E2182" s="8" t="s">
        <v>66</v>
      </c>
      <c r="F2182" s="8" t="s">
        <v>67</v>
      </c>
      <c r="G2182" s="8" t="s">
        <v>7</v>
      </c>
      <c r="H2182" s="8" t="s">
        <v>38</v>
      </c>
      <c r="I2182" s="9"/>
      <c r="K2182">
        <v>64.600380000000001</v>
      </c>
      <c r="L2182">
        <v>65.871181967454007</v>
      </c>
    </row>
    <row r="2183" spans="1:12" x14ac:dyDescent="0.2">
      <c r="A2183" s="8" t="s">
        <v>32</v>
      </c>
      <c r="B2183" s="8" t="s">
        <v>80</v>
      </c>
      <c r="C2183" s="8" t="s">
        <v>367</v>
      </c>
      <c r="D2183" s="8" t="s">
        <v>368</v>
      </c>
      <c r="E2183" s="8" t="s">
        <v>45</v>
      </c>
      <c r="F2183" s="8" t="s">
        <v>46</v>
      </c>
      <c r="G2183" s="8" t="s">
        <v>7</v>
      </c>
      <c r="H2183" s="8" t="s">
        <v>38</v>
      </c>
      <c r="I2183" s="9">
        <v>91.343811000000002</v>
      </c>
      <c r="J2183">
        <v>84.625163999999998</v>
      </c>
      <c r="K2183">
        <v>92.113709999999998</v>
      </c>
      <c r="L2183">
        <v>86.293763226997001</v>
      </c>
    </row>
    <row r="2184" spans="1:12" x14ac:dyDescent="0.2">
      <c r="A2184" s="8" t="s">
        <v>32</v>
      </c>
      <c r="B2184" s="8" t="s">
        <v>80</v>
      </c>
      <c r="C2184" s="8" t="s">
        <v>367</v>
      </c>
      <c r="D2184" s="8" t="s">
        <v>368</v>
      </c>
      <c r="E2184" s="8" t="s">
        <v>49</v>
      </c>
      <c r="F2184" s="8" t="s">
        <v>50</v>
      </c>
      <c r="G2184" s="8" t="s">
        <v>7</v>
      </c>
      <c r="H2184" s="8" t="s">
        <v>38</v>
      </c>
      <c r="I2184" s="9">
        <v>89.701453000000001</v>
      </c>
      <c r="J2184">
        <v>127.209204</v>
      </c>
      <c r="K2184">
        <v>208.23934700000001</v>
      </c>
      <c r="L2184">
        <v>212.43329720634</v>
      </c>
    </row>
    <row r="2185" spans="1:12" x14ac:dyDescent="0.2">
      <c r="A2185" s="8" t="s">
        <v>32</v>
      </c>
      <c r="B2185" s="8" t="s">
        <v>80</v>
      </c>
      <c r="C2185" s="8" t="s">
        <v>367</v>
      </c>
      <c r="D2185" s="8" t="s">
        <v>368</v>
      </c>
      <c r="E2185" s="8" t="s">
        <v>51</v>
      </c>
      <c r="F2185" s="8" t="s">
        <v>52</v>
      </c>
      <c r="G2185" s="8" t="s">
        <v>7</v>
      </c>
      <c r="H2185" s="8" t="s">
        <v>38</v>
      </c>
      <c r="I2185" s="9">
        <v>33.268422000000001</v>
      </c>
      <c r="J2185">
        <v>62.680529999999997</v>
      </c>
      <c r="K2185">
        <v>74.660123999999996</v>
      </c>
      <c r="L2185">
        <v>76.909797254276</v>
      </c>
    </row>
    <row r="2186" spans="1:12" x14ac:dyDescent="0.2">
      <c r="A2186" s="8" t="s">
        <v>32</v>
      </c>
      <c r="B2186" s="8" t="s">
        <v>80</v>
      </c>
      <c r="C2186" s="8" t="s">
        <v>367</v>
      </c>
      <c r="D2186" s="8" t="s">
        <v>368</v>
      </c>
      <c r="E2186" s="8" t="s">
        <v>68</v>
      </c>
      <c r="F2186" s="8" t="s">
        <v>69</v>
      </c>
      <c r="G2186" s="8" t="s">
        <v>7</v>
      </c>
      <c r="H2186" s="8" t="s">
        <v>38</v>
      </c>
      <c r="I2186" s="9">
        <v>76.935877000000005</v>
      </c>
      <c r="J2186">
        <v>113.38826921968</v>
      </c>
      <c r="K2186">
        <v>141.47484255098999</v>
      </c>
      <c r="L2186">
        <v>141.58729496687999</v>
      </c>
    </row>
    <row r="2187" spans="1:12" x14ac:dyDescent="0.2">
      <c r="A2187" s="8" t="s">
        <v>32</v>
      </c>
      <c r="B2187" s="8" t="s">
        <v>80</v>
      </c>
      <c r="C2187" s="8" t="s">
        <v>367</v>
      </c>
      <c r="D2187" s="8" t="s">
        <v>368</v>
      </c>
      <c r="E2187" s="8" t="s">
        <v>53</v>
      </c>
      <c r="F2187" s="8" t="s">
        <v>54</v>
      </c>
      <c r="G2187" s="8" t="s">
        <v>7</v>
      </c>
      <c r="H2187" s="8" t="s">
        <v>38</v>
      </c>
      <c r="I2187" s="9">
        <v>0.40909010000000001</v>
      </c>
      <c r="J2187">
        <v>7.5932649599999999E-2</v>
      </c>
      <c r="K2187">
        <v>866.87486420934999</v>
      </c>
      <c r="L2187">
        <v>474.61255596015002</v>
      </c>
    </row>
    <row r="2188" spans="1:12" x14ac:dyDescent="0.2">
      <c r="A2188" s="8" t="s">
        <v>32</v>
      </c>
      <c r="B2188" s="8" t="s">
        <v>80</v>
      </c>
      <c r="C2188" s="8" t="s">
        <v>367</v>
      </c>
      <c r="D2188" s="8" t="s">
        <v>368</v>
      </c>
      <c r="E2188" s="8" t="s">
        <v>70</v>
      </c>
      <c r="F2188" s="8" t="s">
        <v>71</v>
      </c>
      <c r="G2188" s="8" t="s">
        <v>7</v>
      </c>
      <c r="H2188" s="8" t="s">
        <v>38</v>
      </c>
      <c r="I2188" s="9">
        <v>1054.6786999999999</v>
      </c>
      <c r="J2188">
        <v>1054.6787439</v>
      </c>
      <c r="K2188">
        <v>1093.7409196000001</v>
      </c>
      <c r="L2188">
        <v>1092.5070293081001</v>
      </c>
    </row>
    <row r="2189" spans="1:12" x14ac:dyDescent="0.2">
      <c r="A2189" s="8" t="s">
        <v>32</v>
      </c>
      <c r="B2189" s="8" t="s">
        <v>80</v>
      </c>
      <c r="C2189" s="8" t="s">
        <v>367</v>
      </c>
      <c r="D2189" s="8" t="s">
        <v>368</v>
      </c>
      <c r="E2189" s="8" t="s">
        <v>83</v>
      </c>
      <c r="F2189" s="8" t="s">
        <v>84</v>
      </c>
      <c r="G2189" s="8" t="s">
        <v>7</v>
      </c>
      <c r="H2189" s="8" t="s">
        <v>38</v>
      </c>
      <c r="I2189" s="9">
        <v>7.5</v>
      </c>
      <c r="J2189">
        <v>7.5</v>
      </c>
      <c r="K2189">
        <v>7.5</v>
      </c>
      <c r="L2189">
        <v>7.5</v>
      </c>
    </row>
    <row r="2190" spans="1:12" x14ac:dyDescent="0.2">
      <c r="A2190" s="8" t="s">
        <v>32</v>
      </c>
      <c r="B2190" s="8" t="s">
        <v>80</v>
      </c>
      <c r="C2190" s="8" t="s">
        <v>367</v>
      </c>
      <c r="D2190" s="8" t="s">
        <v>368</v>
      </c>
      <c r="E2190" s="8" t="s">
        <v>55</v>
      </c>
      <c r="F2190" s="8" t="s">
        <v>56</v>
      </c>
      <c r="G2190" s="8" t="s">
        <v>7</v>
      </c>
      <c r="H2190" s="8" t="s">
        <v>38</v>
      </c>
      <c r="I2190" s="9">
        <v>1.5381488000000001</v>
      </c>
      <c r="J2190">
        <v>1.7227665078150001</v>
      </c>
      <c r="K2190">
        <v>1.7227665078150001</v>
      </c>
      <c r="L2190">
        <v>1.7227665078150001</v>
      </c>
    </row>
    <row r="2191" spans="1:12" x14ac:dyDescent="0.2">
      <c r="A2191" s="8" t="s">
        <v>32</v>
      </c>
      <c r="B2191" s="8" t="s">
        <v>80</v>
      </c>
      <c r="C2191" s="8" t="s">
        <v>367</v>
      </c>
      <c r="D2191" s="8" t="s">
        <v>368</v>
      </c>
      <c r="E2191" s="8" t="s">
        <v>57</v>
      </c>
      <c r="F2191" s="8" t="s">
        <v>58</v>
      </c>
      <c r="G2191" s="8" t="s">
        <v>7</v>
      </c>
      <c r="H2191" s="8" t="s">
        <v>38</v>
      </c>
      <c r="I2191" s="9">
        <v>0.4603698</v>
      </c>
      <c r="J2191">
        <v>0.51562607775654001</v>
      </c>
      <c r="K2191">
        <v>0.51562607775654001</v>
      </c>
      <c r="L2191">
        <v>0.51562607775654001</v>
      </c>
    </row>
    <row r="2192" spans="1:12" x14ac:dyDescent="0.2">
      <c r="A2192" s="8" t="s">
        <v>32</v>
      </c>
      <c r="B2192" s="8" t="s">
        <v>80</v>
      </c>
      <c r="C2192" s="8" t="s">
        <v>367</v>
      </c>
      <c r="D2192" s="8" t="s">
        <v>368</v>
      </c>
      <c r="E2192" s="8" t="s">
        <v>74</v>
      </c>
      <c r="F2192" s="8" t="s">
        <v>75</v>
      </c>
      <c r="G2192" s="8" t="s">
        <v>7</v>
      </c>
      <c r="H2192" s="8" t="s">
        <v>38</v>
      </c>
      <c r="I2192" s="9">
        <v>912.58720000000005</v>
      </c>
      <c r="J2192">
        <v>902.60167999999999</v>
      </c>
      <c r="K2192">
        <v>924.68876</v>
      </c>
      <c r="L2192">
        <v>952.55166003886995</v>
      </c>
    </row>
    <row r="2193" spans="1:12" x14ac:dyDescent="0.2">
      <c r="A2193" s="8" t="s">
        <v>32</v>
      </c>
      <c r="B2193" s="8" t="s">
        <v>80</v>
      </c>
      <c r="C2193" s="8" t="s">
        <v>367</v>
      </c>
      <c r="D2193" s="8" t="s">
        <v>368</v>
      </c>
      <c r="E2193" s="8" t="s">
        <v>59</v>
      </c>
      <c r="F2193" s="8" t="s">
        <v>60</v>
      </c>
      <c r="G2193" s="8" t="s">
        <v>7</v>
      </c>
      <c r="H2193" s="8" t="s">
        <v>38</v>
      </c>
      <c r="I2193" s="9">
        <v>51.101675999999998</v>
      </c>
      <c r="J2193">
        <v>63.334296930442001</v>
      </c>
      <c r="K2193">
        <v>65.437073185436006</v>
      </c>
      <c r="L2193">
        <v>67.395265530958</v>
      </c>
    </row>
    <row r="2194" spans="1:12" x14ac:dyDescent="0.2">
      <c r="A2194" s="8" t="s">
        <v>32</v>
      </c>
      <c r="B2194" s="8" t="s">
        <v>125</v>
      </c>
      <c r="C2194" s="8" t="s">
        <v>369</v>
      </c>
      <c r="D2194" s="8" t="s">
        <v>370</v>
      </c>
      <c r="E2194" s="8" t="s">
        <v>36</v>
      </c>
      <c r="F2194" s="8" t="s">
        <v>37</v>
      </c>
      <c r="G2194" s="8" t="s">
        <v>7</v>
      </c>
      <c r="H2194" s="8" t="s">
        <v>38</v>
      </c>
      <c r="I2194" s="9">
        <v>888.85738000000003</v>
      </c>
      <c r="J2194">
        <v>765.30063211690003</v>
      </c>
      <c r="K2194">
        <v>868.16344783543002</v>
      </c>
      <c r="L2194">
        <v>830.16905353176003</v>
      </c>
    </row>
    <row r="2195" spans="1:12" x14ac:dyDescent="0.2">
      <c r="A2195" s="8" t="s">
        <v>32</v>
      </c>
      <c r="B2195" s="8" t="s">
        <v>125</v>
      </c>
      <c r="C2195" s="8" t="s">
        <v>369</v>
      </c>
      <c r="D2195" s="8" t="s">
        <v>370</v>
      </c>
      <c r="E2195" s="8" t="s">
        <v>64</v>
      </c>
      <c r="F2195" s="8" t="s">
        <v>65</v>
      </c>
      <c r="G2195" s="8" t="s">
        <v>7</v>
      </c>
      <c r="H2195" s="8" t="s">
        <v>38</v>
      </c>
      <c r="I2195" s="9"/>
    </row>
    <row r="2196" spans="1:12" x14ac:dyDescent="0.2">
      <c r="A2196" s="8" t="s">
        <v>32</v>
      </c>
      <c r="B2196" s="8" t="s">
        <v>125</v>
      </c>
      <c r="C2196" s="8" t="s">
        <v>369</v>
      </c>
      <c r="D2196" s="8" t="s">
        <v>370</v>
      </c>
      <c r="E2196" s="8" t="s">
        <v>39</v>
      </c>
      <c r="F2196" s="8" t="s">
        <v>40</v>
      </c>
      <c r="G2196" s="8" t="s">
        <v>7</v>
      </c>
      <c r="H2196" s="8" t="s">
        <v>38</v>
      </c>
      <c r="I2196" s="9">
        <v>534.29893000000004</v>
      </c>
      <c r="J2196">
        <v>493.16801586418001</v>
      </c>
      <c r="K2196">
        <v>560.93998075708998</v>
      </c>
      <c r="L2196">
        <v>536.39094582280995</v>
      </c>
    </row>
    <row r="2197" spans="1:12" x14ac:dyDescent="0.2">
      <c r="A2197" s="8" t="s">
        <v>32</v>
      </c>
      <c r="B2197" s="8" t="s">
        <v>125</v>
      </c>
      <c r="C2197" s="8" t="s">
        <v>369</v>
      </c>
      <c r="D2197" s="8" t="s">
        <v>370</v>
      </c>
      <c r="E2197" s="8" t="s">
        <v>41</v>
      </c>
      <c r="F2197" s="8" t="s">
        <v>42</v>
      </c>
      <c r="G2197" s="8" t="s">
        <v>7</v>
      </c>
      <c r="H2197" s="8" t="s">
        <v>38</v>
      </c>
      <c r="I2197" s="9">
        <v>18.917704000000001</v>
      </c>
      <c r="J2197">
        <v>19.478418447703</v>
      </c>
      <c r="K2197">
        <v>21.571026774667001</v>
      </c>
      <c r="L2197">
        <v>24.311506563140998</v>
      </c>
    </row>
    <row r="2198" spans="1:12" x14ac:dyDescent="0.2">
      <c r="A2198" s="8" t="s">
        <v>32</v>
      </c>
      <c r="B2198" s="8" t="s">
        <v>125</v>
      </c>
      <c r="C2198" s="8" t="s">
        <v>369</v>
      </c>
      <c r="D2198" s="8" t="s">
        <v>370</v>
      </c>
      <c r="E2198" s="8" t="s">
        <v>43</v>
      </c>
      <c r="F2198" s="8" t="s">
        <v>44</v>
      </c>
      <c r="G2198" s="8" t="s">
        <v>7</v>
      </c>
      <c r="H2198" s="8" t="s">
        <v>38</v>
      </c>
      <c r="I2198" s="9">
        <v>2206.6460999999999</v>
      </c>
      <c r="J2198">
        <v>2211.7697575451998</v>
      </c>
      <c r="K2198">
        <v>2528.0012165585999</v>
      </c>
      <c r="L2198">
        <v>2417.3655116558002</v>
      </c>
    </row>
    <row r="2199" spans="1:12" x14ac:dyDescent="0.2">
      <c r="A2199" s="8" t="s">
        <v>32</v>
      </c>
      <c r="B2199" s="8" t="s">
        <v>125</v>
      </c>
      <c r="C2199" s="8" t="s">
        <v>369</v>
      </c>
      <c r="D2199" s="8" t="s">
        <v>370</v>
      </c>
      <c r="E2199" s="8" t="s">
        <v>66</v>
      </c>
      <c r="F2199" s="8" t="s">
        <v>67</v>
      </c>
      <c r="G2199" s="8" t="s">
        <v>7</v>
      </c>
      <c r="H2199" s="8" t="s">
        <v>38</v>
      </c>
      <c r="I2199" s="9">
        <v>107.35796999999999</v>
      </c>
      <c r="J2199">
        <v>99.687231245812995</v>
      </c>
      <c r="K2199">
        <v>107.66072543157</v>
      </c>
      <c r="L2199">
        <v>102.94905038551001</v>
      </c>
    </row>
    <row r="2200" spans="1:12" x14ac:dyDescent="0.2">
      <c r="A2200" s="8" t="s">
        <v>32</v>
      </c>
      <c r="B2200" s="8" t="s">
        <v>125</v>
      </c>
      <c r="C2200" s="8" t="s">
        <v>369</v>
      </c>
      <c r="D2200" s="8" t="s">
        <v>370</v>
      </c>
      <c r="E2200" s="8" t="s">
        <v>45</v>
      </c>
      <c r="F2200" s="8" t="s">
        <v>46</v>
      </c>
      <c r="G2200" s="8" t="s">
        <v>7</v>
      </c>
      <c r="H2200" s="8" t="s">
        <v>38</v>
      </c>
      <c r="I2200" s="9">
        <v>23.187778000000002</v>
      </c>
      <c r="J2200">
        <v>21.602772649131001</v>
      </c>
      <c r="K2200">
        <v>23.758574470435999</v>
      </c>
      <c r="L2200">
        <v>22.257455485863002</v>
      </c>
    </row>
    <row r="2201" spans="1:12" x14ac:dyDescent="0.2">
      <c r="A2201" s="8" t="s">
        <v>32</v>
      </c>
      <c r="B2201" s="8" t="s">
        <v>125</v>
      </c>
      <c r="C2201" s="8" t="s">
        <v>369</v>
      </c>
      <c r="D2201" s="8" t="s">
        <v>370</v>
      </c>
      <c r="E2201" s="8" t="s">
        <v>47</v>
      </c>
      <c r="F2201" s="8" t="s">
        <v>48</v>
      </c>
      <c r="G2201" s="8" t="s">
        <v>7</v>
      </c>
      <c r="H2201" s="8" t="s">
        <v>38</v>
      </c>
      <c r="I2201" s="9">
        <v>26.525815000000001</v>
      </c>
      <c r="J2201">
        <v>27.372164248057</v>
      </c>
      <c r="K2201">
        <v>32.186702708585003</v>
      </c>
      <c r="L2201">
        <v>30.77808054522</v>
      </c>
    </row>
    <row r="2202" spans="1:12" x14ac:dyDescent="0.2">
      <c r="A2202" s="8" t="s">
        <v>32</v>
      </c>
      <c r="B2202" s="8" t="s">
        <v>125</v>
      </c>
      <c r="C2202" s="8" t="s">
        <v>369</v>
      </c>
      <c r="D2202" s="8" t="s">
        <v>370</v>
      </c>
      <c r="E2202" s="8" t="s">
        <v>49</v>
      </c>
      <c r="F2202" s="8" t="s">
        <v>50</v>
      </c>
      <c r="G2202" s="8" t="s">
        <v>7</v>
      </c>
      <c r="H2202" s="8" t="s">
        <v>38</v>
      </c>
      <c r="I2202" s="9">
        <v>238.38755</v>
      </c>
      <c r="J2202">
        <v>228.57786157347999</v>
      </c>
      <c r="K2202">
        <v>276.51904086140001</v>
      </c>
      <c r="L2202">
        <v>264.41743315475998</v>
      </c>
    </row>
    <row r="2203" spans="1:12" x14ac:dyDescent="0.2">
      <c r="A2203" s="8" t="s">
        <v>32</v>
      </c>
      <c r="B2203" s="8" t="s">
        <v>125</v>
      </c>
      <c r="C2203" s="8" t="s">
        <v>369</v>
      </c>
      <c r="D2203" s="8" t="s">
        <v>370</v>
      </c>
      <c r="E2203" s="8" t="s">
        <v>51</v>
      </c>
      <c r="F2203" s="8" t="s">
        <v>52</v>
      </c>
      <c r="G2203" s="8" t="s">
        <v>7</v>
      </c>
      <c r="H2203" s="8" t="s">
        <v>38</v>
      </c>
      <c r="I2203" s="9">
        <v>183.68574000000001</v>
      </c>
      <c r="J2203">
        <v>137.42466114731999</v>
      </c>
      <c r="K2203">
        <v>199.82220395632001</v>
      </c>
      <c r="L2203">
        <v>191.07716449783001</v>
      </c>
    </row>
    <row r="2204" spans="1:12" x14ac:dyDescent="0.2">
      <c r="A2204" s="8" t="s">
        <v>32</v>
      </c>
      <c r="B2204" s="8" t="s">
        <v>125</v>
      </c>
      <c r="C2204" s="8" t="s">
        <v>369</v>
      </c>
      <c r="D2204" s="8" t="s">
        <v>370</v>
      </c>
      <c r="E2204" s="8" t="s">
        <v>53</v>
      </c>
      <c r="F2204" s="8" t="s">
        <v>54</v>
      </c>
      <c r="G2204" s="8" t="s">
        <v>7</v>
      </c>
      <c r="H2204" s="8" t="s">
        <v>38</v>
      </c>
      <c r="I2204" s="9"/>
    </row>
    <row r="2205" spans="1:12" x14ac:dyDescent="0.2">
      <c r="A2205" s="8" t="s">
        <v>32</v>
      </c>
      <c r="B2205" s="8" t="s">
        <v>125</v>
      </c>
      <c r="C2205" s="8" t="s">
        <v>369</v>
      </c>
      <c r="D2205" s="8" t="s">
        <v>370</v>
      </c>
      <c r="E2205" s="8" t="s">
        <v>70</v>
      </c>
      <c r="F2205" s="8" t="s">
        <v>71</v>
      </c>
      <c r="G2205" s="8" t="s">
        <v>7</v>
      </c>
      <c r="H2205" s="8" t="s">
        <v>38</v>
      </c>
      <c r="I2205" s="9">
        <v>390.62175999999999</v>
      </c>
      <c r="J2205">
        <v>390.621757</v>
      </c>
      <c r="K2205">
        <v>390.621757</v>
      </c>
      <c r="L2205">
        <v>390.18108189574002</v>
      </c>
    </row>
    <row r="2206" spans="1:12" x14ac:dyDescent="0.2">
      <c r="A2206" s="8" t="s">
        <v>32</v>
      </c>
      <c r="B2206" s="8" t="s">
        <v>125</v>
      </c>
      <c r="C2206" s="8" t="s">
        <v>369</v>
      </c>
      <c r="D2206" s="8" t="s">
        <v>370</v>
      </c>
      <c r="E2206" s="8" t="s">
        <v>55</v>
      </c>
      <c r="F2206" s="8" t="s">
        <v>56</v>
      </c>
      <c r="G2206" s="8" t="s">
        <v>7</v>
      </c>
      <c r="H2206" s="8" t="s">
        <v>38</v>
      </c>
      <c r="I2206" s="9">
        <v>0.15399660000000001</v>
      </c>
      <c r="J2206">
        <v>0.17248020373857001</v>
      </c>
      <c r="K2206">
        <v>0.17248020373857001</v>
      </c>
      <c r="L2206">
        <v>0.17248020373857001</v>
      </c>
    </row>
    <row r="2207" spans="1:12" x14ac:dyDescent="0.2">
      <c r="A2207" s="8" t="s">
        <v>32</v>
      </c>
      <c r="B2207" s="8" t="s">
        <v>125</v>
      </c>
      <c r="C2207" s="8" t="s">
        <v>369</v>
      </c>
      <c r="D2207" s="8" t="s">
        <v>370</v>
      </c>
      <c r="E2207" s="8" t="s">
        <v>57</v>
      </c>
      <c r="F2207" s="8" t="s">
        <v>58</v>
      </c>
      <c r="G2207" s="8" t="s">
        <v>7</v>
      </c>
      <c r="H2207" s="8" t="s">
        <v>38</v>
      </c>
      <c r="I2207" s="9">
        <v>3.5131000000000003E-2</v>
      </c>
      <c r="J2207">
        <v>3.9347587298774002E-2</v>
      </c>
      <c r="K2207">
        <v>3.9347587298774002E-2</v>
      </c>
      <c r="L2207">
        <v>3.9347587298774002E-2</v>
      </c>
    </row>
    <row r="2208" spans="1:12" x14ac:dyDescent="0.2">
      <c r="A2208" s="8" t="s">
        <v>32</v>
      </c>
      <c r="B2208" s="8" t="s">
        <v>125</v>
      </c>
      <c r="C2208" s="8" t="s">
        <v>369</v>
      </c>
      <c r="D2208" s="8" t="s">
        <v>370</v>
      </c>
      <c r="E2208" s="8" t="s">
        <v>74</v>
      </c>
      <c r="F2208" s="8" t="s">
        <v>75</v>
      </c>
      <c r="G2208" s="8" t="s">
        <v>7</v>
      </c>
      <c r="H2208" s="8" t="s">
        <v>38</v>
      </c>
      <c r="I2208" s="9"/>
    </row>
    <row r="2209" spans="1:12" x14ac:dyDescent="0.2">
      <c r="A2209" s="8" t="s">
        <v>32</v>
      </c>
      <c r="B2209" s="8" t="s">
        <v>125</v>
      </c>
      <c r="C2209" s="8" t="s">
        <v>369</v>
      </c>
      <c r="D2209" s="8" t="s">
        <v>370</v>
      </c>
      <c r="E2209" s="8" t="s">
        <v>59</v>
      </c>
      <c r="F2209" s="8" t="s">
        <v>60</v>
      </c>
      <c r="G2209" s="8" t="s">
        <v>7</v>
      </c>
      <c r="H2209" s="8" t="s">
        <v>38</v>
      </c>
      <c r="I2209" s="9">
        <v>16.678865999999999</v>
      </c>
      <c r="J2209">
        <v>15.920245477702</v>
      </c>
      <c r="K2209">
        <v>16.813965366975001</v>
      </c>
      <c r="L2209">
        <v>17.287743540630998</v>
      </c>
    </row>
    <row r="2210" spans="1:12" x14ac:dyDescent="0.2">
      <c r="A2210" s="8" t="s">
        <v>32</v>
      </c>
      <c r="B2210" s="8" t="s">
        <v>33</v>
      </c>
      <c r="C2210" s="8" t="s">
        <v>371</v>
      </c>
      <c r="D2210" s="8" t="s">
        <v>372</v>
      </c>
      <c r="E2210" s="8" t="s">
        <v>36</v>
      </c>
      <c r="F2210" s="8" t="s">
        <v>37</v>
      </c>
      <c r="G2210" s="8" t="s">
        <v>7</v>
      </c>
      <c r="H2210" s="8" t="s">
        <v>38</v>
      </c>
      <c r="I2210" s="9">
        <v>6.2377789999999997</v>
      </c>
      <c r="J2210">
        <v>6.2357735371642002</v>
      </c>
      <c r="K2210">
        <v>6.4504146760115004</v>
      </c>
      <c r="L2210">
        <v>6.4373533147146</v>
      </c>
    </row>
    <row r="2211" spans="1:12" x14ac:dyDescent="0.2">
      <c r="A2211" s="8" t="s">
        <v>32</v>
      </c>
      <c r="B2211" s="8" t="s">
        <v>33</v>
      </c>
      <c r="C2211" s="8" t="s">
        <v>371</v>
      </c>
      <c r="D2211" s="8" t="s">
        <v>372</v>
      </c>
      <c r="E2211" s="8" t="s">
        <v>39</v>
      </c>
      <c r="F2211" s="8" t="s">
        <v>40</v>
      </c>
      <c r="G2211" s="8" t="s">
        <v>7</v>
      </c>
      <c r="H2211" s="8" t="s">
        <v>38</v>
      </c>
      <c r="I2211" s="9">
        <v>0.71135340000000002</v>
      </c>
      <c r="J2211">
        <v>0.84311442948352</v>
      </c>
      <c r="K2211">
        <v>0.87214168834312</v>
      </c>
      <c r="L2211">
        <v>0.87037569991205999</v>
      </c>
    </row>
    <row r="2212" spans="1:12" x14ac:dyDescent="0.2">
      <c r="A2212" s="8" t="s">
        <v>32</v>
      </c>
      <c r="B2212" s="8" t="s">
        <v>33</v>
      </c>
      <c r="C2212" s="8" t="s">
        <v>371</v>
      </c>
      <c r="D2212" s="8" t="s">
        <v>372</v>
      </c>
      <c r="E2212" s="8" t="s">
        <v>41</v>
      </c>
      <c r="F2212" s="8" t="s">
        <v>42</v>
      </c>
      <c r="G2212" s="8" t="s">
        <v>7</v>
      </c>
      <c r="H2212" s="8" t="s">
        <v>38</v>
      </c>
      <c r="I2212" s="9">
        <v>0.30038939999999997</v>
      </c>
      <c r="J2212">
        <v>0.30741848351909001</v>
      </c>
      <c r="K2212">
        <v>0.31800252355641001</v>
      </c>
      <c r="L2212">
        <v>0.36308555989963998</v>
      </c>
    </row>
    <row r="2213" spans="1:12" x14ac:dyDescent="0.2">
      <c r="A2213" s="8" t="s">
        <v>32</v>
      </c>
      <c r="B2213" s="8" t="s">
        <v>33</v>
      </c>
      <c r="C2213" s="8" t="s">
        <v>371</v>
      </c>
      <c r="D2213" s="8" t="s">
        <v>372</v>
      </c>
      <c r="E2213" s="8" t="s">
        <v>43</v>
      </c>
      <c r="F2213" s="8" t="s">
        <v>44</v>
      </c>
      <c r="G2213" s="8" t="s">
        <v>7</v>
      </c>
      <c r="H2213" s="8" t="s">
        <v>38</v>
      </c>
      <c r="I2213" s="9">
        <v>3.4385607</v>
      </c>
      <c r="J2213">
        <v>3.5270612850516998</v>
      </c>
      <c r="K2213">
        <v>3.6484995647431999</v>
      </c>
      <c r="L2213">
        <v>3.6411117651365998</v>
      </c>
    </row>
    <row r="2214" spans="1:12" x14ac:dyDescent="0.2">
      <c r="A2214" s="8" t="s">
        <v>32</v>
      </c>
      <c r="B2214" s="8" t="s">
        <v>33</v>
      </c>
      <c r="C2214" s="8" t="s">
        <v>371</v>
      </c>
      <c r="D2214" s="8" t="s">
        <v>372</v>
      </c>
      <c r="E2214" s="8" t="s">
        <v>45</v>
      </c>
      <c r="F2214" s="8" t="s">
        <v>46</v>
      </c>
      <c r="G2214" s="8" t="s">
        <v>7</v>
      </c>
      <c r="H2214" s="8" t="s">
        <v>38</v>
      </c>
      <c r="I2214" s="9">
        <v>0.26422040000000002</v>
      </c>
      <c r="J2214">
        <v>0.26363625095484999</v>
      </c>
      <c r="K2214">
        <v>0.27271550668539002</v>
      </c>
      <c r="L2214">
        <v>0.29061163014862001</v>
      </c>
    </row>
    <row r="2215" spans="1:12" x14ac:dyDescent="0.2">
      <c r="A2215" s="8" t="s">
        <v>32</v>
      </c>
      <c r="B2215" s="8" t="s">
        <v>33</v>
      </c>
      <c r="C2215" s="8" t="s">
        <v>371</v>
      </c>
      <c r="D2215" s="8" t="s">
        <v>372</v>
      </c>
      <c r="E2215" s="8" t="s">
        <v>47</v>
      </c>
      <c r="F2215" s="8" t="s">
        <v>48</v>
      </c>
      <c r="G2215" s="8" t="s">
        <v>7</v>
      </c>
      <c r="H2215" s="8" t="s">
        <v>38</v>
      </c>
      <c r="I2215" s="9">
        <v>0.1134617</v>
      </c>
      <c r="J2215">
        <v>0.10637864723683001</v>
      </c>
      <c r="K2215">
        <v>0.11004326579715</v>
      </c>
      <c r="L2215">
        <v>0.1098204406107</v>
      </c>
    </row>
    <row r="2216" spans="1:12" x14ac:dyDescent="0.2">
      <c r="A2216" s="8" t="s">
        <v>32</v>
      </c>
      <c r="B2216" s="8" t="s">
        <v>33</v>
      </c>
      <c r="C2216" s="8" t="s">
        <v>371</v>
      </c>
      <c r="D2216" s="8" t="s">
        <v>372</v>
      </c>
      <c r="E2216" s="8" t="s">
        <v>49</v>
      </c>
      <c r="F2216" s="8" t="s">
        <v>50</v>
      </c>
      <c r="G2216" s="8" t="s">
        <v>7</v>
      </c>
      <c r="H2216" s="8" t="s">
        <v>38</v>
      </c>
      <c r="I2216" s="9">
        <v>0.94567140000000005</v>
      </c>
      <c r="J2216">
        <v>0.94215391131587001</v>
      </c>
      <c r="K2216">
        <v>0.94272642808131002</v>
      </c>
      <c r="L2216">
        <v>0.94081751352315002</v>
      </c>
    </row>
    <row r="2217" spans="1:12" x14ac:dyDescent="0.2">
      <c r="A2217" s="8" t="s">
        <v>32</v>
      </c>
      <c r="B2217" s="8" t="s">
        <v>33</v>
      </c>
      <c r="C2217" s="8" t="s">
        <v>371</v>
      </c>
      <c r="D2217" s="8" t="s">
        <v>372</v>
      </c>
      <c r="E2217" s="8" t="s">
        <v>51</v>
      </c>
      <c r="F2217" s="8" t="s">
        <v>52</v>
      </c>
      <c r="G2217" s="8" t="s">
        <v>7</v>
      </c>
      <c r="H2217" s="8" t="s">
        <v>38</v>
      </c>
      <c r="I2217" s="9">
        <v>7.2576600000000005E-2</v>
      </c>
      <c r="J2217">
        <v>7.8381558612305002E-2</v>
      </c>
      <c r="K2217">
        <v>8.1079473321190004E-2</v>
      </c>
      <c r="L2217">
        <v>8.0915296543727006E-2</v>
      </c>
    </row>
    <row r="2218" spans="1:12" x14ac:dyDescent="0.2">
      <c r="A2218" s="8" t="s">
        <v>32</v>
      </c>
      <c r="B2218" s="8" t="s">
        <v>33</v>
      </c>
      <c r="C2218" s="8" t="s">
        <v>371</v>
      </c>
      <c r="D2218" s="8" t="s">
        <v>372</v>
      </c>
      <c r="E2218" s="8" t="s">
        <v>53</v>
      </c>
      <c r="F2218" s="8" t="s">
        <v>54</v>
      </c>
      <c r="G2218" s="8" t="s">
        <v>7</v>
      </c>
      <c r="H2218" s="8" t="s">
        <v>38</v>
      </c>
      <c r="I2218" s="9"/>
    </row>
    <row r="2219" spans="1:12" x14ac:dyDescent="0.2">
      <c r="A2219" s="8" t="s">
        <v>32</v>
      </c>
      <c r="B2219" s="8" t="s">
        <v>33</v>
      </c>
      <c r="C2219" s="8" t="s">
        <v>371</v>
      </c>
      <c r="D2219" s="8" t="s">
        <v>372</v>
      </c>
      <c r="E2219" s="8" t="s">
        <v>59</v>
      </c>
      <c r="F2219" s="8" t="s">
        <v>60</v>
      </c>
      <c r="G2219" s="8" t="s">
        <v>7</v>
      </c>
      <c r="H2219" s="8" t="s">
        <v>38</v>
      </c>
      <c r="I2219" s="9">
        <v>5.7929000000000001E-2</v>
      </c>
      <c r="J2219">
        <v>5.6857857563087998E-2</v>
      </c>
      <c r="K2219">
        <v>5.7712192457385E-2</v>
      </c>
      <c r="L2219">
        <v>5.7781369587913002E-2</v>
      </c>
    </row>
    <row r="2220" spans="1:12" x14ac:dyDescent="0.2">
      <c r="A2220" s="8" t="s">
        <v>32</v>
      </c>
      <c r="B2220" s="8" t="s">
        <v>33</v>
      </c>
      <c r="C2220" s="8" t="s">
        <v>373</v>
      </c>
      <c r="D2220" s="8" t="s">
        <v>374</v>
      </c>
      <c r="E2220" s="8" t="s">
        <v>36</v>
      </c>
      <c r="F2220" s="8" t="s">
        <v>37</v>
      </c>
      <c r="G2220" s="8" t="s">
        <v>7</v>
      </c>
      <c r="H2220" s="8" t="s">
        <v>38</v>
      </c>
      <c r="I2220" s="9">
        <v>516.29800999999998</v>
      </c>
      <c r="J2220">
        <v>516.29801325569997</v>
      </c>
      <c r="K2220">
        <v>516.29801325569997</v>
      </c>
      <c r="L2220">
        <v>515.25256808254005</v>
      </c>
    </row>
    <row r="2221" spans="1:12" x14ac:dyDescent="0.2">
      <c r="A2221" s="8" t="s">
        <v>32</v>
      </c>
      <c r="B2221" s="8" t="s">
        <v>33</v>
      </c>
      <c r="C2221" s="8" t="s">
        <v>373</v>
      </c>
      <c r="D2221" s="8" t="s">
        <v>374</v>
      </c>
      <c r="E2221" s="8" t="s">
        <v>39</v>
      </c>
      <c r="F2221" s="8" t="s">
        <v>40</v>
      </c>
      <c r="G2221" s="8" t="s">
        <v>7</v>
      </c>
      <c r="H2221" s="8" t="s">
        <v>38</v>
      </c>
      <c r="I2221" s="9">
        <v>29.987304000000002</v>
      </c>
      <c r="J2221">
        <v>29.987304219319999</v>
      </c>
      <c r="K2221">
        <v>29.987304219319999</v>
      </c>
      <c r="L2221">
        <v>29.926583314633</v>
      </c>
    </row>
    <row r="2222" spans="1:12" x14ac:dyDescent="0.2">
      <c r="A2222" s="8" t="s">
        <v>32</v>
      </c>
      <c r="B2222" s="8" t="s">
        <v>33</v>
      </c>
      <c r="C2222" s="8" t="s">
        <v>373</v>
      </c>
      <c r="D2222" s="8" t="s">
        <v>374</v>
      </c>
      <c r="E2222" s="8" t="s">
        <v>41</v>
      </c>
      <c r="F2222" s="8" t="s">
        <v>42</v>
      </c>
      <c r="G2222" s="8" t="s">
        <v>7</v>
      </c>
      <c r="H2222" s="8" t="s">
        <v>38</v>
      </c>
      <c r="I2222" s="9">
        <v>28.959868</v>
      </c>
      <c r="J2222">
        <v>28.959867702326001</v>
      </c>
      <c r="K2222">
        <v>28.959867702326001</v>
      </c>
      <c r="L2222">
        <v>33.065491624796998</v>
      </c>
    </row>
    <row r="2223" spans="1:12" x14ac:dyDescent="0.2">
      <c r="A2223" s="8" t="s">
        <v>32</v>
      </c>
      <c r="B2223" s="8" t="s">
        <v>33</v>
      </c>
      <c r="C2223" s="8" t="s">
        <v>373</v>
      </c>
      <c r="D2223" s="8" t="s">
        <v>374</v>
      </c>
      <c r="E2223" s="8" t="s">
        <v>43</v>
      </c>
      <c r="F2223" s="8" t="s">
        <v>44</v>
      </c>
      <c r="G2223" s="8" t="s">
        <v>7</v>
      </c>
      <c r="H2223" s="8" t="s">
        <v>38</v>
      </c>
      <c r="I2223" s="9">
        <v>317.66741999999999</v>
      </c>
      <c r="J2223">
        <v>317.66742273928998</v>
      </c>
      <c r="K2223">
        <v>317.66742273928998</v>
      </c>
      <c r="L2223">
        <v>317.02418208128</v>
      </c>
    </row>
    <row r="2224" spans="1:12" x14ac:dyDescent="0.2">
      <c r="A2224" s="8" t="s">
        <v>32</v>
      </c>
      <c r="B2224" s="8" t="s">
        <v>33</v>
      </c>
      <c r="C2224" s="8" t="s">
        <v>373</v>
      </c>
      <c r="D2224" s="8" t="s">
        <v>374</v>
      </c>
      <c r="E2224" s="8" t="s">
        <v>45</v>
      </c>
      <c r="F2224" s="8" t="s">
        <v>46</v>
      </c>
      <c r="G2224" s="8" t="s">
        <v>7</v>
      </c>
      <c r="H2224" s="8" t="s">
        <v>38</v>
      </c>
      <c r="I2224" s="9">
        <v>8.3651395999999991</v>
      </c>
      <c r="J2224">
        <v>8.3651396232866997</v>
      </c>
      <c r="K2224">
        <v>8.3651396232866997</v>
      </c>
      <c r="L2224">
        <v>8.9140764010485007</v>
      </c>
    </row>
    <row r="2225" spans="1:12" x14ac:dyDescent="0.2">
      <c r="A2225" s="8" t="s">
        <v>32</v>
      </c>
      <c r="B2225" s="8" t="s">
        <v>33</v>
      </c>
      <c r="C2225" s="8" t="s">
        <v>373</v>
      </c>
      <c r="D2225" s="8" t="s">
        <v>374</v>
      </c>
      <c r="E2225" s="8" t="s">
        <v>47</v>
      </c>
      <c r="F2225" s="8" t="s">
        <v>48</v>
      </c>
      <c r="G2225" s="8" t="s">
        <v>7</v>
      </c>
      <c r="H2225" s="8" t="s">
        <v>38</v>
      </c>
      <c r="I2225" s="9">
        <v>9.3605666999999997</v>
      </c>
      <c r="J2225">
        <v>9.3605666895580999</v>
      </c>
      <c r="K2225">
        <v>9.3605666895580999</v>
      </c>
      <c r="L2225">
        <v>9.3416125990666998</v>
      </c>
    </row>
    <row r="2226" spans="1:12" x14ac:dyDescent="0.2">
      <c r="A2226" s="8" t="s">
        <v>32</v>
      </c>
      <c r="B2226" s="8" t="s">
        <v>33</v>
      </c>
      <c r="C2226" s="8" t="s">
        <v>373</v>
      </c>
      <c r="D2226" s="8" t="s">
        <v>374</v>
      </c>
      <c r="E2226" s="8" t="s">
        <v>49</v>
      </c>
      <c r="F2226" s="8" t="s">
        <v>50</v>
      </c>
      <c r="G2226" s="8" t="s">
        <v>7</v>
      </c>
      <c r="H2226" s="8" t="s">
        <v>38</v>
      </c>
      <c r="I2226" s="9">
        <v>53.252763999999999</v>
      </c>
      <c r="J2226">
        <v>53.252764394019003</v>
      </c>
      <c r="K2226">
        <v>53.252764394019003</v>
      </c>
      <c r="L2226">
        <v>53.144933559763999</v>
      </c>
    </row>
    <row r="2227" spans="1:12" x14ac:dyDescent="0.2">
      <c r="A2227" s="8" t="s">
        <v>32</v>
      </c>
      <c r="B2227" s="8" t="s">
        <v>33</v>
      </c>
      <c r="C2227" s="8" t="s">
        <v>373</v>
      </c>
      <c r="D2227" s="8" t="s">
        <v>374</v>
      </c>
      <c r="E2227" s="8" t="s">
        <v>51</v>
      </c>
      <c r="F2227" s="8" t="s">
        <v>52</v>
      </c>
      <c r="G2227" s="8" t="s">
        <v>7</v>
      </c>
      <c r="H2227" s="8" t="s">
        <v>38</v>
      </c>
      <c r="I2227" s="9">
        <v>10.054523</v>
      </c>
      <c r="J2227">
        <v>10.054522951906</v>
      </c>
      <c r="K2227">
        <v>10.054522951906</v>
      </c>
      <c r="L2227">
        <v>10.034163678349</v>
      </c>
    </row>
    <row r="2228" spans="1:12" x14ac:dyDescent="0.2">
      <c r="A2228" s="8" t="s">
        <v>32</v>
      </c>
      <c r="B2228" s="8" t="s">
        <v>33</v>
      </c>
      <c r="C2228" s="8" t="s">
        <v>373</v>
      </c>
      <c r="D2228" s="8" t="s">
        <v>374</v>
      </c>
      <c r="E2228" s="8" t="s">
        <v>53</v>
      </c>
      <c r="F2228" s="8" t="s">
        <v>54</v>
      </c>
      <c r="G2228" s="8" t="s">
        <v>7</v>
      </c>
      <c r="H2228" s="8" t="s">
        <v>38</v>
      </c>
      <c r="I2228" s="9">
        <v>3.3290000000000001E-4</v>
      </c>
      <c r="J2228">
        <v>3.3288259152585001E-4</v>
      </c>
      <c r="K2228">
        <v>3.3288259152585001E-4</v>
      </c>
      <c r="L2228">
        <v>3.3288259152585001E-4</v>
      </c>
    </row>
    <row r="2229" spans="1:12" x14ac:dyDescent="0.2">
      <c r="A2229" s="8" t="s">
        <v>32</v>
      </c>
      <c r="B2229" s="8" t="s">
        <v>33</v>
      </c>
      <c r="C2229" s="8" t="s">
        <v>373</v>
      </c>
      <c r="D2229" s="8" t="s">
        <v>374</v>
      </c>
      <c r="E2229" s="8" t="s">
        <v>70</v>
      </c>
      <c r="F2229" s="8" t="s">
        <v>71</v>
      </c>
      <c r="G2229" s="8" t="s">
        <v>7</v>
      </c>
      <c r="H2229" s="8" t="s">
        <v>38</v>
      </c>
      <c r="I2229" s="9">
        <v>55.999433000000003</v>
      </c>
      <c r="J2229">
        <v>55.999433250000003</v>
      </c>
      <c r="K2229">
        <v>55.999433250000003</v>
      </c>
      <c r="L2229">
        <v>55.936258181935997</v>
      </c>
    </row>
    <row r="2230" spans="1:12" x14ac:dyDescent="0.2">
      <c r="A2230" s="8" t="s">
        <v>32</v>
      </c>
      <c r="B2230" s="8" t="s">
        <v>33</v>
      </c>
      <c r="C2230" s="8" t="s">
        <v>373</v>
      </c>
      <c r="D2230" s="8" t="s">
        <v>374</v>
      </c>
      <c r="E2230" s="8" t="s">
        <v>83</v>
      </c>
      <c r="F2230" s="8" t="s">
        <v>84</v>
      </c>
      <c r="G2230" s="8" t="s">
        <v>7</v>
      </c>
      <c r="H2230" s="8" t="s">
        <v>38</v>
      </c>
      <c r="I2230" s="9">
        <v>7.5</v>
      </c>
      <c r="J2230">
        <v>7.5</v>
      </c>
      <c r="K2230">
        <v>7.5</v>
      </c>
      <c r="L2230">
        <v>7.5</v>
      </c>
    </row>
    <row r="2231" spans="1:12" x14ac:dyDescent="0.2">
      <c r="A2231" s="8" t="s">
        <v>32</v>
      </c>
      <c r="B2231" s="8" t="s">
        <v>33</v>
      </c>
      <c r="C2231" s="8" t="s">
        <v>373</v>
      </c>
      <c r="D2231" s="8" t="s">
        <v>374</v>
      </c>
      <c r="E2231" s="8" t="s">
        <v>55</v>
      </c>
      <c r="F2231" s="8" t="s">
        <v>56</v>
      </c>
      <c r="G2231" s="8" t="s">
        <v>7</v>
      </c>
      <c r="H2231" s="8" t="s">
        <v>38</v>
      </c>
      <c r="I2231" s="9">
        <v>1.9881300000000001E-2</v>
      </c>
      <c r="J2231">
        <v>2.2267549911008998E-2</v>
      </c>
      <c r="K2231">
        <v>2.2267549911008998E-2</v>
      </c>
      <c r="L2231">
        <v>2.2267549911008998E-2</v>
      </c>
    </row>
    <row r="2232" spans="1:12" x14ac:dyDescent="0.2">
      <c r="A2232" s="8" t="s">
        <v>32</v>
      </c>
      <c r="B2232" s="8" t="s">
        <v>33</v>
      </c>
      <c r="C2232" s="8" t="s">
        <v>373</v>
      </c>
      <c r="D2232" s="8" t="s">
        <v>374</v>
      </c>
      <c r="E2232" s="8" t="s">
        <v>57</v>
      </c>
      <c r="F2232" s="8" t="s">
        <v>58</v>
      </c>
      <c r="G2232" s="8" t="s">
        <v>7</v>
      </c>
      <c r="H2232" s="8" t="s">
        <v>38</v>
      </c>
      <c r="I2232" s="9"/>
    </row>
    <row r="2233" spans="1:12" x14ac:dyDescent="0.2">
      <c r="A2233" s="8" t="s">
        <v>32</v>
      </c>
      <c r="B2233" s="8" t="s">
        <v>33</v>
      </c>
      <c r="C2233" s="8" t="s">
        <v>373</v>
      </c>
      <c r="D2233" s="8" t="s">
        <v>374</v>
      </c>
      <c r="E2233" s="8" t="s">
        <v>59</v>
      </c>
      <c r="F2233" s="8" t="s">
        <v>60</v>
      </c>
      <c r="G2233" s="8" t="s">
        <v>7</v>
      </c>
      <c r="H2233" s="8" t="s">
        <v>38</v>
      </c>
      <c r="I2233" s="9">
        <v>2.3310145000000002</v>
      </c>
      <c r="J2233">
        <v>2.3316450544722001</v>
      </c>
      <c r="K2233">
        <v>2.3300362844486999</v>
      </c>
      <c r="L2233">
        <v>2.329876549333</v>
      </c>
    </row>
    <row r="2234" spans="1:12" x14ac:dyDescent="0.2">
      <c r="A2234" s="8" t="s">
        <v>32</v>
      </c>
      <c r="B2234" s="8" t="s">
        <v>120</v>
      </c>
      <c r="C2234" s="8" t="s">
        <v>375</v>
      </c>
      <c r="D2234" s="8" t="s">
        <v>376</v>
      </c>
      <c r="E2234" s="8" t="s">
        <v>36</v>
      </c>
      <c r="F2234" s="8" t="s">
        <v>37</v>
      </c>
      <c r="G2234" s="8" t="s">
        <v>7</v>
      </c>
      <c r="H2234" s="8" t="s">
        <v>38</v>
      </c>
      <c r="I2234" s="9">
        <v>2190.2905000000001</v>
      </c>
      <c r="J2234">
        <v>2402.783903</v>
      </c>
      <c r="K2234">
        <v>2314.4311499999999</v>
      </c>
      <c r="L2234">
        <v>2502.1839314178001</v>
      </c>
    </row>
    <row r="2235" spans="1:12" x14ac:dyDescent="0.2">
      <c r="A2235" s="8" t="s">
        <v>32</v>
      </c>
      <c r="B2235" s="8" t="s">
        <v>120</v>
      </c>
      <c r="C2235" s="8" t="s">
        <v>375</v>
      </c>
      <c r="D2235" s="8" t="s">
        <v>376</v>
      </c>
      <c r="E2235" s="8" t="s">
        <v>39</v>
      </c>
      <c r="F2235" s="8" t="s">
        <v>40</v>
      </c>
      <c r="G2235" s="8" t="s">
        <v>7</v>
      </c>
      <c r="H2235" s="8" t="s">
        <v>38</v>
      </c>
      <c r="I2235" s="9">
        <v>315.41048000000001</v>
      </c>
      <c r="J2235">
        <v>310.20483400000001</v>
      </c>
      <c r="K2235">
        <v>326.69701600000002</v>
      </c>
      <c r="L2235">
        <v>346.18668388091999</v>
      </c>
    </row>
    <row r="2236" spans="1:12" x14ac:dyDescent="0.2">
      <c r="A2236" s="8" t="s">
        <v>32</v>
      </c>
      <c r="B2236" s="8" t="s">
        <v>120</v>
      </c>
      <c r="C2236" s="8" t="s">
        <v>375</v>
      </c>
      <c r="D2236" s="8" t="s">
        <v>376</v>
      </c>
      <c r="E2236" s="8" t="s">
        <v>41</v>
      </c>
      <c r="F2236" s="8" t="s">
        <v>42</v>
      </c>
      <c r="G2236" s="8" t="s">
        <v>7</v>
      </c>
      <c r="H2236" s="8" t="s">
        <v>38</v>
      </c>
      <c r="I2236" s="9">
        <v>8.8459800000000008</v>
      </c>
      <c r="J2236">
        <v>1.2112099999999999</v>
      </c>
      <c r="K2236">
        <v>4.3436250000000003</v>
      </c>
      <c r="L2236">
        <v>6.8097314999999998</v>
      </c>
    </row>
    <row r="2237" spans="1:12" x14ac:dyDescent="0.2">
      <c r="A2237" s="8" t="s">
        <v>32</v>
      </c>
      <c r="B2237" s="8" t="s">
        <v>120</v>
      </c>
      <c r="C2237" s="8" t="s">
        <v>375</v>
      </c>
      <c r="D2237" s="8" t="s">
        <v>376</v>
      </c>
      <c r="E2237" s="8" t="s">
        <v>43</v>
      </c>
      <c r="F2237" s="8" t="s">
        <v>44</v>
      </c>
      <c r="G2237" s="8" t="s">
        <v>7</v>
      </c>
      <c r="H2237" s="8" t="s">
        <v>38</v>
      </c>
      <c r="I2237" s="9">
        <v>968.22343999999998</v>
      </c>
      <c r="J2237">
        <v>995.07394499999998</v>
      </c>
      <c r="K2237">
        <v>1102.10664</v>
      </c>
      <c r="L2237">
        <v>1161.1066283782</v>
      </c>
    </row>
    <row r="2238" spans="1:12" x14ac:dyDescent="0.2">
      <c r="A2238" s="8" t="s">
        <v>32</v>
      </c>
      <c r="B2238" s="8" t="s">
        <v>120</v>
      </c>
      <c r="C2238" s="8" t="s">
        <v>375</v>
      </c>
      <c r="D2238" s="8" t="s">
        <v>376</v>
      </c>
      <c r="E2238" s="8" t="s">
        <v>45</v>
      </c>
      <c r="F2238" s="8" t="s">
        <v>46</v>
      </c>
      <c r="G2238" s="8" t="s">
        <v>7</v>
      </c>
      <c r="H2238" s="8" t="s">
        <v>38</v>
      </c>
      <c r="I2238" s="9">
        <v>28.083293999999999</v>
      </c>
      <c r="J2238">
        <v>28.317710999999999</v>
      </c>
      <c r="K2238">
        <v>32.944284000000003</v>
      </c>
      <c r="L2238">
        <v>31.743241766994998</v>
      </c>
    </row>
    <row r="2239" spans="1:12" x14ac:dyDescent="0.2">
      <c r="A2239" s="8" t="s">
        <v>32</v>
      </c>
      <c r="B2239" s="8" t="s">
        <v>120</v>
      </c>
      <c r="C2239" s="8" t="s">
        <v>375</v>
      </c>
      <c r="D2239" s="8" t="s">
        <v>376</v>
      </c>
      <c r="E2239" s="8" t="s">
        <v>47</v>
      </c>
      <c r="F2239" s="8" t="s">
        <v>48</v>
      </c>
      <c r="G2239" s="8" t="s">
        <v>7</v>
      </c>
      <c r="H2239" s="8" t="s">
        <v>38</v>
      </c>
      <c r="I2239" s="9">
        <v>7.1189419999999997</v>
      </c>
      <c r="J2239">
        <v>7.4754569999999996</v>
      </c>
      <c r="K2239">
        <v>8.2711480000000002</v>
      </c>
      <c r="L2239">
        <v>7.5578297092725997</v>
      </c>
    </row>
    <row r="2240" spans="1:12" x14ac:dyDescent="0.2">
      <c r="A2240" s="8" t="s">
        <v>32</v>
      </c>
      <c r="B2240" s="8" t="s">
        <v>120</v>
      </c>
      <c r="C2240" s="8" t="s">
        <v>375</v>
      </c>
      <c r="D2240" s="8" t="s">
        <v>376</v>
      </c>
      <c r="E2240" s="8" t="s">
        <v>49</v>
      </c>
      <c r="F2240" s="8" t="s">
        <v>50</v>
      </c>
      <c r="G2240" s="8" t="s">
        <v>7</v>
      </c>
      <c r="H2240" s="8" t="s">
        <v>38</v>
      </c>
      <c r="I2240" s="9">
        <v>201.45212000000001</v>
      </c>
      <c r="J2240">
        <v>216.99062699999999</v>
      </c>
      <c r="K2240">
        <v>229.973871</v>
      </c>
      <c r="L2240">
        <v>236.10071666012999</v>
      </c>
    </row>
    <row r="2241" spans="1:12" x14ac:dyDescent="0.2">
      <c r="A2241" s="8" t="s">
        <v>32</v>
      </c>
      <c r="B2241" s="8" t="s">
        <v>120</v>
      </c>
      <c r="C2241" s="8" t="s">
        <v>375</v>
      </c>
      <c r="D2241" s="8" t="s">
        <v>376</v>
      </c>
      <c r="E2241" s="8" t="s">
        <v>51</v>
      </c>
      <c r="F2241" s="8" t="s">
        <v>52</v>
      </c>
      <c r="G2241" s="8" t="s">
        <v>7</v>
      </c>
      <c r="H2241" s="8" t="s">
        <v>38</v>
      </c>
      <c r="I2241" s="9">
        <v>0.74458000000000002</v>
      </c>
      <c r="J2241">
        <v>0.79569100000000004</v>
      </c>
      <c r="K2241">
        <v>2.1769500000000002</v>
      </c>
      <c r="L2241">
        <v>1.3922787559059999</v>
      </c>
    </row>
    <row r="2242" spans="1:12" x14ac:dyDescent="0.2">
      <c r="A2242" s="8" t="s">
        <v>32</v>
      </c>
      <c r="B2242" s="8" t="s">
        <v>120</v>
      </c>
      <c r="C2242" s="8" t="s">
        <v>375</v>
      </c>
      <c r="D2242" s="8" t="s">
        <v>376</v>
      </c>
      <c r="E2242" s="8" t="s">
        <v>83</v>
      </c>
      <c r="F2242" s="8" t="s">
        <v>84</v>
      </c>
      <c r="G2242" s="8" t="s">
        <v>7</v>
      </c>
      <c r="H2242" s="8" t="s">
        <v>38</v>
      </c>
      <c r="I2242" s="9">
        <v>7.5</v>
      </c>
      <c r="J2242">
        <v>7.5</v>
      </c>
      <c r="K2242">
        <v>7.5</v>
      </c>
      <c r="L2242">
        <v>7.5</v>
      </c>
    </row>
    <row r="2243" spans="1:12" x14ac:dyDescent="0.2">
      <c r="A2243" s="8" t="s">
        <v>32</v>
      </c>
      <c r="B2243" s="8" t="s">
        <v>120</v>
      </c>
      <c r="C2243" s="8" t="s">
        <v>375</v>
      </c>
      <c r="D2243" s="8" t="s">
        <v>376</v>
      </c>
      <c r="E2243" s="8" t="s">
        <v>55</v>
      </c>
      <c r="F2243" s="8" t="s">
        <v>56</v>
      </c>
      <c r="G2243" s="8" t="s">
        <v>7</v>
      </c>
      <c r="H2243" s="8" t="s">
        <v>38</v>
      </c>
      <c r="I2243" s="9">
        <v>6.4544699999999997E-2</v>
      </c>
      <c r="J2243">
        <v>6.4772906343429998E-2</v>
      </c>
      <c r="K2243">
        <v>6.5001874123811004E-2</v>
      </c>
      <c r="L2243">
        <v>6.5227970084001996E-2</v>
      </c>
    </row>
    <row r="2244" spans="1:12" x14ac:dyDescent="0.2">
      <c r="A2244" s="8" t="s">
        <v>32</v>
      </c>
      <c r="B2244" s="8" t="s">
        <v>120</v>
      </c>
      <c r="C2244" s="8" t="s">
        <v>375</v>
      </c>
      <c r="D2244" s="8" t="s">
        <v>376</v>
      </c>
      <c r="E2244" s="8" t="s">
        <v>57</v>
      </c>
      <c r="F2244" s="8" t="s">
        <v>58</v>
      </c>
      <c r="G2244" s="8" t="s">
        <v>7</v>
      </c>
      <c r="H2244" s="8" t="s">
        <v>38</v>
      </c>
      <c r="I2244" s="9">
        <v>0.68721880000000002</v>
      </c>
      <c r="J2244">
        <v>0.71902022843878999</v>
      </c>
      <c r="K2244">
        <v>0.75229333803767995</v>
      </c>
      <c r="L2244">
        <v>0.75388727264521005</v>
      </c>
    </row>
    <row r="2245" spans="1:12" x14ac:dyDescent="0.2">
      <c r="A2245" s="8" t="s">
        <v>32</v>
      </c>
      <c r="B2245" s="8" t="s">
        <v>120</v>
      </c>
      <c r="C2245" s="8" t="s">
        <v>375</v>
      </c>
      <c r="D2245" s="8" t="s">
        <v>376</v>
      </c>
      <c r="E2245" s="8" t="s">
        <v>59</v>
      </c>
      <c r="F2245" s="8" t="s">
        <v>60</v>
      </c>
      <c r="G2245" s="8" t="s">
        <v>7</v>
      </c>
      <c r="H2245" s="8" t="s">
        <v>38</v>
      </c>
      <c r="I2245" s="9">
        <v>6.9480006999999997</v>
      </c>
      <c r="J2245">
        <v>6.5843699518188998</v>
      </c>
      <c r="K2245">
        <v>7.9872933562965001</v>
      </c>
      <c r="L2245">
        <v>7.7506637946058996</v>
      </c>
    </row>
    <row r="2246" spans="1:12" x14ac:dyDescent="0.2">
      <c r="A2246" s="8" t="s">
        <v>32</v>
      </c>
      <c r="B2246" s="8" t="s">
        <v>120</v>
      </c>
      <c r="C2246" s="8" t="s">
        <v>375</v>
      </c>
      <c r="D2246" s="8" t="s">
        <v>376</v>
      </c>
      <c r="E2246" s="8" t="s">
        <v>76</v>
      </c>
      <c r="F2246" s="8" t="s">
        <v>77</v>
      </c>
      <c r="G2246" s="8" t="s">
        <v>7</v>
      </c>
      <c r="H2246" s="8" t="s">
        <v>38</v>
      </c>
      <c r="I2246" s="9">
        <v>6.0761905</v>
      </c>
      <c r="J2246">
        <v>3.5619047628559999</v>
      </c>
      <c r="K2246">
        <v>5.0285714300800004</v>
      </c>
      <c r="L2246">
        <v>5.0285714300800004</v>
      </c>
    </row>
    <row r="2247" spans="1:12" x14ac:dyDescent="0.2">
      <c r="A2247" s="8" t="s">
        <v>32</v>
      </c>
      <c r="B2247" s="8" t="s">
        <v>120</v>
      </c>
      <c r="C2247" s="8" t="s">
        <v>375</v>
      </c>
      <c r="D2247" s="8" t="s">
        <v>376</v>
      </c>
      <c r="E2247" s="8" t="s">
        <v>78</v>
      </c>
      <c r="F2247" s="8" t="s">
        <v>79</v>
      </c>
      <c r="G2247" s="8" t="s">
        <v>7</v>
      </c>
      <c r="H2247" s="8" t="s">
        <v>38</v>
      </c>
      <c r="I2247" s="9">
        <v>3.4571421999999998</v>
      </c>
      <c r="J2247">
        <v>6.5999987999999998</v>
      </c>
      <c r="K2247">
        <v>7.5428557714286004</v>
      </c>
      <c r="L2247">
        <v>8.2657127828571006</v>
      </c>
    </row>
    <row r="2248" spans="1:12" x14ac:dyDescent="0.2">
      <c r="A2248" s="8" t="s">
        <v>32</v>
      </c>
      <c r="B2248" s="8" t="s">
        <v>120</v>
      </c>
      <c r="C2248" s="8" t="s">
        <v>375</v>
      </c>
      <c r="D2248" s="8" t="s">
        <v>376</v>
      </c>
      <c r="E2248" s="8" t="s">
        <v>92</v>
      </c>
      <c r="F2248" s="8" t="s">
        <v>93</v>
      </c>
      <c r="G2248" s="8" t="s">
        <v>7</v>
      </c>
      <c r="H2248" s="8" t="s">
        <v>38</v>
      </c>
      <c r="I2248" s="9">
        <v>5.22421E-2</v>
      </c>
      <c r="J2248">
        <v>5.2309475628046997E-2</v>
      </c>
      <c r="K2248">
        <v>5.2510665918923997E-2</v>
      </c>
      <c r="L2248">
        <v>5.2601335543465001E-2</v>
      </c>
    </row>
    <row r="2249" spans="1:12" x14ac:dyDescent="0.2">
      <c r="A2249" s="8" t="s">
        <v>32</v>
      </c>
      <c r="B2249" s="8" t="s">
        <v>80</v>
      </c>
      <c r="C2249" s="8" t="s">
        <v>377</v>
      </c>
      <c r="D2249" s="8" t="s">
        <v>378</v>
      </c>
      <c r="E2249" s="8" t="s">
        <v>36</v>
      </c>
      <c r="F2249" s="8" t="s">
        <v>37</v>
      </c>
      <c r="G2249" s="8" t="s">
        <v>7</v>
      </c>
      <c r="H2249" s="8" t="s">
        <v>38</v>
      </c>
      <c r="I2249" s="9">
        <v>2224.9369000000002</v>
      </c>
      <c r="J2249">
        <v>2032.5556362350001</v>
      </c>
      <c r="K2249">
        <v>1713.6054077522001</v>
      </c>
      <c r="L2249">
        <v>493.72274158488</v>
      </c>
    </row>
    <row r="2250" spans="1:12" x14ac:dyDescent="0.2">
      <c r="A2250" s="8" t="s">
        <v>32</v>
      </c>
      <c r="B2250" s="8" t="s">
        <v>80</v>
      </c>
      <c r="C2250" s="8" t="s">
        <v>377</v>
      </c>
      <c r="D2250" s="8" t="s">
        <v>378</v>
      </c>
      <c r="E2250" s="8" t="s">
        <v>64</v>
      </c>
      <c r="F2250" s="8" t="s">
        <v>65</v>
      </c>
      <c r="G2250" s="8" t="s">
        <v>7</v>
      </c>
      <c r="H2250" s="8" t="s">
        <v>38</v>
      </c>
      <c r="I2250" s="9"/>
    </row>
    <row r="2251" spans="1:12" x14ac:dyDescent="0.2">
      <c r="A2251" s="8" t="s">
        <v>32</v>
      </c>
      <c r="B2251" s="8" t="s">
        <v>80</v>
      </c>
      <c r="C2251" s="8" t="s">
        <v>377</v>
      </c>
      <c r="D2251" s="8" t="s">
        <v>378</v>
      </c>
      <c r="E2251" s="8" t="s">
        <v>39</v>
      </c>
      <c r="F2251" s="8" t="s">
        <v>40</v>
      </c>
      <c r="G2251" s="8" t="s">
        <v>7</v>
      </c>
      <c r="H2251" s="8" t="s">
        <v>38</v>
      </c>
      <c r="I2251" s="9">
        <v>1738.7258999999999</v>
      </c>
      <c r="J2251">
        <v>2774.7086686071002</v>
      </c>
      <c r="K2251">
        <v>2070.8949022654001</v>
      </c>
      <c r="L2251">
        <v>2357.9340443835999</v>
      </c>
    </row>
    <row r="2252" spans="1:12" x14ac:dyDescent="0.2">
      <c r="A2252" s="8" t="s">
        <v>32</v>
      </c>
      <c r="B2252" s="8" t="s">
        <v>80</v>
      </c>
      <c r="C2252" s="8" t="s">
        <v>377</v>
      </c>
      <c r="D2252" s="8" t="s">
        <v>378</v>
      </c>
      <c r="E2252" s="8" t="s">
        <v>41</v>
      </c>
      <c r="F2252" s="8" t="s">
        <v>42</v>
      </c>
      <c r="G2252" s="8" t="s">
        <v>7</v>
      </c>
      <c r="H2252" s="8" t="s">
        <v>38</v>
      </c>
      <c r="I2252" s="9">
        <v>6.0912214000000002</v>
      </c>
      <c r="J2252">
        <v>7.2315149386352999</v>
      </c>
      <c r="K2252">
        <v>10.287736638827001</v>
      </c>
      <c r="L2252">
        <v>11.594736746998</v>
      </c>
    </row>
    <row r="2253" spans="1:12" x14ac:dyDescent="0.2">
      <c r="A2253" s="8" t="s">
        <v>32</v>
      </c>
      <c r="B2253" s="8" t="s">
        <v>80</v>
      </c>
      <c r="C2253" s="8" t="s">
        <v>377</v>
      </c>
      <c r="D2253" s="8" t="s">
        <v>378</v>
      </c>
      <c r="E2253" s="8" t="s">
        <v>43</v>
      </c>
      <c r="F2253" s="8" t="s">
        <v>44</v>
      </c>
      <c r="G2253" s="8" t="s">
        <v>7</v>
      </c>
      <c r="H2253" s="8" t="s">
        <v>38</v>
      </c>
      <c r="I2253" s="9">
        <v>710.50747999999999</v>
      </c>
      <c r="J2253">
        <v>821.13679226332999</v>
      </c>
      <c r="K2253">
        <v>1205.6640145256999</v>
      </c>
      <c r="L2253">
        <v>1229.3815251927999</v>
      </c>
    </row>
    <row r="2254" spans="1:12" x14ac:dyDescent="0.2">
      <c r="A2254" s="8" t="s">
        <v>32</v>
      </c>
      <c r="B2254" s="8" t="s">
        <v>80</v>
      </c>
      <c r="C2254" s="8" t="s">
        <v>377</v>
      </c>
      <c r="D2254" s="8" t="s">
        <v>378</v>
      </c>
      <c r="E2254" s="8" t="s">
        <v>66</v>
      </c>
      <c r="F2254" s="8" t="s">
        <v>67</v>
      </c>
      <c r="G2254" s="8" t="s">
        <v>7</v>
      </c>
      <c r="H2254" s="8" t="s">
        <v>38</v>
      </c>
      <c r="I2254" s="9">
        <v>34.567681</v>
      </c>
      <c r="J2254">
        <v>37.009662970367998</v>
      </c>
      <c r="K2254">
        <v>51.345965176108002</v>
      </c>
      <c r="L2254">
        <v>52.356029723199001</v>
      </c>
    </row>
    <row r="2255" spans="1:12" x14ac:dyDescent="0.2">
      <c r="A2255" s="8" t="s">
        <v>32</v>
      </c>
      <c r="B2255" s="8" t="s">
        <v>80</v>
      </c>
      <c r="C2255" s="8" t="s">
        <v>377</v>
      </c>
      <c r="D2255" s="8" t="s">
        <v>378</v>
      </c>
      <c r="E2255" s="8" t="s">
        <v>45</v>
      </c>
      <c r="F2255" s="8" t="s">
        <v>46</v>
      </c>
      <c r="G2255" s="8" t="s">
        <v>7</v>
      </c>
      <c r="H2255" s="8" t="s">
        <v>38</v>
      </c>
      <c r="I2255" s="9">
        <v>7.4661223999999997</v>
      </c>
      <c r="J2255">
        <v>8.0201980231384997</v>
      </c>
      <c r="K2255">
        <v>11.331030257346001</v>
      </c>
      <c r="L2255">
        <v>10.615110846642001</v>
      </c>
    </row>
    <row r="2256" spans="1:12" x14ac:dyDescent="0.2">
      <c r="A2256" s="8" t="s">
        <v>32</v>
      </c>
      <c r="B2256" s="8" t="s">
        <v>80</v>
      </c>
      <c r="C2256" s="8" t="s">
        <v>377</v>
      </c>
      <c r="D2256" s="8" t="s">
        <v>378</v>
      </c>
      <c r="E2256" s="8" t="s">
        <v>47</v>
      </c>
      <c r="F2256" s="8" t="s">
        <v>48</v>
      </c>
      <c r="G2256" s="8" t="s">
        <v>7</v>
      </c>
      <c r="H2256" s="8" t="s">
        <v>38</v>
      </c>
      <c r="I2256" s="9">
        <v>8.5409211000000003</v>
      </c>
      <c r="J2256">
        <v>10.162129702370001</v>
      </c>
      <c r="K2256">
        <v>15.350605430011999</v>
      </c>
      <c r="L2256">
        <v>15.652578569829</v>
      </c>
    </row>
    <row r="2257" spans="1:12" x14ac:dyDescent="0.2">
      <c r="A2257" s="8" t="s">
        <v>32</v>
      </c>
      <c r="B2257" s="8" t="s">
        <v>80</v>
      </c>
      <c r="C2257" s="8" t="s">
        <v>377</v>
      </c>
      <c r="D2257" s="8" t="s">
        <v>378</v>
      </c>
      <c r="E2257" s="8" t="s">
        <v>49</v>
      </c>
      <c r="F2257" s="8" t="s">
        <v>50</v>
      </c>
      <c r="G2257" s="8" t="s">
        <v>7</v>
      </c>
      <c r="H2257" s="8" t="s">
        <v>38</v>
      </c>
      <c r="I2257" s="9">
        <v>86.723392000000004</v>
      </c>
      <c r="J2257">
        <v>98.265015873661</v>
      </c>
      <c r="K2257">
        <v>145.32779916922999</v>
      </c>
      <c r="L2257">
        <v>150.02352928996001</v>
      </c>
    </row>
    <row r="2258" spans="1:12" x14ac:dyDescent="0.2">
      <c r="A2258" s="8" t="s">
        <v>32</v>
      </c>
      <c r="B2258" s="8" t="s">
        <v>80</v>
      </c>
      <c r="C2258" s="8" t="s">
        <v>377</v>
      </c>
      <c r="D2258" s="8" t="s">
        <v>378</v>
      </c>
      <c r="E2258" s="8" t="s">
        <v>51</v>
      </c>
      <c r="F2258" s="8" t="s">
        <v>52</v>
      </c>
      <c r="G2258" s="8" t="s">
        <v>7</v>
      </c>
      <c r="H2258" s="8" t="s">
        <v>38</v>
      </c>
      <c r="I2258" s="9">
        <v>120.1611</v>
      </c>
      <c r="J2258">
        <v>68.104738479873006</v>
      </c>
      <c r="K2258">
        <v>109.94405020386</v>
      </c>
      <c r="L2258">
        <v>114.10690406982999</v>
      </c>
    </row>
    <row r="2259" spans="1:12" x14ac:dyDescent="0.2">
      <c r="A2259" s="8" t="s">
        <v>32</v>
      </c>
      <c r="B2259" s="8" t="s">
        <v>80</v>
      </c>
      <c r="C2259" s="8" t="s">
        <v>377</v>
      </c>
      <c r="D2259" s="8" t="s">
        <v>378</v>
      </c>
      <c r="E2259" s="8" t="s">
        <v>68</v>
      </c>
      <c r="F2259" s="8" t="s">
        <v>69</v>
      </c>
      <c r="G2259" s="8" t="s">
        <v>7</v>
      </c>
      <c r="H2259" s="8" t="s">
        <v>38</v>
      </c>
      <c r="I2259" s="9">
        <v>0.52999739999999995</v>
      </c>
      <c r="J2259">
        <v>0.29215742068966</v>
      </c>
      <c r="K2259">
        <v>0.30677184275862002</v>
      </c>
      <c r="L2259">
        <v>1.333354661166E-2</v>
      </c>
    </row>
    <row r="2260" spans="1:12" x14ac:dyDescent="0.2">
      <c r="A2260" s="8" t="s">
        <v>32</v>
      </c>
      <c r="B2260" s="8" t="s">
        <v>80</v>
      </c>
      <c r="C2260" s="8" t="s">
        <v>377</v>
      </c>
      <c r="D2260" s="8" t="s">
        <v>378</v>
      </c>
      <c r="E2260" s="8" t="s">
        <v>53</v>
      </c>
      <c r="F2260" s="8" t="s">
        <v>54</v>
      </c>
      <c r="G2260" s="8" t="s">
        <v>7</v>
      </c>
      <c r="H2260" s="8" t="s">
        <v>38</v>
      </c>
      <c r="I2260" s="9"/>
    </row>
    <row r="2261" spans="1:12" x14ac:dyDescent="0.2">
      <c r="A2261" s="8" t="s">
        <v>32</v>
      </c>
      <c r="B2261" s="8" t="s">
        <v>80</v>
      </c>
      <c r="C2261" s="8" t="s">
        <v>377</v>
      </c>
      <c r="D2261" s="8" t="s">
        <v>378</v>
      </c>
      <c r="E2261" s="8" t="s">
        <v>70</v>
      </c>
      <c r="F2261" s="8" t="s">
        <v>71</v>
      </c>
      <c r="G2261" s="8" t="s">
        <v>7</v>
      </c>
      <c r="H2261" s="8" t="s">
        <v>38</v>
      </c>
      <c r="I2261" s="9">
        <v>207.02952999999999</v>
      </c>
      <c r="J2261">
        <v>199.21709607</v>
      </c>
      <c r="K2261">
        <v>203.12331363999999</v>
      </c>
      <c r="L2261">
        <v>202.89416258579001</v>
      </c>
    </row>
    <row r="2262" spans="1:12" x14ac:dyDescent="0.2">
      <c r="A2262" s="8" t="s">
        <v>32</v>
      </c>
      <c r="B2262" s="8" t="s">
        <v>80</v>
      </c>
      <c r="C2262" s="8" t="s">
        <v>377</v>
      </c>
      <c r="D2262" s="8" t="s">
        <v>378</v>
      </c>
      <c r="E2262" s="8" t="s">
        <v>83</v>
      </c>
      <c r="F2262" s="8" t="s">
        <v>84</v>
      </c>
      <c r="G2262" s="8" t="s">
        <v>7</v>
      </c>
      <c r="H2262" s="8" t="s">
        <v>38</v>
      </c>
      <c r="I2262" s="9">
        <v>22.5</v>
      </c>
      <c r="J2262">
        <v>22.5</v>
      </c>
      <c r="K2262">
        <v>22.5</v>
      </c>
      <c r="L2262">
        <v>22.5</v>
      </c>
    </row>
    <row r="2263" spans="1:12" x14ac:dyDescent="0.2">
      <c r="A2263" s="8" t="s">
        <v>32</v>
      </c>
      <c r="B2263" s="8" t="s">
        <v>80</v>
      </c>
      <c r="C2263" s="8" t="s">
        <v>377</v>
      </c>
      <c r="D2263" s="8" t="s">
        <v>378</v>
      </c>
      <c r="E2263" s="8" t="s">
        <v>55</v>
      </c>
      <c r="F2263" s="8" t="s">
        <v>56</v>
      </c>
      <c r="G2263" s="8" t="s">
        <v>7</v>
      </c>
      <c r="H2263" s="8" t="s">
        <v>38</v>
      </c>
      <c r="I2263" s="9">
        <v>0.82896119999999995</v>
      </c>
      <c r="J2263">
        <v>0.92845806379050999</v>
      </c>
      <c r="K2263">
        <v>0.92845806379050999</v>
      </c>
      <c r="L2263">
        <v>0.92845806379050999</v>
      </c>
    </row>
    <row r="2264" spans="1:12" x14ac:dyDescent="0.2">
      <c r="A2264" s="8" t="s">
        <v>32</v>
      </c>
      <c r="B2264" s="8" t="s">
        <v>80</v>
      </c>
      <c r="C2264" s="8" t="s">
        <v>377</v>
      </c>
      <c r="D2264" s="8" t="s">
        <v>378</v>
      </c>
      <c r="E2264" s="8" t="s">
        <v>57</v>
      </c>
      <c r="F2264" s="8" t="s">
        <v>58</v>
      </c>
      <c r="G2264" s="8" t="s">
        <v>7</v>
      </c>
      <c r="H2264" s="8" t="s">
        <v>38</v>
      </c>
      <c r="I2264" s="9">
        <v>3.1590899999999998E-2</v>
      </c>
      <c r="J2264">
        <v>3.5382657632344001E-2</v>
      </c>
      <c r="K2264">
        <v>3.5382657632344001E-2</v>
      </c>
      <c r="L2264">
        <v>3.5382657632344001E-2</v>
      </c>
    </row>
    <row r="2265" spans="1:12" x14ac:dyDescent="0.2">
      <c r="A2265" s="8" t="s">
        <v>32</v>
      </c>
      <c r="B2265" s="8" t="s">
        <v>80</v>
      </c>
      <c r="C2265" s="8" t="s">
        <v>377</v>
      </c>
      <c r="D2265" s="8" t="s">
        <v>378</v>
      </c>
      <c r="E2265" s="8" t="s">
        <v>59</v>
      </c>
      <c r="F2265" s="8" t="s">
        <v>60</v>
      </c>
      <c r="G2265" s="8" t="s">
        <v>7</v>
      </c>
      <c r="H2265" s="8" t="s">
        <v>38</v>
      </c>
      <c r="I2265" s="9">
        <v>37.624090000000002</v>
      </c>
      <c r="J2265">
        <v>38.765054497375999</v>
      </c>
      <c r="K2265">
        <v>41.644925008053001</v>
      </c>
      <c r="L2265">
        <v>42.987825249971998</v>
      </c>
    </row>
    <row r="2266" spans="1:12" x14ac:dyDescent="0.2">
      <c r="A2266" s="8" t="s">
        <v>32</v>
      </c>
      <c r="B2266" s="8" t="s">
        <v>153</v>
      </c>
      <c r="C2266" s="8" t="s">
        <v>379</v>
      </c>
      <c r="D2266" s="8" t="s">
        <v>380</v>
      </c>
      <c r="E2266" s="8" t="s">
        <v>36</v>
      </c>
      <c r="F2266" s="8" t="s">
        <v>37</v>
      </c>
      <c r="G2266" s="8" t="s">
        <v>7</v>
      </c>
      <c r="H2266" s="8" t="s">
        <v>38</v>
      </c>
      <c r="I2266" s="9">
        <v>120016.64</v>
      </c>
      <c r="J2266">
        <v>111215.05231100001</v>
      </c>
      <c r="K2266">
        <v>117736.59001499999</v>
      </c>
      <c r="L2266">
        <v>122053.02456270999</v>
      </c>
    </row>
    <row r="2267" spans="1:12" x14ac:dyDescent="0.2">
      <c r="A2267" s="8" t="s">
        <v>32</v>
      </c>
      <c r="B2267" s="8" t="s">
        <v>153</v>
      </c>
      <c r="C2267" s="8" t="s">
        <v>379</v>
      </c>
      <c r="D2267" s="8" t="s">
        <v>380</v>
      </c>
      <c r="E2267" s="8" t="s">
        <v>64</v>
      </c>
      <c r="F2267" s="8" t="s">
        <v>65</v>
      </c>
      <c r="G2267" s="8" t="s">
        <v>7</v>
      </c>
      <c r="H2267" s="8" t="s">
        <v>38</v>
      </c>
      <c r="I2267" s="9">
        <v>16862.838</v>
      </c>
      <c r="J2267">
        <v>23628.441924999999</v>
      </c>
      <c r="K2267">
        <v>25864.368906</v>
      </c>
      <c r="L2267">
        <v>21918.507888871001</v>
      </c>
    </row>
    <row r="2268" spans="1:12" x14ac:dyDescent="0.2">
      <c r="A2268" s="8" t="s">
        <v>32</v>
      </c>
      <c r="B2268" s="8" t="s">
        <v>153</v>
      </c>
      <c r="C2268" s="8" t="s">
        <v>379</v>
      </c>
      <c r="D2268" s="8" t="s">
        <v>380</v>
      </c>
      <c r="E2268" s="8" t="s">
        <v>39</v>
      </c>
      <c r="F2268" s="8" t="s">
        <v>40</v>
      </c>
      <c r="G2268" s="8" t="s">
        <v>7</v>
      </c>
      <c r="H2268" s="8" t="s">
        <v>38</v>
      </c>
      <c r="I2268" s="9">
        <v>32200.677</v>
      </c>
      <c r="J2268">
        <v>34874.545616000003</v>
      </c>
      <c r="K2268">
        <v>36061.862094999997</v>
      </c>
      <c r="L2268">
        <v>33819.603060820999</v>
      </c>
    </row>
    <row r="2269" spans="1:12" x14ac:dyDescent="0.2">
      <c r="A2269" s="8" t="s">
        <v>32</v>
      </c>
      <c r="B2269" s="8" t="s">
        <v>153</v>
      </c>
      <c r="C2269" s="8" t="s">
        <v>379</v>
      </c>
      <c r="D2269" s="8" t="s">
        <v>380</v>
      </c>
      <c r="E2269" s="8" t="s">
        <v>41</v>
      </c>
      <c r="F2269" s="8" t="s">
        <v>42</v>
      </c>
      <c r="G2269" s="8" t="s">
        <v>7</v>
      </c>
      <c r="H2269" s="8" t="s">
        <v>38</v>
      </c>
      <c r="I2269" s="9">
        <v>566.98212999999998</v>
      </c>
      <c r="J2269">
        <v>287.3442</v>
      </c>
      <c r="K2269">
        <v>1214.858645</v>
      </c>
      <c r="L2269">
        <v>1617.9209991749999</v>
      </c>
    </row>
    <row r="2270" spans="1:12" x14ac:dyDescent="0.2">
      <c r="A2270" s="8" t="s">
        <v>32</v>
      </c>
      <c r="B2270" s="8" t="s">
        <v>153</v>
      </c>
      <c r="C2270" s="8" t="s">
        <v>379</v>
      </c>
      <c r="D2270" s="8" t="s">
        <v>380</v>
      </c>
      <c r="E2270" s="8" t="s">
        <v>43</v>
      </c>
      <c r="F2270" s="8" t="s">
        <v>44</v>
      </c>
      <c r="G2270" s="8" t="s">
        <v>7</v>
      </c>
      <c r="H2270" s="8" t="s">
        <v>38</v>
      </c>
      <c r="I2270" s="9">
        <v>49346.94</v>
      </c>
      <c r="J2270">
        <v>48311.406057</v>
      </c>
      <c r="K2270">
        <v>52632.887738999998</v>
      </c>
      <c r="L2270">
        <v>57138.753980811998</v>
      </c>
    </row>
    <row r="2271" spans="1:12" x14ac:dyDescent="0.2">
      <c r="A2271" s="8" t="s">
        <v>32</v>
      </c>
      <c r="B2271" s="8" t="s">
        <v>153</v>
      </c>
      <c r="C2271" s="8" t="s">
        <v>379</v>
      </c>
      <c r="D2271" s="8" t="s">
        <v>380</v>
      </c>
      <c r="E2271" s="8" t="s">
        <v>45</v>
      </c>
      <c r="F2271" s="8" t="s">
        <v>46</v>
      </c>
      <c r="G2271" s="8" t="s">
        <v>7</v>
      </c>
      <c r="H2271" s="8" t="s">
        <v>38</v>
      </c>
      <c r="I2271" s="9"/>
    </row>
    <row r="2272" spans="1:12" x14ac:dyDescent="0.2">
      <c r="A2272" s="8" t="s">
        <v>32</v>
      </c>
      <c r="B2272" s="8" t="s">
        <v>153</v>
      </c>
      <c r="C2272" s="8" t="s">
        <v>379</v>
      </c>
      <c r="D2272" s="8" t="s">
        <v>380</v>
      </c>
      <c r="E2272" s="8" t="s">
        <v>49</v>
      </c>
      <c r="F2272" s="8" t="s">
        <v>50</v>
      </c>
      <c r="G2272" s="8" t="s">
        <v>7</v>
      </c>
      <c r="H2272" s="8" t="s">
        <v>38</v>
      </c>
      <c r="I2272" s="9">
        <v>6627.0667999999996</v>
      </c>
      <c r="J2272">
        <v>7006.4788639999997</v>
      </c>
      <c r="K2272">
        <v>7632.1478059999999</v>
      </c>
      <c r="L2272">
        <v>8281.4972202201006</v>
      </c>
    </row>
    <row r="2273" spans="1:12" x14ac:dyDescent="0.2">
      <c r="A2273" s="8" t="s">
        <v>32</v>
      </c>
      <c r="B2273" s="8" t="s">
        <v>153</v>
      </c>
      <c r="C2273" s="8" t="s">
        <v>379</v>
      </c>
      <c r="D2273" s="8" t="s">
        <v>380</v>
      </c>
      <c r="E2273" s="8" t="s">
        <v>51</v>
      </c>
      <c r="F2273" s="8" t="s">
        <v>52</v>
      </c>
      <c r="G2273" s="8" t="s">
        <v>7</v>
      </c>
      <c r="H2273" s="8" t="s">
        <v>38</v>
      </c>
      <c r="I2273" s="9"/>
    </row>
    <row r="2274" spans="1:12" x14ac:dyDescent="0.2">
      <c r="A2274" s="8" t="s">
        <v>32</v>
      </c>
      <c r="B2274" s="8" t="s">
        <v>153</v>
      </c>
      <c r="C2274" s="8" t="s">
        <v>379</v>
      </c>
      <c r="D2274" s="8" t="s">
        <v>380</v>
      </c>
      <c r="E2274" s="8" t="s">
        <v>68</v>
      </c>
      <c r="F2274" s="8" t="s">
        <v>69</v>
      </c>
      <c r="G2274" s="8" t="s">
        <v>7</v>
      </c>
      <c r="H2274" s="8" t="s">
        <v>38</v>
      </c>
      <c r="I2274" s="9">
        <v>11.616965</v>
      </c>
      <c r="J2274">
        <v>12.133302376134999</v>
      </c>
      <c r="K2274">
        <v>12.684412409173</v>
      </c>
      <c r="L2274">
        <v>14.034927035256</v>
      </c>
    </row>
    <row r="2275" spans="1:12" x14ac:dyDescent="0.2">
      <c r="A2275" s="8" t="s">
        <v>32</v>
      </c>
      <c r="B2275" s="8" t="s">
        <v>153</v>
      </c>
      <c r="C2275" s="8" t="s">
        <v>379</v>
      </c>
      <c r="D2275" s="8" t="s">
        <v>380</v>
      </c>
      <c r="E2275" s="8" t="s">
        <v>53</v>
      </c>
      <c r="F2275" s="8" t="s">
        <v>54</v>
      </c>
      <c r="G2275" s="8" t="s">
        <v>7</v>
      </c>
      <c r="H2275" s="8" t="s">
        <v>38</v>
      </c>
      <c r="I2275" s="9">
        <v>7750.6706999999997</v>
      </c>
      <c r="J2275">
        <v>12066.202109802</v>
      </c>
      <c r="K2275">
        <v>15479.744393756</v>
      </c>
      <c r="L2275">
        <v>17038.691929959001</v>
      </c>
    </row>
    <row r="2276" spans="1:12" x14ac:dyDescent="0.2">
      <c r="A2276" s="8" t="s">
        <v>32</v>
      </c>
      <c r="B2276" s="8" t="s">
        <v>153</v>
      </c>
      <c r="C2276" s="8" t="s">
        <v>379</v>
      </c>
      <c r="D2276" s="8" t="s">
        <v>380</v>
      </c>
      <c r="E2276" s="8" t="s">
        <v>70</v>
      </c>
      <c r="F2276" s="8" t="s">
        <v>71</v>
      </c>
      <c r="G2276" s="8" t="s">
        <v>7</v>
      </c>
      <c r="H2276" s="8" t="s">
        <v>38</v>
      </c>
      <c r="I2276" s="9">
        <v>8146.0672000000004</v>
      </c>
      <c r="J2276">
        <v>8156.2824343929997</v>
      </c>
      <c r="K2276">
        <v>8113.3782885279998</v>
      </c>
      <c r="L2276">
        <v>8104.2252811516</v>
      </c>
    </row>
    <row r="2277" spans="1:12" x14ac:dyDescent="0.2">
      <c r="A2277" s="8" t="s">
        <v>32</v>
      </c>
      <c r="B2277" s="8" t="s">
        <v>153</v>
      </c>
      <c r="C2277" s="8" t="s">
        <v>379</v>
      </c>
      <c r="D2277" s="8" t="s">
        <v>380</v>
      </c>
      <c r="E2277" s="8" t="s">
        <v>83</v>
      </c>
      <c r="F2277" s="8" t="s">
        <v>84</v>
      </c>
      <c r="G2277" s="8" t="s">
        <v>7</v>
      </c>
      <c r="H2277" s="8" t="s">
        <v>38</v>
      </c>
      <c r="I2277" s="9">
        <v>1108.5</v>
      </c>
      <c r="J2277">
        <v>1125</v>
      </c>
      <c r="K2277">
        <v>1125</v>
      </c>
      <c r="L2277">
        <v>1125</v>
      </c>
    </row>
    <row r="2278" spans="1:12" x14ac:dyDescent="0.2">
      <c r="A2278" s="8" t="s">
        <v>32</v>
      </c>
      <c r="B2278" s="8" t="s">
        <v>153</v>
      </c>
      <c r="C2278" s="8" t="s">
        <v>379</v>
      </c>
      <c r="D2278" s="8" t="s">
        <v>380</v>
      </c>
      <c r="E2278" s="8" t="s">
        <v>55</v>
      </c>
      <c r="F2278" s="8" t="s">
        <v>56</v>
      </c>
      <c r="G2278" s="8" t="s">
        <v>7</v>
      </c>
      <c r="H2278" s="8" t="s">
        <v>38</v>
      </c>
      <c r="I2278" s="9">
        <v>1.2256171</v>
      </c>
      <c r="J2278">
        <v>1.3727229146283999</v>
      </c>
      <c r="K2278">
        <v>1.3727229146283999</v>
      </c>
      <c r="L2278">
        <v>1.3727229146283999</v>
      </c>
    </row>
    <row r="2279" spans="1:12" x14ac:dyDescent="0.2">
      <c r="A2279" s="8" t="s">
        <v>32</v>
      </c>
      <c r="B2279" s="8" t="s">
        <v>153</v>
      </c>
      <c r="C2279" s="8" t="s">
        <v>379</v>
      </c>
      <c r="D2279" s="8" t="s">
        <v>380</v>
      </c>
      <c r="E2279" s="8" t="s">
        <v>57</v>
      </c>
      <c r="F2279" s="8" t="s">
        <v>58</v>
      </c>
      <c r="G2279" s="8" t="s">
        <v>7</v>
      </c>
      <c r="H2279" s="8" t="s">
        <v>38</v>
      </c>
      <c r="I2279" s="9">
        <v>143.16775999999999</v>
      </c>
      <c r="J2279">
        <v>160.35160583462999</v>
      </c>
      <c r="K2279">
        <v>160.35160583462999</v>
      </c>
      <c r="L2279">
        <v>160.35160583462999</v>
      </c>
    </row>
    <row r="2280" spans="1:12" x14ac:dyDescent="0.2">
      <c r="A2280" s="8" t="s">
        <v>32</v>
      </c>
      <c r="B2280" s="8" t="s">
        <v>153</v>
      </c>
      <c r="C2280" s="8" t="s">
        <v>379</v>
      </c>
      <c r="D2280" s="8" t="s">
        <v>380</v>
      </c>
      <c r="E2280" s="8" t="s">
        <v>72</v>
      </c>
      <c r="F2280" s="8" t="s">
        <v>73</v>
      </c>
      <c r="G2280" s="8" t="s">
        <v>7</v>
      </c>
      <c r="H2280" s="8" t="s">
        <v>38</v>
      </c>
      <c r="I2280" s="9">
        <v>8398.1340999999993</v>
      </c>
      <c r="J2280">
        <v>8870.2089748326998</v>
      </c>
      <c r="K2280">
        <v>8967.2513323424992</v>
      </c>
      <c r="L2280">
        <v>9123.1884767808006</v>
      </c>
    </row>
    <row r="2281" spans="1:12" x14ac:dyDescent="0.2">
      <c r="A2281" s="8" t="s">
        <v>32</v>
      </c>
      <c r="B2281" s="8" t="s">
        <v>153</v>
      </c>
      <c r="C2281" s="8" t="s">
        <v>379</v>
      </c>
      <c r="D2281" s="8" t="s">
        <v>380</v>
      </c>
      <c r="E2281" s="8" t="s">
        <v>74</v>
      </c>
      <c r="F2281" s="8" t="s">
        <v>75</v>
      </c>
      <c r="G2281" s="8" t="s">
        <v>7</v>
      </c>
      <c r="H2281" s="8" t="s">
        <v>38</v>
      </c>
      <c r="I2281" s="9">
        <v>366.80851000000001</v>
      </c>
      <c r="J2281">
        <v>371.39575000000002</v>
      </c>
      <c r="K2281">
        <v>397.42764</v>
      </c>
      <c r="L2281">
        <v>415.63984143440001</v>
      </c>
    </row>
    <row r="2282" spans="1:12" x14ac:dyDescent="0.2">
      <c r="A2282" s="8" t="s">
        <v>32</v>
      </c>
      <c r="B2282" s="8" t="s">
        <v>153</v>
      </c>
      <c r="C2282" s="8" t="s">
        <v>379</v>
      </c>
      <c r="D2282" s="8" t="s">
        <v>380</v>
      </c>
      <c r="E2282" s="8" t="s">
        <v>59</v>
      </c>
      <c r="F2282" s="8" t="s">
        <v>60</v>
      </c>
      <c r="G2282" s="8" t="s">
        <v>7</v>
      </c>
      <c r="H2282" s="8" t="s">
        <v>38</v>
      </c>
      <c r="I2282" s="9">
        <v>284.38875000000002</v>
      </c>
      <c r="J2282">
        <v>299.82643301668998</v>
      </c>
      <c r="K2282">
        <v>283.32948359135997</v>
      </c>
      <c r="L2282">
        <v>283.08833923050003</v>
      </c>
    </row>
    <row r="2283" spans="1:12" x14ac:dyDescent="0.2">
      <c r="A2283" s="8" t="s">
        <v>32</v>
      </c>
      <c r="B2283" s="8" t="s">
        <v>153</v>
      </c>
      <c r="C2283" s="8" t="s">
        <v>379</v>
      </c>
      <c r="D2283" s="8" t="s">
        <v>380</v>
      </c>
      <c r="E2283" s="8" t="s">
        <v>76</v>
      </c>
      <c r="F2283" s="8" t="s">
        <v>77</v>
      </c>
      <c r="G2283" s="8" t="s">
        <v>7</v>
      </c>
      <c r="H2283" s="8" t="s">
        <v>38</v>
      </c>
      <c r="I2283" s="9">
        <v>899.06667000000004</v>
      </c>
      <c r="J2283">
        <v>1332.3619051508999</v>
      </c>
      <c r="K2283">
        <v>1081.7714288858999</v>
      </c>
      <c r="L2283">
        <v>1081.7714288858999</v>
      </c>
    </row>
    <row r="2284" spans="1:12" x14ac:dyDescent="0.2">
      <c r="A2284" s="8" t="s">
        <v>32</v>
      </c>
      <c r="B2284" s="8" t="s">
        <v>153</v>
      </c>
      <c r="C2284" s="8" t="s">
        <v>379</v>
      </c>
      <c r="D2284" s="8" t="s">
        <v>380</v>
      </c>
      <c r="E2284" s="8" t="s">
        <v>78</v>
      </c>
      <c r="F2284" s="8" t="s">
        <v>79</v>
      </c>
      <c r="G2284" s="8" t="s">
        <v>7</v>
      </c>
      <c r="H2284" s="8" t="s">
        <v>38</v>
      </c>
      <c r="I2284" s="9">
        <v>275.62851999999998</v>
      </c>
      <c r="J2284">
        <v>122.0999778</v>
      </c>
      <c r="K2284">
        <v>142.99997400000001</v>
      </c>
      <c r="L2284">
        <v>123.98569174286</v>
      </c>
    </row>
    <row r="2285" spans="1:12" x14ac:dyDescent="0.2">
      <c r="A2285" s="8" t="s">
        <v>32</v>
      </c>
      <c r="B2285" s="8" t="s">
        <v>153</v>
      </c>
      <c r="C2285" s="8" t="s">
        <v>379</v>
      </c>
      <c r="D2285" s="8" t="s">
        <v>380</v>
      </c>
      <c r="E2285" s="8" t="s">
        <v>92</v>
      </c>
      <c r="F2285" s="8" t="s">
        <v>93</v>
      </c>
      <c r="G2285" s="8" t="s">
        <v>7</v>
      </c>
      <c r="H2285" s="8" t="s">
        <v>38</v>
      </c>
      <c r="I2285" s="9">
        <v>73.584596000000005</v>
      </c>
      <c r="J2285">
        <v>75.041194671379003</v>
      </c>
      <c r="K2285">
        <v>76.500586912320003</v>
      </c>
      <c r="L2285">
        <v>77.965712833542995</v>
      </c>
    </row>
    <row r="2286" spans="1:12" x14ac:dyDescent="0.2">
      <c r="A2286" s="8" t="s">
        <v>32</v>
      </c>
      <c r="B2286" s="8" t="s">
        <v>120</v>
      </c>
      <c r="C2286" s="8" t="s">
        <v>381</v>
      </c>
      <c r="D2286" s="8" t="s">
        <v>382</v>
      </c>
      <c r="E2286" s="8" t="s">
        <v>59</v>
      </c>
      <c r="F2286" s="8" t="s">
        <v>60</v>
      </c>
      <c r="G2286" s="8" t="s">
        <v>7</v>
      </c>
      <c r="H2286" s="8" t="s">
        <v>38</v>
      </c>
      <c r="I2286" s="9">
        <v>0.45487260000000002</v>
      </c>
      <c r="J2286">
        <v>0.46470790018267999</v>
      </c>
      <c r="K2286">
        <v>0.47463046529949998</v>
      </c>
      <c r="L2286">
        <v>0.48461122727917999</v>
      </c>
    </row>
    <row r="2287" spans="1:12" x14ac:dyDescent="0.2">
      <c r="A2287" s="8" t="s">
        <v>32</v>
      </c>
      <c r="B2287" s="8" t="s">
        <v>80</v>
      </c>
      <c r="C2287" s="8" t="s">
        <v>383</v>
      </c>
      <c r="D2287" s="8" t="s">
        <v>384</v>
      </c>
      <c r="E2287" s="8" t="s">
        <v>36</v>
      </c>
      <c r="F2287" s="8" t="s">
        <v>37</v>
      </c>
      <c r="G2287" s="8" t="s">
        <v>7</v>
      </c>
      <c r="H2287" s="8" t="s">
        <v>38</v>
      </c>
      <c r="I2287" s="9">
        <v>105.28842</v>
      </c>
      <c r="J2287">
        <v>69.163904000000002</v>
      </c>
      <c r="K2287">
        <v>32.871512000000003</v>
      </c>
      <c r="L2287">
        <v>31.637449277817002</v>
      </c>
    </row>
    <row r="2288" spans="1:12" x14ac:dyDescent="0.2">
      <c r="A2288" s="8" t="s">
        <v>32</v>
      </c>
      <c r="B2288" s="8" t="s">
        <v>80</v>
      </c>
      <c r="C2288" s="8" t="s">
        <v>383</v>
      </c>
      <c r="D2288" s="8" t="s">
        <v>384</v>
      </c>
      <c r="E2288" s="8" t="s">
        <v>64</v>
      </c>
      <c r="F2288" s="8" t="s">
        <v>65</v>
      </c>
      <c r="G2288" s="8" t="s">
        <v>7</v>
      </c>
      <c r="H2288" s="8" t="s">
        <v>38</v>
      </c>
      <c r="I2288" s="9"/>
    </row>
    <row r="2289" spans="1:12" x14ac:dyDescent="0.2">
      <c r="A2289" s="8" t="s">
        <v>32</v>
      </c>
      <c r="B2289" s="8" t="s">
        <v>80</v>
      </c>
      <c r="C2289" s="8" t="s">
        <v>383</v>
      </c>
      <c r="D2289" s="8" t="s">
        <v>384</v>
      </c>
      <c r="E2289" s="8" t="s">
        <v>39</v>
      </c>
      <c r="F2289" s="8" t="s">
        <v>40</v>
      </c>
      <c r="G2289" s="8" t="s">
        <v>7</v>
      </c>
      <c r="H2289" s="8" t="s">
        <v>38</v>
      </c>
      <c r="I2289" s="9">
        <v>202.82336000000001</v>
      </c>
      <c r="J2289">
        <v>221.23436899999999</v>
      </c>
      <c r="K2289">
        <v>226.28864799999999</v>
      </c>
      <c r="L2289">
        <v>228.62642251093999</v>
      </c>
    </row>
    <row r="2290" spans="1:12" x14ac:dyDescent="0.2">
      <c r="A2290" s="8" t="s">
        <v>32</v>
      </c>
      <c r="B2290" s="8" t="s">
        <v>80</v>
      </c>
      <c r="C2290" s="8" t="s">
        <v>383</v>
      </c>
      <c r="D2290" s="8" t="s">
        <v>384</v>
      </c>
      <c r="E2290" s="8" t="s">
        <v>41</v>
      </c>
      <c r="F2290" s="8" t="s">
        <v>42</v>
      </c>
      <c r="G2290" s="8" t="s">
        <v>7</v>
      </c>
      <c r="H2290" s="8" t="s">
        <v>38</v>
      </c>
      <c r="I2290" s="9">
        <v>44.466749999999998</v>
      </c>
      <c r="J2290">
        <v>28.027474999999999</v>
      </c>
      <c r="K2290">
        <v>31.133089999999999</v>
      </c>
      <c r="L2290">
        <v>35.088377098245999</v>
      </c>
    </row>
    <row r="2291" spans="1:12" x14ac:dyDescent="0.2">
      <c r="A2291" s="8" t="s">
        <v>32</v>
      </c>
      <c r="B2291" s="8" t="s">
        <v>80</v>
      </c>
      <c r="C2291" s="8" t="s">
        <v>383</v>
      </c>
      <c r="D2291" s="8" t="s">
        <v>384</v>
      </c>
      <c r="E2291" s="8" t="s">
        <v>43</v>
      </c>
      <c r="F2291" s="8" t="s">
        <v>44</v>
      </c>
      <c r="G2291" s="8" t="s">
        <v>7</v>
      </c>
      <c r="H2291" s="8" t="s">
        <v>38</v>
      </c>
      <c r="I2291" s="9">
        <v>1865.6208999999999</v>
      </c>
      <c r="J2291">
        <v>1959.5949000000001</v>
      </c>
      <c r="K2291">
        <v>1894.3790280000001</v>
      </c>
      <c r="L2291">
        <v>1913.9497446261</v>
      </c>
    </row>
    <row r="2292" spans="1:12" x14ac:dyDescent="0.2">
      <c r="A2292" s="8" t="s">
        <v>32</v>
      </c>
      <c r="B2292" s="8" t="s">
        <v>80</v>
      </c>
      <c r="C2292" s="8" t="s">
        <v>383</v>
      </c>
      <c r="D2292" s="8" t="s">
        <v>384</v>
      </c>
      <c r="E2292" s="8" t="s">
        <v>66</v>
      </c>
      <c r="F2292" s="8" t="s">
        <v>67</v>
      </c>
      <c r="G2292" s="8" t="s">
        <v>7</v>
      </c>
      <c r="H2292" s="8" t="s">
        <v>38</v>
      </c>
      <c r="I2292" s="9"/>
    </row>
    <row r="2293" spans="1:12" x14ac:dyDescent="0.2">
      <c r="A2293" s="8" t="s">
        <v>32</v>
      </c>
      <c r="B2293" s="8" t="s">
        <v>80</v>
      </c>
      <c r="C2293" s="8" t="s">
        <v>383</v>
      </c>
      <c r="D2293" s="8" t="s">
        <v>384</v>
      </c>
      <c r="E2293" s="8" t="s">
        <v>45</v>
      </c>
      <c r="F2293" s="8" t="s">
        <v>46</v>
      </c>
      <c r="G2293" s="8" t="s">
        <v>7</v>
      </c>
      <c r="H2293" s="8" t="s">
        <v>38</v>
      </c>
      <c r="I2293" s="9">
        <v>11.249316</v>
      </c>
      <c r="J2293">
        <v>11.812014</v>
      </c>
      <c r="K2293">
        <v>12.40335</v>
      </c>
      <c r="L2293">
        <v>11.619679069723</v>
      </c>
    </row>
    <row r="2294" spans="1:12" x14ac:dyDescent="0.2">
      <c r="A2294" s="8" t="s">
        <v>32</v>
      </c>
      <c r="B2294" s="8" t="s">
        <v>80</v>
      </c>
      <c r="C2294" s="8" t="s">
        <v>383</v>
      </c>
      <c r="D2294" s="8" t="s">
        <v>384</v>
      </c>
      <c r="E2294" s="8" t="s">
        <v>47</v>
      </c>
      <c r="F2294" s="8" t="s">
        <v>48</v>
      </c>
      <c r="G2294" s="8" t="s">
        <v>7</v>
      </c>
      <c r="H2294" s="8" t="s">
        <v>38</v>
      </c>
      <c r="I2294" s="9">
        <v>13.413167</v>
      </c>
      <c r="J2294">
        <v>12.959478000000001</v>
      </c>
      <c r="K2294">
        <v>12.818765000000001</v>
      </c>
      <c r="L2294">
        <v>12.951194895815</v>
      </c>
    </row>
    <row r="2295" spans="1:12" x14ac:dyDescent="0.2">
      <c r="A2295" s="8" t="s">
        <v>32</v>
      </c>
      <c r="B2295" s="8" t="s">
        <v>80</v>
      </c>
      <c r="C2295" s="8" t="s">
        <v>383</v>
      </c>
      <c r="D2295" s="8" t="s">
        <v>384</v>
      </c>
      <c r="E2295" s="8" t="s">
        <v>49</v>
      </c>
      <c r="F2295" s="8" t="s">
        <v>50</v>
      </c>
      <c r="G2295" s="8" t="s">
        <v>7</v>
      </c>
      <c r="H2295" s="8" t="s">
        <v>38</v>
      </c>
      <c r="I2295" s="9">
        <v>883.75886000000003</v>
      </c>
      <c r="J2295">
        <v>962.76319699999999</v>
      </c>
      <c r="K2295">
        <v>982.416292</v>
      </c>
      <c r="L2295">
        <v>992.56557605321996</v>
      </c>
    </row>
    <row r="2296" spans="1:12" x14ac:dyDescent="0.2">
      <c r="A2296" s="8" t="s">
        <v>32</v>
      </c>
      <c r="B2296" s="8" t="s">
        <v>80</v>
      </c>
      <c r="C2296" s="8" t="s">
        <v>383</v>
      </c>
      <c r="D2296" s="8" t="s">
        <v>384</v>
      </c>
      <c r="E2296" s="8" t="s">
        <v>51</v>
      </c>
      <c r="F2296" s="8" t="s">
        <v>52</v>
      </c>
      <c r="G2296" s="8" t="s">
        <v>7</v>
      </c>
      <c r="H2296" s="8" t="s">
        <v>38</v>
      </c>
      <c r="I2296" s="9">
        <v>44.918833999999997</v>
      </c>
      <c r="J2296">
        <v>44.190029000000003</v>
      </c>
      <c r="K2296">
        <v>20.510655</v>
      </c>
      <c r="L2296">
        <v>20.722549352127</v>
      </c>
    </row>
    <row r="2297" spans="1:12" x14ac:dyDescent="0.2">
      <c r="A2297" s="8" t="s">
        <v>32</v>
      </c>
      <c r="B2297" s="8" t="s">
        <v>80</v>
      </c>
      <c r="C2297" s="8" t="s">
        <v>383</v>
      </c>
      <c r="D2297" s="8" t="s">
        <v>384</v>
      </c>
      <c r="E2297" s="8" t="s">
        <v>53</v>
      </c>
      <c r="F2297" s="8" t="s">
        <v>54</v>
      </c>
      <c r="G2297" s="8" t="s">
        <v>7</v>
      </c>
      <c r="H2297" s="8" t="s">
        <v>38</v>
      </c>
      <c r="I2297" s="9"/>
    </row>
    <row r="2298" spans="1:12" x14ac:dyDescent="0.2">
      <c r="A2298" s="8" t="s">
        <v>32</v>
      </c>
      <c r="B2298" s="8" t="s">
        <v>80</v>
      </c>
      <c r="C2298" s="8" t="s">
        <v>383</v>
      </c>
      <c r="D2298" s="8" t="s">
        <v>384</v>
      </c>
      <c r="E2298" s="8" t="s">
        <v>70</v>
      </c>
      <c r="F2298" s="8" t="s">
        <v>71</v>
      </c>
      <c r="G2298" s="8" t="s">
        <v>7</v>
      </c>
      <c r="H2298" s="8" t="s">
        <v>38</v>
      </c>
      <c r="I2298" s="9">
        <v>351.9502</v>
      </c>
      <c r="J2298">
        <v>378.90310428999999</v>
      </c>
      <c r="K2298">
        <v>351.55958129999999</v>
      </c>
      <c r="L2298">
        <v>351.16297370617002</v>
      </c>
    </row>
    <row r="2299" spans="1:12" x14ac:dyDescent="0.2">
      <c r="A2299" s="8" t="s">
        <v>32</v>
      </c>
      <c r="B2299" s="8" t="s">
        <v>80</v>
      </c>
      <c r="C2299" s="8" t="s">
        <v>383</v>
      </c>
      <c r="D2299" s="8" t="s">
        <v>384</v>
      </c>
      <c r="E2299" s="8" t="s">
        <v>83</v>
      </c>
      <c r="F2299" s="8" t="s">
        <v>84</v>
      </c>
      <c r="G2299" s="8" t="s">
        <v>7</v>
      </c>
      <c r="H2299" s="8" t="s">
        <v>38</v>
      </c>
      <c r="I2299" s="9"/>
    </row>
    <row r="2300" spans="1:12" x14ac:dyDescent="0.2">
      <c r="A2300" s="8" t="s">
        <v>32</v>
      </c>
      <c r="B2300" s="8" t="s">
        <v>80</v>
      </c>
      <c r="C2300" s="8" t="s">
        <v>383</v>
      </c>
      <c r="D2300" s="8" t="s">
        <v>384</v>
      </c>
      <c r="E2300" s="8" t="s">
        <v>55</v>
      </c>
      <c r="F2300" s="8" t="s">
        <v>56</v>
      </c>
      <c r="G2300" s="8" t="s">
        <v>7</v>
      </c>
      <c r="H2300" s="8" t="s">
        <v>38</v>
      </c>
      <c r="I2300" s="9">
        <v>0.1161465</v>
      </c>
      <c r="J2300">
        <v>0.13008705234484</v>
      </c>
      <c r="K2300">
        <v>0.13008705234484</v>
      </c>
      <c r="L2300">
        <v>0.13008705234484</v>
      </c>
    </row>
    <row r="2301" spans="1:12" x14ac:dyDescent="0.2">
      <c r="A2301" s="8" t="s">
        <v>32</v>
      </c>
      <c r="B2301" s="8" t="s">
        <v>80</v>
      </c>
      <c r="C2301" s="8" t="s">
        <v>383</v>
      </c>
      <c r="D2301" s="8" t="s">
        <v>384</v>
      </c>
      <c r="E2301" s="8" t="s">
        <v>57</v>
      </c>
      <c r="F2301" s="8" t="s">
        <v>58</v>
      </c>
      <c r="G2301" s="8" t="s">
        <v>7</v>
      </c>
      <c r="H2301" s="8" t="s">
        <v>38</v>
      </c>
      <c r="I2301" s="9">
        <v>1.3053444000000001</v>
      </c>
      <c r="J2301">
        <v>1.4620195437637</v>
      </c>
      <c r="K2301">
        <v>1.4620195437637</v>
      </c>
      <c r="L2301">
        <v>1.4620195437637</v>
      </c>
    </row>
    <row r="2302" spans="1:12" x14ac:dyDescent="0.2">
      <c r="A2302" s="8" t="s">
        <v>32</v>
      </c>
      <c r="B2302" s="8" t="s">
        <v>80</v>
      </c>
      <c r="C2302" s="8" t="s">
        <v>383</v>
      </c>
      <c r="D2302" s="8" t="s">
        <v>384</v>
      </c>
      <c r="E2302" s="8" t="s">
        <v>74</v>
      </c>
      <c r="F2302" s="8" t="s">
        <v>75</v>
      </c>
      <c r="G2302" s="8" t="s">
        <v>7</v>
      </c>
      <c r="H2302" s="8" t="s">
        <v>38</v>
      </c>
      <c r="I2302" s="9">
        <v>6.884957</v>
      </c>
    </row>
    <row r="2303" spans="1:12" x14ac:dyDescent="0.2">
      <c r="A2303" s="8" t="s">
        <v>32</v>
      </c>
      <c r="B2303" s="8" t="s">
        <v>80</v>
      </c>
      <c r="C2303" s="8" t="s">
        <v>383</v>
      </c>
      <c r="D2303" s="8" t="s">
        <v>384</v>
      </c>
      <c r="E2303" s="8" t="s">
        <v>59</v>
      </c>
      <c r="F2303" s="8" t="s">
        <v>60</v>
      </c>
      <c r="G2303" s="8" t="s">
        <v>7</v>
      </c>
      <c r="H2303" s="8" t="s">
        <v>38</v>
      </c>
      <c r="I2303" s="9">
        <v>12.648737000000001</v>
      </c>
      <c r="J2303">
        <v>15.106479967905999</v>
      </c>
      <c r="K2303">
        <v>13.913732311403001</v>
      </c>
      <c r="L2303">
        <v>13.932610363586999</v>
      </c>
    </row>
    <row r="2304" spans="1:12" x14ac:dyDescent="0.2">
      <c r="A2304" s="8" t="s">
        <v>32</v>
      </c>
      <c r="B2304" s="8" t="s">
        <v>105</v>
      </c>
      <c r="C2304" s="8" t="s">
        <v>385</v>
      </c>
      <c r="D2304" s="8" t="s">
        <v>386</v>
      </c>
      <c r="E2304" s="8" t="s">
        <v>36</v>
      </c>
      <c r="F2304" s="8" t="s">
        <v>37</v>
      </c>
      <c r="G2304" s="8" t="s">
        <v>7</v>
      </c>
      <c r="H2304" s="8" t="s">
        <v>38</v>
      </c>
      <c r="I2304" s="9">
        <v>1651.6714999999999</v>
      </c>
      <c r="J2304">
        <v>1188.9874627318</v>
      </c>
      <c r="K2304">
        <v>1179.5748072213</v>
      </c>
      <c r="L2304">
        <v>1242.1440940657999</v>
      </c>
    </row>
    <row r="2305" spans="1:12" x14ac:dyDescent="0.2">
      <c r="A2305" s="8" t="s">
        <v>32</v>
      </c>
      <c r="B2305" s="8" t="s">
        <v>105</v>
      </c>
      <c r="C2305" s="8" t="s">
        <v>385</v>
      </c>
      <c r="D2305" s="8" t="s">
        <v>386</v>
      </c>
      <c r="E2305" s="8" t="s">
        <v>39</v>
      </c>
      <c r="F2305" s="8" t="s">
        <v>40</v>
      </c>
      <c r="G2305" s="8" t="s">
        <v>7</v>
      </c>
      <c r="H2305" s="8" t="s">
        <v>38</v>
      </c>
      <c r="I2305" s="9">
        <v>2516.9733999999999</v>
      </c>
      <c r="J2305">
        <v>1947.9127576286</v>
      </c>
      <c r="K2305">
        <v>1923.3740150024</v>
      </c>
      <c r="L2305">
        <v>2099.9896828814999</v>
      </c>
    </row>
    <row r="2306" spans="1:12" x14ac:dyDescent="0.2">
      <c r="A2306" s="8" t="s">
        <v>32</v>
      </c>
      <c r="B2306" s="8" t="s">
        <v>105</v>
      </c>
      <c r="C2306" s="8" t="s">
        <v>385</v>
      </c>
      <c r="D2306" s="8" t="s">
        <v>386</v>
      </c>
      <c r="E2306" s="8" t="s">
        <v>41</v>
      </c>
      <c r="F2306" s="8" t="s">
        <v>42</v>
      </c>
      <c r="G2306" s="8" t="s">
        <v>7</v>
      </c>
      <c r="H2306" s="8" t="s">
        <v>38</v>
      </c>
      <c r="I2306" s="9">
        <v>55.467478999999997</v>
      </c>
      <c r="J2306">
        <v>58.799194380277001</v>
      </c>
      <c r="K2306">
        <v>58.293300011004</v>
      </c>
      <c r="L2306">
        <v>77.633685686131997</v>
      </c>
    </row>
    <row r="2307" spans="1:12" x14ac:dyDescent="0.2">
      <c r="A2307" s="8" t="s">
        <v>32</v>
      </c>
      <c r="B2307" s="8" t="s">
        <v>105</v>
      </c>
      <c r="C2307" s="8" t="s">
        <v>385</v>
      </c>
      <c r="D2307" s="8" t="s">
        <v>386</v>
      </c>
      <c r="E2307" s="8" t="s">
        <v>43</v>
      </c>
      <c r="F2307" s="8" t="s">
        <v>44</v>
      </c>
      <c r="G2307" s="8" t="s">
        <v>7</v>
      </c>
      <c r="H2307" s="8" t="s">
        <v>38</v>
      </c>
      <c r="I2307" s="9">
        <v>935.71726999999998</v>
      </c>
      <c r="J2307">
        <v>965.56500567969999</v>
      </c>
      <c r="K2307">
        <v>957.25755869079001</v>
      </c>
      <c r="L2307">
        <v>952.73317954691004</v>
      </c>
    </row>
    <row r="2308" spans="1:12" x14ac:dyDescent="0.2">
      <c r="A2308" s="8" t="s">
        <v>32</v>
      </c>
      <c r="B2308" s="8" t="s">
        <v>105</v>
      </c>
      <c r="C2308" s="8" t="s">
        <v>385</v>
      </c>
      <c r="D2308" s="8" t="s">
        <v>386</v>
      </c>
      <c r="E2308" s="8" t="s">
        <v>66</v>
      </c>
      <c r="F2308" s="8" t="s">
        <v>67</v>
      </c>
      <c r="G2308" s="8" t="s">
        <v>7</v>
      </c>
      <c r="H2308" s="8" t="s">
        <v>38</v>
      </c>
      <c r="I2308" s="9"/>
    </row>
    <row r="2309" spans="1:12" x14ac:dyDescent="0.2">
      <c r="A2309" s="8" t="s">
        <v>32</v>
      </c>
      <c r="B2309" s="8" t="s">
        <v>105</v>
      </c>
      <c r="C2309" s="8" t="s">
        <v>385</v>
      </c>
      <c r="D2309" s="8" t="s">
        <v>386</v>
      </c>
      <c r="E2309" s="8" t="s">
        <v>45</v>
      </c>
      <c r="F2309" s="8" t="s">
        <v>46</v>
      </c>
      <c r="G2309" s="8" t="s">
        <v>7</v>
      </c>
      <c r="H2309" s="8" t="s">
        <v>38</v>
      </c>
      <c r="I2309" s="9">
        <v>64.416048000000004</v>
      </c>
      <c r="J2309">
        <v>79.666705364737993</v>
      </c>
      <c r="K2309">
        <v>78.981280770254003</v>
      </c>
      <c r="L2309">
        <v>76.230288172364993</v>
      </c>
    </row>
    <row r="2310" spans="1:12" x14ac:dyDescent="0.2">
      <c r="A2310" s="8" t="s">
        <v>32</v>
      </c>
      <c r="B2310" s="8" t="s">
        <v>105</v>
      </c>
      <c r="C2310" s="8" t="s">
        <v>385</v>
      </c>
      <c r="D2310" s="8" t="s">
        <v>386</v>
      </c>
      <c r="E2310" s="8" t="s">
        <v>47</v>
      </c>
      <c r="F2310" s="8" t="s">
        <v>48</v>
      </c>
      <c r="G2310" s="8" t="s">
        <v>7</v>
      </c>
      <c r="H2310" s="8" t="s">
        <v>38</v>
      </c>
      <c r="I2310" s="9">
        <v>67.560805000000002</v>
      </c>
      <c r="J2310">
        <v>68.020573238813</v>
      </c>
      <c r="K2310">
        <v>67.43492538676</v>
      </c>
      <c r="L2310">
        <v>67.116201165446995</v>
      </c>
    </row>
    <row r="2311" spans="1:12" x14ac:dyDescent="0.2">
      <c r="A2311" s="8" t="s">
        <v>32</v>
      </c>
      <c r="B2311" s="8" t="s">
        <v>105</v>
      </c>
      <c r="C2311" s="8" t="s">
        <v>385</v>
      </c>
      <c r="D2311" s="8" t="s">
        <v>386</v>
      </c>
      <c r="E2311" s="8" t="s">
        <v>49</v>
      </c>
      <c r="F2311" s="8" t="s">
        <v>50</v>
      </c>
      <c r="G2311" s="8" t="s">
        <v>7</v>
      </c>
      <c r="H2311" s="8" t="s">
        <v>38</v>
      </c>
      <c r="I2311" s="9">
        <v>304.73140999999998</v>
      </c>
      <c r="J2311">
        <v>302.58541916081998</v>
      </c>
      <c r="K2311">
        <v>299.98218802047001</v>
      </c>
      <c r="L2311">
        <v>298.56435314135001</v>
      </c>
    </row>
    <row r="2312" spans="1:12" x14ac:dyDescent="0.2">
      <c r="A2312" s="8" t="s">
        <v>32</v>
      </c>
      <c r="B2312" s="8" t="s">
        <v>105</v>
      </c>
      <c r="C2312" s="8" t="s">
        <v>385</v>
      </c>
      <c r="D2312" s="8" t="s">
        <v>386</v>
      </c>
      <c r="E2312" s="8" t="s">
        <v>51</v>
      </c>
      <c r="F2312" s="8" t="s">
        <v>52</v>
      </c>
      <c r="G2312" s="8" t="s">
        <v>7</v>
      </c>
      <c r="H2312" s="8" t="s">
        <v>38</v>
      </c>
      <c r="I2312" s="9">
        <v>14.088519</v>
      </c>
      <c r="J2312">
        <v>15.329404589574001</v>
      </c>
      <c r="K2312">
        <v>15.197252831403</v>
      </c>
      <c r="L2312">
        <v>15.125424582954</v>
      </c>
    </row>
    <row r="2313" spans="1:12" x14ac:dyDescent="0.2">
      <c r="A2313" s="8" t="s">
        <v>32</v>
      </c>
      <c r="B2313" s="8" t="s">
        <v>105</v>
      </c>
      <c r="C2313" s="8" t="s">
        <v>385</v>
      </c>
      <c r="D2313" s="8" t="s">
        <v>386</v>
      </c>
      <c r="E2313" s="8" t="s">
        <v>53</v>
      </c>
      <c r="F2313" s="8" t="s">
        <v>54</v>
      </c>
      <c r="G2313" s="8" t="s">
        <v>7</v>
      </c>
      <c r="H2313" s="8" t="s">
        <v>38</v>
      </c>
      <c r="I2313" s="9">
        <v>1.393E-5</v>
      </c>
      <c r="J2313">
        <v>4.2688131508815997E-6</v>
      </c>
      <c r="K2313">
        <v>3.9465967924690003E-6</v>
      </c>
      <c r="L2313">
        <v>6.3923605839567005E-7</v>
      </c>
    </row>
    <row r="2314" spans="1:12" x14ac:dyDescent="0.2">
      <c r="A2314" s="8" t="s">
        <v>32</v>
      </c>
      <c r="B2314" s="8" t="s">
        <v>105</v>
      </c>
      <c r="C2314" s="8" t="s">
        <v>385</v>
      </c>
      <c r="D2314" s="8" t="s">
        <v>386</v>
      </c>
      <c r="E2314" s="8" t="s">
        <v>70</v>
      </c>
      <c r="F2314" s="8" t="s">
        <v>71</v>
      </c>
      <c r="G2314" s="8" t="s">
        <v>7</v>
      </c>
      <c r="H2314" s="8" t="s">
        <v>38</v>
      </c>
      <c r="I2314" s="9">
        <v>29.828596999999998</v>
      </c>
      <c r="J2314">
        <v>27.785542083999999</v>
      </c>
      <c r="K2314">
        <v>28.194152997</v>
      </c>
      <c r="L2314">
        <v>28.162346111979002</v>
      </c>
    </row>
    <row r="2315" spans="1:12" x14ac:dyDescent="0.2">
      <c r="A2315" s="8" t="s">
        <v>32</v>
      </c>
      <c r="B2315" s="8" t="s">
        <v>105</v>
      </c>
      <c r="C2315" s="8" t="s">
        <v>385</v>
      </c>
      <c r="D2315" s="8" t="s">
        <v>386</v>
      </c>
      <c r="E2315" s="8" t="s">
        <v>55</v>
      </c>
      <c r="F2315" s="8" t="s">
        <v>56</v>
      </c>
      <c r="G2315" s="8" t="s">
        <v>7</v>
      </c>
      <c r="H2315" s="8" t="s">
        <v>38</v>
      </c>
      <c r="I2315" s="9">
        <v>1.28535E-2</v>
      </c>
      <c r="J2315">
        <v>1.4396212822633E-2</v>
      </c>
      <c r="K2315">
        <v>1.4396212822633E-2</v>
      </c>
      <c r="L2315">
        <v>1.4396212822633E-2</v>
      </c>
    </row>
    <row r="2316" spans="1:12" x14ac:dyDescent="0.2">
      <c r="A2316" s="8" t="s">
        <v>32</v>
      </c>
      <c r="B2316" s="8" t="s">
        <v>105</v>
      </c>
      <c r="C2316" s="8" t="s">
        <v>385</v>
      </c>
      <c r="D2316" s="8" t="s">
        <v>386</v>
      </c>
      <c r="E2316" s="8" t="s">
        <v>57</v>
      </c>
      <c r="F2316" s="8" t="s">
        <v>58</v>
      </c>
      <c r="G2316" s="8" t="s">
        <v>7</v>
      </c>
      <c r="H2316" s="8" t="s">
        <v>38</v>
      </c>
      <c r="I2316" s="9">
        <v>2.1779728999999999</v>
      </c>
      <c r="J2316">
        <v>2.4393860836169998</v>
      </c>
      <c r="K2316">
        <v>2.4393860836169998</v>
      </c>
      <c r="L2316">
        <v>2.4393860836169998</v>
      </c>
    </row>
    <row r="2317" spans="1:12" x14ac:dyDescent="0.2">
      <c r="A2317" s="8" t="s">
        <v>32</v>
      </c>
      <c r="B2317" s="8" t="s">
        <v>105</v>
      </c>
      <c r="C2317" s="8" t="s">
        <v>385</v>
      </c>
      <c r="D2317" s="8" t="s">
        <v>386</v>
      </c>
      <c r="E2317" s="8" t="s">
        <v>59</v>
      </c>
      <c r="F2317" s="8" t="s">
        <v>60</v>
      </c>
      <c r="G2317" s="8" t="s">
        <v>7</v>
      </c>
      <c r="H2317" s="8" t="s">
        <v>38</v>
      </c>
      <c r="I2317" s="9">
        <v>5.1689651999999997</v>
      </c>
      <c r="J2317">
        <v>5.0243757802458999</v>
      </c>
      <c r="K2317">
        <v>4.9721669460513001</v>
      </c>
      <c r="L2317">
        <v>4.4282361443082001</v>
      </c>
    </row>
    <row r="2318" spans="1:12" x14ac:dyDescent="0.2">
      <c r="A2318" s="8" t="s">
        <v>32</v>
      </c>
      <c r="B2318" s="8" t="s">
        <v>125</v>
      </c>
      <c r="C2318" s="8" t="s">
        <v>387</v>
      </c>
      <c r="D2318" s="8" t="s">
        <v>388</v>
      </c>
      <c r="E2318" s="8" t="s">
        <v>36</v>
      </c>
      <c r="F2318" s="8" t="s">
        <v>37</v>
      </c>
      <c r="G2318" s="8" t="s">
        <v>7</v>
      </c>
      <c r="H2318" s="8" t="s">
        <v>38</v>
      </c>
      <c r="I2318" s="9">
        <v>675.05265999999995</v>
      </c>
      <c r="J2318">
        <v>688.388959</v>
      </c>
      <c r="K2318">
        <v>735.16653199999996</v>
      </c>
      <c r="L2318">
        <v>756.98021560733002</v>
      </c>
    </row>
    <row r="2319" spans="1:12" x14ac:dyDescent="0.2">
      <c r="A2319" s="8" t="s">
        <v>32</v>
      </c>
      <c r="B2319" s="8" t="s">
        <v>125</v>
      </c>
      <c r="C2319" s="8" t="s">
        <v>387</v>
      </c>
      <c r="D2319" s="8" t="s">
        <v>388</v>
      </c>
      <c r="E2319" s="8" t="s">
        <v>64</v>
      </c>
      <c r="F2319" s="8" t="s">
        <v>65</v>
      </c>
      <c r="G2319" s="8" t="s">
        <v>7</v>
      </c>
      <c r="H2319" s="8" t="s">
        <v>38</v>
      </c>
      <c r="I2319" s="9"/>
      <c r="J2319">
        <v>61.517622000000003</v>
      </c>
      <c r="K2319">
        <v>67.971191000000005</v>
      </c>
      <c r="L2319">
        <v>81.164072409414004</v>
      </c>
    </row>
    <row r="2320" spans="1:12" x14ac:dyDescent="0.2">
      <c r="A2320" s="8" t="s">
        <v>32</v>
      </c>
      <c r="B2320" s="8" t="s">
        <v>125</v>
      </c>
      <c r="C2320" s="8" t="s">
        <v>387</v>
      </c>
      <c r="D2320" s="8" t="s">
        <v>388</v>
      </c>
      <c r="E2320" s="8" t="s">
        <v>39</v>
      </c>
      <c r="F2320" s="8" t="s">
        <v>40</v>
      </c>
      <c r="G2320" s="8" t="s">
        <v>7</v>
      </c>
      <c r="H2320" s="8" t="s">
        <v>38</v>
      </c>
      <c r="I2320" s="9">
        <v>194.55573000000001</v>
      </c>
      <c r="J2320">
        <v>283.81793099999999</v>
      </c>
      <c r="K2320">
        <v>345.25959</v>
      </c>
      <c r="L2320">
        <v>330.14961384022001</v>
      </c>
    </row>
    <row r="2321" spans="1:12" x14ac:dyDescent="0.2">
      <c r="A2321" s="8" t="s">
        <v>32</v>
      </c>
      <c r="B2321" s="8" t="s">
        <v>125</v>
      </c>
      <c r="C2321" s="8" t="s">
        <v>387</v>
      </c>
      <c r="D2321" s="8" t="s">
        <v>388</v>
      </c>
      <c r="E2321" s="8" t="s">
        <v>41</v>
      </c>
      <c r="F2321" s="8" t="s">
        <v>42</v>
      </c>
      <c r="G2321" s="8" t="s">
        <v>7</v>
      </c>
      <c r="H2321" s="8" t="s">
        <v>38</v>
      </c>
      <c r="I2321" s="9">
        <v>4.4930599999999998</v>
      </c>
      <c r="J2321">
        <v>6.8561350000000001</v>
      </c>
      <c r="K2321">
        <v>10.20448</v>
      </c>
      <c r="L2321">
        <v>11.500902812136999</v>
      </c>
    </row>
    <row r="2322" spans="1:12" x14ac:dyDescent="0.2">
      <c r="A2322" s="8" t="s">
        <v>32</v>
      </c>
      <c r="B2322" s="8" t="s">
        <v>125</v>
      </c>
      <c r="C2322" s="8" t="s">
        <v>387</v>
      </c>
      <c r="D2322" s="8" t="s">
        <v>388</v>
      </c>
      <c r="E2322" s="8" t="s">
        <v>43</v>
      </c>
      <c r="F2322" s="8" t="s">
        <v>44</v>
      </c>
      <c r="G2322" s="8" t="s">
        <v>7</v>
      </c>
      <c r="H2322" s="8" t="s">
        <v>38</v>
      </c>
      <c r="I2322" s="9">
        <v>1124.875</v>
      </c>
      <c r="J2322">
        <v>1246.0313759999999</v>
      </c>
      <c r="K2322">
        <v>1539.49053</v>
      </c>
      <c r="L2322">
        <v>1472.1161083177001</v>
      </c>
    </row>
    <row r="2323" spans="1:12" x14ac:dyDescent="0.2">
      <c r="A2323" s="8" t="s">
        <v>32</v>
      </c>
      <c r="B2323" s="8" t="s">
        <v>125</v>
      </c>
      <c r="C2323" s="8" t="s">
        <v>387</v>
      </c>
      <c r="D2323" s="8" t="s">
        <v>388</v>
      </c>
      <c r="E2323" s="8" t="s">
        <v>49</v>
      </c>
      <c r="F2323" s="8" t="s">
        <v>50</v>
      </c>
      <c r="G2323" s="8" t="s">
        <v>7</v>
      </c>
      <c r="H2323" s="8" t="s">
        <v>38</v>
      </c>
      <c r="I2323" s="9">
        <v>139.73675</v>
      </c>
      <c r="J2323">
        <v>257.49800199999999</v>
      </c>
      <c r="K2323">
        <v>226.30973</v>
      </c>
      <c r="L2323">
        <v>216.84616958020001</v>
      </c>
    </row>
    <row r="2324" spans="1:12" x14ac:dyDescent="0.2">
      <c r="A2324" s="8" t="s">
        <v>32</v>
      </c>
      <c r="B2324" s="8" t="s">
        <v>125</v>
      </c>
      <c r="C2324" s="8" t="s">
        <v>387</v>
      </c>
      <c r="D2324" s="8" t="s">
        <v>388</v>
      </c>
      <c r="E2324" s="8" t="s">
        <v>51</v>
      </c>
      <c r="F2324" s="8" t="s">
        <v>52</v>
      </c>
      <c r="G2324" s="8" t="s">
        <v>7</v>
      </c>
      <c r="H2324" s="8" t="s">
        <v>38</v>
      </c>
      <c r="I2324" s="9"/>
    </row>
    <row r="2325" spans="1:12" x14ac:dyDescent="0.2">
      <c r="A2325" s="8" t="s">
        <v>32</v>
      </c>
      <c r="B2325" s="8" t="s">
        <v>125</v>
      </c>
      <c r="C2325" s="8" t="s">
        <v>387</v>
      </c>
      <c r="D2325" s="8" t="s">
        <v>388</v>
      </c>
      <c r="E2325" s="8" t="s">
        <v>68</v>
      </c>
      <c r="F2325" s="8" t="s">
        <v>69</v>
      </c>
      <c r="G2325" s="8" t="s">
        <v>7</v>
      </c>
      <c r="H2325" s="8" t="s">
        <v>38</v>
      </c>
      <c r="I2325" s="9">
        <v>4.5953571000000002</v>
      </c>
      <c r="J2325">
        <v>2.8433410946206998</v>
      </c>
      <c r="K2325">
        <v>2.8405105655171998</v>
      </c>
      <c r="L2325">
        <v>2.5822886775171998</v>
      </c>
    </row>
    <row r="2326" spans="1:12" x14ac:dyDescent="0.2">
      <c r="A2326" s="8" t="s">
        <v>32</v>
      </c>
      <c r="B2326" s="8" t="s">
        <v>125</v>
      </c>
      <c r="C2326" s="8" t="s">
        <v>387</v>
      </c>
      <c r="D2326" s="8" t="s">
        <v>388</v>
      </c>
      <c r="E2326" s="8" t="s">
        <v>53</v>
      </c>
      <c r="F2326" s="8" t="s">
        <v>54</v>
      </c>
      <c r="G2326" s="8" t="s">
        <v>7</v>
      </c>
      <c r="H2326" s="8" t="s">
        <v>38</v>
      </c>
      <c r="I2326" s="9">
        <v>88.127598000000006</v>
      </c>
      <c r="J2326">
        <v>112.34791925748</v>
      </c>
      <c r="K2326">
        <v>89.552137194235002</v>
      </c>
      <c r="L2326">
        <v>89.240035881531</v>
      </c>
    </row>
    <row r="2327" spans="1:12" x14ac:dyDescent="0.2">
      <c r="A2327" s="8" t="s">
        <v>32</v>
      </c>
      <c r="B2327" s="8" t="s">
        <v>125</v>
      </c>
      <c r="C2327" s="8" t="s">
        <v>387</v>
      </c>
      <c r="D2327" s="8" t="s">
        <v>388</v>
      </c>
      <c r="E2327" s="8" t="s">
        <v>70</v>
      </c>
      <c r="F2327" s="8" t="s">
        <v>71</v>
      </c>
      <c r="G2327" s="8" t="s">
        <v>7</v>
      </c>
      <c r="H2327" s="8" t="s">
        <v>38</v>
      </c>
      <c r="I2327" s="9">
        <v>136.71761000000001</v>
      </c>
      <c r="J2327">
        <v>156.24870279999999</v>
      </c>
      <c r="K2327">
        <v>156.24870279999999</v>
      </c>
      <c r="L2327">
        <v>156.07243275830001</v>
      </c>
    </row>
    <row r="2328" spans="1:12" x14ac:dyDescent="0.2">
      <c r="A2328" s="8" t="s">
        <v>32</v>
      </c>
      <c r="B2328" s="8" t="s">
        <v>125</v>
      </c>
      <c r="C2328" s="8" t="s">
        <v>387</v>
      </c>
      <c r="D2328" s="8" t="s">
        <v>388</v>
      </c>
      <c r="E2328" s="8" t="s">
        <v>55</v>
      </c>
      <c r="F2328" s="8" t="s">
        <v>56</v>
      </c>
      <c r="G2328" s="8" t="s">
        <v>7</v>
      </c>
      <c r="H2328" s="8" t="s">
        <v>38</v>
      </c>
      <c r="I2328" s="9">
        <v>1.0746857000000001</v>
      </c>
      <c r="J2328">
        <v>1.2036758049384999</v>
      </c>
      <c r="K2328">
        <v>1.2036758049384999</v>
      </c>
      <c r="L2328">
        <v>1.2036758049384999</v>
      </c>
    </row>
    <row r="2329" spans="1:12" x14ac:dyDescent="0.2">
      <c r="A2329" s="8" t="s">
        <v>32</v>
      </c>
      <c r="B2329" s="8" t="s">
        <v>125</v>
      </c>
      <c r="C2329" s="8" t="s">
        <v>387</v>
      </c>
      <c r="D2329" s="8" t="s">
        <v>388</v>
      </c>
      <c r="E2329" s="8" t="s">
        <v>57</v>
      </c>
      <c r="F2329" s="8" t="s">
        <v>58</v>
      </c>
      <c r="G2329" s="8" t="s">
        <v>7</v>
      </c>
      <c r="H2329" s="8" t="s">
        <v>38</v>
      </c>
      <c r="I2329" s="9">
        <v>1.9803991000000001</v>
      </c>
      <c r="J2329">
        <v>2.2180983363003</v>
      </c>
      <c r="K2329">
        <v>2.2180983363003</v>
      </c>
      <c r="L2329">
        <v>2.2180983363003</v>
      </c>
    </row>
    <row r="2330" spans="1:12" x14ac:dyDescent="0.2">
      <c r="A2330" s="8" t="s">
        <v>32</v>
      </c>
      <c r="B2330" s="8" t="s">
        <v>125</v>
      </c>
      <c r="C2330" s="8" t="s">
        <v>387</v>
      </c>
      <c r="D2330" s="8" t="s">
        <v>388</v>
      </c>
      <c r="E2330" s="8" t="s">
        <v>59</v>
      </c>
      <c r="F2330" s="8" t="s">
        <v>60</v>
      </c>
      <c r="G2330" s="8" t="s">
        <v>7</v>
      </c>
      <c r="H2330" s="8" t="s">
        <v>38</v>
      </c>
      <c r="I2330" s="9">
        <v>38.404572999999999</v>
      </c>
      <c r="J2330">
        <v>39.823006707112</v>
      </c>
      <c r="K2330">
        <v>41.312355450177002</v>
      </c>
      <c r="L2330">
        <v>42.822488777315002</v>
      </c>
    </row>
    <row r="2331" spans="1:12" x14ac:dyDescent="0.2">
      <c r="A2331" s="8" t="s">
        <v>32</v>
      </c>
      <c r="B2331" s="8" t="s">
        <v>105</v>
      </c>
      <c r="C2331" s="8" t="s">
        <v>389</v>
      </c>
      <c r="D2331" s="8" t="s">
        <v>390</v>
      </c>
      <c r="E2331" s="8" t="s">
        <v>59</v>
      </c>
      <c r="F2331" s="8" t="s">
        <v>60</v>
      </c>
      <c r="G2331" s="8" t="s">
        <v>7</v>
      </c>
      <c r="H2331" s="8" t="s">
        <v>38</v>
      </c>
      <c r="I2331" s="9">
        <v>2.0790000000000001E-3</v>
      </c>
      <c r="J2331">
        <v>2.3869999999999998E-3</v>
      </c>
      <c r="K2331">
        <v>2.5300000000000001E-3</v>
      </c>
      <c r="L2331">
        <v>2.6795999999999999E-3</v>
      </c>
    </row>
    <row r="2332" spans="1:12" x14ac:dyDescent="0.2">
      <c r="A2332" s="8" t="s">
        <v>32</v>
      </c>
      <c r="B2332" s="8" t="s">
        <v>125</v>
      </c>
      <c r="C2332" s="8" t="s">
        <v>391</v>
      </c>
      <c r="D2332" s="8" t="s">
        <v>392</v>
      </c>
      <c r="E2332" s="8" t="s">
        <v>36</v>
      </c>
      <c r="F2332" s="8" t="s">
        <v>37</v>
      </c>
      <c r="G2332" s="8" t="s">
        <v>7</v>
      </c>
      <c r="H2332" s="8" t="s">
        <v>38</v>
      </c>
      <c r="I2332" s="9">
        <v>15809.906000000001</v>
      </c>
      <c r="J2332">
        <v>16275.717414000001</v>
      </c>
      <c r="K2332">
        <v>14963.339259</v>
      </c>
      <c r="L2332">
        <v>14794.023722018001</v>
      </c>
    </row>
    <row r="2333" spans="1:12" x14ac:dyDescent="0.2">
      <c r="A2333" s="8" t="s">
        <v>32</v>
      </c>
      <c r="B2333" s="8" t="s">
        <v>125</v>
      </c>
      <c r="C2333" s="8" t="s">
        <v>391</v>
      </c>
      <c r="D2333" s="8" t="s">
        <v>392</v>
      </c>
      <c r="E2333" s="8" t="s">
        <v>64</v>
      </c>
      <c r="F2333" s="8" t="s">
        <v>65</v>
      </c>
      <c r="G2333" s="8" t="s">
        <v>7</v>
      </c>
      <c r="H2333" s="8" t="s">
        <v>38</v>
      </c>
      <c r="I2333" s="9">
        <v>11655.7</v>
      </c>
      <c r="J2333">
        <v>10441.945173</v>
      </c>
      <c r="K2333">
        <v>9458.9172149999995</v>
      </c>
      <c r="L2333">
        <v>9351.8861827013006</v>
      </c>
    </row>
    <row r="2334" spans="1:12" x14ac:dyDescent="0.2">
      <c r="A2334" s="8" t="s">
        <v>32</v>
      </c>
      <c r="B2334" s="8" t="s">
        <v>125</v>
      </c>
      <c r="C2334" s="8" t="s">
        <v>391</v>
      </c>
      <c r="D2334" s="8" t="s">
        <v>392</v>
      </c>
      <c r="E2334" s="8" t="s">
        <v>39</v>
      </c>
      <c r="F2334" s="8" t="s">
        <v>40</v>
      </c>
      <c r="G2334" s="8" t="s">
        <v>7</v>
      </c>
      <c r="H2334" s="8" t="s">
        <v>38</v>
      </c>
      <c r="I2334" s="9">
        <v>8076.5700999999999</v>
      </c>
      <c r="J2334">
        <v>11333.802823</v>
      </c>
      <c r="K2334">
        <v>10694.342592999999</v>
      </c>
      <c r="L2334">
        <v>11105.242210946</v>
      </c>
    </row>
    <row r="2335" spans="1:12" x14ac:dyDescent="0.2">
      <c r="A2335" s="8" t="s">
        <v>32</v>
      </c>
      <c r="B2335" s="8" t="s">
        <v>125</v>
      </c>
      <c r="C2335" s="8" t="s">
        <v>391</v>
      </c>
      <c r="D2335" s="8" t="s">
        <v>392</v>
      </c>
      <c r="E2335" s="8" t="s">
        <v>41</v>
      </c>
      <c r="F2335" s="8" t="s">
        <v>42</v>
      </c>
      <c r="G2335" s="8" t="s">
        <v>7</v>
      </c>
      <c r="H2335" s="8" t="s">
        <v>38</v>
      </c>
      <c r="I2335" s="9">
        <v>130.56328999999999</v>
      </c>
      <c r="J2335">
        <v>153.890165</v>
      </c>
      <c r="K2335">
        <v>224.53359499999999</v>
      </c>
      <c r="L2335">
        <v>253.05934787020999</v>
      </c>
    </row>
    <row r="2336" spans="1:12" x14ac:dyDescent="0.2">
      <c r="A2336" s="8" t="s">
        <v>32</v>
      </c>
      <c r="B2336" s="8" t="s">
        <v>125</v>
      </c>
      <c r="C2336" s="8" t="s">
        <v>391</v>
      </c>
      <c r="D2336" s="8" t="s">
        <v>392</v>
      </c>
      <c r="E2336" s="8" t="s">
        <v>43</v>
      </c>
      <c r="F2336" s="8" t="s">
        <v>44</v>
      </c>
      <c r="G2336" s="8" t="s">
        <v>7</v>
      </c>
      <c r="H2336" s="8" t="s">
        <v>38</v>
      </c>
      <c r="I2336" s="9">
        <v>50074.951000000001</v>
      </c>
      <c r="J2336">
        <v>56726.367107999999</v>
      </c>
      <c r="K2336">
        <v>60170.120130000003</v>
      </c>
      <c r="L2336">
        <v>57536.828812314001</v>
      </c>
    </row>
    <row r="2337" spans="1:12" x14ac:dyDescent="0.2">
      <c r="A2337" s="8" t="s">
        <v>32</v>
      </c>
      <c r="B2337" s="8" t="s">
        <v>125</v>
      </c>
      <c r="C2337" s="8" t="s">
        <v>391</v>
      </c>
      <c r="D2337" s="8" t="s">
        <v>392</v>
      </c>
      <c r="E2337" s="8" t="s">
        <v>66</v>
      </c>
      <c r="F2337" s="8" t="s">
        <v>67</v>
      </c>
      <c r="G2337" s="8" t="s">
        <v>7</v>
      </c>
      <c r="H2337" s="8" t="s">
        <v>38</v>
      </c>
      <c r="I2337" s="9">
        <v>146.74542</v>
      </c>
      <c r="J2337">
        <v>146.08740900000001</v>
      </c>
      <c r="K2337">
        <v>152.24808300000001</v>
      </c>
      <c r="L2337">
        <v>145.58508225757001</v>
      </c>
    </row>
    <row r="2338" spans="1:12" x14ac:dyDescent="0.2">
      <c r="A2338" s="8" t="s">
        <v>32</v>
      </c>
      <c r="B2338" s="8" t="s">
        <v>125</v>
      </c>
      <c r="C2338" s="8" t="s">
        <v>391</v>
      </c>
      <c r="D2338" s="8" t="s">
        <v>392</v>
      </c>
      <c r="E2338" s="8" t="s">
        <v>45</v>
      </c>
      <c r="F2338" s="8" t="s">
        <v>46</v>
      </c>
      <c r="G2338" s="8" t="s">
        <v>7</v>
      </c>
      <c r="H2338" s="8" t="s">
        <v>38</v>
      </c>
      <c r="I2338" s="9">
        <v>176.44692000000001</v>
      </c>
      <c r="J2338">
        <v>205.12436099999999</v>
      </c>
      <c r="K2338">
        <v>236.3049</v>
      </c>
      <c r="L2338">
        <v>221.37463673952001</v>
      </c>
    </row>
    <row r="2339" spans="1:12" x14ac:dyDescent="0.2">
      <c r="A2339" s="8" t="s">
        <v>32</v>
      </c>
      <c r="B2339" s="8" t="s">
        <v>125</v>
      </c>
      <c r="C2339" s="8" t="s">
        <v>391</v>
      </c>
      <c r="D2339" s="8" t="s">
        <v>392</v>
      </c>
      <c r="E2339" s="8" t="s">
        <v>47</v>
      </c>
      <c r="F2339" s="8" t="s">
        <v>48</v>
      </c>
      <c r="G2339" s="8" t="s">
        <v>7</v>
      </c>
      <c r="H2339" s="8" t="s">
        <v>38</v>
      </c>
      <c r="I2339" s="9"/>
    </row>
    <row r="2340" spans="1:12" x14ac:dyDescent="0.2">
      <c r="A2340" s="8" t="s">
        <v>32</v>
      </c>
      <c r="B2340" s="8" t="s">
        <v>125</v>
      </c>
      <c r="C2340" s="8" t="s">
        <v>391</v>
      </c>
      <c r="D2340" s="8" t="s">
        <v>392</v>
      </c>
      <c r="E2340" s="8" t="s">
        <v>49</v>
      </c>
      <c r="F2340" s="8" t="s">
        <v>50</v>
      </c>
      <c r="G2340" s="8" t="s">
        <v>7</v>
      </c>
      <c r="H2340" s="8" t="s">
        <v>38</v>
      </c>
      <c r="I2340" s="9">
        <v>3753.1570999999999</v>
      </c>
      <c r="J2340">
        <v>4167.8075079999999</v>
      </c>
      <c r="K2340">
        <v>3874.64851</v>
      </c>
      <c r="L2340">
        <v>3705.0867870367001</v>
      </c>
    </row>
    <row r="2341" spans="1:12" x14ac:dyDescent="0.2">
      <c r="A2341" s="8" t="s">
        <v>32</v>
      </c>
      <c r="B2341" s="8" t="s">
        <v>125</v>
      </c>
      <c r="C2341" s="8" t="s">
        <v>391</v>
      </c>
      <c r="D2341" s="8" t="s">
        <v>392</v>
      </c>
      <c r="E2341" s="8" t="s">
        <v>51</v>
      </c>
      <c r="F2341" s="8" t="s">
        <v>52</v>
      </c>
      <c r="G2341" s="8" t="s">
        <v>7</v>
      </c>
      <c r="H2341" s="8" t="s">
        <v>38</v>
      </c>
      <c r="I2341" s="9">
        <v>574.71036000000004</v>
      </c>
      <c r="J2341">
        <v>595.67208700000003</v>
      </c>
      <c r="K2341">
        <v>615.04266600000005</v>
      </c>
      <c r="L2341">
        <v>588.12587559165001</v>
      </c>
    </row>
    <row r="2342" spans="1:12" x14ac:dyDescent="0.2">
      <c r="A2342" s="8" t="s">
        <v>32</v>
      </c>
      <c r="B2342" s="8" t="s">
        <v>125</v>
      </c>
      <c r="C2342" s="8" t="s">
        <v>391</v>
      </c>
      <c r="D2342" s="8" t="s">
        <v>392</v>
      </c>
      <c r="E2342" s="8" t="s">
        <v>68</v>
      </c>
      <c r="F2342" s="8" t="s">
        <v>69</v>
      </c>
      <c r="G2342" s="8" t="s">
        <v>7</v>
      </c>
      <c r="H2342" s="8" t="s">
        <v>38</v>
      </c>
      <c r="I2342" s="9">
        <v>3.3329122</v>
      </c>
      <c r="J2342">
        <v>7.7318792275861998</v>
      </c>
      <c r="K2342">
        <v>7.1091775448275998</v>
      </c>
      <c r="L2342">
        <v>6.8603563307586004</v>
      </c>
    </row>
    <row r="2343" spans="1:12" x14ac:dyDescent="0.2">
      <c r="A2343" s="8" t="s">
        <v>32</v>
      </c>
      <c r="B2343" s="8" t="s">
        <v>125</v>
      </c>
      <c r="C2343" s="8" t="s">
        <v>391</v>
      </c>
      <c r="D2343" s="8" t="s">
        <v>392</v>
      </c>
      <c r="E2343" s="8" t="s">
        <v>53</v>
      </c>
      <c r="F2343" s="8" t="s">
        <v>54</v>
      </c>
      <c r="G2343" s="8" t="s">
        <v>7</v>
      </c>
      <c r="H2343" s="8" t="s">
        <v>38</v>
      </c>
      <c r="I2343" s="9">
        <v>14764.793</v>
      </c>
      <c r="J2343">
        <v>13626.309342279999</v>
      </c>
      <c r="K2343">
        <v>11028.520548783999</v>
      </c>
      <c r="L2343">
        <v>11541.517689803</v>
      </c>
    </row>
    <row r="2344" spans="1:12" x14ac:dyDescent="0.2">
      <c r="A2344" s="8" t="s">
        <v>32</v>
      </c>
      <c r="B2344" s="8" t="s">
        <v>125</v>
      </c>
      <c r="C2344" s="8" t="s">
        <v>391</v>
      </c>
      <c r="D2344" s="8" t="s">
        <v>392</v>
      </c>
      <c r="E2344" s="8" t="s">
        <v>70</v>
      </c>
      <c r="F2344" s="8" t="s">
        <v>71</v>
      </c>
      <c r="G2344" s="8" t="s">
        <v>7</v>
      </c>
      <c r="H2344" s="8" t="s">
        <v>38</v>
      </c>
      <c r="I2344" s="9">
        <v>10234.290000000001</v>
      </c>
      <c r="J2344">
        <v>11328.030952999999</v>
      </c>
      <c r="K2344">
        <v>10937.409196000001</v>
      </c>
      <c r="L2344">
        <v>10925.070293081</v>
      </c>
    </row>
    <row r="2345" spans="1:12" x14ac:dyDescent="0.2">
      <c r="A2345" s="8" t="s">
        <v>32</v>
      </c>
      <c r="B2345" s="8" t="s">
        <v>125</v>
      </c>
      <c r="C2345" s="8" t="s">
        <v>391</v>
      </c>
      <c r="D2345" s="8" t="s">
        <v>392</v>
      </c>
      <c r="E2345" s="8" t="s">
        <v>55</v>
      </c>
      <c r="F2345" s="8" t="s">
        <v>56</v>
      </c>
      <c r="G2345" s="8" t="s">
        <v>7</v>
      </c>
      <c r="H2345" s="8" t="s">
        <v>38</v>
      </c>
      <c r="I2345" s="9">
        <v>10.768019000000001</v>
      </c>
      <c r="J2345">
        <v>12.060460363193</v>
      </c>
      <c r="K2345">
        <v>12.060460363193</v>
      </c>
      <c r="L2345">
        <v>12.060460363193</v>
      </c>
    </row>
    <row r="2346" spans="1:12" x14ac:dyDescent="0.2">
      <c r="A2346" s="8" t="s">
        <v>32</v>
      </c>
      <c r="B2346" s="8" t="s">
        <v>125</v>
      </c>
      <c r="C2346" s="8" t="s">
        <v>391</v>
      </c>
      <c r="D2346" s="8" t="s">
        <v>392</v>
      </c>
      <c r="E2346" s="8" t="s">
        <v>57</v>
      </c>
      <c r="F2346" s="8" t="s">
        <v>58</v>
      </c>
      <c r="G2346" s="8" t="s">
        <v>7</v>
      </c>
      <c r="H2346" s="8" t="s">
        <v>38</v>
      </c>
      <c r="I2346" s="9">
        <v>116.07747000000001</v>
      </c>
      <c r="J2346">
        <v>130.00978046924001</v>
      </c>
      <c r="K2346">
        <v>130.00978046924001</v>
      </c>
      <c r="L2346">
        <v>130.00978046924001</v>
      </c>
    </row>
    <row r="2347" spans="1:12" x14ac:dyDescent="0.2">
      <c r="A2347" s="8" t="s">
        <v>32</v>
      </c>
      <c r="B2347" s="8" t="s">
        <v>125</v>
      </c>
      <c r="C2347" s="8" t="s">
        <v>391</v>
      </c>
      <c r="D2347" s="8" t="s">
        <v>392</v>
      </c>
      <c r="E2347" s="8" t="s">
        <v>72</v>
      </c>
      <c r="F2347" s="8" t="s">
        <v>73</v>
      </c>
      <c r="G2347" s="8" t="s">
        <v>7</v>
      </c>
      <c r="H2347" s="8" t="s">
        <v>38</v>
      </c>
      <c r="I2347" s="9">
        <v>2019.6224999999999</v>
      </c>
      <c r="J2347">
        <v>3827.9862328135</v>
      </c>
      <c r="K2347">
        <v>4902.2872523929</v>
      </c>
      <c r="L2347">
        <v>3832.5349319767001</v>
      </c>
    </row>
    <row r="2348" spans="1:12" x14ac:dyDescent="0.2">
      <c r="A2348" s="8" t="s">
        <v>32</v>
      </c>
      <c r="B2348" s="8" t="s">
        <v>125</v>
      </c>
      <c r="C2348" s="8" t="s">
        <v>391</v>
      </c>
      <c r="D2348" s="8" t="s">
        <v>392</v>
      </c>
      <c r="E2348" s="8" t="s">
        <v>74</v>
      </c>
      <c r="F2348" s="8" t="s">
        <v>75</v>
      </c>
      <c r="G2348" s="8" t="s">
        <v>7</v>
      </c>
      <c r="H2348" s="8" t="s">
        <v>38</v>
      </c>
      <c r="I2348" s="9">
        <v>27.798159999999999</v>
      </c>
      <c r="J2348">
        <v>28.440359999999998</v>
      </c>
      <c r="K2348">
        <v>30.623840000000001</v>
      </c>
      <c r="L2348">
        <v>52.943103999999998</v>
      </c>
    </row>
    <row r="2349" spans="1:12" x14ac:dyDescent="0.2">
      <c r="A2349" s="8" t="s">
        <v>32</v>
      </c>
      <c r="B2349" s="8" t="s">
        <v>125</v>
      </c>
      <c r="C2349" s="8" t="s">
        <v>391</v>
      </c>
      <c r="D2349" s="8" t="s">
        <v>392</v>
      </c>
      <c r="E2349" s="8" t="s">
        <v>59</v>
      </c>
      <c r="F2349" s="8" t="s">
        <v>60</v>
      </c>
      <c r="G2349" s="8" t="s">
        <v>7</v>
      </c>
      <c r="H2349" s="8" t="s">
        <v>38</v>
      </c>
      <c r="I2349" s="9">
        <v>564.47775000000001</v>
      </c>
      <c r="J2349">
        <v>623.13060555094</v>
      </c>
      <c r="K2349">
        <v>619.36165167039997</v>
      </c>
      <c r="L2349">
        <v>615.31706907381999</v>
      </c>
    </row>
    <row r="2350" spans="1:12" x14ac:dyDescent="0.2">
      <c r="A2350" s="8" t="s">
        <v>32</v>
      </c>
      <c r="B2350" s="8" t="s">
        <v>125</v>
      </c>
      <c r="C2350" s="8" t="s">
        <v>391</v>
      </c>
      <c r="D2350" s="8" t="s">
        <v>392</v>
      </c>
      <c r="E2350" s="8" t="s">
        <v>76</v>
      </c>
      <c r="F2350" s="8" t="s">
        <v>77</v>
      </c>
      <c r="G2350" s="8" t="s">
        <v>7</v>
      </c>
      <c r="H2350" s="8" t="s">
        <v>38</v>
      </c>
      <c r="I2350" s="9">
        <v>63.485714000000002</v>
      </c>
      <c r="J2350">
        <v>328.11428578842998</v>
      </c>
      <c r="K2350">
        <v>293.75238102794998</v>
      </c>
      <c r="L2350">
        <v>331.80190484918</v>
      </c>
    </row>
    <row r="2351" spans="1:12" x14ac:dyDescent="0.2">
      <c r="A2351" s="8" t="s">
        <v>32</v>
      </c>
      <c r="B2351" s="8" t="s">
        <v>125</v>
      </c>
      <c r="C2351" s="8" t="s">
        <v>391</v>
      </c>
      <c r="D2351" s="8" t="s">
        <v>392</v>
      </c>
      <c r="E2351" s="8" t="s">
        <v>78</v>
      </c>
      <c r="F2351" s="8" t="s">
        <v>79</v>
      </c>
      <c r="G2351" s="8" t="s">
        <v>7</v>
      </c>
      <c r="H2351" s="8" t="s">
        <v>38</v>
      </c>
      <c r="I2351" s="9">
        <v>714.37130000000002</v>
      </c>
      <c r="J2351">
        <v>942.22840011429003</v>
      </c>
      <c r="K2351">
        <v>691.11416005714</v>
      </c>
      <c r="L2351">
        <v>719.36844063428998</v>
      </c>
    </row>
    <row r="2352" spans="1:12" x14ac:dyDescent="0.2">
      <c r="A2352" s="8" t="s">
        <v>32</v>
      </c>
      <c r="B2352" s="8" t="s">
        <v>33</v>
      </c>
      <c r="C2352" s="8" t="s">
        <v>393</v>
      </c>
      <c r="D2352" s="8" t="s">
        <v>394</v>
      </c>
      <c r="E2352" s="8" t="s">
        <v>36</v>
      </c>
      <c r="F2352" s="8" t="s">
        <v>37</v>
      </c>
      <c r="G2352" s="8" t="s">
        <v>7</v>
      </c>
      <c r="H2352" s="8" t="s">
        <v>38</v>
      </c>
      <c r="I2352" s="9">
        <v>851.82523000000003</v>
      </c>
      <c r="J2352">
        <v>955.39191000000005</v>
      </c>
      <c r="K2352">
        <v>1048.3854839999999</v>
      </c>
      <c r="L2352">
        <v>1111.404147256</v>
      </c>
    </row>
    <row r="2353" spans="1:12" x14ac:dyDescent="0.2">
      <c r="A2353" s="8" t="s">
        <v>32</v>
      </c>
      <c r="B2353" s="8" t="s">
        <v>33</v>
      </c>
      <c r="C2353" s="8" t="s">
        <v>393</v>
      </c>
      <c r="D2353" s="8" t="s">
        <v>394</v>
      </c>
      <c r="E2353" s="8" t="s">
        <v>64</v>
      </c>
      <c r="F2353" s="8" t="s">
        <v>65</v>
      </c>
      <c r="G2353" s="8" t="s">
        <v>7</v>
      </c>
      <c r="H2353" s="8" t="s">
        <v>38</v>
      </c>
      <c r="I2353" s="9">
        <v>96.154672000000005</v>
      </c>
      <c r="J2353">
        <v>110.92440499999999</v>
      </c>
      <c r="K2353">
        <v>116.265996</v>
      </c>
      <c r="L2353">
        <v>111.74953869844001</v>
      </c>
    </row>
    <row r="2354" spans="1:12" x14ac:dyDescent="0.2">
      <c r="A2354" s="8" t="s">
        <v>32</v>
      </c>
      <c r="B2354" s="8" t="s">
        <v>33</v>
      </c>
      <c r="C2354" s="8" t="s">
        <v>393</v>
      </c>
      <c r="D2354" s="8" t="s">
        <v>394</v>
      </c>
      <c r="E2354" s="8" t="s">
        <v>39</v>
      </c>
      <c r="F2354" s="8" t="s">
        <v>40</v>
      </c>
      <c r="G2354" s="8" t="s">
        <v>7</v>
      </c>
      <c r="H2354" s="8" t="s">
        <v>38</v>
      </c>
      <c r="I2354" s="9">
        <v>503.86944999999997</v>
      </c>
      <c r="J2354">
        <v>535.20057499999996</v>
      </c>
      <c r="K2354">
        <v>541.75837200000001</v>
      </c>
      <c r="L2354">
        <v>574.32357719619995</v>
      </c>
    </row>
    <row r="2355" spans="1:12" x14ac:dyDescent="0.2">
      <c r="A2355" s="8" t="s">
        <v>32</v>
      </c>
      <c r="B2355" s="8" t="s">
        <v>33</v>
      </c>
      <c r="C2355" s="8" t="s">
        <v>393</v>
      </c>
      <c r="D2355" s="8" t="s">
        <v>394</v>
      </c>
      <c r="E2355" s="8" t="s">
        <v>41</v>
      </c>
      <c r="F2355" s="8" t="s">
        <v>42</v>
      </c>
      <c r="G2355" s="8" t="s">
        <v>7</v>
      </c>
      <c r="H2355" s="8" t="s">
        <v>38</v>
      </c>
      <c r="I2355" s="9">
        <v>2.7491750000000001</v>
      </c>
      <c r="J2355">
        <v>7.3645000000000002E-2</v>
      </c>
      <c r="K2355">
        <v>0.15015000000000001</v>
      </c>
      <c r="L2355">
        <v>0.17143667983899</v>
      </c>
    </row>
    <row r="2356" spans="1:12" x14ac:dyDescent="0.2">
      <c r="A2356" s="8" t="s">
        <v>32</v>
      </c>
      <c r="B2356" s="8" t="s">
        <v>33</v>
      </c>
      <c r="C2356" s="8" t="s">
        <v>393</v>
      </c>
      <c r="D2356" s="8" t="s">
        <v>394</v>
      </c>
      <c r="E2356" s="8" t="s">
        <v>43</v>
      </c>
      <c r="F2356" s="8" t="s">
        <v>44</v>
      </c>
      <c r="G2356" s="8" t="s">
        <v>7</v>
      </c>
      <c r="H2356" s="8" t="s">
        <v>38</v>
      </c>
      <c r="I2356" s="9">
        <v>1979.6952000000001</v>
      </c>
      <c r="J2356">
        <v>2210.513778</v>
      </c>
      <c r="K2356">
        <v>2200.5962549999999</v>
      </c>
      <c r="L2356">
        <v>2332.8745404901001</v>
      </c>
    </row>
    <row r="2357" spans="1:12" x14ac:dyDescent="0.2">
      <c r="A2357" s="8" t="s">
        <v>32</v>
      </c>
      <c r="B2357" s="8" t="s">
        <v>33</v>
      </c>
      <c r="C2357" s="8" t="s">
        <v>393</v>
      </c>
      <c r="D2357" s="8" t="s">
        <v>394</v>
      </c>
      <c r="E2357" s="8" t="s">
        <v>45</v>
      </c>
      <c r="F2357" s="8" t="s">
        <v>46</v>
      </c>
      <c r="G2357" s="8" t="s">
        <v>7</v>
      </c>
      <c r="H2357" s="8" t="s">
        <v>38</v>
      </c>
      <c r="I2357" s="9">
        <v>188.08581000000001</v>
      </c>
      <c r="J2357">
        <v>214.132698</v>
      </c>
      <c r="K2357">
        <v>214.132698</v>
      </c>
      <c r="L2357">
        <v>228.18450329519999</v>
      </c>
    </row>
    <row r="2358" spans="1:12" x14ac:dyDescent="0.2">
      <c r="A2358" s="8" t="s">
        <v>32</v>
      </c>
      <c r="B2358" s="8" t="s">
        <v>33</v>
      </c>
      <c r="C2358" s="8" t="s">
        <v>393</v>
      </c>
      <c r="D2358" s="8" t="s">
        <v>394</v>
      </c>
      <c r="E2358" s="8" t="s">
        <v>49</v>
      </c>
      <c r="F2358" s="8" t="s">
        <v>50</v>
      </c>
      <c r="G2358" s="8" t="s">
        <v>7</v>
      </c>
      <c r="H2358" s="8" t="s">
        <v>38</v>
      </c>
      <c r="I2358" s="9">
        <v>669.84037000000001</v>
      </c>
      <c r="J2358">
        <v>730.68213100000003</v>
      </c>
      <c r="K2358">
        <v>739.44793500000003</v>
      </c>
      <c r="L2358">
        <v>783.89629976875005</v>
      </c>
    </row>
    <row r="2359" spans="1:12" x14ac:dyDescent="0.2">
      <c r="A2359" s="8" t="s">
        <v>32</v>
      </c>
      <c r="B2359" s="8" t="s">
        <v>33</v>
      </c>
      <c r="C2359" s="8" t="s">
        <v>393</v>
      </c>
      <c r="D2359" s="8" t="s">
        <v>394</v>
      </c>
      <c r="E2359" s="8" t="s">
        <v>53</v>
      </c>
      <c r="F2359" s="8" t="s">
        <v>54</v>
      </c>
      <c r="G2359" s="8" t="s">
        <v>7</v>
      </c>
      <c r="H2359" s="8" t="s">
        <v>38</v>
      </c>
      <c r="I2359" s="9">
        <v>4.6045151999999998</v>
      </c>
      <c r="J2359">
        <v>2.7626090059199999</v>
      </c>
      <c r="K2359">
        <v>2.6578231039000002</v>
      </c>
      <c r="L2359">
        <v>2.5545984287654999</v>
      </c>
    </row>
    <row r="2360" spans="1:12" x14ac:dyDescent="0.2">
      <c r="A2360" s="8" t="s">
        <v>32</v>
      </c>
      <c r="B2360" s="8" t="s">
        <v>33</v>
      </c>
      <c r="C2360" s="8" t="s">
        <v>393</v>
      </c>
      <c r="D2360" s="8" t="s">
        <v>394</v>
      </c>
      <c r="E2360" s="8" t="s">
        <v>70</v>
      </c>
      <c r="F2360" s="8" t="s">
        <v>71</v>
      </c>
      <c r="G2360" s="8" t="s">
        <v>7</v>
      </c>
      <c r="H2360" s="8" t="s">
        <v>38</v>
      </c>
      <c r="I2360" s="9">
        <v>190.39806999999999</v>
      </c>
      <c r="J2360">
        <v>191.14473215999999</v>
      </c>
      <c r="K2360">
        <v>197.86466415000001</v>
      </c>
      <c r="L2360">
        <v>197.64144557617001</v>
      </c>
    </row>
    <row r="2361" spans="1:12" x14ac:dyDescent="0.2">
      <c r="A2361" s="8" t="s">
        <v>32</v>
      </c>
      <c r="B2361" s="8" t="s">
        <v>33</v>
      </c>
      <c r="C2361" s="8" t="s">
        <v>393</v>
      </c>
      <c r="D2361" s="8" t="s">
        <v>394</v>
      </c>
      <c r="E2361" s="8" t="s">
        <v>83</v>
      </c>
      <c r="F2361" s="8" t="s">
        <v>84</v>
      </c>
      <c r="G2361" s="8" t="s">
        <v>7</v>
      </c>
      <c r="H2361" s="8" t="s">
        <v>38</v>
      </c>
      <c r="I2361" s="9">
        <v>67.5</v>
      </c>
      <c r="J2361">
        <v>67.5</v>
      </c>
      <c r="K2361">
        <v>67.5</v>
      </c>
      <c r="L2361">
        <v>67.5</v>
      </c>
    </row>
    <row r="2362" spans="1:12" x14ac:dyDescent="0.2">
      <c r="A2362" s="8" t="s">
        <v>32</v>
      </c>
      <c r="B2362" s="8" t="s">
        <v>33</v>
      </c>
      <c r="C2362" s="8" t="s">
        <v>393</v>
      </c>
      <c r="D2362" s="8" t="s">
        <v>394</v>
      </c>
      <c r="E2362" s="8" t="s">
        <v>55</v>
      </c>
      <c r="F2362" s="8" t="s">
        <v>56</v>
      </c>
      <c r="G2362" s="8" t="s">
        <v>7</v>
      </c>
      <c r="H2362" s="8" t="s">
        <v>38</v>
      </c>
      <c r="I2362" s="9">
        <v>0.27461750000000001</v>
      </c>
      <c r="J2362">
        <v>0.30757866964077002</v>
      </c>
      <c r="K2362">
        <v>0.30757866964077002</v>
      </c>
      <c r="L2362">
        <v>0.30757866964077002</v>
      </c>
    </row>
    <row r="2363" spans="1:12" x14ac:dyDescent="0.2">
      <c r="A2363" s="8" t="s">
        <v>32</v>
      </c>
      <c r="B2363" s="8" t="s">
        <v>33</v>
      </c>
      <c r="C2363" s="8" t="s">
        <v>393</v>
      </c>
      <c r="D2363" s="8" t="s">
        <v>394</v>
      </c>
      <c r="E2363" s="8" t="s">
        <v>57</v>
      </c>
      <c r="F2363" s="8" t="s">
        <v>58</v>
      </c>
      <c r="G2363" s="8" t="s">
        <v>7</v>
      </c>
      <c r="H2363" s="8" t="s">
        <v>38</v>
      </c>
      <c r="I2363" s="9">
        <v>0.30848730000000002</v>
      </c>
      <c r="J2363">
        <v>0.34551376996344002</v>
      </c>
      <c r="K2363">
        <v>0.34551376996344002</v>
      </c>
      <c r="L2363">
        <v>0.34551376996344002</v>
      </c>
    </row>
    <row r="2364" spans="1:12" x14ac:dyDescent="0.2">
      <c r="A2364" s="8" t="s">
        <v>32</v>
      </c>
      <c r="B2364" s="8" t="s">
        <v>33</v>
      </c>
      <c r="C2364" s="8" t="s">
        <v>393</v>
      </c>
      <c r="D2364" s="8" t="s">
        <v>394</v>
      </c>
      <c r="E2364" s="8" t="s">
        <v>59</v>
      </c>
      <c r="F2364" s="8" t="s">
        <v>60</v>
      </c>
      <c r="G2364" s="8" t="s">
        <v>7</v>
      </c>
      <c r="H2364" s="8" t="s">
        <v>38</v>
      </c>
      <c r="I2364" s="9">
        <v>37.688315000000003</v>
      </c>
      <c r="J2364">
        <v>35.770363426819003</v>
      </c>
      <c r="K2364">
        <v>34.850805127592999</v>
      </c>
      <c r="L2364">
        <v>35.879829556250002</v>
      </c>
    </row>
    <row r="2365" spans="1:12" x14ac:dyDescent="0.2">
      <c r="A2365" s="8" t="s">
        <v>32</v>
      </c>
      <c r="B2365" s="8" t="s">
        <v>33</v>
      </c>
      <c r="C2365" s="8" t="s">
        <v>393</v>
      </c>
      <c r="D2365" s="8" t="s">
        <v>394</v>
      </c>
      <c r="E2365" s="8" t="s">
        <v>76</v>
      </c>
      <c r="F2365" s="8" t="s">
        <v>77</v>
      </c>
      <c r="G2365" s="8" t="s">
        <v>7</v>
      </c>
      <c r="H2365" s="8" t="s">
        <v>38</v>
      </c>
      <c r="I2365" s="9">
        <v>81.190476000000004</v>
      </c>
      <c r="J2365">
        <v>83.809523825631999</v>
      </c>
      <c r="K2365">
        <v>41.800000008403998</v>
      </c>
      <c r="L2365">
        <v>41.800000008403998</v>
      </c>
    </row>
    <row r="2366" spans="1:12" x14ac:dyDescent="0.2">
      <c r="A2366" s="8" t="s">
        <v>32</v>
      </c>
      <c r="B2366" s="8" t="s">
        <v>33</v>
      </c>
      <c r="C2366" s="8" t="s">
        <v>393</v>
      </c>
      <c r="D2366" s="8" t="s">
        <v>394</v>
      </c>
      <c r="E2366" s="8" t="s">
        <v>78</v>
      </c>
      <c r="F2366" s="8" t="s">
        <v>79</v>
      </c>
      <c r="G2366" s="8" t="s">
        <v>7</v>
      </c>
      <c r="H2366" s="8" t="s">
        <v>38</v>
      </c>
      <c r="I2366" s="9">
        <v>71.971414999999993</v>
      </c>
      <c r="J2366">
        <v>53.899990199999998</v>
      </c>
      <c r="K2366">
        <v>55.157132828571001</v>
      </c>
      <c r="L2366">
        <v>48.274276937143</v>
      </c>
    </row>
    <row r="2367" spans="1:12" x14ac:dyDescent="0.2">
      <c r="A2367" s="8" t="s">
        <v>32</v>
      </c>
      <c r="B2367" s="8" t="s">
        <v>105</v>
      </c>
      <c r="C2367" s="8" t="s">
        <v>395</v>
      </c>
      <c r="D2367" s="8" t="s">
        <v>396</v>
      </c>
      <c r="E2367" s="8" t="s">
        <v>59</v>
      </c>
      <c r="F2367" s="8" t="s">
        <v>60</v>
      </c>
      <c r="G2367" s="8" t="s">
        <v>7</v>
      </c>
      <c r="H2367" s="8" t="s">
        <v>38</v>
      </c>
      <c r="I2367" s="9">
        <v>4.7124000000000003E-3</v>
      </c>
      <c r="J2367">
        <v>5.1152316826008999E-3</v>
      </c>
      <c r="K2367">
        <v>5.3650499749787004E-3</v>
      </c>
      <c r="L2367">
        <v>5.5542499749787E-3</v>
      </c>
    </row>
    <row r="2368" spans="1:12" x14ac:dyDescent="0.2">
      <c r="A2368" s="8" t="s">
        <v>110</v>
      </c>
      <c r="B2368" s="8" t="s">
        <v>115</v>
      </c>
      <c r="C2368" s="8" t="s">
        <v>397</v>
      </c>
      <c r="D2368" s="8" t="s">
        <v>398</v>
      </c>
      <c r="E2368" s="8" t="s">
        <v>36</v>
      </c>
      <c r="F2368" s="8" t="s">
        <v>37</v>
      </c>
      <c r="G2368" s="8" t="s">
        <v>7</v>
      </c>
      <c r="H2368" s="8" t="s">
        <v>38</v>
      </c>
      <c r="I2368" s="9">
        <v>42610.357000000004</v>
      </c>
      <c r="J2368">
        <v>42886.350450999998</v>
      </c>
      <c r="K2368">
        <v>39633.077007</v>
      </c>
      <c r="L2368">
        <v>32619.423348812001</v>
      </c>
    </row>
    <row r="2369" spans="1:12" x14ac:dyDescent="0.2">
      <c r="A2369" s="8" t="s">
        <v>110</v>
      </c>
      <c r="B2369" s="8" t="s">
        <v>115</v>
      </c>
      <c r="C2369" s="8" t="s">
        <v>397</v>
      </c>
      <c r="D2369" s="8" t="s">
        <v>398</v>
      </c>
      <c r="E2369" s="8" t="s">
        <v>64</v>
      </c>
      <c r="F2369" s="8" t="s">
        <v>65</v>
      </c>
      <c r="G2369" s="8" t="s">
        <v>7</v>
      </c>
      <c r="H2369" s="8" t="s">
        <v>38</v>
      </c>
      <c r="I2369" s="9">
        <v>11571.178</v>
      </c>
      <c r="J2369">
        <v>12774.077676000001</v>
      </c>
      <c r="K2369">
        <v>11155.70903</v>
      </c>
      <c r="L2369">
        <v>10448.384789393</v>
      </c>
    </row>
    <row r="2370" spans="1:12" x14ac:dyDescent="0.2">
      <c r="A2370" s="8" t="s">
        <v>110</v>
      </c>
      <c r="B2370" s="8" t="s">
        <v>115</v>
      </c>
      <c r="C2370" s="8" t="s">
        <v>397</v>
      </c>
      <c r="D2370" s="8" t="s">
        <v>398</v>
      </c>
      <c r="E2370" s="8" t="s">
        <v>39</v>
      </c>
      <c r="F2370" s="8" t="s">
        <v>40</v>
      </c>
      <c r="G2370" s="8" t="s">
        <v>7</v>
      </c>
      <c r="H2370" s="8" t="s">
        <v>38</v>
      </c>
      <c r="I2370" s="9">
        <v>22436.562000000002</v>
      </c>
      <c r="J2370">
        <v>22278.483652999999</v>
      </c>
      <c r="K2370">
        <v>20910.843317999999</v>
      </c>
      <c r="L2370">
        <v>20019.379612279001</v>
      </c>
    </row>
    <row r="2371" spans="1:12" x14ac:dyDescent="0.2">
      <c r="A2371" s="8" t="s">
        <v>110</v>
      </c>
      <c r="B2371" s="8" t="s">
        <v>115</v>
      </c>
      <c r="C2371" s="8" t="s">
        <v>397</v>
      </c>
      <c r="D2371" s="8" t="s">
        <v>398</v>
      </c>
      <c r="E2371" s="8" t="s">
        <v>41</v>
      </c>
      <c r="F2371" s="8" t="s">
        <v>42</v>
      </c>
      <c r="G2371" s="8" t="s">
        <v>7</v>
      </c>
      <c r="H2371" s="8" t="s">
        <v>38</v>
      </c>
      <c r="I2371" s="9">
        <v>23.644414999999999</v>
      </c>
      <c r="J2371">
        <v>26.446549999999998</v>
      </c>
      <c r="K2371">
        <v>31.67362</v>
      </c>
      <c r="L2371">
        <v>28.694942404471998</v>
      </c>
    </row>
    <row r="2372" spans="1:12" x14ac:dyDescent="0.2">
      <c r="A2372" s="8" t="s">
        <v>110</v>
      </c>
      <c r="B2372" s="8" t="s">
        <v>115</v>
      </c>
      <c r="C2372" s="8" t="s">
        <v>397</v>
      </c>
      <c r="D2372" s="8" t="s">
        <v>398</v>
      </c>
      <c r="E2372" s="8" t="s">
        <v>43</v>
      </c>
      <c r="F2372" s="8" t="s">
        <v>44</v>
      </c>
      <c r="G2372" s="8" t="s">
        <v>7</v>
      </c>
      <c r="H2372" s="8" t="s">
        <v>38</v>
      </c>
      <c r="I2372" s="9">
        <v>24322.371999999999</v>
      </c>
      <c r="J2372">
        <v>24412.421728000001</v>
      </c>
      <c r="K2372">
        <v>24191.570679</v>
      </c>
      <c r="L2372">
        <v>25188.705449784</v>
      </c>
    </row>
    <row r="2373" spans="1:12" x14ac:dyDescent="0.2">
      <c r="A2373" s="8" t="s">
        <v>110</v>
      </c>
      <c r="B2373" s="8" t="s">
        <v>115</v>
      </c>
      <c r="C2373" s="8" t="s">
        <v>397</v>
      </c>
      <c r="D2373" s="8" t="s">
        <v>398</v>
      </c>
      <c r="E2373" s="8" t="s">
        <v>66</v>
      </c>
      <c r="F2373" s="8" t="s">
        <v>67</v>
      </c>
      <c r="G2373" s="8" t="s">
        <v>7</v>
      </c>
      <c r="H2373" s="8" t="s">
        <v>38</v>
      </c>
      <c r="I2373" s="9">
        <v>60.724209000000002</v>
      </c>
      <c r="J2373">
        <v>56.037384000000003</v>
      </c>
      <c r="K2373">
        <v>60.232185000000001</v>
      </c>
      <c r="L2373">
        <v>67.953868580256994</v>
      </c>
    </row>
    <row r="2374" spans="1:12" x14ac:dyDescent="0.2">
      <c r="A2374" s="8" t="s">
        <v>110</v>
      </c>
      <c r="B2374" s="8" t="s">
        <v>115</v>
      </c>
      <c r="C2374" s="8" t="s">
        <v>397</v>
      </c>
      <c r="D2374" s="8" t="s">
        <v>398</v>
      </c>
      <c r="E2374" s="8" t="s">
        <v>45</v>
      </c>
      <c r="F2374" s="8" t="s">
        <v>46</v>
      </c>
      <c r="G2374" s="8" t="s">
        <v>7</v>
      </c>
      <c r="H2374" s="8" t="s">
        <v>38</v>
      </c>
      <c r="I2374" s="9">
        <v>644.88044000000002</v>
      </c>
      <c r="J2374">
        <v>723.73988699999995</v>
      </c>
      <c r="K2374">
        <v>767.94276000000002</v>
      </c>
      <c r="L2374">
        <v>818.53675338198002</v>
      </c>
    </row>
    <row r="2375" spans="1:12" x14ac:dyDescent="0.2">
      <c r="A2375" s="8" t="s">
        <v>110</v>
      </c>
      <c r="B2375" s="8" t="s">
        <v>115</v>
      </c>
      <c r="C2375" s="8" t="s">
        <v>397</v>
      </c>
      <c r="D2375" s="8" t="s">
        <v>398</v>
      </c>
      <c r="E2375" s="8" t="s">
        <v>47</v>
      </c>
      <c r="F2375" s="8" t="s">
        <v>48</v>
      </c>
      <c r="G2375" s="8" t="s">
        <v>7</v>
      </c>
      <c r="H2375" s="8" t="s">
        <v>38</v>
      </c>
      <c r="I2375" s="9">
        <v>6.4515000000000003E-2</v>
      </c>
    </row>
    <row r="2376" spans="1:12" x14ac:dyDescent="0.2">
      <c r="A2376" s="8" t="s">
        <v>110</v>
      </c>
      <c r="B2376" s="8" t="s">
        <v>115</v>
      </c>
      <c r="C2376" s="8" t="s">
        <v>397</v>
      </c>
      <c r="D2376" s="8" t="s">
        <v>398</v>
      </c>
      <c r="E2376" s="8" t="s">
        <v>49</v>
      </c>
      <c r="F2376" s="8" t="s">
        <v>50</v>
      </c>
      <c r="G2376" s="8" t="s">
        <v>7</v>
      </c>
      <c r="H2376" s="8" t="s">
        <v>38</v>
      </c>
      <c r="I2376" s="9">
        <v>28357.157999999999</v>
      </c>
      <c r="J2376">
        <v>30698.294750000001</v>
      </c>
      <c r="K2376">
        <v>24483.218412999999</v>
      </c>
      <c r="L2376">
        <v>22323.897722615999</v>
      </c>
    </row>
    <row r="2377" spans="1:12" x14ac:dyDescent="0.2">
      <c r="A2377" s="8" t="s">
        <v>110</v>
      </c>
      <c r="B2377" s="8" t="s">
        <v>115</v>
      </c>
      <c r="C2377" s="8" t="s">
        <v>397</v>
      </c>
      <c r="D2377" s="8" t="s">
        <v>398</v>
      </c>
      <c r="E2377" s="8" t="s">
        <v>51</v>
      </c>
      <c r="F2377" s="8" t="s">
        <v>52</v>
      </c>
      <c r="G2377" s="8" t="s">
        <v>7</v>
      </c>
      <c r="H2377" s="8" t="s">
        <v>38</v>
      </c>
      <c r="I2377" s="9">
        <v>197.00102000000001</v>
      </c>
      <c r="J2377">
        <v>211.606943</v>
      </c>
      <c r="K2377">
        <v>254.53722200000001</v>
      </c>
      <c r="L2377">
        <v>265.70688756345999</v>
      </c>
    </row>
    <row r="2378" spans="1:12" x14ac:dyDescent="0.2">
      <c r="A2378" s="8" t="s">
        <v>110</v>
      </c>
      <c r="B2378" s="8" t="s">
        <v>115</v>
      </c>
      <c r="C2378" s="8" t="s">
        <v>397</v>
      </c>
      <c r="D2378" s="8" t="s">
        <v>398</v>
      </c>
      <c r="E2378" s="8" t="s">
        <v>68</v>
      </c>
      <c r="F2378" s="8" t="s">
        <v>69</v>
      </c>
      <c r="G2378" s="8" t="s">
        <v>7</v>
      </c>
      <c r="H2378" s="8" t="s">
        <v>38</v>
      </c>
      <c r="I2378" s="9">
        <v>466.57335999999998</v>
      </c>
      <c r="J2378">
        <v>535.558944</v>
      </c>
      <c r="K2378">
        <v>721.77616899999998</v>
      </c>
      <c r="L2378">
        <v>409.12445670749003</v>
      </c>
    </row>
    <row r="2379" spans="1:12" x14ac:dyDescent="0.2">
      <c r="A2379" s="8" t="s">
        <v>110</v>
      </c>
      <c r="B2379" s="8" t="s">
        <v>115</v>
      </c>
      <c r="C2379" s="8" t="s">
        <v>397</v>
      </c>
      <c r="D2379" s="8" t="s">
        <v>398</v>
      </c>
      <c r="E2379" s="8" t="s">
        <v>53</v>
      </c>
      <c r="F2379" s="8" t="s">
        <v>54</v>
      </c>
      <c r="G2379" s="8" t="s">
        <v>7</v>
      </c>
      <c r="H2379" s="8" t="s">
        <v>38</v>
      </c>
      <c r="I2379" s="9">
        <v>73.400649999999999</v>
      </c>
      <c r="J2379">
        <v>69.289180560402002</v>
      </c>
      <c r="K2379">
        <v>7.9044121898556003</v>
      </c>
      <c r="L2379">
        <v>10.621965185480001</v>
      </c>
    </row>
    <row r="2380" spans="1:12" x14ac:dyDescent="0.2">
      <c r="A2380" s="8" t="s">
        <v>110</v>
      </c>
      <c r="B2380" s="8" t="s">
        <v>115</v>
      </c>
      <c r="C2380" s="8" t="s">
        <v>397</v>
      </c>
      <c r="D2380" s="8" t="s">
        <v>398</v>
      </c>
      <c r="E2380" s="8" t="s">
        <v>70</v>
      </c>
      <c r="F2380" s="8" t="s">
        <v>71</v>
      </c>
      <c r="G2380" s="8" t="s">
        <v>7</v>
      </c>
      <c r="H2380" s="8" t="s">
        <v>38</v>
      </c>
      <c r="I2380" s="9"/>
    </row>
    <row r="2381" spans="1:12" x14ac:dyDescent="0.2">
      <c r="A2381" s="8" t="s">
        <v>110</v>
      </c>
      <c r="B2381" s="8" t="s">
        <v>115</v>
      </c>
      <c r="C2381" s="8" t="s">
        <v>397</v>
      </c>
      <c r="D2381" s="8" t="s">
        <v>398</v>
      </c>
      <c r="E2381" s="8" t="s">
        <v>55</v>
      </c>
      <c r="F2381" s="8" t="s">
        <v>56</v>
      </c>
      <c r="G2381" s="8" t="s">
        <v>7</v>
      </c>
      <c r="H2381" s="8" t="s">
        <v>38</v>
      </c>
      <c r="I2381" s="9">
        <v>221.44485</v>
      </c>
      <c r="J2381">
        <v>217.10279089607999</v>
      </c>
      <c r="K2381">
        <v>217.10279089607999</v>
      </c>
      <c r="L2381">
        <v>217.10279089607999</v>
      </c>
    </row>
    <row r="2382" spans="1:12" x14ac:dyDescent="0.2">
      <c r="A2382" s="8" t="s">
        <v>110</v>
      </c>
      <c r="B2382" s="8" t="s">
        <v>115</v>
      </c>
      <c r="C2382" s="8" t="s">
        <v>397</v>
      </c>
      <c r="D2382" s="8" t="s">
        <v>398</v>
      </c>
      <c r="E2382" s="8" t="s">
        <v>57</v>
      </c>
      <c r="F2382" s="8" t="s">
        <v>58</v>
      </c>
      <c r="G2382" s="8" t="s">
        <v>7</v>
      </c>
      <c r="H2382" s="8" t="s">
        <v>38</v>
      </c>
      <c r="I2382" s="9">
        <v>406.59800000000001</v>
      </c>
      <c r="J2382">
        <v>398.62549088024002</v>
      </c>
      <c r="K2382">
        <v>398.62549088024002</v>
      </c>
      <c r="L2382">
        <v>398.62549088024002</v>
      </c>
    </row>
    <row r="2383" spans="1:12" x14ac:dyDescent="0.2">
      <c r="A2383" s="8" t="s">
        <v>110</v>
      </c>
      <c r="B2383" s="8" t="s">
        <v>115</v>
      </c>
      <c r="C2383" s="8" t="s">
        <v>397</v>
      </c>
      <c r="D2383" s="8" t="s">
        <v>398</v>
      </c>
      <c r="E2383" s="8" t="s">
        <v>72</v>
      </c>
      <c r="F2383" s="8" t="s">
        <v>73</v>
      </c>
      <c r="G2383" s="8" t="s">
        <v>7</v>
      </c>
      <c r="H2383" s="8" t="s">
        <v>38</v>
      </c>
      <c r="I2383" s="9">
        <v>9591.7392</v>
      </c>
      <c r="J2383">
        <v>9325.7236431893998</v>
      </c>
      <c r="K2383">
        <v>9156.7228150958999</v>
      </c>
      <c r="L2383">
        <v>9135.4329018959997</v>
      </c>
    </row>
    <row r="2384" spans="1:12" x14ac:dyDescent="0.2">
      <c r="A2384" s="8" t="s">
        <v>110</v>
      </c>
      <c r="B2384" s="8" t="s">
        <v>115</v>
      </c>
      <c r="C2384" s="8" t="s">
        <v>397</v>
      </c>
      <c r="D2384" s="8" t="s">
        <v>398</v>
      </c>
      <c r="E2384" s="8" t="s">
        <v>74</v>
      </c>
      <c r="F2384" s="8" t="s">
        <v>75</v>
      </c>
      <c r="G2384" s="8" t="s">
        <v>7</v>
      </c>
      <c r="H2384" s="8" t="s">
        <v>38</v>
      </c>
      <c r="I2384" s="9">
        <v>721.55020999999999</v>
      </c>
      <c r="J2384">
        <v>740.85057870367996</v>
      </c>
      <c r="K2384">
        <v>689.44021434421995</v>
      </c>
      <c r="L2384">
        <v>521.95527976162998</v>
      </c>
    </row>
    <row r="2385" spans="1:12" x14ac:dyDescent="0.2">
      <c r="A2385" s="8" t="s">
        <v>110</v>
      </c>
      <c r="B2385" s="8" t="s">
        <v>115</v>
      </c>
      <c r="C2385" s="8" t="s">
        <v>397</v>
      </c>
      <c r="D2385" s="8" t="s">
        <v>398</v>
      </c>
      <c r="E2385" s="8" t="s">
        <v>59</v>
      </c>
      <c r="F2385" s="8" t="s">
        <v>60</v>
      </c>
      <c r="G2385" s="8" t="s">
        <v>7</v>
      </c>
      <c r="H2385" s="8" t="s">
        <v>38</v>
      </c>
      <c r="I2385" s="9">
        <v>310.60611</v>
      </c>
      <c r="J2385">
        <v>387.31116347782</v>
      </c>
      <c r="K2385">
        <v>288.11105494834999</v>
      </c>
      <c r="L2385">
        <v>275.70883440737998</v>
      </c>
    </row>
    <row r="2386" spans="1:12" x14ac:dyDescent="0.2">
      <c r="A2386" s="8" t="s">
        <v>110</v>
      </c>
      <c r="B2386" s="8" t="s">
        <v>115</v>
      </c>
      <c r="C2386" s="8" t="s">
        <v>397</v>
      </c>
      <c r="D2386" s="8" t="s">
        <v>398</v>
      </c>
      <c r="E2386" s="8" t="s">
        <v>76</v>
      </c>
      <c r="F2386" s="8" t="s">
        <v>77</v>
      </c>
      <c r="G2386" s="8" t="s">
        <v>7</v>
      </c>
      <c r="H2386" s="8" t="s">
        <v>38</v>
      </c>
      <c r="I2386" s="9">
        <v>137.44762</v>
      </c>
      <c r="J2386">
        <v>139.96190479814001</v>
      </c>
      <c r="K2386">
        <v>133.25714289166001</v>
      </c>
      <c r="L2386">
        <v>156.97523813590001</v>
      </c>
    </row>
    <row r="2387" spans="1:12" x14ac:dyDescent="0.2">
      <c r="A2387" s="8" t="s">
        <v>110</v>
      </c>
      <c r="B2387" s="8" t="s">
        <v>115</v>
      </c>
      <c r="C2387" s="8" t="s">
        <v>397</v>
      </c>
      <c r="D2387" s="8" t="s">
        <v>398</v>
      </c>
      <c r="E2387" s="8" t="s">
        <v>78</v>
      </c>
      <c r="F2387" s="8" t="s">
        <v>79</v>
      </c>
      <c r="G2387" s="8" t="s">
        <v>7</v>
      </c>
      <c r="H2387" s="8" t="s">
        <v>38</v>
      </c>
      <c r="I2387" s="9">
        <v>7.0714272999999999</v>
      </c>
      <c r="J2387">
        <v>12.885711942857</v>
      </c>
      <c r="K2387">
        <v>12.257140628570999</v>
      </c>
      <c r="L2387">
        <v>11.565712182857</v>
      </c>
    </row>
    <row r="2388" spans="1:12" x14ac:dyDescent="0.2">
      <c r="A2388" s="8" t="s">
        <v>110</v>
      </c>
      <c r="B2388" s="8" t="s">
        <v>115</v>
      </c>
      <c r="C2388" s="8" t="s">
        <v>399</v>
      </c>
      <c r="D2388" s="8" t="s">
        <v>400</v>
      </c>
      <c r="E2388" s="8" t="s">
        <v>36</v>
      </c>
      <c r="F2388" s="8" t="s">
        <v>37</v>
      </c>
      <c r="G2388" s="8" t="s">
        <v>7</v>
      </c>
      <c r="H2388" s="8" t="s">
        <v>38</v>
      </c>
      <c r="I2388" s="9">
        <v>1810.7824000000001</v>
      </c>
      <c r="J2388">
        <v>1665.31557</v>
      </c>
      <c r="K2388">
        <v>1670.539426</v>
      </c>
      <c r="L2388">
        <v>1650.7538401771001</v>
      </c>
    </row>
    <row r="2389" spans="1:12" x14ac:dyDescent="0.2">
      <c r="A2389" s="8" t="s">
        <v>110</v>
      </c>
      <c r="B2389" s="8" t="s">
        <v>115</v>
      </c>
      <c r="C2389" s="8" t="s">
        <v>399</v>
      </c>
      <c r="D2389" s="8" t="s">
        <v>400</v>
      </c>
      <c r="E2389" s="8" t="s">
        <v>64</v>
      </c>
      <c r="F2389" s="8" t="s">
        <v>65</v>
      </c>
      <c r="G2389" s="8" t="s">
        <v>7</v>
      </c>
      <c r="H2389" s="8" t="s">
        <v>38</v>
      </c>
      <c r="I2389" s="9">
        <v>12477.73</v>
      </c>
      <c r="J2389">
        <v>12081.631615</v>
      </c>
      <c r="K2389">
        <v>11474.253407</v>
      </c>
      <c r="L2389">
        <v>11280.026252571</v>
      </c>
    </row>
    <row r="2390" spans="1:12" x14ac:dyDescent="0.2">
      <c r="A2390" s="8" t="s">
        <v>110</v>
      </c>
      <c r="B2390" s="8" t="s">
        <v>115</v>
      </c>
      <c r="C2390" s="8" t="s">
        <v>399</v>
      </c>
      <c r="D2390" s="8" t="s">
        <v>400</v>
      </c>
      <c r="E2390" s="8" t="s">
        <v>39</v>
      </c>
      <c r="F2390" s="8" t="s">
        <v>40</v>
      </c>
      <c r="G2390" s="8" t="s">
        <v>7</v>
      </c>
      <c r="H2390" s="8" t="s">
        <v>38</v>
      </c>
      <c r="I2390" s="9">
        <v>6499.9714999999997</v>
      </c>
      <c r="J2390">
        <v>6676.595832</v>
      </c>
      <c r="K2390">
        <v>6363.9763309999998</v>
      </c>
      <c r="L2390">
        <v>5825.9794178280999</v>
      </c>
    </row>
    <row r="2391" spans="1:12" x14ac:dyDescent="0.2">
      <c r="A2391" s="8" t="s">
        <v>110</v>
      </c>
      <c r="B2391" s="8" t="s">
        <v>115</v>
      </c>
      <c r="C2391" s="8" t="s">
        <v>399</v>
      </c>
      <c r="D2391" s="8" t="s">
        <v>400</v>
      </c>
      <c r="E2391" s="8" t="s">
        <v>41</v>
      </c>
      <c r="F2391" s="8" t="s">
        <v>42</v>
      </c>
      <c r="G2391" s="8" t="s">
        <v>7</v>
      </c>
      <c r="H2391" s="8" t="s">
        <v>38</v>
      </c>
      <c r="I2391" s="9">
        <v>696.39157999999998</v>
      </c>
      <c r="J2391">
        <v>792.95914500000003</v>
      </c>
      <c r="K2391">
        <v>1036.8313149999999</v>
      </c>
      <c r="L2391">
        <v>1039.9902974296001</v>
      </c>
    </row>
    <row r="2392" spans="1:12" x14ac:dyDescent="0.2">
      <c r="A2392" s="8" t="s">
        <v>110</v>
      </c>
      <c r="B2392" s="8" t="s">
        <v>115</v>
      </c>
      <c r="C2392" s="8" t="s">
        <v>399</v>
      </c>
      <c r="D2392" s="8" t="s">
        <v>400</v>
      </c>
      <c r="E2392" s="8" t="s">
        <v>43</v>
      </c>
      <c r="F2392" s="8" t="s">
        <v>44</v>
      </c>
      <c r="G2392" s="8" t="s">
        <v>7</v>
      </c>
      <c r="H2392" s="8" t="s">
        <v>38</v>
      </c>
      <c r="I2392" s="9">
        <v>8200.7435000000005</v>
      </c>
      <c r="J2392">
        <v>8532.8379719998993</v>
      </c>
      <c r="K2392">
        <v>8508.8673889999991</v>
      </c>
      <c r="L2392">
        <v>7831.6749949040995</v>
      </c>
    </row>
    <row r="2393" spans="1:12" x14ac:dyDescent="0.2">
      <c r="A2393" s="8" t="s">
        <v>110</v>
      </c>
      <c r="B2393" s="8" t="s">
        <v>115</v>
      </c>
      <c r="C2393" s="8" t="s">
        <v>399</v>
      </c>
      <c r="D2393" s="8" t="s">
        <v>400</v>
      </c>
      <c r="E2393" s="8" t="s">
        <v>66</v>
      </c>
      <c r="F2393" s="8" t="s">
        <v>67</v>
      </c>
      <c r="G2393" s="8" t="s">
        <v>7</v>
      </c>
      <c r="H2393" s="8" t="s">
        <v>38</v>
      </c>
      <c r="I2393" s="9">
        <v>40.086618000000001</v>
      </c>
      <c r="J2393">
        <v>44.534100000000002</v>
      </c>
      <c r="K2393">
        <v>52.892400000000002</v>
      </c>
      <c r="L2393">
        <v>57.010054040911001</v>
      </c>
    </row>
    <row r="2394" spans="1:12" x14ac:dyDescent="0.2">
      <c r="A2394" s="8" t="s">
        <v>110</v>
      </c>
      <c r="B2394" s="8" t="s">
        <v>115</v>
      </c>
      <c r="C2394" s="8" t="s">
        <v>399</v>
      </c>
      <c r="D2394" s="8" t="s">
        <v>400</v>
      </c>
      <c r="E2394" s="8" t="s">
        <v>45</v>
      </c>
      <c r="F2394" s="8" t="s">
        <v>46</v>
      </c>
      <c r="G2394" s="8" t="s">
        <v>7</v>
      </c>
      <c r="H2394" s="8" t="s">
        <v>38</v>
      </c>
      <c r="I2394" s="9">
        <v>3887.8449999999998</v>
      </c>
      <c r="J2394">
        <v>3971.6665170000001</v>
      </c>
      <c r="K2394">
        <v>4141.7548829999996</v>
      </c>
      <c r="L2394">
        <v>3888.6356387929</v>
      </c>
    </row>
    <row r="2395" spans="1:12" x14ac:dyDescent="0.2">
      <c r="A2395" s="8" t="s">
        <v>110</v>
      </c>
      <c r="B2395" s="8" t="s">
        <v>115</v>
      </c>
      <c r="C2395" s="8" t="s">
        <v>399</v>
      </c>
      <c r="D2395" s="8" t="s">
        <v>400</v>
      </c>
      <c r="E2395" s="8" t="s">
        <v>49</v>
      </c>
      <c r="F2395" s="8" t="s">
        <v>50</v>
      </c>
      <c r="G2395" s="8" t="s">
        <v>7</v>
      </c>
      <c r="H2395" s="8" t="s">
        <v>38</v>
      </c>
      <c r="I2395" s="9">
        <v>2299.6253999999999</v>
      </c>
      <c r="J2395">
        <v>2318.7651689999998</v>
      </c>
      <c r="K2395">
        <v>2265.9951369999999</v>
      </c>
      <c r="L2395">
        <v>2496.4121595317001</v>
      </c>
    </row>
    <row r="2396" spans="1:12" x14ac:dyDescent="0.2">
      <c r="A2396" s="8" t="s">
        <v>110</v>
      </c>
      <c r="B2396" s="8" t="s">
        <v>115</v>
      </c>
      <c r="C2396" s="8" t="s">
        <v>399</v>
      </c>
      <c r="D2396" s="8" t="s">
        <v>400</v>
      </c>
      <c r="E2396" s="8" t="s">
        <v>51</v>
      </c>
      <c r="F2396" s="8" t="s">
        <v>52</v>
      </c>
      <c r="G2396" s="8" t="s">
        <v>7</v>
      </c>
      <c r="H2396" s="8" t="s">
        <v>38</v>
      </c>
      <c r="I2396" s="9">
        <v>93.460718</v>
      </c>
      <c r="J2396">
        <v>105.065168</v>
      </c>
      <c r="K2396">
        <v>87.679878000000002</v>
      </c>
      <c r="L2396">
        <v>96.544790338232005</v>
      </c>
    </row>
    <row r="2397" spans="1:12" x14ac:dyDescent="0.2">
      <c r="A2397" s="8" t="s">
        <v>110</v>
      </c>
      <c r="B2397" s="8" t="s">
        <v>115</v>
      </c>
      <c r="C2397" s="8" t="s">
        <v>399</v>
      </c>
      <c r="D2397" s="8" t="s">
        <v>400</v>
      </c>
      <c r="E2397" s="8" t="s">
        <v>68</v>
      </c>
      <c r="F2397" s="8" t="s">
        <v>69</v>
      </c>
      <c r="G2397" s="8" t="s">
        <v>7</v>
      </c>
      <c r="H2397" s="8" t="s">
        <v>38</v>
      </c>
      <c r="I2397" s="9">
        <v>0.72229460000000001</v>
      </c>
      <c r="J2397">
        <v>1.2756062041378999</v>
      </c>
      <c r="K2397">
        <v>1.2307334896552</v>
      </c>
      <c r="L2397">
        <v>1.2596081948036</v>
      </c>
    </row>
    <row r="2398" spans="1:12" x14ac:dyDescent="0.2">
      <c r="A2398" s="8" t="s">
        <v>110</v>
      </c>
      <c r="B2398" s="8" t="s">
        <v>115</v>
      </c>
      <c r="C2398" s="8" t="s">
        <v>399</v>
      </c>
      <c r="D2398" s="8" t="s">
        <v>400</v>
      </c>
      <c r="E2398" s="8" t="s">
        <v>53</v>
      </c>
      <c r="F2398" s="8" t="s">
        <v>54</v>
      </c>
      <c r="G2398" s="8" t="s">
        <v>7</v>
      </c>
      <c r="H2398" s="8" t="s">
        <v>38</v>
      </c>
      <c r="I2398" s="9">
        <v>279.67489999999998</v>
      </c>
      <c r="J2398">
        <v>356.27625078295</v>
      </c>
      <c r="K2398">
        <v>313.67737572899</v>
      </c>
      <c r="L2398">
        <v>282.04202732213997</v>
      </c>
    </row>
    <row r="2399" spans="1:12" x14ac:dyDescent="0.2">
      <c r="A2399" s="8" t="s">
        <v>110</v>
      </c>
      <c r="B2399" s="8" t="s">
        <v>115</v>
      </c>
      <c r="C2399" s="8" t="s">
        <v>399</v>
      </c>
      <c r="D2399" s="8" t="s">
        <v>400</v>
      </c>
      <c r="E2399" s="8" t="s">
        <v>70</v>
      </c>
      <c r="F2399" s="8" t="s">
        <v>71</v>
      </c>
      <c r="G2399" s="8" t="s">
        <v>7</v>
      </c>
      <c r="H2399" s="8" t="s">
        <v>38</v>
      </c>
      <c r="I2399" s="9">
        <v>731.67848000000004</v>
      </c>
      <c r="J2399">
        <v>728.90598025393001</v>
      </c>
      <c r="K2399">
        <v>733.70141433455001</v>
      </c>
      <c r="L2399">
        <v>732.87369815781005</v>
      </c>
    </row>
    <row r="2400" spans="1:12" x14ac:dyDescent="0.2">
      <c r="A2400" s="8" t="s">
        <v>110</v>
      </c>
      <c r="B2400" s="8" t="s">
        <v>115</v>
      </c>
      <c r="C2400" s="8" t="s">
        <v>399</v>
      </c>
      <c r="D2400" s="8" t="s">
        <v>400</v>
      </c>
      <c r="E2400" s="8" t="s">
        <v>83</v>
      </c>
      <c r="F2400" s="8" t="s">
        <v>84</v>
      </c>
      <c r="G2400" s="8" t="s">
        <v>7</v>
      </c>
      <c r="H2400" s="8" t="s">
        <v>38</v>
      </c>
      <c r="I2400" s="9">
        <v>127.5</v>
      </c>
      <c r="J2400">
        <v>127.5</v>
      </c>
      <c r="K2400">
        <v>127.5</v>
      </c>
      <c r="L2400">
        <v>127.5</v>
      </c>
    </row>
    <row r="2401" spans="1:12" x14ac:dyDescent="0.2">
      <c r="A2401" s="8" t="s">
        <v>110</v>
      </c>
      <c r="B2401" s="8" t="s">
        <v>115</v>
      </c>
      <c r="C2401" s="8" t="s">
        <v>399</v>
      </c>
      <c r="D2401" s="8" t="s">
        <v>400</v>
      </c>
      <c r="E2401" s="8" t="s">
        <v>55</v>
      </c>
      <c r="F2401" s="8" t="s">
        <v>56</v>
      </c>
      <c r="G2401" s="8" t="s">
        <v>7</v>
      </c>
      <c r="H2401" s="8" t="s">
        <v>38</v>
      </c>
      <c r="I2401" s="9">
        <v>6.6365417000000004</v>
      </c>
      <c r="J2401">
        <v>6.8008314261346996</v>
      </c>
      <c r="K2401">
        <v>6.8008314261346996</v>
      </c>
      <c r="L2401">
        <v>6.8008314261346996</v>
      </c>
    </row>
    <row r="2402" spans="1:12" x14ac:dyDescent="0.2">
      <c r="A2402" s="8" t="s">
        <v>110</v>
      </c>
      <c r="B2402" s="8" t="s">
        <v>115</v>
      </c>
      <c r="C2402" s="8" t="s">
        <v>399</v>
      </c>
      <c r="D2402" s="8" t="s">
        <v>400</v>
      </c>
      <c r="E2402" s="8" t="s">
        <v>57</v>
      </c>
      <c r="F2402" s="8" t="s">
        <v>58</v>
      </c>
      <c r="G2402" s="8" t="s">
        <v>7</v>
      </c>
      <c r="H2402" s="8" t="s">
        <v>38</v>
      </c>
      <c r="I2402" s="9">
        <v>10.800236999999999</v>
      </c>
      <c r="J2402">
        <v>11.067599907165</v>
      </c>
      <c r="K2402">
        <v>11.067599907165</v>
      </c>
      <c r="L2402">
        <v>11.067599907165</v>
      </c>
    </row>
    <row r="2403" spans="1:12" x14ac:dyDescent="0.2">
      <c r="A2403" s="8" t="s">
        <v>110</v>
      </c>
      <c r="B2403" s="8" t="s">
        <v>115</v>
      </c>
      <c r="C2403" s="8" t="s">
        <v>399</v>
      </c>
      <c r="D2403" s="8" t="s">
        <v>400</v>
      </c>
      <c r="E2403" s="8" t="s">
        <v>72</v>
      </c>
      <c r="F2403" s="8" t="s">
        <v>73</v>
      </c>
      <c r="G2403" s="8" t="s">
        <v>7</v>
      </c>
      <c r="H2403" s="8" t="s">
        <v>38</v>
      </c>
      <c r="I2403" s="9">
        <v>1933.8568</v>
      </c>
      <c r="J2403">
        <v>2074.6530461629</v>
      </c>
      <c r="K2403">
        <v>1900.2004151358999</v>
      </c>
      <c r="L2403">
        <v>1809.2629426115</v>
      </c>
    </row>
    <row r="2404" spans="1:12" x14ac:dyDescent="0.2">
      <c r="A2404" s="8" t="s">
        <v>110</v>
      </c>
      <c r="B2404" s="8" t="s">
        <v>115</v>
      </c>
      <c r="C2404" s="8" t="s">
        <v>399</v>
      </c>
      <c r="D2404" s="8" t="s">
        <v>400</v>
      </c>
      <c r="E2404" s="8" t="s">
        <v>74</v>
      </c>
      <c r="F2404" s="8" t="s">
        <v>75</v>
      </c>
      <c r="G2404" s="8" t="s">
        <v>7</v>
      </c>
      <c r="H2404" s="8" t="s">
        <v>38</v>
      </c>
      <c r="I2404" s="9">
        <v>4453.7620999999999</v>
      </c>
      <c r="J2404">
        <v>4798.6740611599998</v>
      </c>
      <c r="K2404">
        <v>4711.9179840380002</v>
      </c>
      <c r="L2404">
        <v>4333.5308732812</v>
      </c>
    </row>
    <row r="2405" spans="1:12" x14ac:dyDescent="0.2">
      <c r="A2405" s="8" t="s">
        <v>110</v>
      </c>
      <c r="B2405" s="8" t="s">
        <v>115</v>
      </c>
      <c r="C2405" s="8" t="s">
        <v>399</v>
      </c>
      <c r="D2405" s="8" t="s">
        <v>400</v>
      </c>
      <c r="E2405" s="8" t="s">
        <v>59</v>
      </c>
      <c r="F2405" s="8" t="s">
        <v>60</v>
      </c>
      <c r="G2405" s="8" t="s">
        <v>7</v>
      </c>
      <c r="H2405" s="8" t="s">
        <v>38</v>
      </c>
      <c r="I2405" s="9">
        <v>66.471345999999997</v>
      </c>
      <c r="J2405">
        <v>68.919167114022002</v>
      </c>
      <c r="K2405">
        <v>68.386610350563998</v>
      </c>
      <c r="L2405">
        <v>67.909288993592995</v>
      </c>
    </row>
    <row r="2406" spans="1:12" x14ac:dyDescent="0.2">
      <c r="A2406" s="8" t="s">
        <v>110</v>
      </c>
      <c r="B2406" s="8" t="s">
        <v>115</v>
      </c>
      <c r="C2406" s="8" t="s">
        <v>399</v>
      </c>
      <c r="D2406" s="8" t="s">
        <v>400</v>
      </c>
      <c r="E2406" s="8" t="s">
        <v>76</v>
      </c>
      <c r="F2406" s="8" t="s">
        <v>77</v>
      </c>
      <c r="G2406" s="8" t="s">
        <v>7</v>
      </c>
      <c r="H2406" s="8" t="s">
        <v>38</v>
      </c>
      <c r="I2406" s="9">
        <v>5.4476190000000004</v>
      </c>
      <c r="J2406">
        <v>4.923809523908</v>
      </c>
      <c r="K2406">
        <v>0.20952380952800001</v>
      </c>
      <c r="L2406">
        <v>0.20952380952800001</v>
      </c>
    </row>
    <row r="2407" spans="1:12" x14ac:dyDescent="0.2">
      <c r="A2407" s="8" t="s">
        <v>110</v>
      </c>
      <c r="B2407" s="8" t="s">
        <v>115</v>
      </c>
      <c r="C2407" s="8" t="s">
        <v>399</v>
      </c>
      <c r="D2407" s="8" t="s">
        <v>400</v>
      </c>
      <c r="E2407" s="8" t="s">
        <v>78</v>
      </c>
      <c r="F2407" s="8" t="s">
        <v>79</v>
      </c>
      <c r="G2407" s="8" t="s">
        <v>7</v>
      </c>
      <c r="H2407" s="8" t="s">
        <v>38</v>
      </c>
      <c r="I2407" s="9">
        <v>0.1571428</v>
      </c>
      <c r="J2407">
        <v>0.15714282857143</v>
      </c>
      <c r="K2407">
        <v>0.15714282857143</v>
      </c>
      <c r="L2407">
        <v>0.15714282857143</v>
      </c>
    </row>
    <row r="2408" spans="1:12" x14ac:dyDescent="0.2">
      <c r="A2408" s="8" t="s">
        <v>110</v>
      </c>
      <c r="B2408" s="8" t="s">
        <v>115</v>
      </c>
      <c r="C2408" s="8" t="s">
        <v>399</v>
      </c>
      <c r="D2408" s="8" t="s">
        <v>400</v>
      </c>
      <c r="E2408" s="8" t="s">
        <v>92</v>
      </c>
      <c r="F2408" s="8" t="s">
        <v>93</v>
      </c>
      <c r="G2408" s="8" t="s">
        <v>7</v>
      </c>
      <c r="H2408" s="8" t="s">
        <v>38</v>
      </c>
      <c r="I2408" s="9">
        <v>84.554225000000002</v>
      </c>
      <c r="J2408">
        <v>59.311978831040001</v>
      </c>
      <c r="K2408">
        <v>69.429110058280003</v>
      </c>
      <c r="L2408">
        <v>64.604071003504004</v>
      </c>
    </row>
    <row r="2409" spans="1:12" x14ac:dyDescent="0.2">
      <c r="A2409" s="8" t="s">
        <v>32</v>
      </c>
      <c r="B2409" s="8" t="s">
        <v>61</v>
      </c>
      <c r="C2409" s="8" t="s">
        <v>401</v>
      </c>
      <c r="D2409" s="8" t="s">
        <v>402</v>
      </c>
      <c r="E2409" s="8" t="s">
        <v>36</v>
      </c>
      <c r="F2409" s="8" t="s">
        <v>37</v>
      </c>
      <c r="G2409" s="8" t="s">
        <v>7</v>
      </c>
      <c r="H2409" s="8" t="s">
        <v>38</v>
      </c>
      <c r="I2409" s="9">
        <v>4.1022000000000003E-2</v>
      </c>
      <c r="J2409">
        <v>2.7089999999999999E-2</v>
      </c>
      <c r="K2409">
        <v>2.7089999999999999E-2</v>
      </c>
      <c r="L2409">
        <v>2.6961961908375E-2</v>
      </c>
    </row>
    <row r="2410" spans="1:12" x14ac:dyDescent="0.2">
      <c r="A2410" s="8" t="s">
        <v>32</v>
      </c>
      <c r="B2410" s="8" t="s">
        <v>61</v>
      </c>
      <c r="C2410" s="8" t="s">
        <v>401</v>
      </c>
      <c r="D2410" s="8" t="s">
        <v>402</v>
      </c>
      <c r="E2410" s="8" t="s">
        <v>39</v>
      </c>
      <c r="F2410" s="8" t="s">
        <v>40</v>
      </c>
      <c r="G2410" s="8" t="s">
        <v>7</v>
      </c>
      <c r="H2410" s="8" t="s">
        <v>38</v>
      </c>
      <c r="I2410" s="9">
        <v>6974.4427999999998</v>
      </c>
      <c r="J2410">
        <v>7421.6511369999998</v>
      </c>
      <c r="K2410">
        <v>5912.1310309999999</v>
      </c>
      <c r="L2410">
        <v>6316.2885186938001</v>
      </c>
    </row>
    <row r="2411" spans="1:12" x14ac:dyDescent="0.2">
      <c r="A2411" s="8" t="s">
        <v>32</v>
      </c>
      <c r="B2411" s="8" t="s">
        <v>61</v>
      </c>
      <c r="C2411" s="8" t="s">
        <v>401</v>
      </c>
      <c r="D2411" s="8" t="s">
        <v>402</v>
      </c>
      <c r="E2411" s="8" t="s">
        <v>41</v>
      </c>
      <c r="F2411" s="8" t="s">
        <v>42</v>
      </c>
      <c r="G2411" s="8" t="s">
        <v>7</v>
      </c>
      <c r="H2411" s="8" t="s">
        <v>38</v>
      </c>
      <c r="I2411" s="9">
        <v>29.50376</v>
      </c>
      <c r="J2411">
        <v>74.721074999999999</v>
      </c>
      <c r="K2411">
        <v>77.326535000000007</v>
      </c>
      <c r="L2411">
        <v>102.98171337450999</v>
      </c>
    </row>
    <row r="2412" spans="1:12" x14ac:dyDescent="0.2">
      <c r="A2412" s="8" t="s">
        <v>32</v>
      </c>
      <c r="B2412" s="8" t="s">
        <v>61</v>
      </c>
      <c r="C2412" s="8" t="s">
        <v>401</v>
      </c>
      <c r="D2412" s="8" t="s">
        <v>402</v>
      </c>
      <c r="E2412" s="8" t="s">
        <v>43</v>
      </c>
      <c r="F2412" s="8" t="s">
        <v>44</v>
      </c>
      <c r="G2412" s="8" t="s">
        <v>7</v>
      </c>
      <c r="H2412" s="8" t="s">
        <v>38</v>
      </c>
      <c r="I2412" s="9">
        <v>3937.3935999999999</v>
      </c>
      <c r="J2412">
        <v>4469.9032109999998</v>
      </c>
      <c r="K2412">
        <v>4732.6323179999999</v>
      </c>
      <c r="L2412">
        <v>4710.2640193526004</v>
      </c>
    </row>
    <row r="2413" spans="1:12" x14ac:dyDescent="0.2">
      <c r="A2413" s="8" t="s">
        <v>32</v>
      </c>
      <c r="B2413" s="8" t="s">
        <v>61</v>
      </c>
      <c r="C2413" s="8" t="s">
        <v>401</v>
      </c>
      <c r="D2413" s="8" t="s">
        <v>402</v>
      </c>
      <c r="E2413" s="8" t="s">
        <v>49</v>
      </c>
      <c r="F2413" s="8" t="s">
        <v>50</v>
      </c>
      <c r="G2413" s="8" t="s">
        <v>7</v>
      </c>
      <c r="H2413" s="8" t="s">
        <v>38</v>
      </c>
      <c r="I2413" s="9">
        <v>2371.2584000000002</v>
      </c>
      <c r="J2413">
        <v>1947.6440090000001</v>
      </c>
      <c r="K2413">
        <v>2036.2139589999999</v>
      </c>
      <c r="L2413">
        <v>2031.1986669818</v>
      </c>
    </row>
    <row r="2414" spans="1:12" x14ac:dyDescent="0.2">
      <c r="A2414" s="8" t="s">
        <v>32</v>
      </c>
      <c r="B2414" s="8" t="s">
        <v>61</v>
      </c>
      <c r="C2414" s="8" t="s">
        <v>401</v>
      </c>
      <c r="D2414" s="8" t="s">
        <v>402</v>
      </c>
      <c r="E2414" s="8" t="s">
        <v>68</v>
      </c>
      <c r="F2414" s="8" t="s">
        <v>69</v>
      </c>
      <c r="G2414" s="8" t="s">
        <v>7</v>
      </c>
      <c r="H2414" s="8" t="s">
        <v>38</v>
      </c>
      <c r="I2414" s="9">
        <v>0.1321437</v>
      </c>
      <c r="J2414">
        <v>8.0854739310344995E-2</v>
      </c>
      <c r="K2414">
        <v>8.5395542068966004E-2</v>
      </c>
      <c r="L2414">
        <v>8.5395542068966004E-2</v>
      </c>
    </row>
    <row r="2415" spans="1:12" x14ac:dyDescent="0.2">
      <c r="A2415" s="8" t="s">
        <v>32</v>
      </c>
      <c r="B2415" s="8" t="s">
        <v>61</v>
      </c>
      <c r="C2415" s="8" t="s">
        <v>401</v>
      </c>
      <c r="D2415" s="8" t="s">
        <v>402</v>
      </c>
      <c r="E2415" s="8" t="s">
        <v>70</v>
      </c>
      <c r="F2415" s="8" t="s">
        <v>71</v>
      </c>
      <c r="G2415" s="8" t="s">
        <v>7</v>
      </c>
      <c r="H2415" s="8" t="s">
        <v>38</v>
      </c>
      <c r="I2415" s="9">
        <v>2910.7188999999998</v>
      </c>
      <c r="J2415">
        <v>3175.3297259999999</v>
      </c>
      <c r="K2415">
        <v>2116.8864840000001</v>
      </c>
      <c r="L2415">
        <v>2114.4983446931001</v>
      </c>
    </row>
    <row r="2416" spans="1:12" x14ac:dyDescent="0.2">
      <c r="A2416" s="8" t="s">
        <v>32</v>
      </c>
      <c r="B2416" s="8" t="s">
        <v>61</v>
      </c>
      <c r="C2416" s="8" t="s">
        <v>401</v>
      </c>
      <c r="D2416" s="8" t="s">
        <v>402</v>
      </c>
      <c r="E2416" s="8" t="s">
        <v>83</v>
      </c>
      <c r="F2416" s="8" t="s">
        <v>84</v>
      </c>
      <c r="G2416" s="8" t="s">
        <v>7</v>
      </c>
      <c r="H2416" s="8" t="s">
        <v>38</v>
      </c>
      <c r="I2416" s="9"/>
    </row>
    <row r="2417" spans="1:12" x14ac:dyDescent="0.2">
      <c r="A2417" s="8" t="s">
        <v>32</v>
      </c>
      <c r="B2417" s="8" t="s">
        <v>61</v>
      </c>
      <c r="C2417" s="8" t="s">
        <v>401</v>
      </c>
      <c r="D2417" s="8" t="s">
        <v>402</v>
      </c>
      <c r="E2417" s="8" t="s">
        <v>55</v>
      </c>
      <c r="F2417" s="8" t="s">
        <v>56</v>
      </c>
      <c r="G2417" s="8" t="s">
        <v>7</v>
      </c>
      <c r="H2417" s="8" t="s">
        <v>38</v>
      </c>
      <c r="I2417" s="9">
        <v>1.1108191000000001</v>
      </c>
      <c r="J2417">
        <v>1.2441462432757999</v>
      </c>
      <c r="K2417">
        <v>1.2441462432757999</v>
      </c>
      <c r="L2417">
        <v>1.2441462432757999</v>
      </c>
    </row>
    <row r="2418" spans="1:12" x14ac:dyDescent="0.2">
      <c r="A2418" s="8" t="s">
        <v>32</v>
      </c>
      <c r="B2418" s="8" t="s">
        <v>61</v>
      </c>
      <c r="C2418" s="8" t="s">
        <v>401</v>
      </c>
      <c r="D2418" s="8" t="s">
        <v>402</v>
      </c>
      <c r="E2418" s="8" t="s">
        <v>57</v>
      </c>
      <c r="F2418" s="8" t="s">
        <v>58</v>
      </c>
      <c r="G2418" s="8" t="s">
        <v>7</v>
      </c>
      <c r="H2418" s="8" t="s">
        <v>38</v>
      </c>
      <c r="I2418" s="9">
        <v>4.2293982000000003</v>
      </c>
      <c r="J2418">
        <v>4.7370356375098996</v>
      </c>
      <c r="K2418">
        <v>4.7370356375098996</v>
      </c>
      <c r="L2418">
        <v>4.7370356375098996</v>
      </c>
    </row>
    <row r="2419" spans="1:12" x14ac:dyDescent="0.2">
      <c r="A2419" s="8" t="s">
        <v>32</v>
      </c>
      <c r="B2419" s="8" t="s">
        <v>61</v>
      </c>
      <c r="C2419" s="8" t="s">
        <v>401</v>
      </c>
      <c r="D2419" s="8" t="s">
        <v>402</v>
      </c>
      <c r="E2419" s="8" t="s">
        <v>59</v>
      </c>
      <c r="F2419" s="8" t="s">
        <v>60</v>
      </c>
      <c r="G2419" s="8" t="s">
        <v>7</v>
      </c>
      <c r="H2419" s="8" t="s">
        <v>38</v>
      </c>
      <c r="I2419" s="9">
        <v>51.088968999999999</v>
      </c>
      <c r="J2419">
        <v>51.641612029480001</v>
      </c>
      <c r="K2419">
        <v>52.670336261808004</v>
      </c>
      <c r="L2419">
        <v>52.573402962659998</v>
      </c>
    </row>
    <row r="2420" spans="1:12" x14ac:dyDescent="0.2">
      <c r="A2420" s="8" t="s">
        <v>32</v>
      </c>
      <c r="B2420" s="8" t="s">
        <v>61</v>
      </c>
      <c r="C2420" s="8" t="s">
        <v>401</v>
      </c>
      <c r="D2420" s="8" t="s">
        <v>402</v>
      </c>
      <c r="E2420" s="8" t="s">
        <v>76</v>
      </c>
      <c r="F2420" s="8" t="s">
        <v>77</v>
      </c>
      <c r="G2420" s="8" t="s">
        <v>7</v>
      </c>
      <c r="H2420" s="8" t="s">
        <v>38</v>
      </c>
      <c r="I2420" s="9">
        <v>46.304761999999997</v>
      </c>
      <c r="J2420">
        <v>45.047619048519998</v>
      </c>
      <c r="K2420">
        <v>30.800000000615999</v>
      </c>
      <c r="L2420">
        <v>30.800000000615999</v>
      </c>
    </row>
    <row r="2421" spans="1:12" x14ac:dyDescent="0.2">
      <c r="A2421" s="8" t="s">
        <v>32</v>
      </c>
      <c r="B2421" s="8" t="s">
        <v>61</v>
      </c>
      <c r="C2421" s="8" t="s">
        <v>401</v>
      </c>
      <c r="D2421" s="8" t="s">
        <v>402</v>
      </c>
      <c r="E2421" s="8" t="s">
        <v>78</v>
      </c>
      <c r="F2421" s="8" t="s">
        <v>79</v>
      </c>
      <c r="G2421" s="8" t="s">
        <v>7</v>
      </c>
      <c r="H2421" s="8" t="s">
        <v>38</v>
      </c>
      <c r="I2421" s="9">
        <v>129.95712</v>
      </c>
      <c r="J2421">
        <v>190.92853671429</v>
      </c>
      <c r="K2421">
        <v>80.614271057143</v>
      </c>
      <c r="L2421">
        <v>67.319987760000004</v>
      </c>
    </row>
    <row r="2422" spans="1:12" x14ac:dyDescent="0.2">
      <c r="A2422" s="8" t="s">
        <v>32</v>
      </c>
      <c r="B2422" s="8" t="s">
        <v>105</v>
      </c>
      <c r="C2422" s="8" t="s">
        <v>403</v>
      </c>
      <c r="D2422" s="8" t="s">
        <v>404</v>
      </c>
      <c r="E2422" s="8" t="s">
        <v>59</v>
      </c>
      <c r="F2422" s="8" t="s">
        <v>60</v>
      </c>
      <c r="G2422" s="8" t="s">
        <v>7</v>
      </c>
      <c r="H2422" s="8" t="s">
        <v>38</v>
      </c>
      <c r="I2422" s="9">
        <v>2.39002E-2</v>
      </c>
      <c r="J2422">
        <v>2.4248560807783998E-2</v>
      </c>
      <c r="K2422">
        <v>2.4589560807783999E-2</v>
      </c>
      <c r="L2422">
        <v>2.5623560807783999E-2</v>
      </c>
    </row>
    <row r="2423" spans="1:12" x14ac:dyDescent="0.2">
      <c r="A2423" s="8" t="s">
        <v>110</v>
      </c>
      <c r="B2423" s="8" t="s">
        <v>105</v>
      </c>
      <c r="C2423" s="8" t="s">
        <v>405</v>
      </c>
      <c r="D2423" s="8" t="s">
        <v>406</v>
      </c>
      <c r="E2423" s="8" t="s">
        <v>36</v>
      </c>
      <c r="F2423" s="8" t="s">
        <v>37</v>
      </c>
      <c r="G2423" s="8" t="s">
        <v>7</v>
      </c>
      <c r="H2423" s="8" t="s">
        <v>38</v>
      </c>
      <c r="I2423" s="9">
        <v>5770.3086000000003</v>
      </c>
      <c r="J2423">
        <v>6027.5527190000003</v>
      </c>
      <c r="K2423">
        <v>4241.9503489999997</v>
      </c>
      <c r="L2423">
        <v>4018.4257445261001</v>
      </c>
    </row>
    <row r="2424" spans="1:12" x14ac:dyDescent="0.2">
      <c r="A2424" s="8" t="s">
        <v>110</v>
      </c>
      <c r="B2424" s="8" t="s">
        <v>105</v>
      </c>
      <c r="C2424" s="8" t="s">
        <v>405</v>
      </c>
      <c r="D2424" s="8" t="s">
        <v>406</v>
      </c>
      <c r="E2424" s="8" t="s">
        <v>64</v>
      </c>
      <c r="F2424" s="8" t="s">
        <v>65</v>
      </c>
      <c r="G2424" s="8" t="s">
        <v>7</v>
      </c>
      <c r="H2424" s="8" t="s">
        <v>38</v>
      </c>
      <c r="I2424" s="9">
        <v>1094.9562000000001</v>
      </c>
      <c r="J2424">
        <v>883.15769399999999</v>
      </c>
      <c r="K2424">
        <v>535.315744</v>
      </c>
      <c r="L2424">
        <v>467.44888952085</v>
      </c>
    </row>
    <row r="2425" spans="1:12" x14ac:dyDescent="0.2">
      <c r="A2425" s="8" t="s">
        <v>110</v>
      </c>
      <c r="B2425" s="8" t="s">
        <v>105</v>
      </c>
      <c r="C2425" s="8" t="s">
        <v>405</v>
      </c>
      <c r="D2425" s="8" t="s">
        <v>406</v>
      </c>
      <c r="E2425" s="8" t="s">
        <v>39</v>
      </c>
      <c r="F2425" s="8" t="s">
        <v>40</v>
      </c>
      <c r="G2425" s="8" t="s">
        <v>7</v>
      </c>
      <c r="H2425" s="8" t="s">
        <v>38</v>
      </c>
      <c r="I2425" s="9">
        <v>6311.0483999999997</v>
      </c>
      <c r="J2425">
        <v>6048.1361040000002</v>
      </c>
      <c r="K2425">
        <v>5876.7949920000001</v>
      </c>
      <c r="L2425">
        <v>5812.1844980056003</v>
      </c>
    </row>
    <row r="2426" spans="1:12" x14ac:dyDescent="0.2">
      <c r="A2426" s="8" t="s">
        <v>110</v>
      </c>
      <c r="B2426" s="8" t="s">
        <v>105</v>
      </c>
      <c r="C2426" s="8" t="s">
        <v>405</v>
      </c>
      <c r="D2426" s="8" t="s">
        <v>406</v>
      </c>
      <c r="E2426" s="8" t="s">
        <v>41</v>
      </c>
      <c r="F2426" s="8" t="s">
        <v>42</v>
      </c>
      <c r="G2426" s="8" t="s">
        <v>7</v>
      </c>
      <c r="H2426" s="8" t="s">
        <v>38</v>
      </c>
      <c r="I2426" s="9">
        <v>709.53529000000003</v>
      </c>
      <c r="J2426">
        <v>823.87554499999999</v>
      </c>
      <c r="K2426">
        <v>1027.61906</v>
      </c>
      <c r="L2426">
        <v>1086.2905200829</v>
      </c>
    </row>
    <row r="2427" spans="1:12" x14ac:dyDescent="0.2">
      <c r="A2427" s="8" t="s">
        <v>110</v>
      </c>
      <c r="B2427" s="8" t="s">
        <v>105</v>
      </c>
      <c r="C2427" s="8" t="s">
        <v>405</v>
      </c>
      <c r="D2427" s="8" t="s">
        <v>406</v>
      </c>
      <c r="E2427" s="8" t="s">
        <v>43</v>
      </c>
      <c r="F2427" s="8" t="s">
        <v>44</v>
      </c>
      <c r="G2427" s="8" t="s">
        <v>7</v>
      </c>
      <c r="H2427" s="8" t="s">
        <v>38</v>
      </c>
      <c r="I2427" s="9">
        <v>12948.72</v>
      </c>
      <c r="J2427">
        <v>13573.686491</v>
      </c>
      <c r="K2427">
        <v>13554.64431</v>
      </c>
      <c r="L2427">
        <v>13646.592467682</v>
      </c>
    </row>
    <row r="2428" spans="1:12" x14ac:dyDescent="0.2">
      <c r="A2428" s="8" t="s">
        <v>110</v>
      </c>
      <c r="B2428" s="8" t="s">
        <v>105</v>
      </c>
      <c r="C2428" s="8" t="s">
        <v>405</v>
      </c>
      <c r="D2428" s="8" t="s">
        <v>406</v>
      </c>
      <c r="E2428" s="8" t="s">
        <v>66</v>
      </c>
      <c r="F2428" s="8" t="s">
        <v>67</v>
      </c>
      <c r="G2428" s="8" t="s">
        <v>7</v>
      </c>
      <c r="H2428" s="8" t="s">
        <v>38</v>
      </c>
      <c r="I2428" s="9"/>
    </row>
    <row r="2429" spans="1:12" x14ac:dyDescent="0.2">
      <c r="A2429" s="8" t="s">
        <v>110</v>
      </c>
      <c r="B2429" s="8" t="s">
        <v>105</v>
      </c>
      <c r="C2429" s="8" t="s">
        <v>405</v>
      </c>
      <c r="D2429" s="8" t="s">
        <v>406</v>
      </c>
      <c r="E2429" s="8" t="s">
        <v>45</v>
      </c>
      <c r="F2429" s="8" t="s">
        <v>46</v>
      </c>
      <c r="G2429" s="8" t="s">
        <v>7</v>
      </c>
      <c r="H2429" s="8" t="s">
        <v>38</v>
      </c>
      <c r="I2429" s="9">
        <v>275.26258999999999</v>
      </c>
      <c r="J2429">
        <v>203.071923</v>
      </c>
      <c r="K2429">
        <v>54.394799999999996</v>
      </c>
      <c r="L2429">
        <v>46.948742111880001</v>
      </c>
    </row>
    <row r="2430" spans="1:12" x14ac:dyDescent="0.2">
      <c r="A2430" s="8" t="s">
        <v>110</v>
      </c>
      <c r="B2430" s="8" t="s">
        <v>105</v>
      </c>
      <c r="C2430" s="8" t="s">
        <v>405</v>
      </c>
      <c r="D2430" s="8" t="s">
        <v>406</v>
      </c>
      <c r="E2430" s="8" t="s">
        <v>47</v>
      </c>
      <c r="F2430" s="8" t="s">
        <v>48</v>
      </c>
      <c r="G2430" s="8" t="s">
        <v>7</v>
      </c>
      <c r="H2430" s="8" t="s">
        <v>38</v>
      </c>
      <c r="I2430" s="9"/>
    </row>
    <row r="2431" spans="1:12" x14ac:dyDescent="0.2">
      <c r="A2431" s="8" t="s">
        <v>110</v>
      </c>
      <c r="B2431" s="8" t="s">
        <v>105</v>
      </c>
      <c r="C2431" s="8" t="s">
        <v>405</v>
      </c>
      <c r="D2431" s="8" t="s">
        <v>406</v>
      </c>
      <c r="E2431" s="8" t="s">
        <v>49</v>
      </c>
      <c r="F2431" s="8" t="s">
        <v>50</v>
      </c>
      <c r="G2431" s="8" t="s">
        <v>7</v>
      </c>
      <c r="H2431" s="8" t="s">
        <v>38</v>
      </c>
      <c r="I2431" s="9">
        <v>3550.7631000000001</v>
      </c>
      <c r="J2431">
        <v>3448.2860540000001</v>
      </c>
      <c r="K2431">
        <v>3398.8835819999999</v>
      </c>
      <c r="L2431">
        <v>3377.2676926782001</v>
      </c>
    </row>
    <row r="2432" spans="1:12" x14ac:dyDescent="0.2">
      <c r="A2432" s="8" t="s">
        <v>110</v>
      </c>
      <c r="B2432" s="8" t="s">
        <v>105</v>
      </c>
      <c r="C2432" s="8" t="s">
        <v>405</v>
      </c>
      <c r="D2432" s="8" t="s">
        <v>406</v>
      </c>
      <c r="E2432" s="8" t="s">
        <v>51</v>
      </c>
      <c r="F2432" s="8" t="s">
        <v>52</v>
      </c>
      <c r="G2432" s="8" t="s">
        <v>7</v>
      </c>
      <c r="H2432" s="8" t="s">
        <v>38</v>
      </c>
      <c r="I2432" s="9"/>
    </row>
    <row r="2433" spans="1:12" x14ac:dyDescent="0.2">
      <c r="A2433" s="8" t="s">
        <v>110</v>
      </c>
      <c r="B2433" s="8" t="s">
        <v>105</v>
      </c>
      <c r="C2433" s="8" t="s">
        <v>405</v>
      </c>
      <c r="D2433" s="8" t="s">
        <v>406</v>
      </c>
      <c r="E2433" s="8" t="s">
        <v>68</v>
      </c>
      <c r="F2433" s="8" t="s">
        <v>69</v>
      </c>
      <c r="G2433" s="8" t="s">
        <v>7</v>
      </c>
      <c r="H2433" s="8" t="s">
        <v>38</v>
      </c>
      <c r="I2433" s="9">
        <v>98.587104999999994</v>
      </c>
      <c r="J2433">
        <v>95.896527908063007</v>
      </c>
      <c r="K2433">
        <v>87.861665874108994</v>
      </c>
      <c r="L2433">
        <v>38.309582525522998</v>
      </c>
    </row>
    <row r="2434" spans="1:12" x14ac:dyDescent="0.2">
      <c r="A2434" s="8" t="s">
        <v>110</v>
      </c>
      <c r="B2434" s="8" t="s">
        <v>105</v>
      </c>
      <c r="C2434" s="8" t="s">
        <v>405</v>
      </c>
      <c r="D2434" s="8" t="s">
        <v>406</v>
      </c>
      <c r="E2434" s="8" t="s">
        <v>53</v>
      </c>
      <c r="F2434" s="8" t="s">
        <v>54</v>
      </c>
      <c r="G2434" s="8" t="s">
        <v>7</v>
      </c>
      <c r="H2434" s="8" t="s">
        <v>38</v>
      </c>
      <c r="I2434" s="9">
        <v>130.51102</v>
      </c>
      <c r="J2434">
        <v>105.92226240362</v>
      </c>
      <c r="K2434">
        <v>91.072614262989006</v>
      </c>
      <c r="L2434">
        <v>80.747355012911001</v>
      </c>
    </row>
    <row r="2435" spans="1:12" x14ac:dyDescent="0.2">
      <c r="A2435" s="8" t="s">
        <v>110</v>
      </c>
      <c r="B2435" s="8" t="s">
        <v>105</v>
      </c>
      <c r="C2435" s="8" t="s">
        <v>405</v>
      </c>
      <c r="D2435" s="8" t="s">
        <v>406</v>
      </c>
      <c r="E2435" s="8" t="s">
        <v>70</v>
      </c>
      <c r="F2435" s="8" t="s">
        <v>71</v>
      </c>
      <c r="G2435" s="8" t="s">
        <v>7</v>
      </c>
      <c r="H2435" s="8" t="s">
        <v>38</v>
      </c>
      <c r="I2435" s="9">
        <v>388.18036999999998</v>
      </c>
      <c r="J2435">
        <v>408.61091299999998</v>
      </c>
      <c r="K2435">
        <v>408.61091299999998</v>
      </c>
      <c r="L2435">
        <v>408.14994365187999</v>
      </c>
    </row>
    <row r="2436" spans="1:12" x14ac:dyDescent="0.2">
      <c r="A2436" s="8" t="s">
        <v>110</v>
      </c>
      <c r="B2436" s="8" t="s">
        <v>105</v>
      </c>
      <c r="C2436" s="8" t="s">
        <v>405</v>
      </c>
      <c r="D2436" s="8" t="s">
        <v>406</v>
      </c>
      <c r="E2436" s="8" t="s">
        <v>83</v>
      </c>
      <c r="F2436" s="8" t="s">
        <v>84</v>
      </c>
      <c r="G2436" s="8" t="s">
        <v>7</v>
      </c>
      <c r="H2436" s="8" t="s">
        <v>38</v>
      </c>
      <c r="I2436" s="9">
        <v>22.5</v>
      </c>
      <c r="J2436">
        <v>22.5</v>
      </c>
      <c r="K2436">
        <v>22.5</v>
      </c>
      <c r="L2436">
        <v>22.5</v>
      </c>
    </row>
    <row r="2437" spans="1:12" x14ac:dyDescent="0.2">
      <c r="A2437" s="8" t="s">
        <v>110</v>
      </c>
      <c r="B2437" s="8" t="s">
        <v>105</v>
      </c>
      <c r="C2437" s="8" t="s">
        <v>405</v>
      </c>
      <c r="D2437" s="8" t="s">
        <v>406</v>
      </c>
      <c r="E2437" s="8" t="s">
        <v>55</v>
      </c>
      <c r="F2437" s="8" t="s">
        <v>56</v>
      </c>
      <c r="G2437" s="8" t="s">
        <v>7</v>
      </c>
      <c r="H2437" s="8" t="s">
        <v>38</v>
      </c>
      <c r="I2437" s="9">
        <v>15.645351</v>
      </c>
      <c r="J2437">
        <v>17.523199049538999</v>
      </c>
      <c r="K2437">
        <v>17.523199049538999</v>
      </c>
      <c r="L2437">
        <v>17.523199049538999</v>
      </c>
    </row>
    <row r="2438" spans="1:12" x14ac:dyDescent="0.2">
      <c r="A2438" s="8" t="s">
        <v>110</v>
      </c>
      <c r="B2438" s="8" t="s">
        <v>105</v>
      </c>
      <c r="C2438" s="8" t="s">
        <v>405</v>
      </c>
      <c r="D2438" s="8" t="s">
        <v>406</v>
      </c>
      <c r="E2438" s="8" t="s">
        <v>57</v>
      </c>
      <c r="F2438" s="8" t="s">
        <v>58</v>
      </c>
      <c r="G2438" s="8" t="s">
        <v>7</v>
      </c>
      <c r="H2438" s="8" t="s">
        <v>38</v>
      </c>
      <c r="I2438" s="9">
        <v>98.775390000000002</v>
      </c>
      <c r="J2438">
        <v>110.63099817801</v>
      </c>
      <c r="K2438">
        <v>110.63099817801</v>
      </c>
      <c r="L2438">
        <v>110.63099817801</v>
      </c>
    </row>
    <row r="2439" spans="1:12" x14ac:dyDescent="0.2">
      <c r="A2439" s="8" t="s">
        <v>110</v>
      </c>
      <c r="B2439" s="8" t="s">
        <v>105</v>
      </c>
      <c r="C2439" s="8" t="s">
        <v>405</v>
      </c>
      <c r="D2439" s="8" t="s">
        <v>406</v>
      </c>
      <c r="E2439" s="8" t="s">
        <v>72</v>
      </c>
      <c r="F2439" s="8" t="s">
        <v>73</v>
      </c>
      <c r="G2439" s="8" t="s">
        <v>7</v>
      </c>
      <c r="H2439" s="8" t="s">
        <v>38</v>
      </c>
      <c r="I2439" s="9">
        <v>1337.3494000000001</v>
      </c>
      <c r="J2439">
        <v>1193.0517414742999</v>
      </c>
      <c r="K2439">
        <v>1142.5831175951</v>
      </c>
      <c r="L2439">
        <v>1149.5049278501999</v>
      </c>
    </row>
    <row r="2440" spans="1:12" x14ac:dyDescent="0.2">
      <c r="A2440" s="8" t="s">
        <v>110</v>
      </c>
      <c r="B2440" s="8" t="s">
        <v>105</v>
      </c>
      <c r="C2440" s="8" t="s">
        <v>405</v>
      </c>
      <c r="D2440" s="8" t="s">
        <v>406</v>
      </c>
      <c r="E2440" s="8" t="s">
        <v>74</v>
      </c>
      <c r="F2440" s="8" t="s">
        <v>75</v>
      </c>
      <c r="G2440" s="8" t="s">
        <v>7</v>
      </c>
      <c r="H2440" s="8" t="s">
        <v>38</v>
      </c>
      <c r="I2440" s="9">
        <v>595.21299999999997</v>
      </c>
      <c r="J2440">
        <v>597.54939999999999</v>
      </c>
      <c r="K2440">
        <v>590.89580000000001</v>
      </c>
      <c r="L2440">
        <v>519.69415174449</v>
      </c>
    </row>
    <row r="2441" spans="1:12" x14ac:dyDescent="0.2">
      <c r="A2441" s="8" t="s">
        <v>110</v>
      </c>
      <c r="B2441" s="8" t="s">
        <v>105</v>
      </c>
      <c r="C2441" s="8" t="s">
        <v>405</v>
      </c>
      <c r="D2441" s="8" t="s">
        <v>406</v>
      </c>
      <c r="E2441" s="8" t="s">
        <v>59</v>
      </c>
      <c r="F2441" s="8" t="s">
        <v>60</v>
      </c>
      <c r="G2441" s="8" t="s">
        <v>7</v>
      </c>
      <c r="H2441" s="8" t="s">
        <v>38</v>
      </c>
      <c r="I2441" s="9">
        <v>265.33276999999998</v>
      </c>
      <c r="J2441">
        <v>187.70785073976</v>
      </c>
      <c r="K2441">
        <v>194.21241871437999</v>
      </c>
      <c r="L2441">
        <v>215.58833190101001</v>
      </c>
    </row>
    <row r="2442" spans="1:12" x14ac:dyDescent="0.2">
      <c r="A2442" s="8" t="s">
        <v>110</v>
      </c>
      <c r="B2442" s="8" t="s">
        <v>105</v>
      </c>
      <c r="C2442" s="8" t="s">
        <v>405</v>
      </c>
      <c r="D2442" s="8" t="s">
        <v>406</v>
      </c>
      <c r="E2442" s="8" t="s">
        <v>76</v>
      </c>
      <c r="F2442" s="8" t="s">
        <v>77</v>
      </c>
      <c r="G2442" s="8" t="s">
        <v>7</v>
      </c>
      <c r="H2442" s="8" t="s">
        <v>38</v>
      </c>
      <c r="I2442" s="9">
        <v>508.30475999999999</v>
      </c>
      <c r="J2442">
        <v>438.9523810613</v>
      </c>
      <c r="K2442">
        <v>217.48571433775999</v>
      </c>
      <c r="L2442">
        <v>217.48571433775999</v>
      </c>
    </row>
    <row r="2443" spans="1:12" x14ac:dyDescent="0.2">
      <c r="A2443" s="8" t="s">
        <v>110</v>
      </c>
      <c r="B2443" s="8" t="s">
        <v>105</v>
      </c>
      <c r="C2443" s="8" t="s">
        <v>405</v>
      </c>
      <c r="D2443" s="8" t="s">
        <v>406</v>
      </c>
      <c r="E2443" s="8" t="s">
        <v>78</v>
      </c>
      <c r="F2443" s="8" t="s">
        <v>79</v>
      </c>
      <c r="G2443" s="8" t="s">
        <v>7</v>
      </c>
      <c r="H2443" s="8" t="s">
        <v>38</v>
      </c>
      <c r="I2443" s="9">
        <v>487.92847999999998</v>
      </c>
      <c r="J2443">
        <v>461.68563034286001</v>
      </c>
      <c r="K2443">
        <v>492.95705322856998</v>
      </c>
      <c r="L2443">
        <v>483.21419785713999</v>
      </c>
    </row>
    <row r="2444" spans="1:12" x14ac:dyDescent="0.2">
      <c r="A2444" s="8" t="s">
        <v>110</v>
      </c>
      <c r="B2444" s="8" t="s">
        <v>105</v>
      </c>
      <c r="C2444" s="8" t="s">
        <v>405</v>
      </c>
      <c r="D2444" s="8" t="s">
        <v>406</v>
      </c>
      <c r="E2444" s="8" t="s">
        <v>92</v>
      </c>
      <c r="F2444" s="8" t="s">
        <v>93</v>
      </c>
      <c r="G2444" s="8" t="s">
        <v>7</v>
      </c>
      <c r="H2444" s="8" t="s">
        <v>38</v>
      </c>
      <c r="I2444" s="9">
        <v>60.981104000000002</v>
      </c>
      <c r="J2444">
        <v>61.485857294614</v>
      </c>
      <c r="K2444">
        <v>58.617445440274999</v>
      </c>
      <c r="L2444">
        <v>57.468580485704997</v>
      </c>
    </row>
    <row r="2445" spans="1:12" x14ac:dyDescent="0.2">
      <c r="A2445" s="8" t="s">
        <v>32</v>
      </c>
      <c r="B2445" s="8" t="s">
        <v>96</v>
      </c>
      <c r="C2445" s="8" t="s">
        <v>407</v>
      </c>
      <c r="D2445" s="8" t="s">
        <v>408</v>
      </c>
      <c r="E2445" s="8" t="s">
        <v>36</v>
      </c>
      <c r="F2445" s="8" t="s">
        <v>37</v>
      </c>
      <c r="G2445" s="8" t="s">
        <v>7</v>
      </c>
      <c r="H2445" s="8" t="s">
        <v>38</v>
      </c>
      <c r="I2445" s="9">
        <v>15062.166999999999</v>
      </c>
      <c r="J2445">
        <v>16265.693111999</v>
      </c>
      <c r="K2445">
        <v>15846.447099000001</v>
      </c>
      <c r="L2445">
        <v>16392.074439376</v>
      </c>
    </row>
    <row r="2446" spans="1:12" x14ac:dyDescent="0.2">
      <c r="A2446" s="8" t="s">
        <v>32</v>
      </c>
      <c r="B2446" s="8" t="s">
        <v>96</v>
      </c>
      <c r="C2446" s="8" t="s">
        <v>407</v>
      </c>
      <c r="D2446" s="8" t="s">
        <v>408</v>
      </c>
      <c r="E2446" s="8" t="s">
        <v>64</v>
      </c>
      <c r="F2446" s="8" t="s">
        <v>65</v>
      </c>
      <c r="G2446" s="8" t="s">
        <v>7</v>
      </c>
      <c r="H2446" s="8" t="s">
        <v>38</v>
      </c>
      <c r="I2446" s="9">
        <v>9640.9640999999992</v>
      </c>
      <c r="J2446">
        <v>10604.213322</v>
      </c>
      <c r="K2446">
        <v>11784.675399</v>
      </c>
      <c r="L2446">
        <v>12202.402744303999</v>
      </c>
    </row>
    <row r="2447" spans="1:12" x14ac:dyDescent="0.2">
      <c r="A2447" s="8" t="s">
        <v>32</v>
      </c>
      <c r="B2447" s="8" t="s">
        <v>96</v>
      </c>
      <c r="C2447" s="8" t="s">
        <v>407</v>
      </c>
      <c r="D2447" s="8" t="s">
        <v>408</v>
      </c>
      <c r="E2447" s="8" t="s">
        <v>39</v>
      </c>
      <c r="F2447" s="8" t="s">
        <v>40</v>
      </c>
      <c r="G2447" s="8" t="s">
        <v>7</v>
      </c>
      <c r="H2447" s="8" t="s">
        <v>38</v>
      </c>
      <c r="I2447" s="9">
        <v>11447.017</v>
      </c>
      <c r="J2447">
        <v>12340.958495000001</v>
      </c>
      <c r="K2447">
        <v>13256.840028000001</v>
      </c>
      <c r="L2447">
        <v>13701.566022333</v>
      </c>
    </row>
    <row r="2448" spans="1:12" x14ac:dyDescent="0.2">
      <c r="A2448" s="8" t="s">
        <v>32</v>
      </c>
      <c r="B2448" s="8" t="s">
        <v>96</v>
      </c>
      <c r="C2448" s="8" t="s">
        <v>407</v>
      </c>
      <c r="D2448" s="8" t="s">
        <v>408</v>
      </c>
      <c r="E2448" s="8" t="s">
        <v>41</v>
      </c>
      <c r="F2448" s="8" t="s">
        <v>42</v>
      </c>
      <c r="G2448" s="8" t="s">
        <v>7</v>
      </c>
      <c r="H2448" s="8" t="s">
        <v>38</v>
      </c>
      <c r="I2448" s="9">
        <v>29.181294999999999</v>
      </c>
      <c r="J2448">
        <v>50.926589999999997</v>
      </c>
      <c r="K2448">
        <v>97.366555000000005</v>
      </c>
      <c r="L2448">
        <v>107.37464745494</v>
      </c>
    </row>
    <row r="2449" spans="1:12" x14ac:dyDescent="0.2">
      <c r="A2449" s="8" t="s">
        <v>32</v>
      </c>
      <c r="B2449" s="8" t="s">
        <v>96</v>
      </c>
      <c r="C2449" s="8" t="s">
        <v>407</v>
      </c>
      <c r="D2449" s="8" t="s">
        <v>408</v>
      </c>
      <c r="E2449" s="8" t="s">
        <v>43</v>
      </c>
      <c r="F2449" s="8" t="s">
        <v>44</v>
      </c>
      <c r="G2449" s="8" t="s">
        <v>7</v>
      </c>
      <c r="H2449" s="8" t="s">
        <v>38</v>
      </c>
      <c r="I2449" s="9">
        <v>10023.365</v>
      </c>
      <c r="J2449">
        <v>10354.083669</v>
      </c>
      <c r="K2449">
        <v>13206.794255999999</v>
      </c>
      <c r="L2449">
        <v>13247.429652933</v>
      </c>
    </row>
    <row r="2450" spans="1:12" x14ac:dyDescent="0.2">
      <c r="A2450" s="8" t="s">
        <v>32</v>
      </c>
      <c r="B2450" s="8" t="s">
        <v>96</v>
      </c>
      <c r="C2450" s="8" t="s">
        <v>407</v>
      </c>
      <c r="D2450" s="8" t="s">
        <v>408</v>
      </c>
      <c r="E2450" s="8" t="s">
        <v>49</v>
      </c>
      <c r="F2450" s="8" t="s">
        <v>50</v>
      </c>
      <c r="G2450" s="8" t="s">
        <v>7</v>
      </c>
      <c r="H2450" s="8" t="s">
        <v>38</v>
      </c>
      <c r="I2450" s="9">
        <v>15582.888999999999</v>
      </c>
      <c r="J2450">
        <v>17230.702700000002</v>
      </c>
      <c r="K2450">
        <v>18110.130765000002</v>
      </c>
      <c r="L2450">
        <v>18743.631040061999</v>
      </c>
    </row>
    <row r="2451" spans="1:12" x14ac:dyDescent="0.2">
      <c r="A2451" s="8" t="s">
        <v>32</v>
      </c>
      <c r="B2451" s="8" t="s">
        <v>96</v>
      </c>
      <c r="C2451" s="8" t="s">
        <v>407</v>
      </c>
      <c r="D2451" s="8" t="s">
        <v>408</v>
      </c>
      <c r="E2451" s="8" t="s">
        <v>51</v>
      </c>
      <c r="F2451" s="8" t="s">
        <v>52</v>
      </c>
      <c r="G2451" s="8" t="s">
        <v>7</v>
      </c>
      <c r="H2451" s="8" t="s">
        <v>38</v>
      </c>
      <c r="I2451" s="9">
        <v>2417.7826</v>
      </c>
      <c r="J2451">
        <v>2500.2151260000001</v>
      </c>
      <c r="K2451">
        <v>2618.265054</v>
      </c>
      <c r="L2451">
        <v>2630.9859550627998</v>
      </c>
    </row>
    <row r="2452" spans="1:12" x14ac:dyDescent="0.2">
      <c r="A2452" s="8" t="s">
        <v>32</v>
      </c>
      <c r="B2452" s="8" t="s">
        <v>96</v>
      </c>
      <c r="C2452" s="8" t="s">
        <v>407</v>
      </c>
      <c r="D2452" s="8" t="s">
        <v>408</v>
      </c>
      <c r="E2452" s="8" t="s">
        <v>53</v>
      </c>
      <c r="F2452" s="8" t="s">
        <v>54</v>
      </c>
      <c r="G2452" s="8" t="s">
        <v>7</v>
      </c>
      <c r="H2452" s="8" t="s">
        <v>38</v>
      </c>
      <c r="I2452" s="9">
        <v>5177.3714</v>
      </c>
      <c r="J2452">
        <v>5096.9063057698004</v>
      </c>
      <c r="K2452">
        <v>4326.4789467169003</v>
      </c>
      <c r="L2452">
        <v>3964.1632411058999</v>
      </c>
    </row>
    <row r="2453" spans="1:12" x14ac:dyDescent="0.2">
      <c r="A2453" s="8" t="s">
        <v>32</v>
      </c>
      <c r="B2453" s="8" t="s">
        <v>96</v>
      </c>
      <c r="C2453" s="8" t="s">
        <v>407</v>
      </c>
      <c r="D2453" s="8" t="s">
        <v>408</v>
      </c>
      <c r="E2453" s="8" t="s">
        <v>70</v>
      </c>
      <c r="F2453" s="8" t="s">
        <v>71</v>
      </c>
      <c r="G2453" s="8" t="s">
        <v>7</v>
      </c>
      <c r="H2453" s="8" t="s">
        <v>38</v>
      </c>
      <c r="I2453" s="9">
        <v>2805.1727999999998</v>
      </c>
      <c r="J2453">
        <v>2894.2258735</v>
      </c>
      <c r="K2453">
        <v>3116.8586329999998</v>
      </c>
      <c r="L2453">
        <v>3113.3423874800001</v>
      </c>
    </row>
    <row r="2454" spans="1:12" x14ac:dyDescent="0.2">
      <c r="A2454" s="8" t="s">
        <v>32</v>
      </c>
      <c r="B2454" s="8" t="s">
        <v>96</v>
      </c>
      <c r="C2454" s="8" t="s">
        <v>407</v>
      </c>
      <c r="D2454" s="8" t="s">
        <v>408</v>
      </c>
      <c r="E2454" s="8" t="s">
        <v>83</v>
      </c>
      <c r="F2454" s="8" t="s">
        <v>84</v>
      </c>
      <c r="G2454" s="8" t="s">
        <v>7</v>
      </c>
      <c r="H2454" s="8" t="s">
        <v>38</v>
      </c>
      <c r="I2454" s="9">
        <v>67.5</v>
      </c>
      <c r="J2454">
        <v>67.5</v>
      </c>
      <c r="K2454">
        <v>67.5</v>
      </c>
      <c r="L2454">
        <v>67.5</v>
      </c>
    </row>
    <row r="2455" spans="1:12" x14ac:dyDescent="0.2">
      <c r="A2455" s="8" t="s">
        <v>32</v>
      </c>
      <c r="B2455" s="8" t="s">
        <v>96</v>
      </c>
      <c r="C2455" s="8" t="s">
        <v>407</v>
      </c>
      <c r="D2455" s="8" t="s">
        <v>408</v>
      </c>
      <c r="E2455" s="8" t="s">
        <v>55</v>
      </c>
      <c r="F2455" s="8" t="s">
        <v>56</v>
      </c>
      <c r="G2455" s="8" t="s">
        <v>7</v>
      </c>
      <c r="H2455" s="8" t="s">
        <v>38</v>
      </c>
      <c r="I2455" s="9">
        <v>0.31932270000000001</v>
      </c>
      <c r="J2455">
        <v>0.35764967675110998</v>
      </c>
      <c r="K2455">
        <v>0.35764967675110998</v>
      </c>
      <c r="L2455">
        <v>0.35764967675110998</v>
      </c>
    </row>
    <row r="2456" spans="1:12" x14ac:dyDescent="0.2">
      <c r="A2456" s="8" t="s">
        <v>32</v>
      </c>
      <c r="B2456" s="8" t="s">
        <v>96</v>
      </c>
      <c r="C2456" s="8" t="s">
        <v>407</v>
      </c>
      <c r="D2456" s="8" t="s">
        <v>408</v>
      </c>
      <c r="E2456" s="8" t="s">
        <v>57</v>
      </c>
      <c r="F2456" s="8" t="s">
        <v>58</v>
      </c>
      <c r="G2456" s="8" t="s">
        <v>7</v>
      </c>
      <c r="H2456" s="8" t="s">
        <v>38</v>
      </c>
      <c r="I2456" s="9">
        <v>21.519697000000001</v>
      </c>
      <c r="J2456">
        <v>24.102618753390001</v>
      </c>
      <c r="K2456">
        <v>24.102618753390001</v>
      </c>
      <c r="L2456">
        <v>24.102618753390001</v>
      </c>
    </row>
    <row r="2457" spans="1:12" x14ac:dyDescent="0.2">
      <c r="A2457" s="8" t="s">
        <v>32</v>
      </c>
      <c r="B2457" s="8" t="s">
        <v>96</v>
      </c>
      <c r="C2457" s="8" t="s">
        <v>407</v>
      </c>
      <c r="D2457" s="8" t="s">
        <v>408</v>
      </c>
      <c r="E2457" s="8" t="s">
        <v>72</v>
      </c>
      <c r="F2457" s="8" t="s">
        <v>73</v>
      </c>
      <c r="G2457" s="8" t="s">
        <v>7</v>
      </c>
      <c r="H2457" s="8" t="s">
        <v>38</v>
      </c>
      <c r="I2457" s="9">
        <v>9208.9292000000005</v>
      </c>
      <c r="J2457">
        <v>9609.9148391467006</v>
      </c>
      <c r="K2457">
        <v>9956.3555739598996</v>
      </c>
      <c r="L2457">
        <v>10798.106584351999</v>
      </c>
    </row>
    <row r="2458" spans="1:12" x14ac:dyDescent="0.2">
      <c r="A2458" s="8" t="s">
        <v>32</v>
      </c>
      <c r="B2458" s="8" t="s">
        <v>96</v>
      </c>
      <c r="C2458" s="8" t="s">
        <v>407</v>
      </c>
      <c r="D2458" s="8" t="s">
        <v>408</v>
      </c>
      <c r="E2458" s="8" t="s">
        <v>74</v>
      </c>
      <c r="F2458" s="8" t="s">
        <v>75</v>
      </c>
      <c r="G2458" s="8" t="s">
        <v>7</v>
      </c>
      <c r="H2458" s="8" t="s">
        <v>38</v>
      </c>
      <c r="I2458" s="9">
        <v>637.29596000000004</v>
      </c>
      <c r="J2458">
        <v>636.57439999999997</v>
      </c>
      <c r="K2458">
        <v>636.33439999999996</v>
      </c>
      <c r="L2458">
        <v>681.96715156000005</v>
      </c>
    </row>
    <row r="2459" spans="1:12" x14ac:dyDescent="0.2">
      <c r="A2459" s="8" t="s">
        <v>32</v>
      </c>
      <c r="B2459" s="8" t="s">
        <v>96</v>
      </c>
      <c r="C2459" s="8" t="s">
        <v>407</v>
      </c>
      <c r="D2459" s="8" t="s">
        <v>408</v>
      </c>
      <c r="E2459" s="8" t="s">
        <v>59</v>
      </c>
      <c r="F2459" s="8" t="s">
        <v>60</v>
      </c>
      <c r="G2459" s="8" t="s">
        <v>7</v>
      </c>
      <c r="H2459" s="8" t="s">
        <v>38</v>
      </c>
      <c r="I2459" s="9">
        <v>44.488526</v>
      </c>
      <c r="J2459">
        <v>50.959624664227</v>
      </c>
      <c r="K2459">
        <v>56.850202185706003</v>
      </c>
      <c r="L2459">
        <v>59.557294344375997</v>
      </c>
    </row>
    <row r="2460" spans="1:12" x14ac:dyDescent="0.2">
      <c r="A2460" s="8" t="s">
        <v>32</v>
      </c>
      <c r="B2460" s="8" t="s">
        <v>61</v>
      </c>
      <c r="C2460" s="8" t="s">
        <v>409</v>
      </c>
      <c r="D2460" s="8" t="s">
        <v>410</v>
      </c>
      <c r="E2460" s="8" t="s">
        <v>36</v>
      </c>
      <c r="F2460" s="8" t="s">
        <v>37</v>
      </c>
      <c r="G2460" s="8" t="s">
        <v>7</v>
      </c>
      <c r="H2460" s="8" t="s">
        <v>38</v>
      </c>
      <c r="I2460" s="9">
        <v>53380.07</v>
      </c>
      <c r="J2460">
        <v>65726.613620000004</v>
      </c>
      <c r="K2460">
        <v>68109.989409999995</v>
      </c>
      <c r="L2460">
        <v>59179.315679175998</v>
      </c>
    </row>
    <row r="2461" spans="1:12" x14ac:dyDescent="0.2">
      <c r="A2461" s="8" t="s">
        <v>32</v>
      </c>
      <c r="B2461" s="8" t="s">
        <v>61</v>
      </c>
      <c r="C2461" s="8" t="s">
        <v>409</v>
      </c>
      <c r="D2461" s="8" t="s">
        <v>410</v>
      </c>
      <c r="E2461" s="8" t="s">
        <v>64</v>
      </c>
      <c r="F2461" s="8" t="s">
        <v>65</v>
      </c>
      <c r="G2461" s="8" t="s">
        <v>7</v>
      </c>
      <c r="H2461" s="8" t="s">
        <v>38</v>
      </c>
      <c r="I2461" s="9">
        <v>1392.6383000000001</v>
      </c>
      <c r="J2461">
        <v>1328.317407</v>
      </c>
      <c r="K2461">
        <v>1369.959366</v>
      </c>
      <c r="L2461">
        <v>1324.9326920044</v>
      </c>
    </row>
    <row r="2462" spans="1:12" x14ac:dyDescent="0.2">
      <c r="A2462" s="8" t="s">
        <v>32</v>
      </c>
      <c r="B2462" s="8" t="s">
        <v>61</v>
      </c>
      <c r="C2462" s="8" t="s">
        <v>409</v>
      </c>
      <c r="D2462" s="8" t="s">
        <v>410</v>
      </c>
      <c r="E2462" s="8" t="s">
        <v>39</v>
      </c>
      <c r="F2462" s="8" t="s">
        <v>40</v>
      </c>
      <c r="G2462" s="8" t="s">
        <v>7</v>
      </c>
      <c r="H2462" s="8" t="s">
        <v>38</v>
      </c>
      <c r="I2462" s="9">
        <v>60178.614000000001</v>
      </c>
      <c r="J2462">
        <v>49299.768087999997</v>
      </c>
      <c r="K2462">
        <v>52142.221169999997</v>
      </c>
      <c r="L2462">
        <v>46694.884609412002</v>
      </c>
    </row>
    <row r="2463" spans="1:12" x14ac:dyDescent="0.2">
      <c r="A2463" s="8" t="s">
        <v>32</v>
      </c>
      <c r="B2463" s="8" t="s">
        <v>61</v>
      </c>
      <c r="C2463" s="8" t="s">
        <v>409</v>
      </c>
      <c r="D2463" s="8" t="s">
        <v>410</v>
      </c>
      <c r="E2463" s="8" t="s">
        <v>41</v>
      </c>
      <c r="F2463" s="8" t="s">
        <v>42</v>
      </c>
      <c r="G2463" s="8" t="s">
        <v>7</v>
      </c>
      <c r="H2463" s="8" t="s">
        <v>38</v>
      </c>
      <c r="I2463" s="9">
        <v>278.87439999999998</v>
      </c>
      <c r="J2463">
        <v>650.26570000000004</v>
      </c>
      <c r="K2463">
        <v>634.40440000000001</v>
      </c>
      <c r="L2463">
        <v>844.88529176085001</v>
      </c>
    </row>
    <row r="2464" spans="1:12" x14ac:dyDescent="0.2">
      <c r="A2464" s="8" t="s">
        <v>32</v>
      </c>
      <c r="B2464" s="8" t="s">
        <v>61</v>
      </c>
      <c r="C2464" s="8" t="s">
        <v>409</v>
      </c>
      <c r="D2464" s="8" t="s">
        <v>410</v>
      </c>
      <c r="E2464" s="8" t="s">
        <v>43</v>
      </c>
      <c r="F2464" s="8" t="s">
        <v>44</v>
      </c>
      <c r="G2464" s="8" t="s">
        <v>7</v>
      </c>
      <c r="H2464" s="8" t="s">
        <v>38</v>
      </c>
      <c r="I2464" s="9">
        <v>51598.466999999997</v>
      </c>
      <c r="J2464">
        <v>54746.256261000002</v>
      </c>
      <c r="K2464">
        <v>55897.299762000002</v>
      </c>
      <c r="L2464">
        <v>44617.113009621004</v>
      </c>
    </row>
    <row r="2465" spans="1:12" x14ac:dyDescent="0.2">
      <c r="A2465" s="8" t="s">
        <v>32</v>
      </c>
      <c r="B2465" s="8" t="s">
        <v>61</v>
      </c>
      <c r="C2465" s="8" t="s">
        <v>409</v>
      </c>
      <c r="D2465" s="8" t="s">
        <v>410</v>
      </c>
      <c r="E2465" s="8" t="s">
        <v>66</v>
      </c>
      <c r="F2465" s="8" t="s">
        <v>67</v>
      </c>
      <c r="G2465" s="8" t="s">
        <v>7</v>
      </c>
      <c r="H2465" s="8" t="s">
        <v>38</v>
      </c>
      <c r="I2465" s="9">
        <v>895.93700999999999</v>
      </c>
      <c r="J2465">
        <v>1008.659466</v>
      </c>
      <c r="K2465">
        <v>982.494282</v>
      </c>
      <c r="L2465">
        <v>780.01533705486997</v>
      </c>
    </row>
    <row r="2466" spans="1:12" x14ac:dyDescent="0.2">
      <c r="A2466" s="8" t="s">
        <v>32</v>
      </c>
      <c r="B2466" s="8" t="s">
        <v>61</v>
      </c>
      <c r="C2466" s="8" t="s">
        <v>409</v>
      </c>
      <c r="D2466" s="8" t="s">
        <v>410</v>
      </c>
      <c r="E2466" s="8" t="s">
        <v>47</v>
      </c>
      <c r="F2466" s="8" t="s">
        <v>48</v>
      </c>
      <c r="G2466" s="8" t="s">
        <v>7</v>
      </c>
      <c r="H2466" s="8" t="s">
        <v>38</v>
      </c>
      <c r="I2466" s="9"/>
    </row>
    <row r="2467" spans="1:12" x14ac:dyDescent="0.2">
      <c r="A2467" s="8" t="s">
        <v>32</v>
      </c>
      <c r="B2467" s="8" t="s">
        <v>61</v>
      </c>
      <c r="C2467" s="8" t="s">
        <v>409</v>
      </c>
      <c r="D2467" s="8" t="s">
        <v>410</v>
      </c>
      <c r="E2467" s="8" t="s">
        <v>49</v>
      </c>
      <c r="F2467" s="8" t="s">
        <v>50</v>
      </c>
      <c r="G2467" s="8" t="s">
        <v>7</v>
      </c>
      <c r="H2467" s="8" t="s">
        <v>38</v>
      </c>
      <c r="I2467" s="9">
        <v>21051.807000000001</v>
      </c>
      <c r="J2467">
        <v>21065.723844</v>
      </c>
      <c r="K2467">
        <v>21357.206700999999</v>
      </c>
      <c r="L2467">
        <v>20465.169435098</v>
      </c>
    </row>
    <row r="2468" spans="1:12" x14ac:dyDescent="0.2">
      <c r="A2468" s="8" t="s">
        <v>32</v>
      </c>
      <c r="B2468" s="8" t="s">
        <v>61</v>
      </c>
      <c r="C2468" s="8" t="s">
        <v>409</v>
      </c>
      <c r="D2468" s="8" t="s">
        <v>410</v>
      </c>
      <c r="E2468" s="8" t="s">
        <v>51</v>
      </c>
      <c r="F2468" s="8" t="s">
        <v>52</v>
      </c>
      <c r="G2468" s="8" t="s">
        <v>7</v>
      </c>
      <c r="H2468" s="8" t="s">
        <v>38</v>
      </c>
      <c r="I2468" s="9">
        <v>914.67930000000001</v>
      </c>
      <c r="J2468">
        <v>798.70023900000001</v>
      </c>
      <c r="K2468">
        <v>777.93276700000001</v>
      </c>
      <c r="L2468">
        <v>617.61121726053</v>
      </c>
    </row>
    <row r="2469" spans="1:12" x14ac:dyDescent="0.2">
      <c r="A2469" s="8" t="s">
        <v>32</v>
      </c>
      <c r="B2469" s="8" t="s">
        <v>61</v>
      </c>
      <c r="C2469" s="8" t="s">
        <v>409</v>
      </c>
      <c r="D2469" s="8" t="s">
        <v>410</v>
      </c>
      <c r="E2469" s="8" t="s">
        <v>68</v>
      </c>
      <c r="F2469" s="8" t="s">
        <v>69</v>
      </c>
      <c r="G2469" s="8" t="s">
        <v>7</v>
      </c>
      <c r="H2469" s="8" t="s">
        <v>38</v>
      </c>
      <c r="I2469" s="9">
        <v>31.757764000000002</v>
      </c>
      <c r="J2469">
        <v>34.186009697655997</v>
      </c>
      <c r="K2469">
        <v>36.272368147861997</v>
      </c>
      <c r="L2469">
        <v>36.196766532414003</v>
      </c>
    </row>
    <row r="2470" spans="1:12" x14ac:dyDescent="0.2">
      <c r="A2470" s="8" t="s">
        <v>32</v>
      </c>
      <c r="B2470" s="8" t="s">
        <v>61</v>
      </c>
      <c r="C2470" s="8" t="s">
        <v>409</v>
      </c>
      <c r="D2470" s="8" t="s">
        <v>410</v>
      </c>
      <c r="E2470" s="8" t="s">
        <v>53</v>
      </c>
      <c r="F2470" s="8" t="s">
        <v>54</v>
      </c>
      <c r="G2470" s="8" t="s">
        <v>7</v>
      </c>
      <c r="H2470" s="8" t="s">
        <v>38</v>
      </c>
      <c r="I2470" s="9">
        <v>4134.9436999999998</v>
      </c>
      <c r="J2470">
        <v>3644.2160070861</v>
      </c>
      <c r="K2470">
        <v>3608.9270286076999</v>
      </c>
      <c r="L2470">
        <v>3632.9634655169998</v>
      </c>
    </row>
    <row r="2471" spans="1:12" x14ac:dyDescent="0.2">
      <c r="A2471" s="8" t="s">
        <v>32</v>
      </c>
      <c r="B2471" s="8" t="s">
        <v>61</v>
      </c>
      <c r="C2471" s="8" t="s">
        <v>409</v>
      </c>
      <c r="D2471" s="8" t="s">
        <v>410</v>
      </c>
      <c r="E2471" s="8" t="s">
        <v>70</v>
      </c>
      <c r="F2471" s="8" t="s">
        <v>71</v>
      </c>
      <c r="G2471" s="8" t="s">
        <v>7</v>
      </c>
      <c r="H2471" s="8" t="s">
        <v>38</v>
      </c>
      <c r="I2471" s="9">
        <v>15312.146000000001</v>
      </c>
      <c r="J2471">
        <v>17489.363316393999</v>
      </c>
      <c r="K2471">
        <v>17640.720700000002</v>
      </c>
      <c r="L2471">
        <v>17620.819539109001</v>
      </c>
    </row>
    <row r="2472" spans="1:12" x14ac:dyDescent="0.2">
      <c r="A2472" s="8" t="s">
        <v>32</v>
      </c>
      <c r="B2472" s="8" t="s">
        <v>61</v>
      </c>
      <c r="C2472" s="8" t="s">
        <v>409</v>
      </c>
      <c r="D2472" s="8" t="s">
        <v>410</v>
      </c>
      <c r="E2472" s="8" t="s">
        <v>55</v>
      </c>
      <c r="F2472" s="8" t="s">
        <v>56</v>
      </c>
      <c r="G2472" s="8" t="s">
        <v>7</v>
      </c>
      <c r="H2472" s="8" t="s">
        <v>38</v>
      </c>
      <c r="I2472" s="9">
        <v>9.7852005000000002</v>
      </c>
      <c r="J2472">
        <v>10.959678356849</v>
      </c>
      <c r="K2472">
        <v>10.959678356849</v>
      </c>
      <c r="L2472">
        <v>10.959678356849</v>
      </c>
    </row>
    <row r="2473" spans="1:12" x14ac:dyDescent="0.2">
      <c r="A2473" s="8" t="s">
        <v>32</v>
      </c>
      <c r="B2473" s="8" t="s">
        <v>61</v>
      </c>
      <c r="C2473" s="8" t="s">
        <v>409</v>
      </c>
      <c r="D2473" s="8" t="s">
        <v>410</v>
      </c>
      <c r="E2473" s="8" t="s">
        <v>57</v>
      </c>
      <c r="F2473" s="8" t="s">
        <v>58</v>
      </c>
      <c r="G2473" s="8" t="s">
        <v>7</v>
      </c>
      <c r="H2473" s="8" t="s">
        <v>38</v>
      </c>
      <c r="I2473" s="9">
        <v>339.08798999999999</v>
      </c>
      <c r="J2473">
        <v>379.78734639612998</v>
      </c>
      <c r="K2473">
        <v>379.78734639612998</v>
      </c>
      <c r="L2473">
        <v>379.78734639612998</v>
      </c>
    </row>
    <row r="2474" spans="1:12" x14ac:dyDescent="0.2">
      <c r="A2474" s="8" t="s">
        <v>32</v>
      </c>
      <c r="B2474" s="8" t="s">
        <v>61</v>
      </c>
      <c r="C2474" s="8" t="s">
        <v>409</v>
      </c>
      <c r="D2474" s="8" t="s">
        <v>410</v>
      </c>
      <c r="E2474" s="8" t="s">
        <v>72</v>
      </c>
      <c r="F2474" s="8" t="s">
        <v>73</v>
      </c>
      <c r="G2474" s="8" t="s">
        <v>7</v>
      </c>
      <c r="H2474" s="8" t="s">
        <v>38</v>
      </c>
      <c r="I2474" s="9">
        <v>6854.2438000000002</v>
      </c>
      <c r="J2474">
        <v>6548.1817637942004</v>
      </c>
      <c r="K2474">
        <v>6469.2412450607999</v>
      </c>
      <c r="L2474">
        <v>6750.2847996357996</v>
      </c>
    </row>
    <row r="2475" spans="1:12" x14ac:dyDescent="0.2">
      <c r="A2475" s="8" t="s">
        <v>32</v>
      </c>
      <c r="B2475" s="8" t="s">
        <v>61</v>
      </c>
      <c r="C2475" s="8" t="s">
        <v>409</v>
      </c>
      <c r="D2475" s="8" t="s">
        <v>410</v>
      </c>
      <c r="E2475" s="8" t="s">
        <v>74</v>
      </c>
      <c r="F2475" s="8" t="s">
        <v>75</v>
      </c>
      <c r="G2475" s="8" t="s">
        <v>7</v>
      </c>
      <c r="H2475" s="8" t="s">
        <v>38</v>
      </c>
      <c r="I2475" s="9">
        <v>168.76</v>
      </c>
      <c r="J2475">
        <v>234.14663999999999</v>
      </c>
      <c r="K2475">
        <v>257.16000000000003</v>
      </c>
      <c r="L2475">
        <v>232.928</v>
      </c>
    </row>
    <row r="2476" spans="1:12" x14ac:dyDescent="0.2">
      <c r="A2476" s="8" t="s">
        <v>32</v>
      </c>
      <c r="B2476" s="8" t="s">
        <v>61</v>
      </c>
      <c r="C2476" s="8" t="s">
        <v>409</v>
      </c>
      <c r="D2476" s="8" t="s">
        <v>410</v>
      </c>
      <c r="E2476" s="8" t="s">
        <v>59</v>
      </c>
      <c r="F2476" s="8" t="s">
        <v>60</v>
      </c>
      <c r="G2476" s="8" t="s">
        <v>7</v>
      </c>
      <c r="H2476" s="8" t="s">
        <v>38</v>
      </c>
      <c r="I2476" s="9">
        <v>569.08772999999997</v>
      </c>
      <c r="J2476">
        <v>586.04195722541999</v>
      </c>
      <c r="K2476">
        <v>572.60154816031002</v>
      </c>
      <c r="L2476">
        <v>582.40430018991003</v>
      </c>
    </row>
    <row r="2477" spans="1:12" x14ac:dyDescent="0.2">
      <c r="A2477" s="8" t="s">
        <v>32</v>
      </c>
      <c r="B2477" s="8" t="s">
        <v>61</v>
      </c>
      <c r="C2477" s="8" t="s">
        <v>409</v>
      </c>
      <c r="D2477" s="8" t="s">
        <v>410</v>
      </c>
      <c r="E2477" s="8" t="s">
        <v>76</v>
      </c>
      <c r="F2477" s="8" t="s">
        <v>77</v>
      </c>
      <c r="G2477" s="8" t="s">
        <v>7</v>
      </c>
      <c r="H2477" s="8" t="s">
        <v>38</v>
      </c>
      <c r="I2477" s="9">
        <v>958.99048000000005</v>
      </c>
      <c r="J2477">
        <v>748.83809526504001</v>
      </c>
      <c r="K2477">
        <v>448.80000001425998</v>
      </c>
      <c r="L2477">
        <v>349.48571429763001</v>
      </c>
    </row>
    <row r="2478" spans="1:12" x14ac:dyDescent="0.2">
      <c r="A2478" s="8" t="s">
        <v>32</v>
      </c>
      <c r="B2478" s="8" t="s">
        <v>61</v>
      </c>
      <c r="C2478" s="8" t="s">
        <v>409</v>
      </c>
      <c r="D2478" s="8" t="s">
        <v>410</v>
      </c>
      <c r="E2478" s="8" t="s">
        <v>78</v>
      </c>
      <c r="F2478" s="8" t="s">
        <v>79</v>
      </c>
      <c r="G2478" s="8" t="s">
        <v>7</v>
      </c>
      <c r="H2478" s="8" t="s">
        <v>38</v>
      </c>
      <c r="I2478" s="9">
        <v>4529.7992000000004</v>
      </c>
      <c r="J2478">
        <v>4836.5419777713996</v>
      </c>
      <c r="K2478">
        <v>4676.5705782857003</v>
      </c>
      <c r="L2478">
        <v>4769.7562756285997</v>
      </c>
    </row>
    <row r="2479" spans="1:12" x14ac:dyDescent="0.2">
      <c r="A2479" s="8" t="s">
        <v>32</v>
      </c>
      <c r="B2479" s="8" t="s">
        <v>33</v>
      </c>
      <c r="C2479" s="8" t="s">
        <v>411</v>
      </c>
      <c r="D2479" s="8" t="s">
        <v>412</v>
      </c>
      <c r="E2479" s="8" t="s">
        <v>36</v>
      </c>
      <c r="F2479" s="8" t="s">
        <v>37</v>
      </c>
      <c r="G2479" s="8" t="s">
        <v>7</v>
      </c>
      <c r="H2479" s="8" t="s">
        <v>38</v>
      </c>
      <c r="I2479" s="9">
        <v>3604.6891000000001</v>
      </c>
      <c r="J2479">
        <v>3510.9325469999999</v>
      </c>
      <c r="K2479">
        <v>3337.69112</v>
      </c>
      <c r="L2479">
        <v>4162.5967243364003</v>
      </c>
    </row>
    <row r="2480" spans="1:12" x14ac:dyDescent="0.2">
      <c r="A2480" s="8" t="s">
        <v>32</v>
      </c>
      <c r="B2480" s="8" t="s">
        <v>33</v>
      </c>
      <c r="C2480" s="8" t="s">
        <v>411</v>
      </c>
      <c r="D2480" s="8" t="s">
        <v>412</v>
      </c>
      <c r="E2480" s="8" t="s">
        <v>64</v>
      </c>
      <c r="F2480" s="8" t="s">
        <v>65</v>
      </c>
      <c r="G2480" s="8" t="s">
        <v>7</v>
      </c>
      <c r="H2480" s="8" t="s">
        <v>38</v>
      </c>
      <c r="I2480" s="9"/>
    </row>
    <row r="2481" spans="1:12" x14ac:dyDescent="0.2">
      <c r="A2481" s="8" t="s">
        <v>32</v>
      </c>
      <c r="B2481" s="8" t="s">
        <v>33</v>
      </c>
      <c r="C2481" s="8" t="s">
        <v>411</v>
      </c>
      <c r="D2481" s="8" t="s">
        <v>412</v>
      </c>
      <c r="E2481" s="8" t="s">
        <v>39</v>
      </c>
      <c r="F2481" s="8" t="s">
        <v>40</v>
      </c>
      <c r="G2481" s="8" t="s">
        <v>7</v>
      </c>
      <c r="H2481" s="8" t="s">
        <v>38</v>
      </c>
      <c r="I2481" s="9">
        <v>1282.4912999999999</v>
      </c>
      <c r="J2481">
        <v>1389.892742</v>
      </c>
      <c r="K2481">
        <v>1713.125153</v>
      </c>
      <c r="L2481">
        <v>1816.1014520616</v>
      </c>
    </row>
    <row r="2482" spans="1:12" x14ac:dyDescent="0.2">
      <c r="A2482" s="8" t="s">
        <v>32</v>
      </c>
      <c r="B2482" s="8" t="s">
        <v>33</v>
      </c>
      <c r="C2482" s="8" t="s">
        <v>411</v>
      </c>
      <c r="D2482" s="8" t="s">
        <v>412</v>
      </c>
      <c r="E2482" s="8" t="s">
        <v>41</v>
      </c>
      <c r="F2482" s="8" t="s">
        <v>42</v>
      </c>
      <c r="G2482" s="8" t="s">
        <v>7</v>
      </c>
      <c r="H2482" s="8" t="s">
        <v>38</v>
      </c>
      <c r="I2482" s="9">
        <v>128.93666999999999</v>
      </c>
      <c r="J2482">
        <v>97.242144999999994</v>
      </c>
      <c r="K2482">
        <v>65.544764999999998</v>
      </c>
      <c r="L2482">
        <v>74.837008940573</v>
      </c>
    </row>
    <row r="2483" spans="1:12" x14ac:dyDescent="0.2">
      <c r="A2483" s="8" t="s">
        <v>32</v>
      </c>
      <c r="B2483" s="8" t="s">
        <v>33</v>
      </c>
      <c r="C2483" s="8" t="s">
        <v>411</v>
      </c>
      <c r="D2483" s="8" t="s">
        <v>412</v>
      </c>
      <c r="E2483" s="8" t="s">
        <v>43</v>
      </c>
      <c r="F2483" s="8" t="s">
        <v>44</v>
      </c>
      <c r="G2483" s="8" t="s">
        <v>7</v>
      </c>
      <c r="H2483" s="8" t="s">
        <v>38</v>
      </c>
      <c r="I2483" s="9">
        <v>3661.4270999999999</v>
      </c>
      <c r="J2483">
        <v>4680.7195979999997</v>
      </c>
      <c r="K2483">
        <v>5484.1202910000002</v>
      </c>
      <c r="L2483">
        <v>5813.7718696876</v>
      </c>
    </row>
    <row r="2484" spans="1:12" x14ac:dyDescent="0.2">
      <c r="A2484" s="8" t="s">
        <v>32</v>
      </c>
      <c r="B2484" s="8" t="s">
        <v>33</v>
      </c>
      <c r="C2484" s="8" t="s">
        <v>411</v>
      </c>
      <c r="D2484" s="8" t="s">
        <v>412</v>
      </c>
      <c r="E2484" s="8" t="s">
        <v>47</v>
      </c>
      <c r="F2484" s="8" t="s">
        <v>48</v>
      </c>
      <c r="G2484" s="8" t="s">
        <v>7</v>
      </c>
      <c r="H2484" s="8" t="s">
        <v>38</v>
      </c>
      <c r="I2484" s="9">
        <v>3.1811910000000001</v>
      </c>
      <c r="J2484">
        <v>3.1381990000000002</v>
      </c>
      <c r="K2484">
        <v>1.703492</v>
      </c>
      <c r="L2484">
        <v>1.8058892482885001</v>
      </c>
    </row>
    <row r="2485" spans="1:12" x14ac:dyDescent="0.2">
      <c r="A2485" s="8" t="s">
        <v>32</v>
      </c>
      <c r="B2485" s="8" t="s">
        <v>33</v>
      </c>
      <c r="C2485" s="8" t="s">
        <v>411</v>
      </c>
      <c r="D2485" s="8" t="s">
        <v>412</v>
      </c>
      <c r="E2485" s="8" t="s">
        <v>49</v>
      </c>
      <c r="F2485" s="8" t="s">
        <v>50</v>
      </c>
      <c r="G2485" s="8" t="s">
        <v>7</v>
      </c>
      <c r="H2485" s="8" t="s">
        <v>38</v>
      </c>
      <c r="I2485" s="9">
        <v>734.60208</v>
      </c>
      <c r="J2485">
        <v>766.43803300000002</v>
      </c>
      <c r="K2485">
        <v>488.07710600000001</v>
      </c>
      <c r="L2485">
        <v>517.41551945132005</v>
      </c>
    </row>
    <row r="2486" spans="1:12" x14ac:dyDescent="0.2">
      <c r="A2486" s="8" t="s">
        <v>32</v>
      </c>
      <c r="B2486" s="8" t="s">
        <v>33</v>
      </c>
      <c r="C2486" s="8" t="s">
        <v>411</v>
      </c>
      <c r="D2486" s="8" t="s">
        <v>412</v>
      </c>
      <c r="E2486" s="8" t="s">
        <v>53</v>
      </c>
      <c r="F2486" s="8" t="s">
        <v>54</v>
      </c>
      <c r="G2486" s="8" t="s">
        <v>7</v>
      </c>
      <c r="H2486" s="8" t="s">
        <v>38</v>
      </c>
      <c r="I2486" s="9"/>
    </row>
    <row r="2487" spans="1:12" x14ac:dyDescent="0.2">
      <c r="A2487" s="8" t="s">
        <v>32</v>
      </c>
      <c r="B2487" s="8" t="s">
        <v>33</v>
      </c>
      <c r="C2487" s="8" t="s">
        <v>411</v>
      </c>
      <c r="D2487" s="8" t="s">
        <v>412</v>
      </c>
      <c r="E2487" s="8" t="s">
        <v>70</v>
      </c>
      <c r="F2487" s="8" t="s">
        <v>71</v>
      </c>
      <c r="G2487" s="8" t="s">
        <v>7</v>
      </c>
      <c r="H2487" s="8" t="s">
        <v>38</v>
      </c>
      <c r="I2487" s="9">
        <v>281.49047999999999</v>
      </c>
      <c r="J2487">
        <v>306.50356465499999</v>
      </c>
      <c r="K2487">
        <v>335.9965995</v>
      </c>
      <c r="L2487">
        <v>335.61754909160999</v>
      </c>
    </row>
    <row r="2488" spans="1:12" x14ac:dyDescent="0.2">
      <c r="A2488" s="8" t="s">
        <v>32</v>
      </c>
      <c r="B2488" s="8" t="s">
        <v>33</v>
      </c>
      <c r="C2488" s="8" t="s">
        <v>411</v>
      </c>
      <c r="D2488" s="8" t="s">
        <v>412</v>
      </c>
      <c r="E2488" s="8" t="s">
        <v>83</v>
      </c>
      <c r="F2488" s="8" t="s">
        <v>84</v>
      </c>
      <c r="G2488" s="8" t="s">
        <v>7</v>
      </c>
      <c r="H2488" s="8" t="s">
        <v>38</v>
      </c>
      <c r="I2488" s="9">
        <v>7.5</v>
      </c>
      <c r="J2488">
        <v>7.5</v>
      </c>
      <c r="K2488">
        <v>7.5</v>
      </c>
      <c r="L2488">
        <v>7.5</v>
      </c>
    </row>
    <row r="2489" spans="1:12" x14ac:dyDescent="0.2">
      <c r="A2489" s="8" t="s">
        <v>32</v>
      </c>
      <c r="B2489" s="8" t="s">
        <v>33</v>
      </c>
      <c r="C2489" s="8" t="s">
        <v>411</v>
      </c>
      <c r="D2489" s="8" t="s">
        <v>412</v>
      </c>
      <c r="E2489" s="8" t="s">
        <v>55</v>
      </c>
      <c r="F2489" s="8" t="s">
        <v>56</v>
      </c>
      <c r="G2489" s="8" t="s">
        <v>7</v>
      </c>
      <c r="H2489" s="8" t="s">
        <v>38</v>
      </c>
      <c r="I2489" s="9">
        <v>0.112177</v>
      </c>
      <c r="J2489">
        <v>0.12564110394988001</v>
      </c>
      <c r="K2489">
        <v>0.12564110394988001</v>
      </c>
      <c r="L2489">
        <v>0.12564110394988001</v>
      </c>
    </row>
    <row r="2490" spans="1:12" x14ac:dyDescent="0.2">
      <c r="A2490" s="8" t="s">
        <v>32</v>
      </c>
      <c r="B2490" s="8" t="s">
        <v>33</v>
      </c>
      <c r="C2490" s="8" t="s">
        <v>411</v>
      </c>
      <c r="D2490" s="8" t="s">
        <v>412</v>
      </c>
      <c r="E2490" s="8" t="s">
        <v>57</v>
      </c>
      <c r="F2490" s="8" t="s">
        <v>58</v>
      </c>
      <c r="G2490" s="8" t="s">
        <v>7</v>
      </c>
      <c r="H2490" s="8" t="s">
        <v>38</v>
      </c>
      <c r="I2490" s="9">
        <v>0.21900620000000001</v>
      </c>
      <c r="J2490">
        <v>0.24529258494406</v>
      </c>
      <c r="K2490">
        <v>0.24529258494406</v>
      </c>
      <c r="L2490">
        <v>0.24529258494406</v>
      </c>
    </row>
    <row r="2491" spans="1:12" x14ac:dyDescent="0.2">
      <c r="A2491" s="8" t="s">
        <v>32</v>
      </c>
      <c r="B2491" s="8" t="s">
        <v>33</v>
      </c>
      <c r="C2491" s="8" t="s">
        <v>411</v>
      </c>
      <c r="D2491" s="8" t="s">
        <v>412</v>
      </c>
      <c r="E2491" s="8" t="s">
        <v>59</v>
      </c>
      <c r="F2491" s="8" t="s">
        <v>60</v>
      </c>
      <c r="G2491" s="8" t="s">
        <v>7</v>
      </c>
      <c r="H2491" s="8" t="s">
        <v>38</v>
      </c>
      <c r="I2491" s="9">
        <v>8.0373294000000008</v>
      </c>
      <c r="J2491">
        <v>8.3969221113014996</v>
      </c>
      <c r="K2491">
        <v>9.0099167440267003</v>
      </c>
      <c r="L2491">
        <v>8.8598804964695006</v>
      </c>
    </row>
    <row r="2492" spans="1:12" x14ac:dyDescent="0.2">
      <c r="A2492" s="8" t="s">
        <v>32</v>
      </c>
      <c r="B2492" s="8" t="s">
        <v>105</v>
      </c>
      <c r="C2492" s="8" t="s">
        <v>413</v>
      </c>
      <c r="D2492" s="8" t="s">
        <v>414</v>
      </c>
      <c r="E2492" s="8" t="s">
        <v>59</v>
      </c>
      <c r="F2492" s="8" t="s">
        <v>60</v>
      </c>
      <c r="G2492" s="8" t="s">
        <v>7</v>
      </c>
      <c r="H2492" s="8" t="s">
        <v>38</v>
      </c>
      <c r="I2492" s="9">
        <v>1.1E-4</v>
      </c>
      <c r="J2492">
        <v>1.4300000000000001E-4</v>
      </c>
      <c r="K2492">
        <v>1.4300000000000001E-4</v>
      </c>
      <c r="L2492">
        <v>9.6799999999999995E-5</v>
      </c>
    </row>
    <row r="2493" spans="1:12" x14ac:dyDescent="0.2">
      <c r="A2493" s="8" t="s">
        <v>32</v>
      </c>
      <c r="B2493" s="8" t="s">
        <v>99</v>
      </c>
      <c r="C2493" s="8" t="s">
        <v>415</v>
      </c>
      <c r="D2493" s="8" t="s">
        <v>416</v>
      </c>
      <c r="E2493" s="8" t="s">
        <v>36</v>
      </c>
      <c r="F2493" s="8" t="s">
        <v>37</v>
      </c>
      <c r="G2493" s="8" t="s">
        <v>7</v>
      </c>
      <c r="H2493" s="8" t="s">
        <v>38</v>
      </c>
      <c r="I2493" s="9">
        <v>9354.6540999999997</v>
      </c>
      <c r="J2493">
        <v>10805.740065</v>
      </c>
      <c r="K2493">
        <v>12651.088820999999</v>
      </c>
      <c r="L2493">
        <v>12909.092885413</v>
      </c>
    </row>
    <row r="2494" spans="1:12" x14ac:dyDescent="0.2">
      <c r="A2494" s="8" t="s">
        <v>32</v>
      </c>
      <c r="B2494" s="8" t="s">
        <v>99</v>
      </c>
      <c r="C2494" s="8" t="s">
        <v>415</v>
      </c>
      <c r="D2494" s="8" t="s">
        <v>416</v>
      </c>
      <c r="E2494" s="8" t="s">
        <v>64</v>
      </c>
      <c r="F2494" s="8" t="s">
        <v>65</v>
      </c>
      <c r="G2494" s="8" t="s">
        <v>7</v>
      </c>
      <c r="H2494" s="8" t="s">
        <v>38</v>
      </c>
      <c r="I2494" s="9">
        <v>2363.2631999999999</v>
      </c>
      <c r="J2494">
        <v>2472.590115</v>
      </c>
      <c r="K2494">
        <v>2719.1702220000002</v>
      </c>
      <c r="L2494">
        <v>2863.0396887011998</v>
      </c>
    </row>
    <row r="2495" spans="1:12" x14ac:dyDescent="0.2">
      <c r="A2495" s="8" t="s">
        <v>32</v>
      </c>
      <c r="B2495" s="8" t="s">
        <v>99</v>
      </c>
      <c r="C2495" s="8" t="s">
        <v>415</v>
      </c>
      <c r="D2495" s="8" t="s">
        <v>416</v>
      </c>
      <c r="E2495" s="8" t="s">
        <v>39</v>
      </c>
      <c r="F2495" s="8" t="s">
        <v>40</v>
      </c>
      <c r="G2495" s="8" t="s">
        <v>7</v>
      </c>
      <c r="H2495" s="8" t="s">
        <v>38</v>
      </c>
      <c r="I2495" s="9">
        <v>6523.6107000000002</v>
      </c>
      <c r="J2495">
        <v>8505.1188669999992</v>
      </c>
      <c r="K2495">
        <v>10095.835786</v>
      </c>
      <c r="L2495">
        <v>10148.688265143001</v>
      </c>
    </row>
    <row r="2496" spans="1:12" x14ac:dyDescent="0.2">
      <c r="A2496" s="8" t="s">
        <v>32</v>
      </c>
      <c r="B2496" s="8" t="s">
        <v>99</v>
      </c>
      <c r="C2496" s="8" t="s">
        <v>415</v>
      </c>
      <c r="D2496" s="8" t="s">
        <v>416</v>
      </c>
      <c r="E2496" s="8" t="s">
        <v>41</v>
      </c>
      <c r="F2496" s="8" t="s">
        <v>42</v>
      </c>
      <c r="G2496" s="8" t="s">
        <v>7</v>
      </c>
      <c r="H2496" s="8" t="s">
        <v>38</v>
      </c>
      <c r="I2496" s="9">
        <v>442.12526000000003</v>
      </c>
      <c r="J2496">
        <v>610.84666500000003</v>
      </c>
      <c r="K2496">
        <v>830.80712000000005</v>
      </c>
      <c r="L2496">
        <v>948.59017142454002</v>
      </c>
    </row>
    <row r="2497" spans="1:12" x14ac:dyDescent="0.2">
      <c r="A2497" s="8" t="s">
        <v>32</v>
      </c>
      <c r="B2497" s="8" t="s">
        <v>99</v>
      </c>
      <c r="C2497" s="8" t="s">
        <v>415</v>
      </c>
      <c r="D2497" s="8" t="s">
        <v>416</v>
      </c>
      <c r="E2497" s="8" t="s">
        <v>43</v>
      </c>
      <c r="F2497" s="8" t="s">
        <v>44</v>
      </c>
      <c r="G2497" s="8" t="s">
        <v>7</v>
      </c>
      <c r="H2497" s="8" t="s">
        <v>38</v>
      </c>
      <c r="I2497" s="9">
        <v>19427.828000000001</v>
      </c>
      <c r="J2497">
        <v>25221.478912999999</v>
      </c>
      <c r="K2497">
        <v>25945.291710000001</v>
      </c>
      <c r="L2497">
        <v>26673.725388880001</v>
      </c>
    </row>
    <row r="2498" spans="1:12" x14ac:dyDescent="0.2">
      <c r="A2498" s="8" t="s">
        <v>32</v>
      </c>
      <c r="B2498" s="8" t="s">
        <v>99</v>
      </c>
      <c r="C2498" s="8" t="s">
        <v>415</v>
      </c>
      <c r="D2498" s="8" t="s">
        <v>416</v>
      </c>
      <c r="E2498" s="8" t="s">
        <v>45</v>
      </c>
      <c r="F2498" s="8" t="s">
        <v>46</v>
      </c>
      <c r="G2498" s="8" t="s">
        <v>7</v>
      </c>
      <c r="H2498" s="8" t="s">
        <v>38</v>
      </c>
      <c r="I2498" s="9">
        <v>46.211669999999998</v>
      </c>
      <c r="J2498">
        <v>585.238428</v>
      </c>
      <c r="K2498">
        <v>30.386465999999999</v>
      </c>
      <c r="L2498">
        <v>32.380485165822002</v>
      </c>
    </row>
    <row r="2499" spans="1:12" x14ac:dyDescent="0.2">
      <c r="A2499" s="8" t="s">
        <v>32</v>
      </c>
      <c r="B2499" s="8" t="s">
        <v>99</v>
      </c>
      <c r="C2499" s="8" t="s">
        <v>415</v>
      </c>
      <c r="D2499" s="8" t="s">
        <v>416</v>
      </c>
      <c r="E2499" s="8" t="s">
        <v>49</v>
      </c>
      <c r="F2499" s="8" t="s">
        <v>50</v>
      </c>
      <c r="G2499" s="8" t="s">
        <v>7</v>
      </c>
      <c r="H2499" s="8" t="s">
        <v>38</v>
      </c>
      <c r="I2499" s="9">
        <v>4279.1799000000001</v>
      </c>
      <c r="J2499">
        <v>4512.2423829999998</v>
      </c>
      <c r="K2499">
        <v>4542.4582950000004</v>
      </c>
      <c r="L2499">
        <v>4665.7362280406996</v>
      </c>
    </row>
    <row r="2500" spans="1:12" x14ac:dyDescent="0.2">
      <c r="A2500" s="8" t="s">
        <v>32</v>
      </c>
      <c r="B2500" s="8" t="s">
        <v>99</v>
      </c>
      <c r="C2500" s="8" t="s">
        <v>415</v>
      </c>
      <c r="D2500" s="8" t="s">
        <v>416</v>
      </c>
      <c r="E2500" s="8" t="s">
        <v>51</v>
      </c>
      <c r="F2500" s="8" t="s">
        <v>52</v>
      </c>
      <c r="G2500" s="8" t="s">
        <v>7</v>
      </c>
      <c r="H2500" s="8" t="s">
        <v>38</v>
      </c>
      <c r="I2500" s="9"/>
    </row>
    <row r="2501" spans="1:12" x14ac:dyDescent="0.2">
      <c r="A2501" s="8" t="s">
        <v>32</v>
      </c>
      <c r="B2501" s="8" t="s">
        <v>99</v>
      </c>
      <c r="C2501" s="8" t="s">
        <v>415</v>
      </c>
      <c r="D2501" s="8" t="s">
        <v>416</v>
      </c>
      <c r="E2501" s="8" t="s">
        <v>68</v>
      </c>
      <c r="F2501" s="8" t="s">
        <v>69</v>
      </c>
      <c r="G2501" s="8" t="s">
        <v>7</v>
      </c>
      <c r="H2501" s="8" t="s">
        <v>38</v>
      </c>
      <c r="I2501" s="9">
        <v>1.2335486</v>
      </c>
      <c r="J2501">
        <v>1.4688916689655001</v>
      </c>
      <c r="K2501">
        <v>1.9573031089655</v>
      </c>
      <c r="L2501">
        <v>1.9419212800000001</v>
      </c>
    </row>
    <row r="2502" spans="1:12" x14ac:dyDescent="0.2">
      <c r="A2502" s="8" t="s">
        <v>32</v>
      </c>
      <c r="B2502" s="8" t="s">
        <v>99</v>
      </c>
      <c r="C2502" s="8" t="s">
        <v>415</v>
      </c>
      <c r="D2502" s="8" t="s">
        <v>416</v>
      </c>
      <c r="E2502" s="8" t="s">
        <v>53</v>
      </c>
      <c r="F2502" s="8" t="s">
        <v>54</v>
      </c>
      <c r="G2502" s="8" t="s">
        <v>7</v>
      </c>
      <c r="H2502" s="8" t="s">
        <v>38</v>
      </c>
      <c r="I2502" s="9">
        <v>203.94308000000001</v>
      </c>
      <c r="J2502">
        <v>161.94137064729</v>
      </c>
      <c r="K2502">
        <v>195.27210143319999</v>
      </c>
      <c r="L2502">
        <v>169.47280063722999</v>
      </c>
    </row>
    <row r="2503" spans="1:12" x14ac:dyDescent="0.2">
      <c r="A2503" s="8" t="s">
        <v>32</v>
      </c>
      <c r="B2503" s="8" t="s">
        <v>99</v>
      </c>
      <c r="C2503" s="8" t="s">
        <v>415</v>
      </c>
      <c r="D2503" s="8" t="s">
        <v>416</v>
      </c>
      <c r="E2503" s="8" t="s">
        <v>70</v>
      </c>
      <c r="F2503" s="8" t="s">
        <v>71</v>
      </c>
      <c r="G2503" s="8" t="s">
        <v>7</v>
      </c>
      <c r="H2503" s="8" t="s">
        <v>38</v>
      </c>
      <c r="I2503" s="9">
        <v>3502.058</v>
      </c>
      <c r="J2503">
        <v>4925.4874900049999</v>
      </c>
      <c r="K2503">
        <v>5172.6239685</v>
      </c>
      <c r="L2503">
        <v>5166.7885367408999</v>
      </c>
    </row>
    <row r="2504" spans="1:12" x14ac:dyDescent="0.2">
      <c r="A2504" s="8" t="s">
        <v>32</v>
      </c>
      <c r="B2504" s="8" t="s">
        <v>99</v>
      </c>
      <c r="C2504" s="8" t="s">
        <v>415</v>
      </c>
      <c r="D2504" s="8" t="s">
        <v>416</v>
      </c>
      <c r="E2504" s="8" t="s">
        <v>83</v>
      </c>
      <c r="F2504" s="8" t="s">
        <v>84</v>
      </c>
      <c r="G2504" s="8" t="s">
        <v>7</v>
      </c>
      <c r="H2504" s="8" t="s">
        <v>38</v>
      </c>
      <c r="I2504" s="9">
        <v>165</v>
      </c>
      <c r="J2504">
        <v>187.5</v>
      </c>
      <c r="K2504">
        <v>180</v>
      </c>
      <c r="L2504">
        <v>172.5</v>
      </c>
    </row>
    <row r="2505" spans="1:12" x14ac:dyDescent="0.2">
      <c r="A2505" s="8" t="s">
        <v>32</v>
      </c>
      <c r="B2505" s="8" t="s">
        <v>99</v>
      </c>
      <c r="C2505" s="8" t="s">
        <v>415</v>
      </c>
      <c r="D2505" s="8" t="s">
        <v>416</v>
      </c>
      <c r="E2505" s="8" t="s">
        <v>55</v>
      </c>
      <c r="F2505" s="8" t="s">
        <v>56</v>
      </c>
      <c r="G2505" s="8" t="s">
        <v>7</v>
      </c>
      <c r="H2505" s="8" t="s">
        <v>38</v>
      </c>
      <c r="I2505" s="9">
        <v>1.3966391</v>
      </c>
      <c r="J2505">
        <v>1.5642719670123</v>
      </c>
      <c r="K2505">
        <v>1.5642719670123</v>
      </c>
      <c r="L2505">
        <v>1.5642719670123</v>
      </c>
    </row>
    <row r="2506" spans="1:12" x14ac:dyDescent="0.2">
      <c r="A2506" s="8" t="s">
        <v>32</v>
      </c>
      <c r="B2506" s="8" t="s">
        <v>99</v>
      </c>
      <c r="C2506" s="8" t="s">
        <v>415</v>
      </c>
      <c r="D2506" s="8" t="s">
        <v>416</v>
      </c>
      <c r="E2506" s="8" t="s">
        <v>57</v>
      </c>
      <c r="F2506" s="8" t="s">
        <v>58</v>
      </c>
      <c r="G2506" s="8" t="s">
        <v>7</v>
      </c>
      <c r="H2506" s="8" t="s">
        <v>38</v>
      </c>
      <c r="I2506" s="9">
        <v>28.244046999999998</v>
      </c>
      <c r="J2506">
        <v>31.634064538354</v>
      </c>
      <c r="K2506">
        <v>31.634064538354</v>
      </c>
      <c r="L2506">
        <v>31.634064538354</v>
      </c>
    </row>
    <row r="2507" spans="1:12" x14ac:dyDescent="0.2">
      <c r="A2507" s="8" t="s">
        <v>32</v>
      </c>
      <c r="B2507" s="8" t="s">
        <v>99</v>
      </c>
      <c r="C2507" s="8" t="s">
        <v>415</v>
      </c>
      <c r="D2507" s="8" t="s">
        <v>416</v>
      </c>
      <c r="E2507" s="8" t="s">
        <v>72</v>
      </c>
      <c r="F2507" s="8" t="s">
        <v>73</v>
      </c>
      <c r="G2507" s="8" t="s">
        <v>7</v>
      </c>
      <c r="H2507" s="8" t="s">
        <v>38</v>
      </c>
      <c r="I2507" s="9">
        <v>41.15</v>
      </c>
      <c r="J2507">
        <v>41.15</v>
      </c>
      <c r="K2507">
        <v>43.7</v>
      </c>
      <c r="L2507">
        <v>43.7</v>
      </c>
    </row>
    <row r="2508" spans="1:12" x14ac:dyDescent="0.2">
      <c r="A2508" s="8" t="s">
        <v>32</v>
      </c>
      <c r="B2508" s="8" t="s">
        <v>99</v>
      </c>
      <c r="C2508" s="8" t="s">
        <v>415</v>
      </c>
      <c r="D2508" s="8" t="s">
        <v>416</v>
      </c>
      <c r="E2508" s="8" t="s">
        <v>74</v>
      </c>
      <c r="F2508" s="8" t="s">
        <v>75</v>
      </c>
      <c r="G2508" s="8" t="s">
        <v>7</v>
      </c>
      <c r="H2508" s="8" t="s">
        <v>38</v>
      </c>
      <c r="I2508" s="9">
        <v>189.69252</v>
      </c>
      <c r="J2508">
        <v>221.16692</v>
      </c>
      <c r="K2508">
        <v>247.19875999999999</v>
      </c>
      <c r="L2508">
        <v>243.96953469555001</v>
      </c>
    </row>
    <row r="2509" spans="1:12" x14ac:dyDescent="0.2">
      <c r="A2509" s="8" t="s">
        <v>32</v>
      </c>
      <c r="B2509" s="8" t="s">
        <v>99</v>
      </c>
      <c r="C2509" s="8" t="s">
        <v>415</v>
      </c>
      <c r="D2509" s="8" t="s">
        <v>416</v>
      </c>
      <c r="E2509" s="8" t="s">
        <v>59</v>
      </c>
      <c r="F2509" s="8" t="s">
        <v>60</v>
      </c>
      <c r="G2509" s="8" t="s">
        <v>7</v>
      </c>
      <c r="H2509" s="8" t="s">
        <v>38</v>
      </c>
      <c r="I2509" s="9">
        <v>70.973979999999997</v>
      </c>
      <c r="J2509">
        <v>69.522692229008001</v>
      </c>
      <c r="K2509">
        <v>68.448872336934997</v>
      </c>
      <c r="L2509">
        <v>69.060748433618002</v>
      </c>
    </row>
    <row r="2510" spans="1:12" x14ac:dyDescent="0.2">
      <c r="A2510" s="8" t="s">
        <v>32</v>
      </c>
      <c r="B2510" s="8" t="s">
        <v>99</v>
      </c>
      <c r="C2510" s="8" t="s">
        <v>415</v>
      </c>
      <c r="D2510" s="8" t="s">
        <v>416</v>
      </c>
      <c r="E2510" s="8" t="s">
        <v>76</v>
      </c>
      <c r="F2510" s="8" t="s">
        <v>77</v>
      </c>
      <c r="G2510" s="8" t="s">
        <v>7</v>
      </c>
      <c r="H2510" s="8" t="s">
        <v>38</v>
      </c>
      <c r="I2510" s="9">
        <v>636.11428999999998</v>
      </c>
      <c r="J2510">
        <v>1019.2285715503</v>
      </c>
      <c r="K2510">
        <v>756.80000011932998</v>
      </c>
      <c r="L2510">
        <v>725.26666678102004</v>
      </c>
    </row>
    <row r="2511" spans="1:12" x14ac:dyDescent="0.2">
      <c r="A2511" s="8" t="s">
        <v>32</v>
      </c>
      <c r="B2511" s="8" t="s">
        <v>99</v>
      </c>
      <c r="C2511" s="8" t="s">
        <v>415</v>
      </c>
      <c r="D2511" s="8" t="s">
        <v>416</v>
      </c>
      <c r="E2511" s="8" t="s">
        <v>78</v>
      </c>
      <c r="F2511" s="8" t="s">
        <v>79</v>
      </c>
      <c r="G2511" s="8" t="s">
        <v>7</v>
      </c>
      <c r="H2511" s="8" t="s">
        <v>38</v>
      </c>
      <c r="I2511" s="9">
        <v>246.87137999999999</v>
      </c>
      <c r="J2511">
        <v>245.45709822857</v>
      </c>
      <c r="K2511">
        <v>216.22853211429</v>
      </c>
      <c r="L2511">
        <v>202.11710610857</v>
      </c>
    </row>
    <row r="2512" spans="1:12" x14ac:dyDescent="0.2">
      <c r="A2512" s="8" t="s">
        <v>32</v>
      </c>
      <c r="B2512" s="8" t="s">
        <v>99</v>
      </c>
      <c r="C2512" s="8" t="s">
        <v>415</v>
      </c>
      <c r="D2512" s="8" t="s">
        <v>416</v>
      </c>
      <c r="E2512" s="8" t="s">
        <v>92</v>
      </c>
      <c r="F2512" s="8" t="s">
        <v>93</v>
      </c>
      <c r="G2512" s="8" t="s">
        <v>7</v>
      </c>
      <c r="H2512" s="8" t="s">
        <v>38</v>
      </c>
      <c r="I2512" s="9">
        <v>9.2733682000000002</v>
      </c>
      <c r="J2512">
        <v>9.4019034572070996</v>
      </c>
      <c r="K2512">
        <v>9.5298979075396009</v>
      </c>
      <c r="L2512">
        <v>9.6579528393596998</v>
      </c>
    </row>
    <row r="2513" spans="1:12" x14ac:dyDescent="0.2">
      <c r="A2513" s="8" t="s">
        <v>32</v>
      </c>
      <c r="B2513" s="8" t="s">
        <v>153</v>
      </c>
      <c r="C2513" s="8" t="s">
        <v>417</v>
      </c>
      <c r="D2513" s="8" t="s">
        <v>418</v>
      </c>
      <c r="E2513" s="8" t="s">
        <v>36</v>
      </c>
      <c r="F2513" s="8" t="s">
        <v>37</v>
      </c>
      <c r="G2513" s="8" t="s">
        <v>7</v>
      </c>
      <c r="H2513" s="8" t="s">
        <v>38</v>
      </c>
      <c r="I2513" s="9">
        <v>72079.902000000002</v>
      </c>
      <c r="J2513">
        <v>75065.733296000006</v>
      </c>
      <c r="K2513">
        <v>77501.428150000007</v>
      </c>
      <c r="L2513">
        <v>85820.947691195004</v>
      </c>
    </row>
    <row r="2514" spans="1:12" x14ac:dyDescent="0.2">
      <c r="A2514" s="8" t="s">
        <v>32</v>
      </c>
      <c r="B2514" s="8" t="s">
        <v>153</v>
      </c>
      <c r="C2514" s="8" t="s">
        <v>417</v>
      </c>
      <c r="D2514" s="8" t="s">
        <v>418</v>
      </c>
      <c r="E2514" s="8" t="s">
        <v>64</v>
      </c>
      <c r="F2514" s="8" t="s">
        <v>65</v>
      </c>
      <c r="G2514" s="8" t="s">
        <v>7</v>
      </c>
      <c r="H2514" s="8" t="s">
        <v>38</v>
      </c>
      <c r="I2514" s="9">
        <v>932.11892</v>
      </c>
      <c r="J2514">
        <v>515.90445299999999</v>
      </c>
      <c r="K2514">
        <v>1329.838825</v>
      </c>
      <c r="L2514">
        <v>1456.3312011022999</v>
      </c>
    </row>
    <row r="2515" spans="1:12" x14ac:dyDescent="0.2">
      <c r="A2515" s="8" t="s">
        <v>32</v>
      </c>
      <c r="B2515" s="8" t="s">
        <v>153</v>
      </c>
      <c r="C2515" s="8" t="s">
        <v>417</v>
      </c>
      <c r="D2515" s="8" t="s">
        <v>418</v>
      </c>
      <c r="E2515" s="8" t="s">
        <v>39</v>
      </c>
      <c r="F2515" s="8" t="s">
        <v>40</v>
      </c>
      <c r="G2515" s="8" t="s">
        <v>7</v>
      </c>
      <c r="H2515" s="8" t="s">
        <v>38</v>
      </c>
      <c r="I2515" s="9">
        <v>11383.181</v>
      </c>
      <c r="J2515">
        <v>12638.636687</v>
      </c>
      <c r="K2515">
        <v>13086.384791</v>
      </c>
      <c r="L2515">
        <v>14101.697606063</v>
      </c>
    </row>
    <row r="2516" spans="1:12" x14ac:dyDescent="0.2">
      <c r="A2516" s="8" t="s">
        <v>32</v>
      </c>
      <c r="B2516" s="8" t="s">
        <v>153</v>
      </c>
      <c r="C2516" s="8" t="s">
        <v>417</v>
      </c>
      <c r="D2516" s="8" t="s">
        <v>418</v>
      </c>
      <c r="E2516" s="8" t="s">
        <v>41</v>
      </c>
      <c r="F2516" s="8" t="s">
        <v>42</v>
      </c>
      <c r="G2516" s="8" t="s">
        <v>7</v>
      </c>
      <c r="H2516" s="8" t="s">
        <v>38</v>
      </c>
      <c r="I2516" s="9">
        <v>654.75269000000003</v>
      </c>
      <c r="J2516">
        <v>581.05453499999999</v>
      </c>
      <c r="K2516">
        <v>1026.41013</v>
      </c>
      <c r="L2516">
        <v>1366.9495705756999</v>
      </c>
    </row>
    <row r="2517" spans="1:12" x14ac:dyDescent="0.2">
      <c r="A2517" s="8" t="s">
        <v>32</v>
      </c>
      <c r="B2517" s="8" t="s">
        <v>153</v>
      </c>
      <c r="C2517" s="8" t="s">
        <v>417</v>
      </c>
      <c r="D2517" s="8" t="s">
        <v>418</v>
      </c>
      <c r="E2517" s="8" t="s">
        <v>43</v>
      </c>
      <c r="F2517" s="8" t="s">
        <v>44</v>
      </c>
      <c r="G2517" s="8" t="s">
        <v>7</v>
      </c>
      <c r="H2517" s="8" t="s">
        <v>38</v>
      </c>
      <c r="I2517" s="9">
        <v>25481.523000000001</v>
      </c>
      <c r="J2517">
        <v>28589.018175000001</v>
      </c>
      <c r="K2517">
        <v>31742.529541</v>
      </c>
      <c r="L2517">
        <v>32575.536980583998</v>
      </c>
    </row>
    <row r="2518" spans="1:12" x14ac:dyDescent="0.2">
      <c r="A2518" s="8" t="s">
        <v>32</v>
      </c>
      <c r="B2518" s="8" t="s">
        <v>153</v>
      </c>
      <c r="C2518" s="8" t="s">
        <v>417</v>
      </c>
      <c r="D2518" s="8" t="s">
        <v>418</v>
      </c>
      <c r="E2518" s="8" t="s">
        <v>66</v>
      </c>
      <c r="F2518" s="8" t="s">
        <v>67</v>
      </c>
      <c r="G2518" s="8" t="s">
        <v>7</v>
      </c>
      <c r="H2518" s="8" t="s">
        <v>38</v>
      </c>
      <c r="I2518" s="9">
        <v>4.591977</v>
      </c>
      <c r="J2518">
        <v>5.3433510000000002</v>
      </c>
      <c r="K2518">
        <v>5.8887270000000003</v>
      </c>
      <c r="L2518">
        <v>6.0432626804138998</v>
      </c>
    </row>
    <row r="2519" spans="1:12" x14ac:dyDescent="0.2">
      <c r="A2519" s="8" t="s">
        <v>32</v>
      </c>
      <c r="B2519" s="8" t="s">
        <v>153</v>
      </c>
      <c r="C2519" s="8" t="s">
        <v>417</v>
      </c>
      <c r="D2519" s="8" t="s">
        <v>418</v>
      </c>
      <c r="E2519" s="8" t="s">
        <v>45</v>
      </c>
      <c r="F2519" s="8" t="s">
        <v>46</v>
      </c>
      <c r="G2519" s="8" t="s">
        <v>7</v>
      </c>
      <c r="H2519" s="8" t="s">
        <v>38</v>
      </c>
      <c r="I2519" s="9">
        <v>2314.4580000000001</v>
      </c>
      <c r="J2519">
        <v>2603.3775900000001</v>
      </c>
      <c r="K2519">
        <v>2918.6632079999999</v>
      </c>
      <c r="L2519">
        <v>2817.0034121264998</v>
      </c>
    </row>
    <row r="2520" spans="1:12" x14ac:dyDescent="0.2">
      <c r="A2520" s="8" t="s">
        <v>32</v>
      </c>
      <c r="B2520" s="8" t="s">
        <v>153</v>
      </c>
      <c r="C2520" s="8" t="s">
        <v>417</v>
      </c>
      <c r="D2520" s="8" t="s">
        <v>418</v>
      </c>
      <c r="E2520" s="8" t="s">
        <v>49</v>
      </c>
      <c r="F2520" s="8" t="s">
        <v>50</v>
      </c>
      <c r="G2520" s="8" t="s">
        <v>7</v>
      </c>
      <c r="H2520" s="8" t="s">
        <v>38</v>
      </c>
      <c r="I2520" s="9">
        <v>11390.321</v>
      </c>
      <c r="J2520">
        <v>12185.660250000001</v>
      </c>
      <c r="K2520">
        <v>9920.0998259999997</v>
      </c>
      <c r="L2520">
        <v>10180.429329539</v>
      </c>
    </row>
    <row r="2521" spans="1:12" x14ac:dyDescent="0.2">
      <c r="A2521" s="8" t="s">
        <v>32</v>
      </c>
      <c r="B2521" s="8" t="s">
        <v>153</v>
      </c>
      <c r="C2521" s="8" t="s">
        <v>417</v>
      </c>
      <c r="D2521" s="8" t="s">
        <v>418</v>
      </c>
      <c r="E2521" s="8" t="s">
        <v>51</v>
      </c>
      <c r="F2521" s="8" t="s">
        <v>52</v>
      </c>
      <c r="G2521" s="8" t="s">
        <v>7</v>
      </c>
      <c r="H2521" s="8" t="s">
        <v>38</v>
      </c>
      <c r="I2521" s="9"/>
    </row>
    <row r="2522" spans="1:12" x14ac:dyDescent="0.2">
      <c r="A2522" s="8" t="s">
        <v>32</v>
      </c>
      <c r="B2522" s="8" t="s">
        <v>153</v>
      </c>
      <c r="C2522" s="8" t="s">
        <v>417</v>
      </c>
      <c r="D2522" s="8" t="s">
        <v>418</v>
      </c>
      <c r="E2522" s="8" t="s">
        <v>68</v>
      </c>
      <c r="F2522" s="8" t="s">
        <v>69</v>
      </c>
      <c r="G2522" s="8" t="s">
        <v>7</v>
      </c>
      <c r="H2522" s="8" t="s">
        <v>38</v>
      </c>
      <c r="I2522" s="9">
        <v>107.1366</v>
      </c>
      <c r="J2522">
        <v>116.20624017103</v>
      </c>
      <c r="K2522">
        <v>119.59436408000001</v>
      </c>
      <c r="L2522">
        <v>119.59436408000001</v>
      </c>
    </row>
    <row r="2523" spans="1:12" x14ac:dyDescent="0.2">
      <c r="A2523" s="8" t="s">
        <v>32</v>
      </c>
      <c r="B2523" s="8" t="s">
        <v>153</v>
      </c>
      <c r="C2523" s="8" t="s">
        <v>417</v>
      </c>
      <c r="D2523" s="8" t="s">
        <v>418</v>
      </c>
      <c r="E2523" s="8" t="s">
        <v>53</v>
      </c>
      <c r="F2523" s="8" t="s">
        <v>54</v>
      </c>
      <c r="G2523" s="8" t="s">
        <v>7</v>
      </c>
      <c r="H2523" s="8" t="s">
        <v>38</v>
      </c>
      <c r="I2523" s="9">
        <v>154.30076</v>
      </c>
      <c r="J2523">
        <v>168.4367393725</v>
      </c>
      <c r="K2523">
        <v>140.16696447090999</v>
      </c>
      <c r="L2523">
        <v>122.13119937625</v>
      </c>
    </row>
    <row r="2524" spans="1:12" x14ac:dyDescent="0.2">
      <c r="A2524" s="8" t="s">
        <v>32</v>
      </c>
      <c r="B2524" s="8" t="s">
        <v>153</v>
      </c>
      <c r="C2524" s="8" t="s">
        <v>417</v>
      </c>
      <c r="D2524" s="8" t="s">
        <v>418</v>
      </c>
      <c r="E2524" s="8" t="s">
        <v>70</v>
      </c>
      <c r="F2524" s="8" t="s">
        <v>71</v>
      </c>
      <c r="G2524" s="8" t="s">
        <v>7</v>
      </c>
      <c r="H2524" s="8" t="s">
        <v>38</v>
      </c>
      <c r="I2524" s="9">
        <v>9328.7999999999993</v>
      </c>
      <c r="J2524">
        <v>10951.2</v>
      </c>
      <c r="K2524">
        <v>11640.72</v>
      </c>
      <c r="L2524">
        <v>11627.587665695</v>
      </c>
    </row>
    <row r="2525" spans="1:12" x14ac:dyDescent="0.2">
      <c r="A2525" s="8" t="s">
        <v>32</v>
      </c>
      <c r="B2525" s="8" t="s">
        <v>153</v>
      </c>
      <c r="C2525" s="8" t="s">
        <v>417</v>
      </c>
      <c r="D2525" s="8" t="s">
        <v>418</v>
      </c>
      <c r="E2525" s="8" t="s">
        <v>83</v>
      </c>
      <c r="F2525" s="8" t="s">
        <v>84</v>
      </c>
      <c r="G2525" s="8" t="s">
        <v>7</v>
      </c>
      <c r="H2525" s="8" t="s">
        <v>38</v>
      </c>
      <c r="I2525" s="9">
        <v>7.5</v>
      </c>
      <c r="J2525">
        <v>7.5</v>
      </c>
      <c r="K2525">
        <v>7.5</v>
      </c>
      <c r="L2525">
        <v>7.5</v>
      </c>
    </row>
    <row r="2526" spans="1:12" x14ac:dyDescent="0.2">
      <c r="A2526" s="8" t="s">
        <v>32</v>
      </c>
      <c r="B2526" s="8" t="s">
        <v>153</v>
      </c>
      <c r="C2526" s="8" t="s">
        <v>417</v>
      </c>
      <c r="D2526" s="8" t="s">
        <v>418</v>
      </c>
      <c r="E2526" s="8" t="s">
        <v>55</v>
      </c>
      <c r="F2526" s="8" t="s">
        <v>56</v>
      </c>
      <c r="G2526" s="8" t="s">
        <v>7</v>
      </c>
      <c r="H2526" s="8" t="s">
        <v>38</v>
      </c>
      <c r="I2526" s="9">
        <v>4.3279120999999998</v>
      </c>
      <c r="J2526">
        <v>4.84737374928</v>
      </c>
      <c r="K2526">
        <v>4.84737374928</v>
      </c>
      <c r="L2526">
        <v>4.84737374928</v>
      </c>
    </row>
    <row r="2527" spans="1:12" x14ac:dyDescent="0.2">
      <c r="A2527" s="8" t="s">
        <v>32</v>
      </c>
      <c r="B2527" s="8" t="s">
        <v>153</v>
      </c>
      <c r="C2527" s="8" t="s">
        <v>417</v>
      </c>
      <c r="D2527" s="8" t="s">
        <v>418</v>
      </c>
      <c r="E2527" s="8" t="s">
        <v>57</v>
      </c>
      <c r="F2527" s="8" t="s">
        <v>58</v>
      </c>
      <c r="G2527" s="8" t="s">
        <v>7</v>
      </c>
      <c r="H2527" s="8" t="s">
        <v>38</v>
      </c>
      <c r="I2527" s="9">
        <v>76.288746000000003</v>
      </c>
      <c r="J2527">
        <v>85.445373440696997</v>
      </c>
      <c r="K2527">
        <v>85.445373440696997</v>
      </c>
      <c r="L2527">
        <v>85.445373440696997</v>
      </c>
    </row>
    <row r="2528" spans="1:12" x14ac:dyDescent="0.2">
      <c r="A2528" s="8" t="s">
        <v>32</v>
      </c>
      <c r="B2528" s="8" t="s">
        <v>153</v>
      </c>
      <c r="C2528" s="8" t="s">
        <v>417</v>
      </c>
      <c r="D2528" s="8" t="s">
        <v>418</v>
      </c>
      <c r="E2528" s="8" t="s">
        <v>72</v>
      </c>
      <c r="F2528" s="8" t="s">
        <v>73</v>
      </c>
      <c r="G2528" s="8" t="s">
        <v>7</v>
      </c>
      <c r="H2528" s="8" t="s">
        <v>38</v>
      </c>
      <c r="I2528" s="9">
        <v>105.94199</v>
      </c>
      <c r="J2528">
        <v>114.49760529466</v>
      </c>
      <c r="K2528">
        <v>125.11617206757001</v>
      </c>
      <c r="L2528">
        <v>131.78803587221</v>
      </c>
    </row>
    <row r="2529" spans="1:12" x14ac:dyDescent="0.2">
      <c r="A2529" s="8" t="s">
        <v>32</v>
      </c>
      <c r="B2529" s="8" t="s">
        <v>153</v>
      </c>
      <c r="C2529" s="8" t="s">
        <v>417</v>
      </c>
      <c r="D2529" s="8" t="s">
        <v>418</v>
      </c>
      <c r="E2529" s="8" t="s">
        <v>74</v>
      </c>
      <c r="F2529" s="8" t="s">
        <v>75</v>
      </c>
      <c r="G2529" s="8" t="s">
        <v>7</v>
      </c>
      <c r="H2529" s="8" t="s">
        <v>38</v>
      </c>
      <c r="I2529" s="9">
        <v>38.422440000000002</v>
      </c>
      <c r="J2529">
        <v>64.923000000000002</v>
      </c>
      <c r="K2529">
        <v>66.73</v>
      </c>
      <c r="L2529">
        <v>76.77</v>
      </c>
    </row>
    <row r="2530" spans="1:12" x14ac:dyDescent="0.2">
      <c r="A2530" s="8" t="s">
        <v>32</v>
      </c>
      <c r="B2530" s="8" t="s">
        <v>153</v>
      </c>
      <c r="C2530" s="8" t="s">
        <v>417</v>
      </c>
      <c r="D2530" s="8" t="s">
        <v>418</v>
      </c>
      <c r="E2530" s="8" t="s">
        <v>59</v>
      </c>
      <c r="F2530" s="8" t="s">
        <v>60</v>
      </c>
      <c r="G2530" s="8" t="s">
        <v>7</v>
      </c>
      <c r="H2530" s="8" t="s">
        <v>38</v>
      </c>
      <c r="I2530" s="9">
        <v>675.13553999999999</v>
      </c>
      <c r="J2530">
        <v>515.52313058780999</v>
      </c>
      <c r="K2530">
        <v>540.17316731126004</v>
      </c>
      <c r="L2530">
        <v>565.85773215696997</v>
      </c>
    </row>
    <row r="2531" spans="1:12" x14ac:dyDescent="0.2">
      <c r="A2531" s="8" t="s">
        <v>32</v>
      </c>
      <c r="B2531" s="8" t="s">
        <v>153</v>
      </c>
      <c r="C2531" s="8" t="s">
        <v>417</v>
      </c>
      <c r="D2531" s="8" t="s">
        <v>418</v>
      </c>
      <c r="E2531" s="8" t="s">
        <v>76</v>
      </c>
      <c r="F2531" s="8" t="s">
        <v>77</v>
      </c>
      <c r="G2531" s="8" t="s">
        <v>7</v>
      </c>
      <c r="H2531" s="8" t="s">
        <v>38</v>
      </c>
      <c r="I2531" s="9">
        <v>839.14286000000004</v>
      </c>
      <c r="J2531">
        <v>879.16190501338997</v>
      </c>
      <c r="K2531">
        <v>884.40000025124004</v>
      </c>
      <c r="L2531">
        <v>884.40000025124004</v>
      </c>
    </row>
    <row r="2532" spans="1:12" x14ac:dyDescent="0.2">
      <c r="A2532" s="8" t="s">
        <v>32</v>
      </c>
      <c r="B2532" s="8" t="s">
        <v>153</v>
      </c>
      <c r="C2532" s="8" t="s">
        <v>417</v>
      </c>
      <c r="D2532" s="8" t="s">
        <v>418</v>
      </c>
      <c r="E2532" s="8" t="s">
        <v>78</v>
      </c>
      <c r="F2532" s="8" t="s">
        <v>79</v>
      </c>
      <c r="G2532" s="8" t="s">
        <v>7</v>
      </c>
      <c r="H2532" s="8" t="s">
        <v>38</v>
      </c>
      <c r="I2532" s="9">
        <v>661.57131000000004</v>
      </c>
      <c r="J2532">
        <v>370.85707542857</v>
      </c>
      <c r="K2532">
        <v>403.38564094285999</v>
      </c>
      <c r="L2532">
        <v>347.91422245714</v>
      </c>
    </row>
    <row r="2533" spans="1:12" x14ac:dyDescent="0.2">
      <c r="A2533" s="8" t="s">
        <v>32</v>
      </c>
      <c r="B2533" s="8" t="s">
        <v>153</v>
      </c>
      <c r="C2533" s="8" t="s">
        <v>417</v>
      </c>
      <c r="D2533" s="8" t="s">
        <v>418</v>
      </c>
      <c r="E2533" s="8" t="s">
        <v>92</v>
      </c>
      <c r="F2533" s="8" t="s">
        <v>93</v>
      </c>
      <c r="G2533" s="8" t="s">
        <v>7</v>
      </c>
      <c r="H2533" s="8" t="s">
        <v>38</v>
      </c>
      <c r="I2533" s="9">
        <v>145.06423000000001</v>
      </c>
      <c r="J2533">
        <v>148.03587359055001</v>
      </c>
      <c r="K2533">
        <v>151.08450775858</v>
      </c>
      <c r="L2533">
        <v>153.94905583791001</v>
      </c>
    </row>
    <row r="2534" spans="1:12" x14ac:dyDescent="0.2">
      <c r="A2534" s="8" t="s">
        <v>32</v>
      </c>
      <c r="B2534" s="8" t="s">
        <v>105</v>
      </c>
      <c r="C2534" s="8" t="s">
        <v>419</v>
      </c>
      <c r="D2534" s="8" t="s">
        <v>420</v>
      </c>
      <c r="E2534" s="8" t="s">
        <v>36</v>
      </c>
      <c r="F2534" s="8" t="s">
        <v>37</v>
      </c>
      <c r="G2534" s="8" t="s">
        <v>7</v>
      </c>
      <c r="H2534" s="8" t="s">
        <v>38</v>
      </c>
      <c r="I2534" s="9">
        <v>429.63891999999998</v>
      </c>
      <c r="J2534">
        <v>448.31887119820999</v>
      </c>
      <c r="K2534">
        <v>470.23562334155997</v>
      </c>
      <c r="L2534">
        <v>468.01310315602001</v>
      </c>
    </row>
    <row r="2535" spans="1:12" x14ac:dyDescent="0.2">
      <c r="A2535" s="8" t="s">
        <v>32</v>
      </c>
      <c r="B2535" s="8" t="s">
        <v>105</v>
      </c>
      <c r="C2535" s="8" t="s">
        <v>419</v>
      </c>
      <c r="D2535" s="8" t="s">
        <v>420</v>
      </c>
      <c r="E2535" s="8" t="s">
        <v>39</v>
      </c>
      <c r="F2535" s="8" t="s">
        <v>40</v>
      </c>
      <c r="G2535" s="8" t="s">
        <v>7</v>
      </c>
      <c r="H2535" s="8" t="s">
        <v>38</v>
      </c>
      <c r="I2535" s="9">
        <v>85.585515999999998</v>
      </c>
      <c r="J2535">
        <v>89.306625177624994</v>
      </c>
      <c r="K2535">
        <v>93.672515829397</v>
      </c>
      <c r="L2535">
        <v>93.229782342337003</v>
      </c>
    </row>
    <row r="2536" spans="1:12" x14ac:dyDescent="0.2">
      <c r="A2536" s="8" t="s">
        <v>32</v>
      </c>
      <c r="B2536" s="8" t="s">
        <v>105</v>
      </c>
      <c r="C2536" s="8" t="s">
        <v>419</v>
      </c>
      <c r="D2536" s="8" t="s">
        <v>420</v>
      </c>
      <c r="E2536" s="8" t="s">
        <v>41</v>
      </c>
      <c r="F2536" s="8" t="s">
        <v>42</v>
      </c>
      <c r="G2536" s="8" t="s">
        <v>7</v>
      </c>
      <c r="H2536" s="8" t="s">
        <v>38</v>
      </c>
      <c r="I2536" s="9">
        <v>19.436730000000001</v>
      </c>
      <c r="J2536">
        <v>17.499514581486</v>
      </c>
      <c r="K2536">
        <v>23.891635093845</v>
      </c>
      <c r="L2536">
        <v>31.818333994700001</v>
      </c>
    </row>
    <row r="2537" spans="1:12" x14ac:dyDescent="0.2">
      <c r="A2537" s="8" t="s">
        <v>32</v>
      </c>
      <c r="B2537" s="8" t="s">
        <v>105</v>
      </c>
      <c r="C2537" s="8" t="s">
        <v>419</v>
      </c>
      <c r="D2537" s="8" t="s">
        <v>420</v>
      </c>
      <c r="E2537" s="8" t="s">
        <v>43</v>
      </c>
      <c r="F2537" s="8" t="s">
        <v>44</v>
      </c>
      <c r="G2537" s="8" t="s">
        <v>7</v>
      </c>
      <c r="H2537" s="8" t="s">
        <v>38</v>
      </c>
      <c r="I2537" s="9">
        <v>569.80142999999998</v>
      </c>
      <c r="J2537">
        <v>594.57540155304002</v>
      </c>
      <c r="K2537">
        <v>623.64212736706997</v>
      </c>
      <c r="L2537">
        <v>620.69454715869006</v>
      </c>
    </row>
    <row r="2538" spans="1:12" x14ac:dyDescent="0.2">
      <c r="A2538" s="8" t="s">
        <v>32</v>
      </c>
      <c r="B2538" s="8" t="s">
        <v>105</v>
      </c>
      <c r="C2538" s="8" t="s">
        <v>419</v>
      </c>
      <c r="D2538" s="8" t="s">
        <v>420</v>
      </c>
      <c r="E2538" s="8" t="s">
        <v>45</v>
      </c>
      <c r="F2538" s="8" t="s">
        <v>46</v>
      </c>
      <c r="G2538" s="8" t="s">
        <v>7</v>
      </c>
      <c r="H2538" s="8" t="s">
        <v>38</v>
      </c>
      <c r="I2538" s="9">
        <v>48.146743000000001</v>
      </c>
      <c r="J2538">
        <v>50.285843702835997</v>
      </c>
      <c r="K2538">
        <v>51.469378275973</v>
      </c>
      <c r="L2538">
        <v>49.676651223762001</v>
      </c>
    </row>
    <row r="2539" spans="1:12" x14ac:dyDescent="0.2">
      <c r="A2539" s="8" t="s">
        <v>32</v>
      </c>
      <c r="B2539" s="8" t="s">
        <v>105</v>
      </c>
      <c r="C2539" s="8" t="s">
        <v>419</v>
      </c>
      <c r="D2539" s="8" t="s">
        <v>420</v>
      </c>
      <c r="E2539" s="8" t="s">
        <v>47</v>
      </c>
      <c r="F2539" s="8" t="s">
        <v>48</v>
      </c>
      <c r="G2539" s="8" t="s">
        <v>7</v>
      </c>
      <c r="H2539" s="8" t="s">
        <v>38</v>
      </c>
      <c r="I2539" s="9">
        <v>30.062535</v>
      </c>
      <c r="J2539">
        <v>31.369601673756002</v>
      </c>
      <c r="K2539">
        <v>32.903152520905003</v>
      </c>
      <c r="L2539">
        <v>32.747639163312002</v>
      </c>
    </row>
    <row r="2540" spans="1:12" x14ac:dyDescent="0.2">
      <c r="A2540" s="8" t="s">
        <v>32</v>
      </c>
      <c r="B2540" s="8" t="s">
        <v>105</v>
      </c>
      <c r="C2540" s="8" t="s">
        <v>419</v>
      </c>
      <c r="D2540" s="8" t="s">
        <v>420</v>
      </c>
      <c r="E2540" s="8" t="s">
        <v>49</v>
      </c>
      <c r="F2540" s="8" t="s">
        <v>50</v>
      </c>
      <c r="G2540" s="8" t="s">
        <v>7</v>
      </c>
      <c r="H2540" s="8" t="s">
        <v>38</v>
      </c>
      <c r="I2540" s="9">
        <v>70.736895000000004</v>
      </c>
      <c r="J2540">
        <v>73.812412015871999</v>
      </c>
      <c r="K2540">
        <v>77.420844413400005</v>
      </c>
      <c r="L2540">
        <v>77.054922775502007</v>
      </c>
    </row>
    <row r="2541" spans="1:12" x14ac:dyDescent="0.2">
      <c r="A2541" s="8" t="s">
        <v>32</v>
      </c>
      <c r="B2541" s="8" t="s">
        <v>105</v>
      </c>
      <c r="C2541" s="8" t="s">
        <v>419</v>
      </c>
      <c r="D2541" s="8" t="s">
        <v>420</v>
      </c>
      <c r="E2541" s="8" t="s">
        <v>51</v>
      </c>
      <c r="F2541" s="8" t="s">
        <v>52</v>
      </c>
      <c r="G2541" s="8" t="s">
        <v>7</v>
      </c>
      <c r="H2541" s="8" t="s">
        <v>38</v>
      </c>
      <c r="I2541" s="9">
        <v>21.463685999999999</v>
      </c>
      <c r="J2541">
        <v>22.396889666328001</v>
      </c>
      <c r="K2541">
        <v>23.491795794832001</v>
      </c>
      <c r="L2541">
        <v>23.380764244356001</v>
      </c>
    </row>
    <row r="2542" spans="1:12" x14ac:dyDescent="0.2">
      <c r="A2542" s="8" t="s">
        <v>32</v>
      </c>
      <c r="B2542" s="8" t="s">
        <v>105</v>
      </c>
      <c r="C2542" s="8" t="s">
        <v>419</v>
      </c>
      <c r="D2542" s="8" t="s">
        <v>420</v>
      </c>
      <c r="E2542" s="8" t="s">
        <v>68</v>
      </c>
      <c r="F2542" s="8" t="s">
        <v>69</v>
      </c>
      <c r="G2542" s="8" t="s">
        <v>7</v>
      </c>
      <c r="H2542" s="8" t="s">
        <v>38</v>
      </c>
      <c r="I2542" s="9">
        <v>0</v>
      </c>
      <c r="J2542">
        <v>0</v>
      </c>
      <c r="K2542">
        <v>0</v>
      </c>
      <c r="L2542">
        <v>0</v>
      </c>
    </row>
    <row r="2543" spans="1:12" x14ac:dyDescent="0.2">
      <c r="A2543" s="8" t="s">
        <v>32</v>
      </c>
      <c r="B2543" s="8" t="s">
        <v>105</v>
      </c>
      <c r="C2543" s="8" t="s">
        <v>419</v>
      </c>
      <c r="D2543" s="8" t="s">
        <v>420</v>
      </c>
      <c r="E2543" s="8" t="s">
        <v>53</v>
      </c>
      <c r="F2543" s="8" t="s">
        <v>54</v>
      </c>
      <c r="G2543" s="8" t="s">
        <v>7</v>
      </c>
      <c r="H2543" s="8" t="s">
        <v>38</v>
      </c>
      <c r="I2543" s="9">
        <v>0.85947759999999995</v>
      </c>
      <c r="J2543">
        <v>0.85355421261026998</v>
      </c>
      <c r="K2543">
        <v>0.92447265215847996</v>
      </c>
      <c r="L2543">
        <v>0.90881101178548995</v>
      </c>
    </row>
    <row r="2544" spans="1:12" x14ac:dyDescent="0.2">
      <c r="A2544" s="8" t="s">
        <v>32</v>
      </c>
      <c r="B2544" s="8" t="s">
        <v>105</v>
      </c>
      <c r="C2544" s="8" t="s">
        <v>419</v>
      </c>
      <c r="D2544" s="8" t="s">
        <v>420</v>
      </c>
      <c r="E2544" s="8" t="s">
        <v>55</v>
      </c>
      <c r="F2544" s="8" t="s">
        <v>56</v>
      </c>
      <c r="G2544" s="8" t="s">
        <v>7</v>
      </c>
      <c r="H2544" s="8" t="s">
        <v>38</v>
      </c>
      <c r="I2544" s="9">
        <v>1.0854E-3</v>
      </c>
      <c r="J2544">
        <v>1.0921396039619E-3</v>
      </c>
      <c r="K2544">
        <v>1.0989001998604E-3</v>
      </c>
      <c r="L2544">
        <v>1.105537229096E-3</v>
      </c>
    </row>
    <row r="2545" spans="1:12" x14ac:dyDescent="0.2">
      <c r="A2545" s="8" t="s">
        <v>32</v>
      </c>
      <c r="B2545" s="8" t="s">
        <v>105</v>
      </c>
      <c r="C2545" s="8" t="s">
        <v>419</v>
      </c>
      <c r="D2545" s="8" t="s">
        <v>420</v>
      </c>
      <c r="E2545" s="8" t="s">
        <v>57</v>
      </c>
      <c r="F2545" s="8" t="s">
        <v>58</v>
      </c>
      <c r="G2545" s="8" t="s">
        <v>7</v>
      </c>
      <c r="H2545" s="8" t="s">
        <v>38</v>
      </c>
      <c r="I2545" s="9">
        <v>1.25811E-2</v>
      </c>
      <c r="J2545">
        <v>1.1062586878226E-2</v>
      </c>
      <c r="K2545">
        <v>9.7273884410744998E-3</v>
      </c>
      <c r="L2545">
        <v>9.0745511292894005E-3</v>
      </c>
    </row>
    <row r="2546" spans="1:12" x14ac:dyDescent="0.2">
      <c r="A2546" s="8" t="s">
        <v>32</v>
      </c>
      <c r="B2546" s="8" t="s">
        <v>105</v>
      </c>
      <c r="C2546" s="8" t="s">
        <v>419</v>
      </c>
      <c r="D2546" s="8" t="s">
        <v>420</v>
      </c>
      <c r="E2546" s="8" t="s">
        <v>59</v>
      </c>
      <c r="F2546" s="8" t="s">
        <v>60</v>
      </c>
      <c r="G2546" s="8" t="s">
        <v>7</v>
      </c>
      <c r="H2546" s="8" t="s">
        <v>38</v>
      </c>
      <c r="I2546" s="9">
        <v>0.63608580000000003</v>
      </c>
      <c r="J2546">
        <v>0.56008438691888995</v>
      </c>
      <c r="K2546">
        <v>0.47932239675765997</v>
      </c>
      <c r="L2546">
        <v>0.37113183817814999</v>
      </c>
    </row>
    <row r="2547" spans="1:12" x14ac:dyDescent="0.2">
      <c r="A2547" s="8" t="s">
        <v>32</v>
      </c>
      <c r="B2547" s="8" t="s">
        <v>105</v>
      </c>
      <c r="C2547" s="8" t="s">
        <v>419</v>
      </c>
      <c r="D2547" s="8" t="s">
        <v>420</v>
      </c>
      <c r="E2547" s="8" t="s">
        <v>92</v>
      </c>
      <c r="F2547" s="8" t="s">
        <v>93</v>
      </c>
      <c r="G2547" s="8" t="s">
        <v>7</v>
      </c>
      <c r="H2547" s="8" t="s">
        <v>38</v>
      </c>
      <c r="I2547" s="9">
        <v>5.0969999999999998E-4</v>
      </c>
      <c r="J2547">
        <v>5.0974359057279E-4</v>
      </c>
      <c r="K2547">
        <v>5.0974359057279E-4</v>
      </c>
      <c r="L2547">
        <v>5.1505205315360001E-4</v>
      </c>
    </row>
    <row r="2548" spans="1:12" x14ac:dyDescent="0.2">
      <c r="A2548" s="8" t="s">
        <v>32</v>
      </c>
      <c r="B2548" s="8" t="s">
        <v>280</v>
      </c>
      <c r="C2548" s="8" t="s">
        <v>421</v>
      </c>
      <c r="D2548" s="8" t="s">
        <v>422</v>
      </c>
      <c r="E2548" s="8" t="s">
        <v>36</v>
      </c>
      <c r="F2548" s="8" t="s">
        <v>37</v>
      </c>
      <c r="G2548" s="8" t="s">
        <v>7</v>
      </c>
      <c r="H2548" s="8" t="s">
        <v>38</v>
      </c>
      <c r="I2548" s="9">
        <v>1316.3155999999999</v>
      </c>
      <c r="J2548">
        <v>1333.1649503117001</v>
      </c>
      <c r="K2548">
        <v>1392.7027080497</v>
      </c>
      <c r="L2548">
        <v>1384.2640242765999</v>
      </c>
    </row>
    <row r="2549" spans="1:12" x14ac:dyDescent="0.2">
      <c r="A2549" s="8" t="s">
        <v>32</v>
      </c>
      <c r="B2549" s="8" t="s">
        <v>280</v>
      </c>
      <c r="C2549" s="8" t="s">
        <v>421</v>
      </c>
      <c r="D2549" s="8" t="s">
        <v>422</v>
      </c>
      <c r="E2549" s="8" t="s">
        <v>64</v>
      </c>
      <c r="F2549" s="8" t="s">
        <v>65</v>
      </c>
      <c r="G2549" s="8" t="s">
        <v>7</v>
      </c>
      <c r="H2549" s="8" t="s">
        <v>38</v>
      </c>
      <c r="I2549" s="9">
        <v>728.60709999999995</v>
      </c>
      <c r="J2549">
        <v>407.76239989026999</v>
      </c>
      <c r="K2549">
        <v>511.34654698102997</v>
      </c>
      <c r="L2549">
        <v>506.75123781996001</v>
      </c>
    </row>
    <row r="2550" spans="1:12" x14ac:dyDescent="0.2">
      <c r="A2550" s="8" t="s">
        <v>32</v>
      </c>
      <c r="B2550" s="8" t="s">
        <v>280</v>
      </c>
      <c r="C2550" s="8" t="s">
        <v>421</v>
      </c>
      <c r="D2550" s="8" t="s">
        <v>422</v>
      </c>
      <c r="E2550" s="8" t="s">
        <v>39</v>
      </c>
      <c r="F2550" s="8" t="s">
        <v>40</v>
      </c>
      <c r="G2550" s="8" t="s">
        <v>7</v>
      </c>
      <c r="H2550" s="8" t="s">
        <v>38</v>
      </c>
      <c r="I2550" s="9">
        <v>603.21982000000003</v>
      </c>
      <c r="J2550">
        <v>631.22815338704004</v>
      </c>
      <c r="K2550">
        <v>643.52917139297006</v>
      </c>
      <c r="L2550">
        <v>639.90848704197003</v>
      </c>
    </row>
    <row r="2551" spans="1:12" x14ac:dyDescent="0.2">
      <c r="A2551" s="8" t="s">
        <v>32</v>
      </c>
      <c r="B2551" s="8" t="s">
        <v>280</v>
      </c>
      <c r="C2551" s="8" t="s">
        <v>421</v>
      </c>
      <c r="D2551" s="8" t="s">
        <v>422</v>
      </c>
      <c r="E2551" s="8" t="s">
        <v>41</v>
      </c>
      <c r="F2551" s="8" t="s">
        <v>42</v>
      </c>
      <c r="G2551" s="8" t="s">
        <v>7</v>
      </c>
      <c r="H2551" s="8" t="s">
        <v>38</v>
      </c>
      <c r="I2551" s="9">
        <v>98.988094000000004</v>
      </c>
      <c r="J2551">
        <v>107.46531205242</v>
      </c>
      <c r="K2551">
        <v>104.33381733829</v>
      </c>
      <c r="L2551">
        <v>138.94939521602001</v>
      </c>
    </row>
    <row r="2552" spans="1:12" x14ac:dyDescent="0.2">
      <c r="A2552" s="8" t="s">
        <v>32</v>
      </c>
      <c r="B2552" s="8" t="s">
        <v>280</v>
      </c>
      <c r="C2552" s="8" t="s">
        <v>421</v>
      </c>
      <c r="D2552" s="8" t="s">
        <v>422</v>
      </c>
      <c r="E2552" s="8" t="s">
        <v>43</v>
      </c>
      <c r="F2552" s="8" t="s">
        <v>44</v>
      </c>
      <c r="G2552" s="8" t="s">
        <v>7</v>
      </c>
      <c r="H2552" s="8" t="s">
        <v>38</v>
      </c>
      <c r="I2552" s="9">
        <v>1673.8818000000001</v>
      </c>
      <c r="J2552">
        <v>1770.1021606868001</v>
      </c>
      <c r="K2552">
        <v>1720.0433752399999</v>
      </c>
      <c r="L2552">
        <v>1711.885069897</v>
      </c>
    </row>
    <row r="2553" spans="1:12" x14ac:dyDescent="0.2">
      <c r="A2553" s="8" t="s">
        <v>32</v>
      </c>
      <c r="B2553" s="8" t="s">
        <v>280</v>
      </c>
      <c r="C2553" s="8" t="s">
        <v>421</v>
      </c>
      <c r="D2553" s="8" t="s">
        <v>422</v>
      </c>
      <c r="E2553" s="8" t="s">
        <v>66</v>
      </c>
      <c r="F2553" s="8" t="s">
        <v>67</v>
      </c>
      <c r="G2553" s="8" t="s">
        <v>7</v>
      </c>
      <c r="H2553" s="8" t="s">
        <v>38</v>
      </c>
      <c r="I2553" s="9"/>
    </row>
    <row r="2554" spans="1:12" x14ac:dyDescent="0.2">
      <c r="A2554" s="8" t="s">
        <v>32</v>
      </c>
      <c r="B2554" s="8" t="s">
        <v>280</v>
      </c>
      <c r="C2554" s="8" t="s">
        <v>421</v>
      </c>
      <c r="D2554" s="8" t="s">
        <v>422</v>
      </c>
      <c r="E2554" s="8" t="s">
        <v>45</v>
      </c>
      <c r="F2554" s="8" t="s">
        <v>46</v>
      </c>
      <c r="G2554" s="8" t="s">
        <v>7</v>
      </c>
      <c r="H2554" s="8" t="s">
        <v>38</v>
      </c>
      <c r="I2554" s="9">
        <v>114.95784</v>
      </c>
      <c r="J2554">
        <v>145.60416077880001</v>
      </c>
      <c r="K2554">
        <v>141.36133173919001</v>
      </c>
      <c r="L2554">
        <v>136.43758305533001</v>
      </c>
    </row>
    <row r="2555" spans="1:12" x14ac:dyDescent="0.2">
      <c r="A2555" s="8" t="s">
        <v>32</v>
      </c>
      <c r="B2555" s="8" t="s">
        <v>280</v>
      </c>
      <c r="C2555" s="8" t="s">
        <v>421</v>
      </c>
      <c r="D2555" s="8" t="s">
        <v>422</v>
      </c>
      <c r="E2555" s="8" t="s">
        <v>47</v>
      </c>
      <c r="F2555" s="8" t="s">
        <v>48</v>
      </c>
      <c r="G2555" s="8" t="s">
        <v>7</v>
      </c>
      <c r="H2555" s="8" t="s">
        <v>38</v>
      </c>
      <c r="I2555" s="9">
        <v>120.57002</v>
      </c>
      <c r="J2555">
        <v>124.31891637525</v>
      </c>
      <c r="K2555">
        <v>120.6955719816</v>
      </c>
      <c r="L2555">
        <v>120.12511680611</v>
      </c>
    </row>
    <row r="2556" spans="1:12" x14ac:dyDescent="0.2">
      <c r="A2556" s="8" t="s">
        <v>32</v>
      </c>
      <c r="B2556" s="8" t="s">
        <v>280</v>
      </c>
      <c r="C2556" s="8" t="s">
        <v>421</v>
      </c>
      <c r="D2556" s="8" t="s">
        <v>422</v>
      </c>
      <c r="E2556" s="8" t="s">
        <v>49</v>
      </c>
      <c r="F2556" s="8" t="s">
        <v>50</v>
      </c>
      <c r="G2556" s="8" t="s">
        <v>7</v>
      </c>
      <c r="H2556" s="8" t="s">
        <v>38</v>
      </c>
      <c r="I2556" s="9">
        <v>553.17380000000003</v>
      </c>
      <c r="J2556">
        <v>569.37306697123995</v>
      </c>
      <c r="K2556">
        <v>557.41137861672996</v>
      </c>
      <c r="L2556">
        <v>554.68949175369005</v>
      </c>
    </row>
    <row r="2557" spans="1:12" x14ac:dyDescent="0.2">
      <c r="A2557" s="8" t="s">
        <v>32</v>
      </c>
      <c r="B2557" s="8" t="s">
        <v>280</v>
      </c>
      <c r="C2557" s="8" t="s">
        <v>421</v>
      </c>
      <c r="D2557" s="8" t="s">
        <v>422</v>
      </c>
      <c r="E2557" s="8" t="s">
        <v>51</v>
      </c>
      <c r="F2557" s="8" t="s">
        <v>52</v>
      </c>
      <c r="G2557" s="8" t="s">
        <v>7</v>
      </c>
      <c r="H2557" s="8" t="s">
        <v>38</v>
      </c>
      <c r="I2557" s="9">
        <v>25.142582999999998</v>
      </c>
      <c r="J2557">
        <v>28.017037735961999</v>
      </c>
      <c r="K2557">
        <v>27.200165381889001</v>
      </c>
      <c r="L2557">
        <v>27.071606604945998</v>
      </c>
    </row>
    <row r="2558" spans="1:12" x14ac:dyDescent="0.2">
      <c r="A2558" s="8" t="s">
        <v>32</v>
      </c>
      <c r="B2558" s="8" t="s">
        <v>280</v>
      </c>
      <c r="C2558" s="8" t="s">
        <v>421</v>
      </c>
      <c r="D2558" s="8" t="s">
        <v>422</v>
      </c>
      <c r="E2558" s="8" t="s">
        <v>53</v>
      </c>
      <c r="F2558" s="8" t="s">
        <v>54</v>
      </c>
      <c r="G2558" s="8" t="s">
        <v>7</v>
      </c>
      <c r="H2558" s="8" t="s">
        <v>38</v>
      </c>
      <c r="I2558" s="9">
        <v>117.16737999999999</v>
      </c>
      <c r="J2558">
        <v>138.69311092482999</v>
      </c>
      <c r="K2558">
        <v>175.74582788874</v>
      </c>
      <c r="L2558">
        <v>143.90422618544</v>
      </c>
    </row>
    <row r="2559" spans="1:12" x14ac:dyDescent="0.2">
      <c r="A2559" s="8" t="s">
        <v>32</v>
      </c>
      <c r="B2559" s="8" t="s">
        <v>280</v>
      </c>
      <c r="C2559" s="8" t="s">
        <v>421</v>
      </c>
      <c r="D2559" s="8" t="s">
        <v>422</v>
      </c>
      <c r="E2559" s="8" t="s">
        <v>70</v>
      </c>
      <c r="F2559" s="8" t="s">
        <v>71</v>
      </c>
      <c r="G2559" s="8" t="s">
        <v>7</v>
      </c>
      <c r="H2559" s="8" t="s">
        <v>38</v>
      </c>
      <c r="I2559" s="9">
        <v>53.119419000000001</v>
      </c>
      <c r="J2559">
        <v>61.291636949999997</v>
      </c>
      <c r="K2559">
        <v>65.377746079999994</v>
      </c>
      <c r="L2559">
        <v>65.3039909843</v>
      </c>
    </row>
    <row r="2560" spans="1:12" x14ac:dyDescent="0.2">
      <c r="A2560" s="8" t="s">
        <v>32</v>
      </c>
      <c r="B2560" s="8" t="s">
        <v>280</v>
      </c>
      <c r="C2560" s="8" t="s">
        <v>421</v>
      </c>
      <c r="D2560" s="8" t="s">
        <v>422</v>
      </c>
      <c r="E2560" s="8" t="s">
        <v>83</v>
      </c>
      <c r="F2560" s="8" t="s">
        <v>84</v>
      </c>
      <c r="G2560" s="8" t="s">
        <v>7</v>
      </c>
      <c r="H2560" s="8" t="s">
        <v>38</v>
      </c>
      <c r="I2560" s="9">
        <v>45</v>
      </c>
      <c r="J2560">
        <v>45</v>
      </c>
      <c r="K2560">
        <v>45</v>
      </c>
      <c r="L2560">
        <v>45</v>
      </c>
    </row>
    <row r="2561" spans="1:12" x14ac:dyDescent="0.2">
      <c r="A2561" s="8" t="s">
        <v>32</v>
      </c>
      <c r="B2561" s="8" t="s">
        <v>280</v>
      </c>
      <c r="C2561" s="8" t="s">
        <v>421</v>
      </c>
      <c r="D2561" s="8" t="s">
        <v>422</v>
      </c>
      <c r="E2561" s="8" t="s">
        <v>55</v>
      </c>
      <c r="F2561" s="8" t="s">
        <v>56</v>
      </c>
      <c r="G2561" s="8" t="s">
        <v>7</v>
      </c>
      <c r="H2561" s="8" t="s">
        <v>38</v>
      </c>
      <c r="I2561" s="9">
        <v>0.37077599999999999</v>
      </c>
      <c r="J2561">
        <v>0.41527872297822999</v>
      </c>
      <c r="K2561">
        <v>0.41527872297822999</v>
      </c>
      <c r="L2561">
        <v>0.41527872297822999</v>
      </c>
    </row>
    <row r="2562" spans="1:12" x14ac:dyDescent="0.2">
      <c r="A2562" s="8" t="s">
        <v>32</v>
      </c>
      <c r="B2562" s="8" t="s">
        <v>280</v>
      </c>
      <c r="C2562" s="8" t="s">
        <v>421</v>
      </c>
      <c r="D2562" s="8" t="s">
        <v>422</v>
      </c>
      <c r="E2562" s="8" t="s">
        <v>57</v>
      </c>
      <c r="F2562" s="8" t="s">
        <v>58</v>
      </c>
      <c r="G2562" s="8" t="s">
        <v>7</v>
      </c>
      <c r="H2562" s="8" t="s">
        <v>38</v>
      </c>
      <c r="I2562" s="9"/>
    </row>
    <row r="2563" spans="1:12" x14ac:dyDescent="0.2">
      <c r="A2563" s="8" t="s">
        <v>32</v>
      </c>
      <c r="B2563" s="8" t="s">
        <v>280</v>
      </c>
      <c r="C2563" s="8" t="s">
        <v>421</v>
      </c>
      <c r="D2563" s="8" t="s">
        <v>422</v>
      </c>
      <c r="E2563" s="8" t="s">
        <v>59</v>
      </c>
      <c r="F2563" s="8" t="s">
        <v>60</v>
      </c>
      <c r="G2563" s="8" t="s">
        <v>7</v>
      </c>
      <c r="H2563" s="8" t="s">
        <v>38</v>
      </c>
      <c r="I2563" s="9">
        <v>22.961053</v>
      </c>
      <c r="J2563">
        <v>23.299706095857001</v>
      </c>
      <c r="K2563">
        <v>23.359754289562002</v>
      </c>
      <c r="L2563">
        <v>22.249102821981001</v>
      </c>
    </row>
    <row r="2564" spans="1:12" x14ac:dyDescent="0.2">
      <c r="A2564" s="8" t="s">
        <v>32</v>
      </c>
      <c r="B2564" s="8" t="s">
        <v>280</v>
      </c>
      <c r="C2564" s="8" t="s">
        <v>421</v>
      </c>
      <c r="D2564" s="8" t="s">
        <v>422</v>
      </c>
      <c r="E2564" s="8" t="s">
        <v>92</v>
      </c>
      <c r="F2564" s="8" t="s">
        <v>93</v>
      </c>
      <c r="G2564" s="8" t="s">
        <v>7</v>
      </c>
      <c r="H2564" s="8" t="s">
        <v>38</v>
      </c>
      <c r="I2564" s="9">
        <v>0.94029560000000001</v>
      </c>
      <c r="J2564">
        <v>0.95816883032879996</v>
      </c>
      <c r="K2564">
        <v>0.97638177648272995</v>
      </c>
      <c r="L2564">
        <v>0.99708961146087005</v>
      </c>
    </row>
    <row r="2565" spans="1:12" x14ac:dyDescent="0.2">
      <c r="A2565" s="8" t="s">
        <v>110</v>
      </c>
      <c r="B2565" s="8" t="s">
        <v>89</v>
      </c>
      <c r="C2565" s="8" t="s">
        <v>423</v>
      </c>
      <c r="D2565" s="8" t="s">
        <v>424</v>
      </c>
      <c r="E2565" s="8" t="s">
        <v>36</v>
      </c>
      <c r="F2565" s="8" t="s">
        <v>37</v>
      </c>
      <c r="G2565" s="8" t="s">
        <v>7</v>
      </c>
      <c r="H2565" s="8" t="s">
        <v>38</v>
      </c>
      <c r="I2565" s="9">
        <v>127124.54</v>
      </c>
      <c r="J2565">
        <v>145838.61435300001</v>
      </c>
      <c r="K2565">
        <v>140259.364588</v>
      </c>
      <c r="L2565">
        <v>117072.49964068001</v>
      </c>
    </row>
    <row r="2566" spans="1:12" x14ac:dyDescent="0.2">
      <c r="A2566" s="8" t="s">
        <v>110</v>
      </c>
      <c r="B2566" s="8" t="s">
        <v>89</v>
      </c>
      <c r="C2566" s="8" t="s">
        <v>423</v>
      </c>
      <c r="D2566" s="8" t="s">
        <v>424</v>
      </c>
      <c r="E2566" s="8" t="s">
        <v>64</v>
      </c>
      <c r="F2566" s="8" t="s">
        <v>65</v>
      </c>
      <c r="G2566" s="8" t="s">
        <v>7</v>
      </c>
      <c r="H2566" s="8" t="s">
        <v>38</v>
      </c>
      <c r="I2566" s="9">
        <v>7704.7667000000001</v>
      </c>
      <c r="J2566">
        <v>7930.4390030000004</v>
      </c>
      <c r="K2566">
        <v>7156.6719569999996</v>
      </c>
      <c r="L2566">
        <v>7867.4539985443998</v>
      </c>
    </row>
    <row r="2567" spans="1:12" x14ac:dyDescent="0.2">
      <c r="A2567" s="8" t="s">
        <v>110</v>
      </c>
      <c r="B2567" s="8" t="s">
        <v>89</v>
      </c>
      <c r="C2567" s="8" t="s">
        <v>423</v>
      </c>
      <c r="D2567" s="8" t="s">
        <v>424</v>
      </c>
      <c r="E2567" s="8" t="s">
        <v>39</v>
      </c>
      <c r="F2567" s="8" t="s">
        <v>40</v>
      </c>
      <c r="G2567" s="8" t="s">
        <v>7</v>
      </c>
      <c r="H2567" s="8" t="s">
        <v>38</v>
      </c>
      <c r="I2567" s="9">
        <v>28507.052</v>
      </c>
      <c r="J2567">
        <v>29884.128058999999</v>
      </c>
      <c r="K2567">
        <v>27464.610249000001</v>
      </c>
      <c r="L2567">
        <v>25364.383577932</v>
      </c>
    </row>
    <row r="2568" spans="1:12" x14ac:dyDescent="0.2">
      <c r="A2568" s="8" t="s">
        <v>110</v>
      </c>
      <c r="B2568" s="8" t="s">
        <v>89</v>
      </c>
      <c r="C2568" s="8" t="s">
        <v>423</v>
      </c>
      <c r="D2568" s="8" t="s">
        <v>424</v>
      </c>
      <c r="E2568" s="8" t="s">
        <v>41</v>
      </c>
      <c r="F2568" s="8" t="s">
        <v>42</v>
      </c>
      <c r="G2568" s="8" t="s">
        <v>7</v>
      </c>
      <c r="H2568" s="8" t="s">
        <v>38</v>
      </c>
      <c r="I2568" s="9">
        <v>54.352649999999997</v>
      </c>
      <c r="J2568">
        <v>89.670460000000006</v>
      </c>
      <c r="K2568">
        <v>91.441540000000003</v>
      </c>
      <c r="L2568">
        <v>111.37578370313</v>
      </c>
    </row>
    <row r="2569" spans="1:12" x14ac:dyDescent="0.2">
      <c r="A2569" s="8" t="s">
        <v>110</v>
      </c>
      <c r="B2569" s="8" t="s">
        <v>89</v>
      </c>
      <c r="C2569" s="8" t="s">
        <v>423</v>
      </c>
      <c r="D2569" s="8" t="s">
        <v>424</v>
      </c>
      <c r="E2569" s="8" t="s">
        <v>43</v>
      </c>
      <c r="F2569" s="8" t="s">
        <v>44</v>
      </c>
      <c r="G2569" s="8" t="s">
        <v>7</v>
      </c>
      <c r="H2569" s="8" t="s">
        <v>38</v>
      </c>
      <c r="I2569" s="9">
        <v>60294.500999999997</v>
      </c>
      <c r="J2569">
        <v>65395.974540000003</v>
      </c>
      <c r="K2569">
        <v>66792.271789998995</v>
      </c>
      <c r="L2569">
        <v>66903.931267948006</v>
      </c>
    </row>
    <row r="2570" spans="1:12" x14ac:dyDescent="0.2">
      <c r="A2570" s="8" t="s">
        <v>110</v>
      </c>
      <c r="B2570" s="8" t="s">
        <v>89</v>
      </c>
      <c r="C2570" s="8" t="s">
        <v>423</v>
      </c>
      <c r="D2570" s="8" t="s">
        <v>424</v>
      </c>
      <c r="E2570" s="8" t="s">
        <v>66</v>
      </c>
      <c r="F2570" s="8" t="s">
        <v>67</v>
      </c>
      <c r="G2570" s="8" t="s">
        <v>7</v>
      </c>
      <c r="H2570" s="8" t="s">
        <v>38</v>
      </c>
      <c r="I2570" s="9">
        <v>255.90434999999999</v>
      </c>
      <c r="J2570">
        <v>277.32517799999999</v>
      </c>
      <c r="K2570">
        <v>277.32517799999999</v>
      </c>
      <c r="L2570">
        <v>281.48962510439998</v>
      </c>
    </row>
    <row r="2571" spans="1:12" x14ac:dyDescent="0.2">
      <c r="A2571" s="8" t="s">
        <v>110</v>
      </c>
      <c r="B2571" s="8" t="s">
        <v>89</v>
      </c>
      <c r="C2571" s="8" t="s">
        <v>423</v>
      </c>
      <c r="D2571" s="8" t="s">
        <v>424</v>
      </c>
      <c r="E2571" s="8" t="s">
        <v>45</v>
      </c>
      <c r="F2571" s="8" t="s">
        <v>46</v>
      </c>
      <c r="G2571" s="8" t="s">
        <v>7</v>
      </c>
      <c r="H2571" s="8" t="s">
        <v>38</v>
      </c>
      <c r="I2571" s="9">
        <v>3.17889</v>
      </c>
      <c r="J2571">
        <v>3.4441679999999999</v>
      </c>
      <c r="K2571">
        <v>3.4441679999999999</v>
      </c>
      <c r="L2571">
        <v>3.4441679999999999</v>
      </c>
    </row>
    <row r="2572" spans="1:12" x14ac:dyDescent="0.2">
      <c r="A2572" s="8" t="s">
        <v>110</v>
      </c>
      <c r="B2572" s="8" t="s">
        <v>89</v>
      </c>
      <c r="C2572" s="8" t="s">
        <v>423</v>
      </c>
      <c r="D2572" s="8" t="s">
        <v>424</v>
      </c>
      <c r="E2572" s="8" t="s">
        <v>47</v>
      </c>
      <c r="F2572" s="8" t="s">
        <v>48</v>
      </c>
      <c r="G2572" s="8" t="s">
        <v>7</v>
      </c>
      <c r="H2572" s="8" t="s">
        <v>38</v>
      </c>
      <c r="I2572" s="9">
        <v>775.77008000000001</v>
      </c>
      <c r="J2572">
        <v>662.18674799999997</v>
      </c>
      <c r="K2572">
        <v>180.23756399999999</v>
      </c>
      <c r="L2572">
        <v>302.61182492628001</v>
      </c>
    </row>
    <row r="2573" spans="1:12" x14ac:dyDescent="0.2">
      <c r="A2573" s="8" t="s">
        <v>110</v>
      </c>
      <c r="B2573" s="8" t="s">
        <v>89</v>
      </c>
      <c r="C2573" s="8" t="s">
        <v>423</v>
      </c>
      <c r="D2573" s="8" t="s">
        <v>424</v>
      </c>
      <c r="E2573" s="8" t="s">
        <v>49</v>
      </c>
      <c r="F2573" s="8" t="s">
        <v>50</v>
      </c>
      <c r="G2573" s="8" t="s">
        <v>7</v>
      </c>
      <c r="H2573" s="8" t="s">
        <v>38</v>
      </c>
      <c r="I2573" s="9">
        <v>47711.64</v>
      </c>
      <c r="J2573">
        <v>49283.473207000003</v>
      </c>
      <c r="K2573">
        <v>42707.151793999998</v>
      </c>
      <c r="L2573">
        <v>41343.272947037003</v>
      </c>
    </row>
    <row r="2574" spans="1:12" x14ac:dyDescent="0.2">
      <c r="A2574" s="8" t="s">
        <v>110</v>
      </c>
      <c r="B2574" s="8" t="s">
        <v>89</v>
      </c>
      <c r="C2574" s="8" t="s">
        <v>423</v>
      </c>
      <c r="D2574" s="8" t="s">
        <v>424</v>
      </c>
      <c r="E2574" s="8" t="s">
        <v>51</v>
      </c>
      <c r="F2574" s="8" t="s">
        <v>52</v>
      </c>
      <c r="G2574" s="8" t="s">
        <v>7</v>
      </c>
      <c r="H2574" s="8" t="s">
        <v>38</v>
      </c>
      <c r="I2574" s="9">
        <v>63.536360000000002</v>
      </c>
      <c r="J2574">
        <v>65.621977999999999</v>
      </c>
      <c r="K2574">
        <v>61.697141999999999</v>
      </c>
      <c r="L2574">
        <v>59.496954230051003</v>
      </c>
    </row>
    <row r="2575" spans="1:12" x14ac:dyDescent="0.2">
      <c r="A2575" s="8" t="s">
        <v>110</v>
      </c>
      <c r="B2575" s="8" t="s">
        <v>89</v>
      </c>
      <c r="C2575" s="8" t="s">
        <v>423</v>
      </c>
      <c r="D2575" s="8" t="s">
        <v>424</v>
      </c>
      <c r="E2575" s="8" t="s">
        <v>68</v>
      </c>
      <c r="F2575" s="8" t="s">
        <v>69</v>
      </c>
      <c r="G2575" s="8" t="s">
        <v>7</v>
      </c>
      <c r="H2575" s="8" t="s">
        <v>38</v>
      </c>
      <c r="I2575" s="9">
        <v>2922.0659000000001</v>
      </c>
      <c r="J2575">
        <v>3062.8537937401002</v>
      </c>
      <c r="K2575">
        <v>2729.7036958515</v>
      </c>
      <c r="L2575">
        <v>2487.4585666812</v>
      </c>
    </row>
    <row r="2576" spans="1:12" x14ac:dyDescent="0.2">
      <c r="A2576" s="8" t="s">
        <v>110</v>
      </c>
      <c r="B2576" s="8" t="s">
        <v>89</v>
      </c>
      <c r="C2576" s="8" t="s">
        <v>423</v>
      </c>
      <c r="D2576" s="8" t="s">
        <v>424</v>
      </c>
      <c r="E2576" s="8" t="s">
        <v>53</v>
      </c>
      <c r="F2576" s="8" t="s">
        <v>54</v>
      </c>
      <c r="G2576" s="8" t="s">
        <v>7</v>
      </c>
      <c r="H2576" s="8" t="s">
        <v>38</v>
      </c>
      <c r="I2576" s="9">
        <v>135.15567999999999</v>
      </c>
      <c r="J2576">
        <v>191.75978917987001</v>
      </c>
      <c r="K2576">
        <v>277.04602346304</v>
      </c>
      <c r="L2576">
        <v>365.24393090229</v>
      </c>
    </row>
    <row r="2577" spans="1:12" x14ac:dyDescent="0.2">
      <c r="A2577" s="8" t="s">
        <v>110</v>
      </c>
      <c r="B2577" s="8" t="s">
        <v>89</v>
      </c>
      <c r="C2577" s="8" t="s">
        <v>423</v>
      </c>
      <c r="D2577" s="8" t="s">
        <v>424</v>
      </c>
      <c r="E2577" s="8" t="s">
        <v>70</v>
      </c>
      <c r="F2577" s="8" t="s">
        <v>71</v>
      </c>
      <c r="G2577" s="8" t="s">
        <v>7</v>
      </c>
      <c r="H2577" s="8" t="s">
        <v>38</v>
      </c>
      <c r="I2577" s="9">
        <v>7388.6965</v>
      </c>
      <c r="J2577">
        <v>7213.8857837720998</v>
      </c>
      <c r="K2577">
        <v>6914.8646113877003</v>
      </c>
      <c r="L2577">
        <v>6907.0636923940001</v>
      </c>
    </row>
    <row r="2578" spans="1:12" x14ac:dyDescent="0.2">
      <c r="A2578" s="8" t="s">
        <v>110</v>
      </c>
      <c r="B2578" s="8" t="s">
        <v>89</v>
      </c>
      <c r="C2578" s="8" t="s">
        <v>423</v>
      </c>
      <c r="D2578" s="8" t="s">
        <v>424</v>
      </c>
      <c r="E2578" s="8" t="s">
        <v>83</v>
      </c>
      <c r="F2578" s="8" t="s">
        <v>84</v>
      </c>
      <c r="G2578" s="8" t="s">
        <v>7</v>
      </c>
      <c r="H2578" s="8" t="s">
        <v>38</v>
      </c>
      <c r="I2578" s="9">
        <v>1257.75</v>
      </c>
      <c r="J2578">
        <v>1352.25</v>
      </c>
      <c r="K2578">
        <v>1168.5</v>
      </c>
      <c r="L2578">
        <v>962.25</v>
      </c>
    </row>
    <row r="2579" spans="1:12" x14ac:dyDescent="0.2">
      <c r="A2579" s="8" t="s">
        <v>110</v>
      </c>
      <c r="B2579" s="8" t="s">
        <v>89</v>
      </c>
      <c r="C2579" s="8" t="s">
        <v>423</v>
      </c>
      <c r="D2579" s="8" t="s">
        <v>424</v>
      </c>
      <c r="E2579" s="8" t="s">
        <v>55</v>
      </c>
      <c r="F2579" s="8" t="s">
        <v>56</v>
      </c>
      <c r="G2579" s="8" t="s">
        <v>7</v>
      </c>
      <c r="H2579" s="8" t="s">
        <v>38</v>
      </c>
      <c r="I2579" s="9">
        <v>373.69078999999999</v>
      </c>
      <c r="J2579">
        <v>384.99055299193998</v>
      </c>
      <c r="K2579">
        <v>384.99055299193998</v>
      </c>
      <c r="L2579">
        <v>384.99055299193998</v>
      </c>
    </row>
    <row r="2580" spans="1:12" x14ac:dyDescent="0.2">
      <c r="A2580" s="8" t="s">
        <v>110</v>
      </c>
      <c r="B2580" s="8" t="s">
        <v>89</v>
      </c>
      <c r="C2580" s="8" t="s">
        <v>423</v>
      </c>
      <c r="D2580" s="8" t="s">
        <v>424</v>
      </c>
      <c r="E2580" s="8" t="s">
        <v>57</v>
      </c>
      <c r="F2580" s="8" t="s">
        <v>58</v>
      </c>
      <c r="G2580" s="8" t="s">
        <v>7</v>
      </c>
      <c r="H2580" s="8" t="s">
        <v>38</v>
      </c>
      <c r="I2580" s="9">
        <v>2802.1585</v>
      </c>
      <c r="J2580">
        <v>2886.8909386752998</v>
      </c>
      <c r="K2580">
        <v>2886.8909386752998</v>
      </c>
      <c r="L2580">
        <v>2886.8909386752998</v>
      </c>
    </row>
    <row r="2581" spans="1:12" x14ac:dyDescent="0.2">
      <c r="A2581" s="8" t="s">
        <v>110</v>
      </c>
      <c r="B2581" s="8" t="s">
        <v>89</v>
      </c>
      <c r="C2581" s="8" t="s">
        <v>423</v>
      </c>
      <c r="D2581" s="8" t="s">
        <v>424</v>
      </c>
      <c r="E2581" s="8" t="s">
        <v>72</v>
      </c>
      <c r="F2581" s="8" t="s">
        <v>73</v>
      </c>
      <c r="G2581" s="8" t="s">
        <v>7</v>
      </c>
      <c r="H2581" s="8" t="s">
        <v>38</v>
      </c>
      <c r="I2581" s="9">
        <v>5429.8735999999999</v>
      </c>
      <c r="J2581">
        <v>5336.1402584383004</v>
      </c>
      <c r="K2581">
        <v>4686.8919486118002</v>
      </c>
      <c r="L2581">
        <v>4143.9298100879996</v>
      </c>
    </row>
    <row r="2582" spans="1:12" x14ac:dyDescent="0.2">
      <c r="A2582" s="8" t="s">
        <v>110</v>
      </c>
      <c r="B2582" s="8" t="s">
        <v>89</v>
      </c>
      <c r="C2582" s="8" t="s">
        <v>423</v>
      </c>
      <c r="D2582" s="8" t="s">
        <v>424</v>
      </c>
      <c r="E2582" s="8" t="s">
        <v>74</v>
      </c>
      <c r="F2582" s="8" t="s">
        <v>75</v>
      </c>
      <c r="G2582" s="8" t="s">
        <v>7</v>
      </c>
      <c r="H2582" s="8" t="s">
        <v>38</v>
      </c>
      <c r="I2582" s="9">
        <v>917.95950000000005</v>
      </c>
      <c r="J2582">
        <v>1062.5076449431999</v>
      </c>
      <c r="K2582">
        <v>1140.5814046467001</v>
      </c>
      <c r="L2582">
        <v>761.83295979024001</v>
      </c>
    </row>
    <row r="2583" spans="1:12" x14ac:dyDescent="0.2">
      <c r="A2583" s="8" t="s">
        <v>110</v>
      </c>
      <c r="B2583" s="8" t="s">
        <v>89</v>
      </c>
      <c r="C2583" s="8" t="s">
        <v>423</v>
      </c>
      <c r="D2583" s="8" t="s">
        <v>424</v>
      </c>
      <c r="E2583" s="8" t="s">
        <v>59</v>
      </c>
      <c r="F2583" s="8" t="s">
        <v>60</v>
      </c>
      <c r="G2583" s="8" t="s">
        <v>7</v>
      </c>
      <c r="H2583" s="8" t="s">
        <v>38</v>
      </c>
      <c r="I2583" s="9">
        <v>1070.6705999999999</v>
      </c>
      <c r="J2583">
        <v>1120.2071229982</v>
      </c>
      <c r="K2583">
        <v>973.82669080906999</v>
      </c>
      <c r="L2583">
        <v>903.75374751029995</v>
      </c>
    </row>
    <row r="2584" spans="1:12" x14ac:dyDescent="0.2">
      <c r="A2584" s="8" t="s">
        <v>110</v>
      </c>
      <c r="B2584" s="8" t="s">
        <v>89</v>
      </c>
      <c r="C2584" s="8" t="s">
        <v>423</v>
      </c>
      <c r="D2584" s="8" t="s">
        <v>424</v>
      </c>
      <c r="E2584" s="8" t="s">
        <v>76</v>
      </c>
      <c r="F2584" s="8" t="s">
        <v>77</v>
      </c>
      <c r="G2584" s="8" t="s">
        <v>7</v>
      </c>
      <c r="H2584" s="8" t="s">
        <v>38</v>
      </c>
      <c r="I2584" s="9">
        <v>1506.0571</v>
      </c>
      <c r="J2584">
        <v>1428.9523810144001</v>
      </c>
      <c r="K2584">
        <v>1300.3047619612</v>
      </c>
      <c r="L2584">
        <v>1070.7901216921</v>
      </c>
    </row>
    <row r="2585" spans="1:12" x14ac:dyDescent="0.2">
      <c r="A2585" s="8" t="s">
        <v>110</v>
      </c>
      <c r="B2585" s="8" t="s">
        <v>89</v>
      </c>
      <c r="C2585" s="8" t="s">
        <v>423</v>
      </c>
      <c r="D2585" s="8" t="s">
        <v>424</v>
      </c>
      <c r="E2585" s="8" t="s">
        <v>78</v>
      </c>
      <c r="F2585" s="8" t="s">
        <v>79</v>
      </c>
      <c r="G2585" s="8" t="s">
        <v>7</v>
      </c>
      <c r="H2585" s="8" t="s">
        <v>38</v>
      </c>
      <c r="I2585" s="9">
        <v>399.14278000000002</v>
      </c>
      <c r="J2585">
        <v>345.71422285713999</v>
      </c>
      <c r="K2585">
        <v>314.59994280000001</v>
      </c>
      <c r="L2585">
        <v>278.89709214856998</v>
      </c>
    </row>
    <row r="2586" spans="1:12" x14ac:dyDescent="0.2">
      <c r="A2586" s="8" t="s">
        <v>110</v>
      </c>
      <c r="B2586" s="8" t="s">
        <v>89</v>
      </c>
      <c r="C2586" s="8" t="s">
        <v>423</v>
      </c>
      <c r="D2586" s="8" t="s">
        <v>424</v>
      </c>
      <c r="E2586" s="8" t="s">
        <v>92</v>
      </c>
      <c r="F2586" s="8" t="s">
        <v>93</v>
      </c>
      <c r="G2586" s="8" t="s">
        <v>7</v>
      </c>
      <c r="H2586" s="8" t="s">
        <v>38</v>
      </c>
      <c r="I2586" s="9">
        <v>181.43827999999999</v>
      </c>
      <c r="J2586">
        <v>195.29987620374999</v>
      </c>
      <c r="K2586">
        <v>189.18538476972</v>
      </c>
      <c r="L2586">
        <v>187.03915774779</v>
      </c>
    </row>
    <row r="2587" spans="1:12" x14ac:dyDescent="0.2">
      <c r="A2587" s="8" t="s">
        <v>32</v>
      </c>
      <c r="B2587" s="8" t="s">
        <v>33</v>
      </c>
      <c r="C2587" s="8" t="s">
        <v>425</v>
      </c>
      <c r="D2587" s="8" t="s">
        <v>426</v>
      </c>
      <c r="E2587" s="8" t="s">
        <v>36</v>
      </c>
      <c r="F2587" s="8" t="s">
        <v>37</v>
      </c>
      <c r="G2587" s="8" t="s">
        <v>7</v>
      </c>
      <c r="H2587" s="8" t="s">
        <v>38</v>
      </c>
      <c r="I2587" s="9">
        <v>9670.9814000000006</v>
      </c>
      <c r="J2587">
        <v>9769.2436139743004</v>
      </c>
      <c r="K2587">
        <v>10904.447986403</v>
      </c>
      <c r="L2587">
        <v>11562.531075133</v>
      </c>
    </row>
    <row r="2588" spans="1:12" x14ac:dyDescent="0.2">
      <c r="A2588" s="8" t="s">
        <v>32</v>
      </c>
      <c r="B2588" s="8" t="s">
        <v>33</v>
      </c>
      <c r="C2588" s="8" t="s">
        <v>425</v>
      </c>
      <c r="D2588" s="8" t="s">
        <v>426</v>
      </c>
      <c r="E2588" s="8" t="s">
        <v>64</v>
      </c>
      <c r="F2588" s="8" t="s">
        <v>65</v>
      </c>
      <c r="G2588" s="8" t="s">
        <v>7</v>
      </c>
      <c r="H2588" s="8" t="s">
        <v>38</v>
      </c>
      <c r="I2588" s="9">
        <v>2.4363722000000001</v>
      </c>
      <c r="J2588">
        <v>2.5666652668171999</v>
      </c>
      <c r="K2588">
        <v>2.5393162895081001</v>
      </c>
      <c r="L2588">
        <v>2.8967869942536999</v>
      </c>
    </row>
    <row r="2589" spans="1:12" x14ac:dyDescent="0.2">
      <c r="A2589" s="8" t="s">
        <v>32</v>
      </c>
      <c r="B2589" s="8" t="s">
        <v>33</v>
      </c>
      <c r="C2589" s="8" t="s">
        <v>425</v>
      </c>
      <c r="D2589" s="8" t="s">
        <v>426</v>
      </c>
      <c r="E2589" s="8" t="s">
        <v>39</v>
      </c>
      <c r="F2589" s="8" t="s">
        <v>40</v>
      </c>
      <c r="G2589" s="8" t="s">
        <v>7</v>
      </c>
      <c r="H2589" s="8" t="s">
        <v>38</v>
      </c>
      <c r="I2589" s="9">
        <v>90.212517000000005</v>
      </c>
      <c r="J2589">
        <v>92.001463005936998</v>
      </c>
      <c r="K2589">
        <v>95.194279432881004</v>
      </c>
      <c r="L2589">
        <v>95.350660311121999</v>
      </c>
    </row>
    <row r="2590" spans="1:12" x14ac:dyDescent="0.2">
      <c r="A2590" s="8" t="s">
        <v>32</v>
      </c>
      <c r="B2590" s="8" t="s">
        <v>33</v>
      </c>
      <c r="C2590" s="8" t="s">
        <v>425</v>
      </c>
      <c r="D2590" s="8" t="s">
        <v>426</v>
      </c>
      <c r="E2590" s="8" t="s">
        <v>41</v>
      </c>
      <c r="F2590" s="8" t="s">
        <v>42</v>
      </c>
      <c r="G2590" s="8" t="s">
        <v>7</v>
      </c>
      <c r="H2590" s="8" t="s">
        <v>38</v>
      </c>
      <c r="I2590" s="9">
        <v>161.08338000000001</v>
      </c>
      <c r="J2590">
        <v>203.19116709732</v>
      </c>
      <c r="K2590">
        <v>230.62340507563999</v>
      </c>
      <c r="L2590">
        <v>263.3187536419</v>
      </c>
    </row>
    <row r="2591" spans="1:12" x14ac:dyDescent="0.2">
      <c r="A2591" s="8" t="s">
        <v>32</v>
      </c>
      <c r="B2591" s="8" t="s">
        <v>33</v>
      </c>
      <c r="C2591" s="8" t="s">
        <v>425</v>
      </c>
      <c r="D2591" s="8" t="s">
        <v>426</v>
      </c>
      <c r="E2591" s="8" t="s">
        <v>43</v>
      </c>
      <c r="F2591" s="8" t="s">
        <v>44</v>
      </c>
      <c r="G2591" s="8" t="s">
        <v>7</v>
      </c>
      <c r="H2591" s="8" t="s">
        <v>38</v>
      </c>
      <c r="I2591" s="9">
        <v>1558.8748000000001</v>
      </c>
      <c r="J2591">
        <v>1634.2673336749001</v>
      </c>
      <c r="K2591">
        <v>1705.7035125437999</v>
      </c>
      <c r="L2591">
        <v>1702.2496555498001</v>
      </c>
    </row>
    <row r="2592" spans="1:12" x14ac:dyDescent="0.2">
      <c r="A2592" s="8" t="s">
        <v>32</v>
      </c>
      <c r="B2592" s="8" t="s">
        <v>33</v>
      </c>
      <c r="C2592" s="8" t="s">
        <v>425</v>
      </c>
      <c r="D2592" s="8" t="s">
        <v>426</v>
      </c>
      <c r="E2592" s="8" t="s">
        <v>45</v>
      </c>
      <c r="F2592" s="8" t="s">
        <v>46</v>
      </c>
      <c r="G2592" s="8" t="s">
        <v>7</v>
      </c>
      <c r="H2592" s="8" t="s">
        <v>38</v>
      </c>
      <c r="I2592" s="9">
        <v>103.11554</v>
      </c>
      <c r="J2592">
        <v>137.4105962422</v>
      </c>
      <c r="K2592">
        <v>139.26853519509999</v>
      </c>
      <c r="L2592">
        <v>148.40760810916001</v>
      </c>
    </row>
    <row r="2593" spans="1:12" x14ac:dyDescent="0.2">
      <c r="A2593" s="8" t="s">
        <v>32</v>
      </c>
      <c r="B2593" s="8" t="s">
        <v>33</v>
      </c>
      <c r="C2593" s="8" t="s">
        <v>425</v>
      </c>
      <c r="D2593" s="8" t="s">
        <v>426</v>
      </c>
      <c r="E2593" s="8" t="s">
        <v>47</v>
      </c>
      <c r="F2593" s="8" t="s">
        <v>48</v>
      </c>
      <c r="G2593" s="8" t="s">
        <v>7</v>
      </c>
      <c r="H2593" s="8" t="s">
        <v>38</v>
      </c>
      <c r="I2593" s="9">
        <v>15.730083</v>
      </c>
      <c r="J2593">
        <v>15.587746224157</v>
      </c>
      <c r="K2593">
        <v>16.577133505437001</v>
      </c>
      <c r="L2593">
        <v>16.543566682083</v>
      </c>
    </row>
    <row r="2594" spans="1:12" x14ac:dyDescent="0.2">
      <c r="A2594" s="8" t="s">
        <v>32</v>
      </c>
      <c r="B2594" s="8" t="s">
        <v>33</v>
      </c>
      <c r="C2594" s="8" t="s">
        <v>425</v>
      </c>
      <c r="D2594" s="8" t="s">
        <v>426</v>
      </c>
      <c r="E2594" s="8" t="s">
        <v>49</v>
      </c>
      <c r="F2594" s="8" t="s">
        <v>50</v>
      </c>
      <c r="G2594" s="8" t="s">
        <v>7</v>
      </c>
      <c r="H2594" s="8" t="s">
        <v>38</v>
      </c>
      <c r="I2594" s="9">
        <v>642.46919000000003</v>
      </c>
      <c r="J2594">
        <v>641.67575144616001</v>
      </c>
      <c r="K2594">
        <v>656.4839566137</v>
      </c>
      <c r="L2594">
        <v>658.76542309950003</v>
      </c>
    </row>
    <row r="2595" spans="1:12" x14ac:dyDescent="0.2">
      <c r="A2595" s="8" t="s">
        <v>32</v>
      </c>
      <c r="B2595" s="8" t="s">
        <v>33</v>
      </c>
      <c r="C2595" s="8" t="s">
        <v>425</v>
      </c>
      <c r="D2595" s="8" t="s">
        <v>426</v>
      </c>
      <c r="E2595" s="8" t="s">
        <v>51</v>
      </c>
      <c r="F2595" s="8" t="s">
        <v>52</v>
      </c>
      <c r="G2595" s="8" t="s">
        <v>7</v>
      </c>
      <c r="H2595" s="8" t="s">
        <v>38</v>
      </c>
      <c r="I2595" s="9">
        <v>30.855505999999998</v>
      </c>
      <c r="J2595">
        <v>33.392060844158003</v>
      </c>
      <c r="K2595">
        <v>35.510790753041</v>
      </c>
      <c r="L2595">
        <v>35.438885411872</v>
      </c>
    </row>
    <row r="2596" spans="1:12" x14ac:dyDescent="0.2">
      <c r="A2596" s="8" t="s">
        <v>32</v>
      </c>
      <c r="B2596" s="8" t="s">
        <v>33</v>
      </c>
      <c r="C2596" s="8" t="s">
        <v>425</v>
      </c>
      <c r="D2596" s="8" t="s">
        <v>426</v>
      </c>
      <c r="E2596" s="8" t="s">
        <v>53</v>
      </c>
      <c r="F2596" s="8" t="s">
        <v>54</v>
      </c>
      <c r="G2596" s="8" t="s">
        <v>7</v>
      </c>
      <c r="H2596" s="8" t="s">
        <v>38</v>
      </c>
      <c r="I2596" s="9">
        <v>3.4142999999999999E-3</v>
      </c>
      <c r="J2596">
        <v>3.4483076719388E-3</v>
      </c>
      <c r="K2596">
        <v>3.6096984446182001E-3</v>
      </c>
      <c r="L2596">
        <v>3.6409185603078001E-3</v>
      </c>
    </row>
    <row r="2597" spans="1:12" x14ac:dyDescent="0.2">
      <c r="A2597" s="8" t="s">
        <v>32</v>
      </c>
      <c r="B2597" s="8" t="s">
        <v>33</v>
      </c>
      <c r="C2597" s="8" t="s">
        <v>425</v>
      </c>
      <c r="D2597" s="8" t="s">
        <v>426</v>
      </c>
      <c r="E2597" s="8" t="s">
        <v>70</v>
      </c>
      <c r="F2597" s="8" t="s">
        <v>71</v>
      </c>
      <c r="G2597" s="8" t="s">
        <v>7</v>
      </c>
      <c r="H2597" s="8" t="s">
        <v>38</v>
      </c>
      <c r="I2597" s="9">
        <v>174.3449</v>
      </c>
      <c r="J2597">
        <v>121.70543489606</v>
      </c>
      <c r="K2597">
        <v>114.98550290794</v>
      </c>
      <c r="L2597">
        <v>128.42536688419</v>
      </c>
    </row>
    <row r="2598" spans="1:12" x14ac:dyDescent="0.2">
      <c r="A2598" s="8" t="s">
        <v>32</v>
      </c>
      <c r="B2598" s="8" t="s">
        <v>33</v>
      </c>
      <c r="C2598" s="8" t="s">
        <v>425</v>
      </c>
      <c r="D2598" s="8" t="s">
        <v>426</v>
      </c>
      <c r="E2598" s="8" t="s">
        <v>55</v>
      </c>
      <c r="F2598" s="8" t="s">
        <v>56</v>
      </c>
      <c r="G2598" s="8" t="s">
        <v>7</v>
      </c>
      <c r="H2598" s="8" t="s">
        <v>38</v>
      </c>
      <c r="I2598" s="9">
        <v>0.16776150000000001</v>
      </c>
      <c r="J2598">
        <v>0.11710973206010999</v>
      </c>
      <c r="K2598">
        <v>0.12716823665422999</v>
      </c>
      <c r="L2598">
        <v>0.12716823665422999</v>
      </c>
    </row>
    <row r="2599" spans="1:12" x14ac:dyDescent="0.2">
      <c r="A2599" s="8" t="s">
        <v>32</v>
      </c>
      <c r="B2599" s="8" t="s">
        <v>33</v>
      </c>
      <c r="C2599" s="8" t="s">
        <v>425</v>
      </c>
      <c r="D2599" s="8" t="s">
        <v>426</v>
      </c>
      <c r="E2599" s="8" t="s">
        <v>59</v>
      </c>
      <c r="F2599" s="8" t="s">
        <v>60</v>
      </c>
      <c r="G2599" s="8" t="s">
        <v>7</v>
      </c>
      <c r="H2599" s="8" t="s">
        <v>38</v>
      </c>
      <c r="I2599" s="9">
        <v>15.513851000000001</v>
      </c>
      <c r="J2599">
        <v>15.756326296920999</v>
      </c>
      <c r="K2599">
        <v>16.292648706251999</v>
      </c>
      <c r="L2599">
        <v>15.913350896512</v>
      </c>
    </row>
    <row r="2600" spans="1:12" x14ac:dyDescent="0.2">
      <c r="A2600" s="8" t="s">
        <v>32</v>
      </c>
      <c r="B2600" s="8" t="s">
        <v>316</v>
      </c>
      <c r="C2600" s="8" t="s">
        <v>427</v>
      </c>
      <c r="D2600" s="8" t="s">
        <v>428</v>
      </c>
      <c r="E2600" s="8" t="s">
        <v>36</v>
      </c>
      <c r="F2600" s="8" t="s">
        <v>37</v>
      </c>
      <c r="G2600" s="8" t="s">
        <v>7</v>
      </c>
      <c r="H2600" s="8" t="s">
        <v>38</v>
      </c>
      <c r="I2600" s="9">
        <v>13897.897999999999</v>
      </c>
      <c r="J2600">
        <v>11629.469095439999</v>
      </c>
      <c r="K2600">
        <v>12131.459617390001</v>
      </c>
      <c r="L2600">
        <v>13357.787643673</v>
      </c>
    </row>
    <row r="2601" spans="1:12" x14ac:dyDescent="0.2">
      <c r="A2601" s="8" t="s">
        <v>32</v>
      </c>
      <c r="B2601" s="8" t="s">
        <v>316</v>
      </c>
      <c r="C2601" s="8" t="s">
        <v>427</v>
      </c>
      <c r="D2601" s="8" t="s">
        <v>428</v>
      </c>
      <c r="E2601" s="8" t="s">
        <v>64</v>
      </c>
      <c r="F2601" s="8" t="s">
        <v>65</v>
      </c>
      <c r="G2601" s="8" t="s">
        <v>7</v>
      </c>
      <c r="H2601" s="8" t="s">
        <v>38</v>
      </c>
      <c r="I2601" s="9">
        <v>43.576123000000003</v>
      </c>
      <c r="J2601">
        <v>43.576122599999998</v>
      </c>
      <c r="K2601">
        <v>43.576122599999998</v>
      </c>
      <c r="L2601">
        <v>42.837780002240002</v>
      </c>
    </row>
    <row r="2602" spans="1:12" x14ac:dyDescent="0.2">
      <c r="A2602" s="8" t="s">
        <v>32</v>
      </c>
      <c r="B2602" s="8" t="s">
        <v>316</v>
      </c>
      <c r="C2602" s="8" t="s">
        <v>427</v>
      </c>
      <c r="D2602" s="8" t="s">
        <v>428</v>
      </c>
      <c r="E2602" s="8" t="s">
        <v>39</v>
      </c>
      <c r="F2602" s="8" t="s">
        <v>40</v>
      </c>
      <c r="G2602" s="8" t="s">
        <v>7</v>
      </c>
      <c r="H2602" s="8" t="s">
        <v>38</v>
      </c>
      <c r="I2602" s="9">
        <v>34733.71</v>
      </c>
      <c r="J2602">
        <v>28223.62631073</v>
      </c>
      <c r="K2602">
        <v>29379.107183209999</v>
      </c>
      <c r="L2602">
        <v>32545.604806757001</v>
      </c>
    </row>
    <row r="2603" spans="1:12" x14ac:dyDescent="0.2">
      <c r="A2603" s="8" t="s">
        <v>32</v>
      </c>
      <c r="B2603" s="8" t="s">
        <v>316</v>
      </c>
      <c r="C2603" s="8" t="s">
        <v>427</v>
      </c>
      <c r="D2603" s="8" t="s">
        <v>428</v>
      </c>
      <c r="E2603" s="8" t="s">
        <v>43</v>
      </c>
      <c r="F2603" s="8" t="s">
        <v>44</v>
      </c>
      <c r="G2603" s="8" t="s">
        <v>7</v>
      </c>
      <c r="H2603" s="8" t="s">
        <v>38</v>
      </c>
      <c r="I2603" s="9">
        <v>1061.3118999999999</v>
      </c>
      <c r="J2603">
        <v>991.09057092</v>
      </c>
      <c r="K2603">
        <v>1004.1550554</v>
      </c>
      <c r="L2603">
        <v>999.40902007372995</v>
      </c>
    </row>
    <row r="2604" spans="1:12" x14ac:dyDescent="0.2">
      <c r="A2604" s="8" t="s">
        <v>32</v>
      </c>
      <c r="B2604" s="8" t="s">
        <v>316</v>
      </c>
      <c r="C2604" s="8" t="s">
        <v>427</v>
      </c>
      <c r="D2604" s="8" t="s">
        <v>428</v>
      </c>
      <c r="E2604" s="8" t="s">
        <v>47</v>
      </c>
      <c r="F2604" s="8" t="s">
        <v>48</v>
      </c>
      <c r="G2604" s="8" t="s">
        <v>7</v>
      </c>
      <c r="H2604" s="8" t="s">
        <v>38</v>
      </c>
      <c r="I2604" s="9">
        <v>4154.0547999999999</v>
      </c>
      <c r="J2604">
        <v>3424.0265439999998</v>
      </c>
      <c r="K2604">
        <v>3570.9214762400002</v>
      </c>
      <c r="L2604">
        <v>3926.0431069386</v>
      </c>
    </row>
    <row r="2605" spans="1:12" x14ac:dyDescent="0.2">
      <c r="A2605" s="8" t="s">
        <v>32</v>
      </c>
      <c r="B2605" s="8" t="s">
        <v>316</v>
      </c>
      <c r="C2605" s="8" t="s">
        <v>427</v>
      </c>
      <c r="D2605" s="8" t="s">
        <v>428</v>
      </c>
      <c r="E2605" s="8" t="s">
        <v>49</v>
      </c>
      <c r="F2605" s="8" t="s">
        <v>50</v>
      </c>
      <c r="G2605" s="8" t="s">
        <v>7</v>
      </c>
      <c r="H2605" s="8" t="s">
        <v>38</v>
      </c>
      <c r="I2605" s="9">
        <v>8389.4123999999993</v>
      </c>
      <c r="J2605">
        <v>6825.6874610000004</v>
      </c>
      <c r="K2605">
        <v>7140.1737088099999</v>
      </c>
      <c r="L2605">
        <v>7897.8371924196999</v>
      </c>
    </row>
    <row r="2606" spans="1:12" x14ac:dyDescent="0.2">
      <c r="A2606" s="8" t="s">
        <v>32</v>
      </c>
      <c r="B2606" s="8" t="s">
        <v>316</v>
      </c>
      <c r="C2606" s="8" t="s">
        <v>427</v>
      </c>
      <c r="D2606" s="8" t="s">
        <v>428</v>
      </c>
      <c r="E2606" s="8" t="s">
        <v>51</v>
      </c>
      <c r="F2606" s="8" t="s">
        <v>52</v>
      </c>
      <c r="G2606" s="8" t="s">
        <v>7</v>
      </c>
      <c r="H2606" s="8" t="s">
        <v>38</v>
      </c>
      <c r="I2606" s="9">
        <v>3922.73</v>
      </c>
      <c r="J2606">
        <v>3192.2209243699999</v>
      </c>
      <c r="K2606">
        <v>3339.0699327100001</v>
      </c>
      <c r="L2606">
        <v>3690.7989946595999</v>
      </c>
    </row>
    <row r="2607" spans="1:12" x14ac:dyDescent="0.2">
      <c r="A2607" s="8" t="s">
        <v>32</v>
      </c>
      <c r="B2607" s="8" t="s">
        <v>316</v>
      </c>
      <c r="C2607" s="8" t="s">
        <v>427</v>
      </c>
      <c r="D2607" s="8" t="s">
        <v>428</v>
      </c>
      <c r="E2607" s="8" t="s">
        <v>68</v>
      </c>
      <c r="F2607" s="8" t="s">
        <v>69</v>
      </c>
      <c r="G2607" s="8" t="s">
        <v>7</v>
      </c>
      <c r="H2607" s="8" t="s">
        <v>38</v>
      </c>
      <c r="I2607" s="9">
        <v>252.40504000000001</v>
      </c>
      <c r="J2607">
        <v>207.23782569759001</v>
      </c>
      <c r="K2607">
        <v>216.53695896379</v>
      </c>
      <c r="L2607">
        <v>216.53695896379</v>
      </c>
    </row>
    <row r="2608" spans="1:12" x14ac:dyDescent="0.2">
      <c r="A2608" s="8" t="s">
        <v>32</v>
      </c>
      <c r="B2608" s="8" t="s">
        <v>316</v>
      </c>
      <c r="C2608" s="8" t="s">
        <v>427</v>
      </c>
      <c r="D2608" s="8" t="s">
        <v>428</v>
      </c>
      <c r="E2608" s="8" t="s">
        <v>53</v>
      </c>
      <c r="F2608" s="8" t="s">
        <v>54</v>
      </c>
      <c r="G2608" s="8" t="s">
        <v>7</v>
      </c>
      <c r="H2608" s="8" t="s">
        <v>38</v>
      </c>
      <c r="I2608" s="9">
        <v>7.2690000000000005E-4</v>
      </c>
      <c r="J2608">
        <v>7.2694543129999995E-4</v>
      </c>
      <c r="K2608">
        <v>7.2694543129999995E-4</v>
      </c>
      <c r="L2608">
        <v>7.1843004934193E-4</v>
      </c>
    </row>
    <row r="2609" spans="1:12" x14ac:dyDescent="0.2">
      <c r="A2609" s="8" t="s">
        <v>32</v>
      </c>
      <c r="B2609" s="8" t="s">
        <v>316</v>
      </c>
      <c r="C2609" s="8" t="s">
        <v>427</v>
      </c>
      <c r="D2609" s="8" t="s">
        <v>428</v>
      </c>
      <c r="E2609" s="8" t="s">
        <v>70</v>
      </c>
      <c r="F2609" s="8" t="s">
        <v>71</v>
      </c>
      <c r="G2609" s="8" t="s">
        <v>7</v>
      </c>
      <c r="H2609" s="8" t="s">
        <v>38</v>
      </c>
      <c r="I2609" s="9">
        <v>2324.9960999999998</v>
      </c>
      <c r="J2609">
        <v>2435.3210414800001</v>
      </c>
      <c r="K2609">
        <v>2676.4014801500002</v>
      </c>
      <c r="L2609">
        <v>2673.3821309198001</v>
      </c>
    </row>
    <row r="2610" spans="1:12" x14ac:dyDescent="0.2">
      <c r="A2610" s="8" t="s">
        <v>32</v>
      </c>
      <c r="B2610" s="8" t="s">
        <v>316</v>
      </c>
      <c r="C2610" s="8" t="s">
        <v>427</v>
      </c>
      <c r="D2610" s="8" t="s">
        <v>428</v>
      </c>
      <c r="E2610" s="8" t="s">
        <v>55</v>
      </c>
      <c r="F2610" s="8" t="s">
        <v>56</v>
      </c>
      <c r="G2610" s="8" t="s">
        <v>7</v>
      </c>
      <c r="H2610" s="8" t="s">
        <v>38</v>
      </c>
      <c r="I2610" s="9">
        <v>1.2278309000000001</v>
      </c>
      <c r="J2610">
        <v>1.3752024453625</v>
      </c>
      <c r="K2610">
        <v>1.3752024453625</v>
      </c>
      <c r="L2610">
        <v>1.3752024453625</v>
      </c>
    </row>
    <row r="2611" spans="1:12" x14ac:dyDescent="0.2">
      <c r="A2611" s="8" t="s">
        <v>32</v>
      </c>
      <c r="B2611" s="8" t="s">
        <v>316</v>
      </c>
      <c r="C2611" s="8" t="s">
        <v>427</v>
      </c>
      <c r="D2611" s="8" t="s">
        <v>428</v>
      </c>
      <c r="E2611" s="8" t="s">
        <v>72</v>
      </c>
      <c r="F2611" s="8" t="s">
        <v>73</v>
      </c>
      <c r="G2611" s="8" t="s">
        <v>7</v>
      </c>
      <c r="H2611" s="8" t="s">
        <v>38</v>
      </c>
      <c r="I2611" s="9">
        <v>135</v>
      </c>
      <c r="J2611">
        <v>135</v>
      </c>
      <c r="K2611">
        <v>135</v>
      </c>
      <c r="L2611">
        <v>135</v>
      </c>
    </row>
    <row r="2612" spans="1:12" x14ac:dyDescent="0.2">
      <c r="A2612" s="8" t="s">
        <v>32</v>
      </c>
      <c r="B2612" s="8" t="s">
        <v>316</v>
      </c>
      <c r="C2612" s="8" t="s">
        <v>427</v>
      </c>
      <c r="D2612" s="8" t="s">
        <v>428</v>
      </c>
      <c r="E2612" s="8" t="s">
        <v>74</v>
      </c>
      <c r="F2612" s="8" t="s">
        <v>75</v>
      </c>
      <c r="G2612" s="8" t="s">
        <v>7</v>
      </c>
      <c r="H2612" s="8" t="s">
        <v>38</v>
      </c>
      <c r="I2612" s="9">
        <v>63.152710999999996</v>
      </c>
      <c r="J2612">
        <v>104.6545362</v>
      </c>
      <c r="K2612">
        <v>95.186281899999997</v>
      </c>
      <c r="L2612">
        <v>101.39043530554</v>
      </c>
    </row>
    <row r="2613" spans="1:12" x14ac:dyDescent="0.2">
      <c r="A2613" s="8" t="s">
        <v>32</v>
      </c>
      <c r="B2613" s="8" t="s">
        <v>316</v>
      </c>
      <c r="C2613" s="8" t="s">
        <v>427</v>
      </c>
      <c r="D2613" s="8" t="s">
        <v>428</v>
      </c>
      <c r="E2613" s="8" t="s">
        <v>59</v>
      </c>
      <c r="F2613" s="8" t="s">
        <v>60</v>
      </c>
      <c r="G2613" s="8" t="s">
        <v>7</v>
      </c>
      <c r="H2613" s="8" t="s">
        <v>38</v>
      </c>
      <c r="I2613" s="9">
        <v>41.955370000000002</v>
      </c>
      <c r="J2613">
        <v>41.992296109754001</v>
      </c>
      <c r="K2613">
        <v>42.126313607691003</v>
      </c>
      <c r="L2613">
        <v>42.294648223629999</v>
      </c>
    </row>
    <row r="2614" spans="1:12" x14ac:dyDescent="0.2">
      <c r="A2614" s="8" t="s">
        <v>32</v>
      </c>
      <c r="B2614" s="8" t="s">
        <v>316</v>
      </c>
      <c r="C2614" s="8" t="s">
        <v>427</v>
      </c>
      <c r="D2614" s="8" t="s">
        <v>428</v>
      </c>
      <c r="E2614" s="8" t="s">
        <v>76</v>
      </c>
      <c r="F2614" s="8" t="s">
        <v>77</v>
      </c>
      <c r="G2614" s="8" t="s">
        <v>7</v>
      </c>
      <c r="H2614" s="8" t="s">
        <v>38</v>
      </c>
      <c r="I2614" s="9">
        <v>2.3047618999999999</v>
      </c>
      <c r="J2614">
        <v>1.2571428571679999</v>
      </c>
      <c r="K2614">
        <v>12.57142857432</v>
      </c>
      <c r="L2614">
        <v>12.445714288603</v>
      </c>
    </row>
    <row r="2615" spans="1:12" x14ac:dyDescent="0.2">
      <c r="A2615" s="8" t="s">
        <v>32</v>
      </c>
      <c r="B2615" s="8" t="s">
        <v>316</v>
      </c>
      <c r="C2615" s="8" t="s">
        <v>427</v>
      </c>
      <c r="D2615" s="8" t="s">
        <v>428</v>
      </c>
      <c r="E2615" s="8" t="s">
        <v>78</v>
      </c>
      <c r="F2615" s="8" t="s">
        <v>79</v>
      </c>
      <c r="G2615" s="8" t="s">
        <v>7</v>
      </c>
      <c r="H2615" s="8" t="s">
        <v>38</v>
      </c>
      <c r="I2615" s="9">
        <v>10.371427000000001</v>
      </c>
      <c r="J2615">
        <v>23.099995799999999</v>
      </c>
      <c r="K2615">
        <v>4.8714276857143002</v>
      </c>
      <c r="L2615">
        <v>4.8714276857143002</v>
      </c>
    </row>
    <row r="2616" spans="1:12" x14ac:dyDescent="0.2">
      <c r="A2616" s="8" t="s">
        <v>32</v>
      </c>
      <c r="B2616" s="8" t="s">
        <v>316</v>
      </c>
      <c r="C2616" s="8" t="s">
        <v>427</v>
      </c>
      <c r="D2616" s="8" t="s">
        <v>428</v>
      </c>
      <c r="E2616" s="8" t="s">
        <v>92</v>
      </c>
      <c r="F2616" s="8" t="s">
        <v>93</v>
      </c>
      <c r="G2616" s="8" t="s">
        <v>7</v>
      </c>
      <c r="H2616" s="8" t="s">
        <v>38</v>
      </c>
      <c r="I2616" s="9">
        <v>10.901776999999999</v>
      </c>
      <c r="J2616">
        <v>10.993818142072</v>
      </c>
      <c r="K2616">
        <v>11.087146568721</v>
      </c>
      <c r="L2616">
        <v>11.176580226509</v>
      </c>
    </row>
    <row r="2617" spans="1:12" x14ac:dyDescent="0.2">
      <c r="A2617" s="8" t="s">
        <v>110</v>
      </c>
      <c r="B2617" s="8" t="s">
        <v>115</v>
      </c>
      <c r="C2617" s="8" t="s">
        <v>429</v>
      </c>
      <c r="D2617" s="8" t="s">
        <v>430</v>
      </c>
      <c r="E2617" s="8" t="s">
        <v>36</v>
      </c>
      <c r="F2617" s="8" t="s">
        <v>37</v>
      </c>
      <c r="G2617" s="8" t="s">
        <v>7</v>
      </c>
      <c r="H2617" s="8" t="s">
        <v>38</v>
      </c>
      <c r="I2617" s="9">
        <v>10771.897999999999</v>
      </c>
      <c r="J2617">
        <v>8473.1991760000001</v>
      </c>
      <c r="K2617">
        <v>7986.9845809998997</v>
      </c>
      <c r="L2617">
        <v>5411.6699156986997</v>
      </c>
    </row>
    <row r="2618" spans="1:12" x14ac:dyDescent="0.2">
      <c r="A2618" s="8" t="s">
        <v>110</v>
      </c>
      <c r="B2618" s="8" t="s">
        <v>115</v>
      </c>
      <c r="C2618" s="8" t="s">
        <v>429</v>
      </c>
      <c r="D2618" s="8" t="s">
        <v>430</v>
      </c>
      <c r="E2618" s="8" t="s">
        <v>64</v>
      </c>
      <c r="F2618" s="8" t="s">
        <v>65</v>
      </c>
      <c r="G2618" s="8" t="s">
        <v>7</v>
      </c>
      <c r="H2618" s="8" t="s">
        <v>38</v>
      </c>
      <c r="I2618" s="9">
        <v>2061.1718000000001</v>
      </c>
      <c r="J2618">
        <v>1645.8742199999999</v>
      </c>
      <c r="K2618">
        <v>2234.893024</v>
      </c>
      <c r="L2618">
        <v>1834.9955823016001</v>
      </c>
    </row>
    <row r="2619" spans="1:12" x14ac:dyDescent="0.2">
      <c r="A2619" s="8" t="s">
        <v>110</v>
      </c>
      <c r="B2619" s="8" t="s">
        <v>115</v>
      </c>
      <c r="C2619" s="8" t="s">
        <v>429</v>
      </c>
      <c r="D2619" s="8" t="s">
        <v>430</v>
      </c>
      <c r="E2619" s="8" t="s">
        <v>39</v>
      </c>
      <c r="F2619" s="8" t="s">
        <v>40</v>
      </c>
      <c r="G2619" s="8" t="s">
        <v>7</v>
      </c>
      <c r="H2619" s="8" t="s">
        <v>38</v>
      </c>
      <c r="I2619" s="9">
        <v>5321.1620000000003</v>
      </c>
      <c r="J2619">
        <v>5450.7540170000002</v>
      </c>
      <c r="K2619">
        <v>5319.6829589999998</v>
      </c>
      <c r="L2619">
        <v>5076.1212509211</v>
      </c>
    </row>
    <row r="2620" spans="1:12" x14ac:dyDescent="0.2">
      <c r="A2620" s="8" t="s">
        <v>110</v>
      </c>
      <c r="B2620" s="8" t="s">
        <v>115</v>
      </c>
      <c r="C2620" s="8" t="s">
        <v>429</v>
      </c>
      <c r="D2620" s="8" t="s">
        <v>430</v>
      </c>
      <c r="E2620" s="8" t="s">
        <v>41</v>
      </c>
      <c r="F2620" s="8" t="s">
        <v>42</v>
      </c>
      <c r="G2620" s="8" t="s">
        <v>7</v>
      </c>
      <c r="H2620" s="8" t="s">
        <v>38</v>
      </c>
      <c r="I2620" s="9">
        <v>260.35194000000001</v>
      </c>
      <c r="J2620">
        <v>342.65613000000002</v>
      </c>
      <c r="K2620">
        <v>419.28172499999999</v>
      </c>
      <c r="L2620">
        <v>482.43395958108999</v>
      </c>
    </row>
    <row r="2621" spans="1:12" x14ac:dyDescent="0.2">
      <c r="A2621" s="8" t="s">
        <v>110</v>
      </c>
      <c r="B2621" s="8" t="s">
        <v>115</v>
      </c>
      <c r="C2621" s="8" t="s">
        <v>429</v>
      </c>
      <c r="D2621" s="8" t="s">
        <v>430</v>
      </c>
      <c r="E2621" s="8" t="s">
        <v>43</v>
      </c>
      <c r="F2621" s="8" t="s">
        <v>44</v>
      </c>
      <c r="G2621" s="8" t="s">
        <v>7</v>
      </c>
      <c r="H2621" s="8" t="s">
        <v>38</v>
      </c>
      <c r="I2621" s="9">
        <v>13845.862999999999</v>
      </c>
      <c r="J2621">
        <v>14835.399890999999</v>
      </c>
      <c r="K2621">
        <v>15703.965146</v>
      </c>
      <c r="L2621">
        <v>16736.758178012002</v>
      </c>
    </row>
    <row r="2622" spans="1:12" x14ac:dyDescent="0.2">
      <c r="A2622" s="8" t="s">
        <v>110</v>
      </c>
      <c r="B2622" s="8" t="s">
        <v>115</v>
      </c>
      <c r="C2622" s="8" t="s">
        <v>429</v>
      </c>
      <c r="D2622" s="8" t="s">
        <v>430</v>
      </c>
      <c r="E2622" s="8" t="s">
        <v>66</v>
      </c>
      <c r="F2622" s="8" t="s">
        <v>67</v>
      </c>
      <c r="G2622" s="8" t="s">
        <v>7</v>
      </c>
      <c r="H2622" s="8" t="s">
        <v>38</v>
      </c>
      <c r="I2622" s="9">
        <v>27.264354000000001</v>
      </c>
      <c r="J2622">
        <v>27.005004</v>
      </c>
      <c r="K2622">
        <v>23.220717</v>
      </c>
      <c r="L2622">
        <v>26.828925871064001</v>
      </c>
    </row>
    <row r="2623" spans="1:12" x14ac:dyDescent="0.2">
      <c r="A2623" s="8" t="s">
        <v>110</v>
      </c>
      <c r="B2623" s="8" t="s">
        <v>115</v>
      </c>
      <c r="C2623" s="8" t="s">
        <v>429</v>
      </c>
      <c r="D2623" s="8" t="s">
        <v>430</v>
      </c>
      <c r="E2623" s="8" t="s">
        <v>45</v>
      </c>
      <c r="F2623" s="8" t="s">
        <v>46</v>
      </c>
      <c r="G2623" s="8" t="s">
        <v>7</v>
      </c>
      <c r="H2623" s="8" t="s">
        <v>38</v>
      </c>
      <c r="I2623" s="9">
        <v>197.01713000000001</v>
      </c>
      <c r="J2623">
        <v>225.781656</v>
      </c>
      <c r="K2623">
        <v>250.62766199999999</v>
      </c>
      <c r="L2623">
        <v>224.02490230027001</v>
      </c>
    </row>
    <row r="2624" spans="1:12" x14ac:dyDescent="0.2">
      <c r="A2624" s="8" t="s">
        <v>110</v>
      </c>
      <c r="B2624" s="8" t="s">
        <v>115</v>
      </c>
      <c r="C2624" s="8" t="s">
        <v>429</v>
      </c>
      <c r="D2624" s="8" t="s">
        <v>430</v>
      </c>
      <c r="E2624" s="8" t="s">
        <v>47</v>
      </c>
      <c r="F2624" s="8" t="s">
        <v>48</v>
      </c>
      <c r="G2624" s="8" t="s">
        <v>7</v>
      </c>
      <c r="H2624" s="8" t="s">
        <v>38</v>
      </c>
      <c r="I2624" s="9"/>
    </row>
    <row r="2625" spans="1:12" x14ac:dyDescent="0.2">
      <c r="A2625" s="8" t="s">
        <v>110</v>
      </c>
      <c r="B2625" s="8" t="s">
        <v>115</v>
      </c>
      <c r="C2625" s="8" t="s">
        <v>429</v>
      </c>
      <c r="D2625" s="8" t="s">
        <v>430</v>
      </c>
      <c r="E2625" s="8" t="s">
        <v>49</v>
      </c>
      <c r="F2625" s="8" t="s">
        <v>50</v>
      </c>
      <c r="G2625" s="8" t="s">
        <v>7</v>
      </c>
      <c r="H2625" s="8" t="s">
        <v>38</v>
      </c>
      <c r="I2625" s="9">
        <v>3958.5645</v>
      </c>
      <c r="J2625">
        <v>3883.2723890000002</v>
      </c>
      <c r="K2625">
        <v>3662.418259</v>
      </c>
      <c r="L2625">
        <v>3616.3544364495001</v>
      </c>
    </row>
    <row r="2626" spans="1:12" x14ac:dyDescent="0.2">
      <c r="A2626" s="8" t="s">
        <v>110</v>
      </c>
      <c r="B2626" s="8" t="s">
        <v>115</v>
      </c>
      <c r="C2626" s="8" t="s">
        <v>429</v>
      </c>
      <c r="D2626" s="8" t="s">
        <v>430</v>
      </c>
      <c r="E2626" s="8" t="s">
        <v>51</v>
      </c>
      <c r="F2626" s="8" t="s">
        <v>52</v>
      </c>
      <c r="G2626" s="8" t="s">
        <v>7</v>
      </c>
      <c r="H2626" s="8" t="s">
        <v>38</v>
      </c>
      <c r="I2626" s="9">
        <v>76.838002000000003</v>
      </c>
      <c r="J2626">
        <v>81.057593999999995</v>
      </c>
      <c r="K2626">
        <v>109.30054199999999</v>
      </c>
      <c r="L2626">
        <v>85.500272215196006</v>
      </c>
    </row>
    <row r="2627" spans="1:12" x14ac:dyDescent="0.2">
      <c r="A2627" s="8" t="s">
        <v>110</v>
      </c>
      <c r="B2627" s="8" t="s">
        <v>115</v>
      </c>
      <c r="C2627" s="8" t="s">
        <v>429</v>
      </c>
      <c r="D2627" s="8" t="s">
        <v>430</v>
      </c>
      <c r="E2627" s="8" t="s">
        <v>68</v>
      </c>
      <c r="F2627" s="8" t="s">
        <v>69</v>
      </c>
      <c r="G2627" s="8" t="s">
        <v>7</v>
      </c>
      <c r="H2627" s="8" t="s">
        <v>38</v>
      </c>
      <c r="I2627" s="9"/>
    </row>
    <row r="2628" spans="1:12" x14ac:dyDescent="0.2">
      <c r="A2628" s="8" t="s">
        <v>110</v>
      </c>
      <c r="B2628" s="8" t="s">
        <v>115</v>
      </c>
      <c r="C2628" s="8" t="s">
        <v>429</v>
      </c>
      <c r="D2628" s="8" t="s">
        <v>430</v>
      </c>
      <c r="E2628" s="8" t="s">
        <v>53</v>
      </c>
      <c r="F2628" s="8" t="s">
        <v>54</v>
      </c>
      <c r="G2628" s="8" t="s">
        <v>7</v>
      </c>
      <c r="H2628" s="8" t="s">
        <v>38</v>
      </c>
      <c r="I2628" s="9">
        <v>16.359256999999999</v>
      </c>
      <c r="J2628">
        <v>17.020622608210001</v>
      </c>
      <c r="K2628">
        <v>14.8063736141</v>
      </c>
      <c r="L2628">
        <v>12.81992194293</v>
      </c>
    </row>
    <row r="2629" spans="1:12" x14ac:dyDescent="0.2">
      <c r="A2629" s="8" t="s">
        <v>110</v>
      </c>
      <c r="B2629" s="8" t="s">
        <v>115</v>
      </c>
      <c r="C2629" s="8" t="s">
        <v>429</v>
      </c>
      <c r="D2629" s="8" t="s">
        <v>430</v>
      </c>
      <c r="E2629" s="8" t="s">
        <v>70</v>
      </c>
      <c r="F2629" s="8" t="s">
        <v>71</v>
      </c>
      <c r="G2629" s="8" t="s">
        <v>7</v>
      </c>
      <c r="H2629" s="8" t="s">
        <v>38</v>
      </c>
      <c r="I2629" s="9">
        <v>2375.8471</v>
      </c>
      <c r="J2629">
        <v>2292.5913391401</v>
      </c>
      <c r="K2629">
        <v>2292.5913391401</v>
      </c>
      <c r="L2629">
        <v>2290.0049805737999</v>
      </c>
    </row>
    <row r="2630" spans="1:12" x14ac:dyDescent="0.2">
      <c r="A2630" s="8" t="s">
        <v>110</v>
      </c>
      <c r="B2630" s="8" t="s">
        <v>115</v>
      </c>
      <c r="C2630" s="8" t="s">
        <v>429</v>
      </c>
      <c r="D2630" s="8" t="s">
        <v>430</v>
      </c>
      <c r="E2630" s="8" t="s">
        <v>83</v>
      </c>
      <c r="F2630" s="8" t="s">
        <v>84</v>
      </c>
      <c r="G2630" s="8" t="s">
        <v>7</v>
      </c>
      <c r="H2630" s="8" t="s">
        <v>38</v>
      </c>
      <c r="I2630" s="9">
        <v>247.5</v>
      </c>
      <c r="J2630">
        <v>247.5</v>
      </c>
      <c r="K2630">
        <v>255</v>
      </c>
      <c r="L2630">
        <v>247.5</v>
      </c>
    </row>
    <row r="2631" spans="1:12" x14ac:dyDescent="0.2">
      <c r="A2631" s="8" t="s">
        <v>110</v>
      </c>
      <c r="B2631" s="8" t="s">
        <v>115</v>
      </c>
      <c r="C2631" s="8" t="s">
        <v>429</v>
      </c>
      <c r="D2631" s="8" t="s">
        <v>430</v>
      </c>
      <c r="E2631" s="8" t="s">
        <v>55</v>
      </c>
      <c r="F2631" s="8" t="s">
        <v>56</v>
      </c>
      <c r="G2631" s="8" t="s">
        <v>7</v>
      </c>
      <c r="H2631" s="8" t="s">
        <v>38</v>
      </c>
      <c r="I2631" s="9">
        <v>231.52877000000001</v>
      </c>
      <c r="J2631">
        <v>231.61297298306999</v>
      </c>
      <c r="K2631">
        <v>231.61297298306999</v>
      </c>
      <c r="L2631">
        <v>231.61297298306999</v>
      </c>
    </row>
    <row r="2632" spans="1:12" x14ac:dyDescent="0.2">
      <c r="A2632" s="8" t="s">
        <v>110</v>
      </c>
      <c r="B2632" s="8" t="s">
        <v>115</v>
      </c>
      <c r="C2632" s="8" t="s">
        <v>429</v>
      </c>
      <c r="D2632" s="8" t="s">
        <v>430</v>
      </c>
      <c r="E2632" s="8" t="s">
        <v>57</v>
      </c>
      <c r="F2632" s="8" t="s">
        <v>58</v>
      </c>
      <c r="G2632" s="8" t="s">
        <v>7</v>
      </c>
      <c r="H2632" s="8" t="s">
        <v>38</v>
      </c>
      <c r="I2632" s="9">
        <v>377.84030000000001</v>
      </c>
      <c r="J2632">
        <v>377.97771452642002</v>
      </c>
      <c r="K2632">
        <v>377.97771452642002</v>
      </c>
      <c r="L2632">
        <v>377.97771452642002</v>
      </c>
    </row>
    <row r="2633" spans="1:12" x14ac:dyDescent="0.2">
      <c r="A2633" s="8" t="s">
        <v>110</v>
      </c>
      <c r="B2633" s="8" t="s">
        <v>115</v>
      </c>
      <c r="C2633" s="8" t="s">
        <v>429</v>
      </c>
      <c r="D2633" s="8" t="s">
        <v>430</v>
      </c>
      <c r="E2633" s="8" t="s">
        <v>72</v>
      </c>
      <c r="F2633" s="8" t="s">
        <v>73</v>
      </c>
      <c r="G2633" s="8" t="s">
        <v>7</v>
      </c>
      <c r="H2633" s="8" t="s">
        <v>38</v>
      </c>
      <c r="I2633" s="9">
        <v>581.28733</v>
      </c>
      <c r="J2633">
        <v>557.54195440832996</v>
      </c>
      <c r="K2633">
        <v>534.28365668469996</v>
      </c>
      <c r="L2633">
        <v>516.55082000448999</v>
      </c>
    </row>
    <row r="2634" spans="1:12" x14ac:dyDescent="0.2">
      <c r="A2634" s="8" t="s">
        <v>110</v>
      </c>
      <c r="B2634" s="8" t="s">
        <v>115</v>
      </c>
      <c r="C2634" s="8" t="s">
        <v>429</v>
      </c>
      <c r="D2634" s="8" t="s">
        <v>430</v>
      </c>
      <c r="E2634" s="8" t="s">
        <v>74</v>
      </c>
      <c r="F2634" s="8" t="s">
        <v>75</v>
      </c>
      <c r="G2634" s="8" t="s">
        <v>7</v>
      </c>
      <c r="H2634" s="8" t="s">
        <v>38</v>
      </c>
      <c r="I2634" s="9">
        <v>93.605840000000001</v>
      </c>
      <c r="J2634">
        <v>83.474440000000001</v>
      </c>
      <c r="K2634">
        <v>79.550280000000001</v>
      </c>
      <c r="L2634">
        <v>86.594584216966993</v>
      </c>
    </row>
    <row r="2635" spans="1:12" x14ac:dyDescent="0.2">
      <c r="A2635" s="8" t="s">
        <v>110</v>
      </c>
      <c r="B2635" s="8" t="s">
        <v>115</v>
      </c>
      <c r="C2635" s="8" t="s">
        <v>429</v>
      </c>
      <c r="D2635" s="8" t="s">
        <v>430</v>
      </c>
      <c r="E2635" s="8" t="s">
        <v>59</v>
      </c>
      <c r="F2635" s="8" t="s">
        <v>60</v>
      </c>
      <c r="G2635" s="8" t="s">
        <v>7</v>
      </c>
      <c r="H2635" s="8" t="s">
        <v>38</v>
      </c>
      <c r="I2635" s="9">
        <v>144.55687</v>
      </c>
      <c r="J2635">
        <v>149.12346867999</v>
      </c>
      <c r="K2635">
        <v>140.32303930092999</v>
      </c>
      <c r="L2635">
        <v>122.8474629927</v>
      </c>
    </row>
    <row r="2636" spans="1:12" x14ac:dyDescent="0.2">
      <c r="A2636" s="8" t="s">
        <v>110</v>
      </c>
      <c r="B2636" s="8" t="s">
        <v>115</v>
      </c>
      <c r="C2636" s="8" t="s">
        <v>429</v>
      </c>
      <c r="D2636" s="8" t="s">
        <v>430</v>
      </c>
      <c r="E2636" s="8" t="s">
        <v>76</v>
      </c>
      <c r="F2636" s="8" t="s">
        <v>77</v>
      </c>
      <c r="G2636" s="8" t="s">
        <v>7</v>
      </c>
      <c r="H2636" s="8" t="s">
        <v>38</v>
      </c>
      <c r="I2636" s="9">
        <v>26.609524</v>
      </c>
      <c r="J2636">
        <v>11.523809526856001</v>
      </c>
      <c r="K2636">
        <v>6.4952380969519998</v>
      </c>
      <c r="L2636">
        <v>6.3042016823358002</v>
      </c>
    </row>
    <row r="2637" spans="1:12" x14ac:dyDescent="0.2">
      <c r="A2637" s="8" t="s">
        <v>110</v>
      </c>
      <c r="B2637" s="8" t="s">
        <v>115</v>
      </c>
      <c r="C2637" s="8" t="s">
        <v>429</v>
      </c>
      <c r="D2637" s="8" t="s">
        <v>430</v>
      </c>
      <c r="E2637" s="8" t="s">
        <v>78</v>
      </c>
      <c r="F2637" s="8" t="s">
        <v>79</v>
      </c>
      <c r="G2637" s="8" t="s">
        <v>7</v>
      </c>
      <c r="H2637" s="8" t="s">
        <v>38</v>
      </c>
      <c r="I2637" s="9">
        <v>8.1714271000000007</v>
      </c>
      <c r="J2637">
        <v>7.2285701142857004</v>
      </c>
      <c r="K2637">
        <v>4.3999991999999999</v>
      </c>
      <c r="L2637">
        <v>2.9542851771429</v>
      </c>
    </row>
    <row r="2638" spans="1:12" x14ac:dyDescent="0.2">
      <c r="A2638" s="8" t="s">
        <v>110</v>
      </c>
      <c r="B2638" s="8" t="s">
        <v>115</v>
      </c>
      <c r="C2638" s="8" t="s">
        <v>429</v>
      </c>
      <c r="D2638" s="8" t="s">
        <v>430</v>
      </c>
      <c r="E2638" s="8" t="s">
        <v>92</v>
      </c>
      <c r="F2638" s="8" t="s">
        <v>93</v>
      </c>
      <c r="G2638" s="8" t="s">
        <v>7</v>
      </c>
      <c r="H2638" s="8" t="s">
        <v>38</v>
      </c>
      <c r="I2638" s="9">
        <v>21.002870000000001</v>
      </c>
      <c r="J2638">
        <v>21.401947878224998</v>
      </c>
      <c r="K2638">
        <v>20.970156567225001</v>
      </c>
      <c r="L2638">
        <v>21.497031242032001</v>
      </c>
    </row>
    <row r="2639" spans="1:12" x14ac:dyDescent="0.2">
      <c r="A2639" s="8" t="s">
        <v>32</v>
      </c>
      <c r="B2639" s="8" t="s">
        <v>99</v>
      </c>
      <c r="C2639" s="8" t="s">
        <v>431</v>
      </c>
      <c r="D2639" s="8" t="s">
        <v>432</v>
      </c>
      <c r="E2639" s="8" t="s">
        <v>36</v>
      </c>
      <c r="F2639" s="8" t="s">
        <v>37</v>
      </c>
      <c r="G2639" s="8" t="s">
        <v>7</v>
      </c>
      <c r="H2639" s="8" t="s">
        <v>38</v>
      </c>
      <c r="I2639" s="9">
        <v>1.645761</v>
      </c>
      <c r="J2639">
        <v>1.6961489999999999</v>
      </c>
      <c r="K2639">
        <v>1.1529959999999999</v>
      </c>
      <c r="L2639">
        <v>1.2605762522995001</v>
      </c>
    </row>
    <row r="2640" spans="1:12" x14ac:dyDescent="0.2">
      <c r="A2640" s="8" t="s">
        <v>32</v>
      </c>
      <c r="B2640" s="8" t="s">
        <v>99</v>
      </c>
      <c r="C2640" s="8" t="s">
        <v>431</v>
      </c>
      <c r="D2640" s="8" t="s">
        <v>432</v>
      </c>
      <c r="E2640" s="8" t="s">
        <v>64</v>
      </c>
      <c r="F2640" s="8" t="s">
        <v>65</v>
      </c>
      <c r="G2640" s="8" t="s">
        <v>7</v>
      </c>
      <c r="H2640" s="8" t="s">
        <v>38</v>
      </c>
      <c r="I2640" s="9"/>
    </row>
    <row r="2641" spans="1:12" x14ac:dyDescent="0.2">
      <c r="A2641" s="8" t="s">
        <v>32</v>
      </c>
      <c r="B2641" s="8" t="s">
        <v>99</v>
      </c>
      <c r="C2641" s="8" t="s">
        <v>431</v>
      </c>
      <c r="D2641" s="8" t="s">
        <v>432</v>
      </c>
      <c r="E2641" s="8" t="s">
        <v>39</v>
      </c>
      <c r="F2641" s="8" t="s">
        <v>40</v>
      </c>
      <c r="G2641" s="8" t="s">
        <v>7</v>
      </c>
      <c r="H2641" s="8" t="s">
        <v>38</v>
      </c>
      <c r="I2641" s="9">
        <v>166.77977999999999</v>
      </c>
      <c r="J2641">
        <v>250.945404</v>
      </c>
      <c r="K2641">
        <v>271.95562899999999</v>
      </c>
      <c r="L2641">
        <v>431.71309110163998</v>
      </c>
    </row>
    <row r="2642" spans="1:12" x14ac:dyDescent="0.2">
      <c r="A2642" s="8" t="s">
        <v>32</v>
      </c>
      <c r="B2642" s="8" t="s">
        <v>99</v>
      </c>
      <c r="C2642" s="8" t="s">
        <v>431</v>
      </c>
      <c r="D2642" s="8" t="s">
        <v>432</v>
      </c>
      <c r="E2642" s="8" t="s">
        <v>41</v>
      </c>
      <c r="F2642" s="8" t="s">
        <v>42</v>
      </c>
      <c r="G2642" s="8" t="s">
        <v>7</v>
      </c>
      <c r="H2642" s="8" t="s">
        <v>38</v>
      </c>
      <c r="I2642" s="9">
        <v>0.96453500000000003</v>
      </c>
      <c r="J2642">
        <v>21.278949999999998</v>
      </c>
      <c r="K2642">
        <v>23.703279999999999</v>
      </c>
      <c r="L2642">
        <v>25.947220234823</v>
      </c>
    </row>
    <row r="2643" spans="1:12" x14ac:dyDescent="0.2">
      <c r="A2643" s="8" t="s">
        <v>32</v>
      </c>
      <c r="B2643" s="8" t="s">
        <v>99</v>
      </c>
      <c r="C2643" s="8" t="s">
        <v>431</v>
      </c>
      <c r="D2643" s="8" t="s">
        <v>432</v>
      </c>
      <c r="E2643" s="8" t="s">
        <v>43</v>
      </c>
      <c r="F2643" s="8" t="s">
        <v>44</v>
      </c>
      <c r="G2643" s="8" t="s">
        <v>7</v>
      </c>
      <c r="H2643" s="8" t="s">
        <v>38</v>
      </c>
      <c r="I2643" s="9">
        <v>6764.8235999999997</v>
      </c>
      <c r="J2643">
        <v>6767.3942150000003</v>
      </c>
      <c r="K2643">
        <v>6859.8776710000002</v>
      </c>
      <c r="L2643">
        <v>6412.2125107237998</v>
      </c>
    </row>
    <row r="2644" spans="1:12" x14ac:dyDescent="0.2">
      <c r="A2644" s="8" t="s">
        <v>32</v>
      </c>
      <c r="B2644" s="8" t="s">
        <v>99</v>
      </c>
      <c r="C2644" s="8" t="s">
        <v>431</v>
      </c>
      <c r="D2644" s="8" t="s">
        <v>432</v>
      </c>
      <c r="E2644" s="8" t="s">
        <v>45</v>
      </c>
      <c r="F2644" s="8" t="s">
        <v>46</v>
      </c>
      <c r="G2644" s="8" t="s">
        <v>7</v>
      </c>
      <c r="H2644" s="8" t="s">
        <v>38</v>
      </c>
      <c r="I2644" s="9">
        <v>10.868247</v>
      </c>
      <c r="J2644">
        <v>18.871047000000001</v>
      </c>
      <c r="K2644">
        <v>17.889222</v>
      </c>
      <c r="L2644">
        <v>26.787631458625999</v>
      </c>
    </row>
    <row r="2645" spans="1:12" x14ac:dyDescent="0.2">
      <c r="A2645" s="8" t="s">
        <v>32</v>
      </c>
      <c r="B2645" s="8" t="s">
        <v>99</v>
      </c>
      <c r="C2645" s="8" t="s">
        <v>431</v>
      </c>
      <c r="D2645" s="8" t="s">
        <v>432</v>
      </c>
      <c r="E2645" s="8" t="s">
        <v>47</v>
      </c>
      <c r="F2645" s="8" t="s">
        <v>48</v>
      </c>
      <c r="G2645" s="8" t="s">
        <v>7</v>
      </c>
      <c r="H2645" s="8" t="s">
        <v>38</v>
      </c>
      <c r="I2645" s="9">
        <v>22.300802000000001</v>
      </c>
    </row>
    <row r="2646" spans="1:12" x14ac:dyDescent="0.2">
      <c r="A2646" s="8" t="s">
        <v>32</v>
      </c>
      <c r="B2646" s="8" t="s">
        <v>99</v>
      </c>
      <c r="C2646" s="8" t="s">
        <v>431</v>
      </c>
      <c r="D2646" s="8" t="s">
        <v>432</v>
      </c>
      <c r="E2646" s="8" t="s">
        <v>49</v>
      </c>
      <c r="F2646" s="8" t="s">
        <v>50</v>
      </c>
      <c r="G2646" s="8" t="s">
        <v>7</v>
      </c>
      <c r="H2646" s="8" t="s">
        <v>38</v>
      </c>
      <c r="I2646" s="9">
        <v>231.81470999999999</v>
      </c>
      <c r="J2646">
        <v>212.586636</v>
      </c>
      <c r="K2646">
        <v>193.54305600000001</v>
      </c>
      <c r="L2646">
        <v>192.19279383896</v>
      </c>
    </row>
    <row r="2647" spans="1:12" x14ac:dyDescent="0.2">
      <c r="A2647" s="8" t="s">
        <v>32</v>
      </c>
      <c r="B2647" s="8" t="s">
        <v>99</v>
      </c>
      <c r="C2647" s="8" t="s">
        <v>431</v>
      </c>
      <c r="D2647" s="8" t="s">
        <v>432</v>
      </c>
      <c r="E2647" s="8" t="s">
        <v>53</v>
      </c>
      <c r="F2647" s="8" t="s">
        <v>54</v>
      </c>
      <c r="G2647" s="8" t="s">
        <v>7</v>
      </c>
      <c r="H2647" s="8" t="s">
        <v>38</v>
      </c>
      <c r="I2647" s="9"/>
    </row>
    <row r="2648" spans="1:12" x14ac:dyDescent="0.2">
      <c r="A2648" s="8" t="s">
        <v>32</v>
      </c>
      <c r="B2648" s="8" t="s">
        <v>99</v>
      </c>
      <c r="C2648" s="8" t="s">
        <v>431</v>
      </c>
      <c r="D2648" s="8" t="s">
        <v>432</v>
      </c>
      <c r="E2648" s="8" t="s">
        <v>70</v>
      </c>
      <c r="F2648" s="8" t="s">
        <v>71</v>
      </c>
      <c r="G2648" s="8" t="s">
        <v>7</v>
      </c>
      <c r="H2648" s="8" t="s">
        <v>38</v>
      </c>
      <c r="I2648" s="9">
        <v>383.15733</v>
      </c>
      <c r="J2648">
        <v>421.47306409999999</v>
      </c>
      <c r="K2648">
        <v>421.47306409999999</v>
      </c>
      <c r="L2648">
        <v>420.99758447518002</v>
      </c>
    </row>
    <row r="2649" spans="1:12" x14ac:dyDescent="0.2">
      <c r="A2649" s="8" t="s">
        <v>32</v>
      </c>
      <c r="B2649" s="8" t="s">
        <v>99</v>
      </c>
      <c r="C2649" s="8" t="s">
        <v>431</v>
      </c>
      <c r="D2649" s="8" t="s">
        <v>432</v>
      </c>
      <c r="E2649" s="8" t="s">
        <v>83</v>
      </c>
      <c r="F2649" s="8" t="s">
        <v>84</v>
      </c>
      <c r="G2649" s="8" t="s">
        <v>7</v>
      </c>
      <c r="H2649" s="8" t="s">
        <v>38</v>
      </c>
      <c r="I2649" s="9">
        <v>112.5</v>
      </c>
      <c r="J2649">
        <v>112.5</v>
      </c>
      <c r="K2649">
        <v>112.5</v>
      </c>
      <c r="L2649">
        <v>112.5</v>
      </c>
    </row>
    <row r="2650" spans="1:12" x14ac:dyDescent="0.2">
      <c r="A2650" s="8" t="s">
        <v>32</v>
      </c>
      <c r="B2650" s="8" t="s">
        <v>99</v>
      </c>
      <c r="C2650" s="8" t="s">
        <v>431</v>
      </c>
      <c r="D2650" s="8" t="s">
        <v>432</v>
      </c>
      <c r="E2650" s="8" t="s">
        <v>55</v>
      </c>
      <c r="F2650" s="8" t="s">
        <v>56</v>
      </c>
      <c r="G2650" s="8" t="s">
        <v>7</v>
      </c>
      <c r="H2650" s="8" t="s">
        <v>38</v>
      </c>
      <c r="I2650" s="9">
        <v>0.31086960000000002</v>
      </c>
      <c r="J2650">
        <v>0.34818204876122</v>
      </c>
      <c r="K2650">
        <v>0.34818204876122</v>
      </c>
      <c r="L2650">
        <v>0.34818204876122</v>
      </c>
    </row>
    <row r="2651" spans="1:12" x14ac:dyDescent="0.2">
      <c r="A2651" s="8" t="s">
        <v>32</v>
      </c>
      <c r="B2651" s="8" t="s">
        <v>99</v>
      </c>
      <c r="C2651" s="8" t="s">
        <v>431</v>
      </c>
      <c r="D2651" s="8" t="s">
        <v>432</v>
      </c>
      <c r="E2651" s="8" t="s">
        <v>57</v>
      </c>
      <c r="F2651" s="8" t="s">
        <v>58</v>
      </c>
      <c r="G2651" s="8" t="s">
        <v>7</v>
      </c>
      <c r="H2651" s="8" t="s">
        <v>38</v>
      </c>
      <c r="I2651" s="9">
        <v>2.6264425999999998</v>
      </c>
      <c r="J2651">
        <v>2.9416837849953001</v>
      </c>
      <c r="K2651">
        <v>2.9416837849953001</v>
      </c>
      <c r="L2651">
        <v>2.9416837849953001</v>
      </c>
    </row>
    <row r="2652" spans="1:12" x14ac:dyDescent="0.2">
      <c r="A2652" s="8" t="s">
        <v>32</v>
      </c>
      <c r="B2652" s="8" t="s">
        <v>99</v>
      </c>
      <c r="C2652" s="8" t="s">
        <v>431</v>
      </c>
      <c r="D2652" s="8" t="s">
        <v>432</v>
      </c>
      <c r="E2652" s="8" t="s">
        <v>74</v>
      </c>
      <c r="F2652" s="8" t="s">
        <v>75</v>
      </c>
      <c r="G2652" s="8" t="s">
        <v>7</v>
      </c>
      <c r="H2652" s="8" t="s">
        <v>38</v>
      </c>
      <c r="I2652" s="9">
        <v>2.7284000000000002</v>
      </c>
      <c r="J2652">
        <v>3.0093000000000001</v>
      </c>
      <c r="K2652">
        <v>2.7099000000000002</v>
      </c>
      <c r="L2652">
        <v>2.4636999999999998</v>
      </c>
    </row>
    <row r="2653" spans="1:12" x14ac:dyDescent="0.2">
      <c r="A2653" s="8" t="s">
        <v>32</v>
      </c>
      <c r="B2653" s="8" t="s">
        <v>99</v>
      </c>
      <c r="C2653" s="8" t="s">
        <v>431</v>
      </c>
      <c r="D2653" s="8" t="s">
        <v>432</v>
      </c>
      <c r="E2653" s="8" t="s">
        <v>59</v>
      </c>
      <c r="F2653" s="8" t="s">
        <v>60</v>
      </c>
      <c r="G2653" s="8" t="s">
        <v>7</v>
      </c>
      <c r="H2653" s="8" t="s">
        <v>38</v>
      </c>
      <c r="I2653" s="9">
        <v>79.316451000000001</v>
      </c>
      <c r="J2653">
        <v>83.929541522996999</v>
      </c>
      <c r="K2653">
        <v>64.972164393859998</v>
      </c>
      <c r="L2653">
        <v>81.981168097207998</v>
      </c>
    </row>
    <row r="2654" spans="1:12" x14ac:dyDescent="0.2">
      <c r="A2654" s="8" t="s">
        <v>32</v>
      </c>
      <c r="B2654" s="8" t="s">
        <v>99</v>
      </c>
      <c r="C2654" s="8" t="s">
        <v>431</v>
      </c>
      <c r="D2654" s="8" t="s">
        <v>432</v>
      </c>
      <c r="E2654" s="8" t="s">
        <v>76</v>
      </c>
      <c r="F2654" s="8" t="s">
        <v>77</v>
      </c>
      <c r="G2654" s="8" t="s">
        <v>7</v>
      </c>
      <c r="H2654" s="8" t="s">
        <v>38</v>
      </c>
      <c r="I2654" s="9">
        <v>40.857143000000001</v>
      </c>
      <c r="J2654">
        <v>37.295238101792002</v>
      </c>
      <c r="K2654">
        <v>20.323809524215999</v>
      </c>
      <c r="L2654">
        <v>20.323809524215999</v>
      </c>
    </row>
    <row r="2655" spans="1:12" x14ac:dyDescent="0.2">
      <c r="A2655" s="8" t="s">
        <v>32</v>
      </c>
      <c r="B2655" s="8" t="s">
        <v>99</v>
      </c>
      <c r="C2655" s="8" t="s">
        <v>431</v>
      </c>
      <c r="D2655" s="8" t="s">
        <v>432</v>
      </c>
      <c r="E2655" s="8" t="s">
        <v>78</v>
      </c>
      <c r="F2655" s="8" t="s">
        <v>79</v>
      </c>
      <c r="G2655" s="8" t="s">
        <v>7</v>
      </c>
      <c r="H2655" s="8" t="s">
        <v>38</v>
      </c>
      <c r="I2655" s="9">
        <v>34.099994000000002</v>
      </c>
      <c r="J2655">
        <v>42.742849371429003</v>
      </c>
      <c r="K2655">
        <v>11.628569314286</v>
      </c>
      <c r="L2655">
        <v>10.591426645714</v>
      </c>
    </row>
    <row r="2656" spans="1:12" x14ac:dyDescent="0.2">
      <c r="A2656" s="8" t="s">
        <v>32</v>
      </c>
      <c r="B2656" s="8" t="s">
        <v>99</v>
      </c>
      <c r="C2656" s="8" t="s">
        <v>431</v>
      </c>
      <c r="D2656" s="8" t="s">
        <v>432</v>
      </c>
      <c r="E2656" s="8" t="s">
        <v>92</v>
      </c>
      <c r="F2656" s="8" t="s">
        <v>93</v>
      </c>
      <c r="G2656" s="8" t="s">
        <v>7</v>
      </c>
      <c r="H2656" s="8" t="s">
        <v>38</v>
      </c>
      <c r="I2656" s="9">
        <v>0.1161881</v>
      </c>
      <c r="J2656">
        <v>0.11814393641366</v>
      </c>
      <c r="K2656">
        <v>0.12012710454952</v>
      </c>
      <c r="L2656">
        <v>0.12206327791307001</v>
      </c>
    </row>
    <row r="2657" spans="1:12" x14ac:dyDescent="0.2">
      <c r="A2657" s="8" t="s">
        <v>32</v>
      </c>
      <c r="B2657" s="8" t="s">
        <v>105</v>
      </c>
      <c r="C2657" s="8" t="s">
        <v>433</v>
      </c>
      <c r="D2657" s="8" t="s">
        <v>434</v>
      </c>
      <c r="E2657" s="8" t="s">
        <v>36</v>
      </c>
      <c r="F2657" s="8" t="s">
        <v>37</v>
      </c>
      <c r="G2657" s="8" t="s">
        <v>7</v>
      </c>
      <c r="H2657" s="8" t="s">
        <v>38</v>
      </c>
      <c r="I2657" s="9">
        <v>169.67651000000001</v>
      </c>
      <c r="J2657">
        <v>148.66746068679001</v>
      </c>
      <c r="K2657">
        <v>215.11524176706999</v>
      </c>
      <c r="L2657">
        <v>214.09852175838</v>
      </c>
    </row>
    <row r="2658" spans="1:12" x14ac:dyDescent="0.2">
      <c r="A2658" s="8" t="s">
        <v>32</v>
      </c>
      <c r="B2658" s="8" t="s">
        <v>105</v>
      </c>
      <c r="C2658" s="8" t="s">
        <v>433</v>
      </c>
      <c r="D2658" s="8" t="s">
        <v>434</v>
      </c>
      <c r="E2658" s="8" t="s">
        <v>39</v>
      </c>
      <c r="F2658" s="8" t="s">
        <v>40</v>
      </c>
      <c r="G2658" s="8" t="s">
        <v>7</v>
      </c>
      <c r="H2658" s="8" t="s">
        <v>38</v>
      </c>
      <c r="I2658" s="9">
        <v>91.443923999999996</v>
      </c>
      <c r="J2658">
        <v>78.853889054727006</v>
      </c>
      <c r="K2658">
        <v>114.09805799538</v>
      </c>
      <c r="L2658">
        <v>113.55878528944</v>
      </c>
    </row>
    <row r="2659" spans="1:12" x14ac:dyDescent="0.2">
      <c r="A2659" s="8" t="s">
        <v>32</v>
      </c>
      <c r="B2659" s="8" t="s">
        <v>105</v>
      </c>
      <c r="C2659" s="8" t="s">
        <v>433</v>
      </c>
      <c r="D2659" s="8" t="s">
        <v>434</v>
      </c>
      <c r="E2659" s="8" t="s">
        <v>41</v>
      </c>
      <c r="F2659" s="8" t="s">
        <v>42</v>
      </c>
      <c r="G2659" s="8" t="s">
        <v>7</v>
      </c>
      <c r="H2659" s="8" t="s">
        <v>38</v>
      </c>
      <c r="I2659" s="9">
        <v>17.383085000000001</v>
      </c>
      <c r="J2659">
        <v>16.207999468926999</v>
      </c>
      <c r="K2659">
        <v>23.452240520598998</v>
      </c>
      <c r="L2659">
        <v>31.233158336688</v>
      </c>
    </row>
    <row r="2660" spans="1:12" x14ac:dyDescent="0.2">
      <c r="A2660" s="8" t="s">
        <v>32</v>
      </c>
      <c r="B2660" s="8" t="s">
        <v>105</v>
      </c>
      <c r="C2660" s="8" t="s">
        <v>433</v>
      </c>
      <c r="D2660" s="8" t="s">
        <v>434</v>
      </c>
      <c r="E2660" s="8" t="s">
        <v>43</v>
      </c>
      <c r="F2660" s="8" t="s">
        <v>44</v>
      </c>
      <c r="G2660" s="8" t="s">
        <v>7</v>
      </c>
      <c r="H2660" s="8" t="s">
        <v>38</v>
      </c>
      <c r="I2660" s="9">
        <v>293.24666000000002</v>
      </c>
      <c r="J2660">
        <v>266.15801907179002</v>
      </c>
      <c r="K2660">
        <v>385.1186071528</v>
      </c>
      <c r="L2660">
        <v>383.29838376746</v>
      </c>
    </row>
    <row r="2661" spans="1:12" x14ac:dyDescent="0.2">
      <c r="A2661" s="8" t="s">
        <v>32</v>
      </c>
      <c r="B2661" s="8" t="s">
        <v>105</v>
      </c>
      <c r="C2661" s="8" t="s">
        <v>433</v>
      </c>
      <c r="D2661" s="8" t="s">
        <v>434</v>
      </c>
      <c r="E2661" s="8" t="s">
        <v>66</v>
      </c>
      <c r="F2661" s="8" t="s">
        <v>67</v>
      </c>
      <c r="G2661" s="8" t="s">
        <v>7</v>
      </c>
      <c r="H2661" s="8" t="s">
        <v>38</v>
      </c>
      <c r="I2661" s="9"/>
    </row>
    <row r="2662" spans="1:12" x14ac:dyDescent="0.2">
      <c r="A2662" s="8" t="s">
        <v>32</v>
      </c>
      <c r="B2662" s="8" t="s">
        <v>105</v>
      </c>
      <c r="C2662" s="8" t="s">
        <v>433</v>
      </c>
      <c r="D2662" s="8" t="s">
        <v>434</v>
      </c>
      <c r="E2662" s="8" t="s">
        <v>45</v>
      </c>
      <c r="F2662" s="8" t="s">
        <v>46</v>
      </c>
      <c r="G2662" s="8" t="s">
        <v>7</v>
      </c>
      <c r="H2662" s="8" t="s">
        <v>38</v>
      </c>
      <c r="I2662" s="9">
        <v>20.187498999999999</v>
      </c>
      <c r="J2662">
        <v>21.960129417623001</v>
      </c>
      <c r="K2662">
        <v>31.775315394724998</v>
      </c>
      <c r="L2662">
        <v>30.668551151425</v>
      </c>
    </row>
    <row r="2663" spans="1:12" x14ac:dyDescent="0.2">
      <c r="A2663" s="8" t="s">
        <v>32</v>
      </c>
      <c r="B2663" s="8" t="s">
        <v>105</v>
      </c>
      <c r="C2663" s="8" t="s">
        <v>433</v>
      </c>
      <c r="D2663" s="8" t="s">
        <v>434</v>
      </c>
      <c r="E2663" s="8" t="s">
        <v>47</v>
      </c>
      <c r="F2663" s="8" t="s">
        <v>48</v>
      </c>
      <c r="G2663" s="8" t="s">
        <v>7</v>
      </c>
      <c r="H2663" s="8" t="s">
        <v>38</v>
      </c>
      <c r="I2663" s="9">
        <v>21.173041999999999</v>
      </c>
      <c r="J2663">
        <v>18.749872792485</v>
      </c>
      <c r="K2663">
        <v>27.130049068424</v>
      </c>
      <c r="L2663">
        <v>27.001821689008999</v>
      </c>
    </row>
    <row r="2664" spans="1:12" x14ac:dyDescent="0.2">
      <c r="A2664" s="8" t="s">
        <v>32</v>
      </c>
      <c r="B2664" s="8" t="s">
        <v>105</v>
      </c>
      <c r="C2664" s="8" t="s">
        <v>433</v>
      </c>
      <c r="D2664" s="8" t="s">
        <v>434</v>
      </c>
      <c r="E2664" s="8" t="s">
        <v>49</v>
      </c>
      <c r="F2664" s="8" t="s">
        <v>50</v>
      </c>
      <c r="G2664" s="8" t="s">
        <v>7</v>
      </c>
      <c r="H2664" s="8" t="s">
        <v>38</v>
      </c>
      <c r="I2664" s="9">
        <v>95.500501999999997</v>
      </c>
      <c r="J2664">
        <v>83.407678706374</v>
      </c>
      <c r="K2664">
        <v>120.68718744733</v>
      </c>
      <c r="L2664">
        <v>120.11677190048</v>
      </c>
    </row>
    <row r="2665" spans="1:12" x14ac:dyDescent="0.2">
      <c r="A2665" s="8" t="s">
        <v>32</v>
      </c>
      <c r="B2665" s="8" t="s">
        <v>105</v>
      </c>
      <c r="C2665" s="8" t="s">
        <v>433</v>
      </c>
      <c r="D2665" s="8" t="s">
        <v>434</v>
      </c>
      <c r="E2665" s="8" t="s">
        <v>51</v>
      </c>
      <c r="F2665" s="8" t="s">
        <v>52</v>
      </c>
      <c r="G2665" s="8" t="s">
        <v>7</v>
      </c>
      <c r="H2665" s="8" t="s">
        <v>38</v>
      </c>
      <c r="I2665" s="9">
        <v>4.4152345999999998</v>
      </c>
      <c r="J2665">
        <v>4.2255507760856998</v>
      </c>
      <c r="K2665">
        <v>6.1140753497766998</v>
      </c>
      <c r="L2665">
        <v>6.0851778030865002</v>
      </c>
    </row>
    <row r="2666" spans="1:12" x14ac:dyDescent="0.2">
      <c r="A2666" s="8" t="s">
        <v>32</v>
      </c>
      <c r="B2666" s="8" t="s">
        <v>105</v>
      </c>
      <c r="C2666" s="8" t="s">
        <v>433</v>
      </c>
      <c r="D2666" s="8" t="s">
        <v>434</v>
      </c>
      <c r="E2666" s="8" t="s">
        <v>53</v>
      </c>
      <c r="F2666" s="8" t="s">
        <v>54</v>
      </c>
      <c r="G2666" s="8" t="s">
        <v>7</v>
      </c>
      <c r="H2666" s="8" t="s">
        <v>38</v>
      </c>
      <c r="I2666" s="9">
        <v>4.3669999999999999E-6</v>
      </c>
      <c r="J2666">
        <v>1.1766984566994E-6</v>
      </c>
      <c r="K2666">
        <v>1.5877731608492999E-6</v>
      </c>
      <c r="L2666">
        <v>4.2022488866998002E-7</v>
      </c>
    </row>
    <row r="2667" spans="1:12" x14ac:dyDescent="0.2">
      <c r="A2667" s="8" t="s">
        <v>32</v>
      </c>
      <c r="B2667" s="8" t="s">
        <v>105</v>
      </c>
      <c r="C2667" s="8" t="s">
        <v>433</v>
      </c>
      <c r="D2667" s="8" t="s">
        <v>434</v>
      </c>
      <c r="E2667" s="8" t="s">
        <v>55</v>
      </c>
      <c r="F2667" s="8" t="s">
        <v>56</v>
      </c>
      <c r="G2667" s="8" t="s">
        <v>7</v>
      </c>
      <c r="H2667" s="8" t="s">
        <v>38</v>
      </c>
      <c r="I2667" s="9">
        <v>1.46035E-2</v>
      </c>
      <c r="J2667">
        <v>1.4732570406285001E-2</v>
      </c>
      <c r="K2667">
        <v>1.4862766195686E-2</v>
      </c>
      <c r="L2667">
        <v>1.4990406494499E-2</v>
      </c>
    </row>
    <row r="2668" spans="1:12" x14ac:dyDescent="0.2">
      <c r="A2668" s="8" t="s">
        <v>32</v>
      </c>
      <c r="B2668" s="8" t="s">
        <v>105</v>
      </c>
      <c r="C2668" s="8" t="s">
        <v>433</v>
      </c>
      <c r="D2668" s="8" t="s">
        <v>434</v>
      </c>
      <c r="E2668" s="8" t="s">
        <v>57</v>
      </c>
      <c r="F2668" s="8" t="s">
        <v>58</v>
      </c>
      <c r="G2668" s="8" t="s">
        <v>7</v>
      </c>
      <c r="H2668" s="8" t="s">
        <v>38</v>
      </c>
      <c r="I2668" s="9">
        <v>1.0445400000000001E-2</v>
      </c>
      <c r="J2668">
        <v>1.0098568684274001E-2</v>
      </c>
      <c r="K2668">
        <v>9.7632685855310007E-3</v>
      </c>
      <c r="L2668">
        <v>9.3490666359704998E-3</v>
      </c>
    </row>
    <row r="2669" spans="1:12" x14ac:dyDescent="0.2">
      <c r="A2669" s="8" t="s">
        <v>32</v>
      </c>
      <c r="B2669" s="8" t="s">
        <v>105</v>
      </c>
      <c r="C2669" s="8" t="s">
        <v>433</v>
      </c>
      <c r="D2669" s="8" t="s">
        <v>434</v>
      </c>
      <c r="E2669" s="8" t="s">
        <v>59</v>
      </c>
      <c r="F2669" s="8" t="s">
        <v>60</v>
      </c>
      <c r="G2669" s="8" t="s">
        <v>7</v>
      </c>
      <c r="H2669" s="8" t="s">
        <v>38</v>
      </c>
      <c r="I2669" s="9">
        <v>1.9667462</v>
      </c>
      <c r="J2669">
        <v>1.7744819246721</v>
      </c>
      <c r="K2669">
        <v>2.2961848321503999</v>
      </c>
      <c r="L2669">
        <v>2.1323533225171998</v>
      </c>
    </row>
    <row r="2670" spans="1:12" x14ac:dyDescent="0.2">
      <c r="A2670" s="8" t="s">
        <v>32</v>
      </c>
      <c r="B2670" s="8" t="s">
        <v>96</v>
      </c>
      <c r="C2670" s="8" t="s">
        <v>435</v>
      </c>
      <c r="D2670" s="8" t="s">
        <v>436</v>
      </c>
      <c r="E2670" s="8" t="s">
        <v>36</v>
      </c>
      <c r="F2670" s="8" t="s">
        <v>37</v>
      </c>
      <c r="G2670" s="8" t="s">
        <v>7</v>
      </c>
      <c r="H2670" s="8" t="s">
        <v>38</v>
      </c>
      <c r="I2670" s="9">
        <v>23887.02</v>
      </c>
      <c r="J2670">
        <v>24594.977715000001</v>
      </c>
      <c r="K2670">
        <v>25874.424048000001</v>
      </c>
      <c r="L2670">
        <v>28282.444609321999</v>
      </c>
    </row>
    <row r="2671" spans="1:12" x14ac:dyDescent="0.2">
      <c r="A2671" s="8" t="s">
        <v>32</v>
      </c>
      <c r="B2671" s="8" t="s">
        <v>96</v>
      </c>
      <c r="C2671" s="8" t="s">
        <v>435</v>
      </c>
      <c r="D2671" s="8" t="s">
        <v>436</v>
      </c>
      <c r="E2671" s="8" t="s">
        <v>64</v>
      </c>
      <c r="F2671" s="8" t="s">
        <v>65</v>
      </c>
      <c r="G2671" s="8" t="s">
        <v>7</v>
      </c>
      <c r="H2671" s="8" t="s">
        <v>38</v>
      </c>
      <c r="I2671" s="9">
        <v>31078.39</v>
      </c>
      <c r="J2671">
        <v>30991.715338000002</v>
      </c>
      <c r="K2671">
        <v>31709.501830000001</v>
      </c>
      <c r="L2671">
        <v>34624.891069122998</v>
      </c>
    </row>
    <row r="2672" spans="1:12" x14ac:dyDescent="0.2">
      <c r="A2672" s="8" t="s">
        <v>32</v>
      </c>
      <c r="B2672" s="8" t="s">
        <v>96</v>
      </c>
      <c r="C2672" s="8" t="s">
        <v>435</v>
      </c>
      <c r="D2672" s="8" t="s">
        <v>436</v>
      </c>
      <c r="E2672" s="8" t="s">
        <v>39</v>
      </c>
      <c r="F2672" s="8" t="s">
        <v>40</v>
      </c>
      <c r="G2672" s="8" t="s">
        <v>7</v>
      </c>
      <c r="H2672" s="8" t="s">
        <v>38</v>
      </c>
      <c r="I2672" s="9">
        <v>17080.581999999999</v>
      </c>
      <c r="J2672">
        <v>17437.013373999998</v>
      </c>
      <c r="K2672">
        <v>21082.957933999998</v>
      </c>
      <c r="L2672">
        <v>22980.991476714</v>
      </c>
    </row>
    <row r="2673" spans="1:12" x14ac:dyDescent="0.2">
      <c r="A2673" s="8" t="s">
        <v>32</v>
      </c>
      <c r="B2673" s="8" t="s">
        <v>96</v>
      </c>
      <c r="C2673" s="8" t="s">
        <v>435</v>
      </c>
      <c r="D2673" s="8" t="s">
        <v>436</v>
      </c>
      <c r="E2673" s="8" t="s">
        <v>43</v>
      </c>
      <c r="F2673" s="8" t="s">
        <v>44</v>
      </c>
      <c r="G2673" s="8" t="s">
        <v>7</v>
      </c>
      <c r="H2673" s="8" t="s">
        <v>38</v>
      </c>
      <c r="I2673" s="9">
        <v>11452.834999999999</v>
      </c>
      <c r="J2673">
        <v>12182.892309000001</v>
      </c>
      <c r="K2673">
        <v>11582.109641999999</v>
      </c>
      <c r="L2673">
        <v>12522.046936236</v>
      </c>
    </row>
    <row r="2674" spans="1:12" x14ac:dyDescent="0.2">
      <c r="A2674" s="8" t="s">
        <v>32</v>
      </c>
      <c r="B2674" s="8" t="s">
        <v>96</v>
      </c>
      <c r="C2674" s="8" t="s">
        <v>435</v>
      </c>
      <c r="D2674" s="8" t="s">
        <v>436</v>
      </c>
      <c r="E2674" s="8" t="s">
        <v>49</v>
      </c>
      <c r="F2674" s="8" t="s">
        <v>50</v>
      </c>
      <c r="G2674" s="8" t="s">
        <v>7</v>
      </c>
      <c r="H2674" s="8" t="s">
        <v>38</v>
      </c>
      <c r="I2674" s="9">
        <v>393.05178999999998</v>
      </c>
      <c r="J2674">
        <v>399.03619700000002</v>
      </c>
      <c r="K2674">
        <v>418.58268399999997</v>
      </c>
      <c r="L2674">
        <v>452.55244318671998</v>
      </c>
    </row>
    <row r="2675" spans="1:12" x14ac:dyDescent="0.2">
      <c r="A2675" s="8" t="s">
        <v>32</v>
      </c>
      <c r="B2675" s="8" t="s">
        <v>96</v>
      </c>
      <c r="C2675" s="8" t="s">
        <v>435</v>
      </c>
      <c r="D2675" s="8" t="s">
        <v>436</v>
      </c>
      <c r="E2675" s="8" t="s">
        <v>53</v>
      </c>
      <c r="F2675" s="8" t="s">
        <v>54</v>
      </c>
      <c r="G2675" s="8" t="s">
        <v>7</v>
      </c>
      <c r="H2675" s="8" t="s">
        <v>38</v>
      </c>
      <c r="I2675" s="9">
        <v>15647.205</v>
      </c>
      <c r="J2675">
        <v>16636.815537598999</v>
      </c>
      <c r="K2675">
        <v>14127.671017822</v>
      </c>
      <c r="L2675">
        <v>14559.719979951</v>
      </c>
    </row>
    <row r="2676" spans="1:12" x14ac:dyDescent="0.2">
      <c r="A2676" s="8" t="s">
        <v>32</v>
      </c>
      <c r="B2676" s="8" t="s">
        <v>96</v>
      </c>
      <c r="C2676" s="8" t="s">
        <v>435</v>
      </c>
      <c r="D2676" s="8" t="s">
        <v>436</v>
      </c>
      <c r="E2676" s="8" t="s">
        <v>70</v>
      </c>
      <c r="F2676" s="8" t="s">
        <v>71</v>
      </c>
      <c r="G2676" s="8" t="s">
        <v>7</v>
      </c>
      <c r="H2676" s="8" t="s">
        <v>38</v>
      </c>
      <c r="I2676" s="9">
        <v>1781.0621000000001</v>
      </c>
      <c r="J2676">
        <v>2003.6948355</v>
      </c>
      <c r="K2676">
        <v>2137.2744911999998</v>
      </c>
      <c r="L2676">
        <v>2134.8633514149001</v>
      </c>
    </row>
    <row r="2677" spans="1:12" x14ac:dyDescent="0.2">
      <c r="A2677" s="8" t="s">
        <v>32</v>
      </c>
      <c r="B2677" s="8" t="s">
        <v>96</v>
      </c>
      <c r="C2677" s="8" t="s">
        <v>435</v>
      </c>
      <c r="D2677" s="8" t="s">
        <v>436</v>
      </c>
      <c r="E2677" s="8" t="s">
        <v>55</v>
      </c>
      <c r="F2677" s="8" t="s">
        <v>56</v>
      </c>
      <c r="G2677" s="8" t="s">
        <v>7</v>
      </c>
      <c r="H2677" s="8" t="s">
        <v>38</v>
      </c>
      <c r="I2677" s="9">
        <v>0.11158800000000001</v>
      </c>
      <c r="J2677">
        <v>0.12498140143905</v>
      </c>
      <c r="K2677">
        <v>0.12498140143905</v>
      </c>
      <c r="L2677">
        <v>0.12498140143905</v>
      </c>
    </row>
    <row r="2678" spans="1:12" x14ac:dyDescent="0.2">
      <c r="A2678" s="8" t="s">
        <v>32</v>
      </c>
      <c r="B2678" s="8" t="s">
        <v>96</v>
      </c>
      <c r="C2678" s="8" t="s">
        <v>435</v>
      </c>
      <c r="D2678" s="8" t="s">
        <v>436</v>
      </c>
      <c r="E2678" s="8" t="s">
        <v>57</v>
      </c>
      <c r="F2678" s="8" t="s">
        <v>58</v>
      </c>
      <c r="G2678" s="8" t="s">
        <v>7</v>
      </c>
      <c r="H2678" s="8" t="s">
        <v>38</v>
      </c>
      <c r="I2678" s="9">
        <v>0.98702049999999997</v>
      </c>
      <c r="J2678">
        <v>1.1054885162973001</v>
      </c>
      <c r="K2678">
        <v>1.1054885162973001</v>
      </c>
      <c r="L2678">
        <v>1.1054885162973001</v>
      </c>
    </row>
    <row r="2679" spans="1:12" x14ac:dyDescent="0.2">
      <c r="A2679" s="8" t="s">
        <v>32</v>
      </c>
      <c r="B2679" s="8" t="s">
        <v>96</v>
      </c>
      <c r="C2679" s="8" t="s">
        <v>435</v>
      </c>
      <c r="D2679" s="8" t="s">
        <v>436</v>
      </c>
      <c r="E2679" s="8" t="s">
        <v>72</v>
      </c>
      <c r="F2679" s="8" t="s">
        <v>73</v>
      </c>
      <c r="G2679" s="8" t="s">
        <v>7</v>
      </c>
      <c r="H2679" s="8" t="s">
        <v>38</v>
      </c>
      <c r="I2679" s="9">
        <v>12893.861000000001</v>
      </c>
      <c r="J2679">
        <v>13070.328839086</v>
      </c>
      <c r="K2679">
        <v>12077.292466962999</v>
      </c>
      <c r="L2679">
        <v>12547.413148174001</v>
      </c>
    </row>
    <row r="2680" spans="1:12" x14ac:dyDescent="0.2">
      <c r="A2680" s="8" t="s">
        <v>32</v>
      </c>
      <c r="B2680" s="8" t="s">
        <v>96</v>
      </c>
      <c r="C2680" s="8" t="s">
        <v>435</v>
      </c>
      <c r="D2680" s="8" t="s">
        <v>436</v>
      </c>
      <c r="E2680" s="8" t="s">
        <v>74</v>
      </c>
      <c r="F2680" s="8" t="s">
        <v>75</v>
      </c>
      <c r="G2680" s="8" t="s">
        <v>7</v>
      </c>
      <c r="H2680" s="8" t="s">
        <v>38</v>
      </c>
      <c r="I2680" s="9">
        <v>1096.7229</v>
      </c>
      <c r="J2680">
        <v>1099.27196</v>
      </c>
      <c r="K2680">
        <v>1064.07656</v>
      </c>
      <c r="L2680">
        <v>1062.8174587999999</v>
      </c>
    </row>
    <row r="2681" spans="1:12" x14ac:dyDescent="0.2">
      <c r="A2681" s="8" t="s">
        <v>32</v>
      </c>
      <c r="B2681" s="8" t="s">
        <v>96</v>
      </c>
      <c r="C2681" s="8" t="s">
        <v>435</v>
      </c>
      <c r="D2681" s="8" t="s">
        <v>436</v>
      </c>
      <c r="E2681" s="8" t="s">
        <v>59</v>
      </c>
      <c r="F2681" s="8" t="s">
        <v>60</v>
      </c>
      <c r="G2681" s="8" t="s">
        <v>7</v>
      </c>
      <c r="H2681" s="8" t="s">
        <v>38</v>
      </c>
      <c r="I2681" s="9">
        <v>23.486967</v>
      </c>
      <c r="J2681">
        <v>23.546669342415999</v>
      </c>
      <c r="K2681">
        <v>23.772058768084001</v>
      </c>
      <c r="L2681">
        <v>25.663403411405</v>
      </c>
    </row>
    <row r="2682" spans="1:12" x14ac:dyDescent="0.2">
      <c r="A2682" s="8" t="s">
        <v>32</v>
      </c>
      <c r="B2682" s="8" t="s">
        <v>96</v>
      </c>
      <c r="C2682" s="8" t="s">
        <v>435</v>
      </c>
      <c r="D2682" s="8" t="s">
        <v>436</v>
      </c>
      <c r="E2682" s="8" t="s">
        <v>76</v>
      </c>
      <c r="F2682" s="8" t="s">
        <v>77</v>
      </c>
      <c r="G2682" s="8" t="s">
        <v>7</v>
      </c>
      <c r="H2682" s="8" t="s">
        <v>38</v>
      </c>
      <c r="I2682" s="9">
        <v>0.20952380000000001</v>
      </c>
      <c r="K2682">
        <v>0.20952380952800001</v>
      </c>
      <c r="L2682">
        <v>0.20952380952800001</v>
      </c>
    </row>
    <row r="2683" spans="1:12" x14ac:dyDescent="0.2">
      <c r="A2683" s="8" t="s">
        <v>32</v>
      </c>
      <c r="B2683" s="8" t="s">
        <v>96</v>
      </c>
      <c r="C2683" s="8" t="s">
        <v>435</v>
      </c>
      <c r="D2683" s="8" t="s">
        <v>436</v>
      </c>
      <c r="E2683" s="8" t="s">
        <v>78</v>
      </c>
      <c r="F2683" s="8" t="s">
        <v>79</v>
      </c>
      <c r="G2683" s="8" t="s">
        <v>7</v>
      </c>
      <c r="H2683" s="8" t="s">
        <v>38</v>
      </c>
      <c r="I2683" s="9">
        <v>1.5714283</v>
      </c>
      <c r="J2683">
        <v>1.5714282857143</v>
      </c>
      <c r="K2683">
        <v>1.5714282857143</v>
      </c>
      <c r="L2683">
        <v>1.5714282857143</v>
      </c>
    </row>
    <row r="2684" spans="1:12" x14ac:dyDescent="0.2">
      <c r="A2684" s="8" t="s">
        <v>32</v>
      </c>
      <c r="B2684" s="8" t="s">
        <v>96</v>
      </c>
      <c r="C2684" s="8" t="s">
        <v>435</v>
      </c>
      <c r="D2684" s="8" t="s">
        <v>436</v>
      </c>
      <c r="E2684" s="8" t="s">
        <v>92</v>
      </c>
      <c r="F2684" s="8" t="s">
        <v>93</v>
      </c>
      <c r="G2684" s="8" t="s">
        <v>7</v>
      </c>
      <c r="H2684" s="8" t="s">
        <v>38</v>
      </c>
      <c r="I2684" s="9">
        <v>3.1919999999999997E-2</v>
      </c>
      <c r="J2684">
        <v>3.2490901037821998E-2</v>
      </c>
      <c r="K2684">
        <v>3.3055459247345001E-2</v>
      </c>
      <c r="L2684">
        <v>3.3642081269946E-2</v>
      </c>
    </row>
    <row r="2685" spans="1:12" x14ac:dyDescent="0.2">
      <c r="A2685" s="8" t="s">
        <v>32</v>
      </c>
      <c r="B2685" s="8" t="s">
        <v>120</v>
      </c>
      <c r="C2685" s="8" t="s">
        <v>437</v>
      </c>
      <c r="D2685" s="8" t="s">
        <v>438</v>
      </c>
      <c r="E2685" s="8" t="s">
        <v>36</v>
      </c>
      <c r="F2685" s="8" t="s">
        <v>37</v>
      </c>
      <c r="G2685" s="8" t="s">
        <v>7</v>
      </c>
      <c r="H2685" s="8" t="s">
        <v>38</v>
      </c>
      <c r="I2685" s="9">
        <v>563.38225999999997</v>
      </c>
      <c r="J2685">
        <v>563.38225632301999</v>
      </c>
      <c r="K2685">
        <v>563.38225632301999</v>
      </c>
      <c r="L2685">
        <v>574.46496635915003</v>
      </c>
    </row>
    <row r="2686" spans="1:12" x14ac:dyDescent="0.2">
      <c r="A2686" s="8" t="s">
        <v>32</v>
      </c>
      <c r="B2686" s="8" t="s">
        <v>120</v>
      </c>
      <c r="C2686" s="8" t="s">
        <v>437</v>
      </c>
      <c r="D2686" s="8" t="s">
        <v>438</v>
      </c>
      <c r="E2686" s="8" t="s">
        <v>64</v>
      </c>
      <c r="F2686" s="8" t="s">
        <v>65</v>
      </c>
      <c r="G2686" s="8" t="s">
        <v>7</v>
      </c>
      <c r="H2686" s="8" t="s">
        <v>38</v>
      </c>
      <c r="I2686" s="9"/>
    </row>
    <row r="2687" spans="1:12" x14ac:dyDescent="0.2">
      <c r="A2687" s="8" t="s">
        <v>32</v>
      </c>
      <c r="B2687" s="8" t="s">
        <v>120</v>
      </c>
      <c r="C2687" s="8" t="s">
        <v>437</v>
      </c>
      <c r="D2687" s="8" t="s">
        <v>438</v>
      </c>
      <c r="E2687" s="8" t="s">
        <v>39</v>
      </c>
      <c r="F2687" s="8" t="s">
        <v>40</v>
      </c>
      <c r="G2687" s="8" t="s">
        <v>7</v>
      </c>
      <c r="H2687" s="8" t="s">
        <v>38</v>
      </c>
      <c r="I2687" s="9">
        <v>360.33670000000001</v>
      </c>
      <c r="J2687">
        <v>360.33670382994001</v>
      </c>
      <c r="K2687">
        <v>360.33670382994001</v>
      </c>
      <c r="L2687">
        <v>367.42515427207002</v>
      </c>
    </row>
    <row r="2688" spans="1:12" x14ac:dyDescent="0.2">
      <c r="A2688" s="8" t="s">
        <v>32</v>
      </c>
      <c r="B2688" s="8" t="s">
        <v>120</v>
      </c>
      <c r="C2688" s="8" t="s">
        <v>437</v>
      </c>
      <c r="D2688" s="8" t="s">
        <v>438</v>
      </c>
      <c r="E2688" s="8" t="s">
        <v>41</v>
      </c>
      <c r="F2688" s="8" t="s">
        <v>42</v>
      </c>
      <c r="G2688" s="8" t="s">
        <v>7</v>
      </c>
      <c r="H2688" s="8" t="s">
        <v>38</v>
      </c>
      <c r="I2688" s="9">
        <v>77.447569000000001</v>
      </c>
      <c r="J2688">
        <v>77.447569046490003</v>
      </c>
      <c r="K2688">
        <v>77.447569046490003</v>
      </c>
      <c r="L2688">
        <v>87.286854855898994</v>
      </c>
    </row>
    <row r="2689" spans="1:12" x14ac:dyDescent="0.2">
      <c r="A2689" s="8" t="s">
        <v>32</v>
      </c>
      <c r="B2689" s="8" t="s">
        <v>120</v>
      </c>
      <c r="C2689" s="8" t="s">
        <v>437</v>
      </c>
      <c r="D2689" s="8" t="s">
        <v>438</v>
      </c>
      <c r="E2689" s="8" t="s">
        <v>43</v>
      </c>
      <c r="F2689" s="8" t="s">
        <v>44</v>
      </c>
      <c r="G2689" s="8" t="s">
        <v>7</v>
      </c>
      <c r="H2689" s="8" t="s">
        <v>38</v>
      </c>
      <c r="I2689" s="9">
        <v>1203.9626000000001</v>
      </c>
      <c r="J2689">
        <v>1203.9626078663</v>
      </c>
      <c r="K2689">
        <v>1203.9626078663</v>
      </c>
      <c r="L2689">
        <v>1227.6466489016</v>
      </c>
    </row>
    <row r="2690" spans="1:12" x14ac:dyDescent="0.2">
      <c r="A2690" s="8" t="s">
        <v>32</v>
      </c>
      <c r="B2690" s="8" t="s">
        <v>120</v>
      </c>
      <c r="C2690" s="8" t="s">
        <v>437</v>
      </c>
      <c r="D2690" s="8" t="s">
        <v>438</v>
      </c>
      <c r="E2690" s="8" t="s">
        <v>66</v>
      </c>
      <c r="F2690" s="8" t="s">
        <v>67</v>
      </c>
      <c r="G2690" s="8" t="s">
        <v>7</v>
      </c>
      <c r="H2690" s="8" t="s">
        <v>38</v>
      </c>
      <c r="I2690" s="9">
        <v>15.517246999999999</v>
      </c>
      <c r="J2690">
        <v>15.517247005148</v>
      </c>
      <c r="K2690">
        <v>15.517247005148</v>
      </c>
      <c r="L2690">
        <v>15.822498274934</v>
      </c>
    </row>
    <row r="2691" spans="1:12" x14ac:dyDescent="0.2">
      <c r="A2691" s="8" t="s">
        <v>32</v>
      </c>
      <c r="B2691" s="8" t="s">
        <v>120</v>
      </c>
      <c r="C2691" s="8" t="s">
        <v>437</v>
      </c>
      <c r="D2691" s="8" t="s">
        <v>438</v>
      </c>
      <c r="E2691" s="8" t="s">
        <v>45</v>
      </c>
      <c r="F2691" s="8" t="s">
        <v>46</v>
      </c>
      <c r="G2691" s="8" t="s">
        <v>7</v>
      </c>
      <c r="H2691" s="8" t="s">
        <v>38</v>
      </c>
      <c r="I2691" s="9">
        <v>6.8806187999999997</v>
      </c>
      <c r="J2691">
        <v>6.880618787135</v>
      </c>
      <c r="K2691">
        <v>6.880618787135</v>
      </c>
      <c r="L2691">
        <v>6.4458861604018001</v>
      </c>
    </row>
    <row r="2692" spans="1:12" x14ac:dyDescent="0.2">
      <c r="A2692" s="8" t="s">
        <v>32</v>
      </c>
      <c r="B2692" s="8" t="s">
        <v>120</v>
      </c>
      <c r="C2692" s="8" t="s">
        <v>437</v>
      </c>
      <c r="D2692" s="8" t="s">
        <v>438</v>
      </c>
      <c r="E2692" s="8" t="s">
        <v>47</v>
      </c>
      <c r="F2692" s="8" t="s">
        <v>48</v>
      </c>
      <c r="G2692" s="8" t="s">
        <v>7</v>
      </c>
      <c r="H2692" s="8" t="s">
        <v>38</v>
      </c>
      <c r="I2692" s="9">
        <v>6.6960540999999996</v>
      </c>
      <c r="J2692">
        <v>6.6960541269384999</v>
      </c>
      <c r="K2692">
        <v>6.6960541269384999</v>
      </c>
      <c r="L2692">
        <v>6.8277771718910003</v>
      </c>
    </row>
    <row r="2693" spans="1:12" x14ac:dyDescent="0.2">
      <c r="A2693" s="8" t="s">
        <v>32</v>
      </c>
      <c r="B2693" s="8" t="s">
        <v>120</v>
      </c>
      <c r="C2693" s="8" t="s">
        <v>437</v>
      </c>
      <c r="D2693" s="8" t="s">
        <v>438</v>
      </c>
      <c r="E2693" s="8" t="s">
        <v>49</v>
      </c>
      <c r="F2693" s="8" t="s">
        <v>50</v>
      </c>
      <c r="G2693" s="8" t="s">
        <v>7</v>
      </c>
      <c r="H2693" s="8" t="s">
        <v>38</v>
      </c>
      <c r="I2693" s="9">
        <v>151.21569</v>
      </c>
      <c r="J2693">
        <v>151.2156883232</v>
      </c>
      <c r="K2693">
        <v>151.2156883232</v>
      </c>
      <c r="L2693">
        <v>154.19036423425999</v>
      </c>
    </row>
    <row r="2694" spans="1:12" x14ac:dyDescent="0.2">
      <c r="A2694" s="8" t="s">
        <v>32</v>
      </c>
      <c r="B2694" s="8" t="s">
        <v>120</v>
      </c>
      <c r="C2694" s="8" t="s">
        <v>437</v>
      </c>
      <c r="D2694" s="8" t="s">
        <v>438</v>
      </c>
      <c r="E2694" s="8" t="s">
        <v>51</v>
      </c>
      <c r="F2694" s="8" t="s">
        <v>52</v>
      </c>
      <c r="G2694" s="8" t="s">
        <v>7</v>
      </c>
      <c r="H2694" s="8" t="s">
        <v>38</v>
      </c>
      <c r="I2694" s="9">
        <v>64.188008999999994</v>
      </c>
      <c r="J2694">
        <v>64.188008918061996</v>
      </c>
      <c r="K2694">
        <v>64.188008918061996</v>
      </c>
      <c r="L2694">
        <v>65.450698828244001</v>
      </c>
    </row>
    <row r="2695" spans="1:12" x14ac:dyDescent="0.2">
      <c r="A2695" s="8" t="s">
        <v>32</v>
      </c>
      <c r="B2695" s="8" t="s">
        <v>120</v>
      </c>
      <c r="C2695" s="8" t="s">
        <v>437</v>
      </c>
      <c r="D2695" s="8" t="s">
        <v>438</v>
      </c>
      <c r="E2695" s="8" t="s">
        <v>53</v>
      </c>
      <c r="F2695" s="8" t="s">
        <v>54</v>
      </c>
      <c r="G2695" s="8" t="s">
        <v>7</v>
      </c>
      <c r="H2695" s="8" t="s">
        <v>38</v>
      </c>
      <c r="I2695" s="9"/>
    </row>
    <row r="2696" spans="1:12" x14ac:dyDescent="0.2">
      <c r="A2696" s="8" t="s">
        <v>32</v>
      </c>
      <c r="B2696" s="8" t="s">
        <v>120</v>
      </c>
      <c r="C2696" s="8" t="s">
        <v>437</v>
      </c>
      <c r="D2696" s="8" t="s">
        <v>438</v>
      </c>
      <c r="E2696" s="8" t="s">
        <v>70</v>
      </c>
      <c r="F2696" s="8" t="s">
        <v>71</v>
      </c>
      <c r="G2696" s="8" t="s">
        <v>7</v>
      </c>
      <c r="H2696" s="8" t="s">
        <v>38</v>
      </c>
      <c r="I2696" s="9">
        <v>85.155542999999994</v>
      </c>
      <c r="J2696">
        <v>94.530465194000001</v>
      </c>
      <c r="K2696">
        <v>109.37409196</v>
      </c>
      <c r="L2696">
        <v>109.25070293080999</v>
      </c>
    </row>
    <row r="2697" spans="1:12" x14ac:dyDescent="0.2">
      <c r="A2697" s="8" t="s">
        <v>32</v>
      </c>
      <c r="B2697" s="8" t="s">
        <v>120</v>
      </c>
      <c r="C2697" s="8" t="s">
        <v>437</v>
      </c>
      <c r="D2697" s="8" t="s">
        <v>438</v>
      </c>
      <c r="E2697" s="8" t="s">
        <v>55</v>
      </c>
      <c r="F2697" s="8" t="s">
        <v>56</v>
      </c>
      <c r="G2697" s="8" t="s">
        <v>7</v>
      </c>
      <c r="H2697" s="8" t="s">
        <v>38</v>
      </c>
      <c r="I2697" s="9">
        <v>3.8184799999999998E-2</v>
      </c>
      <c r="J2697">
        <v>4.2767949918407003E-2</v>
      </c>
      <c r="K2697">
        <v>4.2767949918407003E-2</v>
      </c>
      <c r="L2697">
        <v>4.2767949918407003E-2</v>
      </c>
    </row>
    <row r="2698" spans="1:12" x14ac:dyDescent="0.2">
      <c r="A2698" s="8" t="s">
        <v>32</v>
      </c>
      <c r="B2698" s="8" t="s">
        <v>120</v>
      </c>
      <c r="C2698" s="8" t="s">
        <v>437</v>
      </c>
      <c r="D2698" s="8" t="s">
        <v>438</v>
      </c>
      <c r="E2698" s="8" t="s">
        <v>57</v>
      </c>
      <c r="F2698" s="8" t="s">
        <v>58</v>
      </c>
      <c r="G2698" s="8" t="s">
        <v>7</v>
      </c>
      <c r="H2698" s="8" t="s">
        <v>38</v>
      </c>
      <c r="I2698" s="9"/>
    </row>
    <row r="2699" spans="1:12" x14ac:dyDescent="0.2">
      <c r="A2699" s="8" t="s">
        <v>32</v>
      </c>
      <c r="B2699" s="8" t="s">
        <v>120</v>
      </c>
      <c r="C2699" s="8" t="s">
        <v>437</v>
      </c>
      <c r="D2699" s="8" t="s">
        <v>438</v>
      </c>
      <c r="E2699" s="8" t="s">
        <v>59</v>
      </c>
      <c r="F2699" s="8" t="s">
        <v>60</v>
      </c>
      <c r="G2699" s="8" t="s">
        <v>7</v>
      </c>
      <c r="H2699" s="8" t="s">
        <v>38</v>
      </c>
      <c r="I2699" s="9">
        <v>6.2971735999999998</v>
      </c>
      <c r="J2699">
        <v>6.3071732457967</v>
      </c>
      <c r="K2699">
        <v>6.3165013638994996</v>
      </c>
      <c r="L2699">
        <v>6.3273372269522001</v>
      </c>
    </row>
    <row r="2700" spans="1:12" x14ac:dyDescent="0.2">
      <c r="A2700" s="8" t="s">
        <v>110</v>
      </c>
      <c r="B2700" s="8" t="s">
        <v>89</v>
      </c>
      <c r="C2700" s="8" t="s">
        <v>439</v>
      </c>
      <c r="D2700" s="8" t="s">
        <v>440</v>
      </c>
      <c r="E2700" s="8" t="s">
        <v>36</v>
      </c>
      <c r="F2700" s="8" t="s">
        <v>37</v>
      </c>
      <c r="G2700" s="8" t="s">
        <v>7</v>
      </c>
      <c r="H2700" s="8" t="s">
        <v>38</v>
      </c>
      <c r="I2700" s="9">
        <v>19252.518</v>
      </c>
      <c r="J2700">
        <v>20639.160119</v>
      </c>
      <c r="K2700">
        <v>19187.768112999998</v>
      </c>
      <c r="L2700">
        <v>16120.992871820999</v>
      </c>
    </row>
    <row r="2701" spans="1:12" x14ac:dyDescent="0.2">
      <c r="A2701" s="8" t="s">
        <v>110</v>
      </c>
      <c r="B2701" s="8" t="s">
        <v>89</v>
      </c>
      <c r="C2701" s="8" t="s">
        <v>439</v>
      </c>
      <c r="D2701" s="8" t="s">
        <v>440</v>
      </c>
      <c r="E2701" s="8" t="s">
        <v>64</v>
      </c>
      <c r="F2701" s="8" t="s">
        <v>65</v>
      </c>
      <c r="G2701" s="8" t="s">
        <v>7</v>
      </c>
      <c r="H2701" s="8" t="s">
        <v>38</v>
      </c>
      <c r="I2701" s="9">
        <v>2637.2168999999999</v>
      </c>
      <c r="J2701">
        <v>2465.7606380000002</v>
      </c>
      <c r="K2701">
        <v>2517.511176</v>
      </c>
      <c r="L2701">
        <v>2557.8160812208998</v>
      </c>
    </row>
    <row r="2702" spans="1:12" x14ac:dyDescent="0.2">
      <c r="A2702" s="8" t="s">
        <v>110</v>
      </c>
      <c r="B2702" s="8" t="s">
        <v>89</v>
      </c>
      <c r="C2702" s="8" t="s">
        <v>439</v>
      </c>
      <c r="D2702" s="8" t="s">
        <v>440</v>
      </c>
      <c r="E2702" s="8" t="s">
        <v>39</v>
      </c>
      <c r="F2702" s="8" t="s">
        <v>40</v>
      </c>
      <c r="G2702" s="8" t="s">
        <v>7</v>
      </c>
      <c r="H2702" s="8" t="s">
        <v>38</v>
      </c>
      <c r="I2702" s="9">
        <v>13378.128000000001</v>
      </c>
      <c r="J2702">
        <v>14316.503043999999</v>
      </c>
      <c r="K2702">
        <v>11901.263789000001</v>
      </c>
      <c r="L2702">
        <v>9933.3943756981007</v>
      </c>
    </row>
    <row r="2703" spans="1:12" x14ac:dyDescent="0.2">
      <c r="A2703" s="8" t="s">
        <v>110</v>
      </c>
      <c r="B2703" s="8" t="s">
        <v>89</v>
      </c>
      <c r="C2703" s="8" t="s">
        <v>439</v>
      </c>
      <c r="D2703" s="8" t="s">
        <v>440</v>
      </c>
      <c r="E2703" s="8" t="s">
        <v>41</v>
      </c>
      <c r="F2703" s="8" t="s">
        <v>42</v>
      </c>
      <c r="G2703" s="8" t="s">
        <v>7</v>
      </c>
      <c r="H2703" s="8" t="s">
        <v>38</v>
      </c>
      <c r="I2703" s="9">
        <v>115.64003</v>
      </c>
      <c r="J2703">
        <v>141.20659000000001</v>
      </c>
      <c r="K2703">
        <v>199.58017000000001</v>
      </c>
      <c r="L2703">
        <v>111.83536928879001</v>
      </c>
    </row>
    <row r="2704" spans="1:12" x14ac:dyDescent="0.2">
      <c r="A2704" s="8" t="s">
        <v>110</v>
      </c>
      <c r="B2704" s="8" t="s">
        <v>89</v>
      </c>
      <c r="C2704" s="8" t="s">
        <v>439</v>
      </c>
      <c r="D2704" s="8" t="s">
        <v>440</v>
      </c>
      <c r="E2704" s="8" t="s">
        <v>43</v>
      </c>
      <c r="F2704" s="8" t="s">
        <v>44</v>
      </c>
      <c r="G2704" s="8" t="s">
        <v>7</v>
      </c>
      <c r="H2704" s="8" t="s">
        <v>38</v>
      </c>
      <c r="I2704" s="9">
        <v>17407.91</v>
      </c>
      <c r="J2704">
        <v>18453.756089999999</v>
      </c>
      <c r="K2704">
        <v>20075.105169999999</v>
      </c>
      <c r="L2704">
        <v>21118.764119978001</v>
      </c>
    </row>
    <row r="2705" spans="1:12" x14ac:dyDescent="0.2">
      <c r="A2705" s="8" t="s">
        <v>110</v>
      </c>
      <c r="B2705" s="8" t="s">
        <v>89</v>
      </c>
      <c r="C2705" s="8" t="s">
        <v>439</v>
      </c>
      <c r="D2705" s="8" t="s">
        <v>440</v>
      </c>
      <c r="E2705" s="8" t="s">
        <v>66</v>
      </c>
      <c r="F2705" s="8" t="s">
        <v>67</v>
      </c>
      <c r="G2705" s="8" t="s">
        <v>7</v>
      </c>
      <c r="H2705" s="8" t="s">
        <v>38</v>
      </c>
      <c r="I2705" s="9">
        <v>346.71093999999999</v>
      </c>
      <c r="J2705">
        <v>405.93832500000002</v>
      </c>
      <c r="K2705">
        <v>317.19838800000002</v>
      </c>
      <c r="L2705">
        <v>312.94096852173999</v>
      </c>
    </row>
    <row r="2706" spans="1:12" x14ac:dyDescent="0.2">
      <c r="A2706" s="8" t="s">
        <v>110</v>
      </c>
      <c r="B2706" s="8" t="s">
        <v>89</v>
      </c>
      <c r="C2706" s="8" t="s">
        <v>439</v>
      </c>
      <c r="D2706" s="8" t="s">
        <v>440</v>
      </c>
      <c r="E2706" s="8" t="s">
        <v>45</v>
      </c>
      <c r="F2706" s="8" t="s">
        <v>46</v>
      </c>
      <c r="G2706" s="8" t="s">
        <v>7</v>
      </c>
      <c r="H2706" s="8" t="s">
        <v>38</v>
      </c>
      <c r="I2706" s="9">
        <v>129.86766</v>
      </c>
      <c r="J2706">
        <v>160.101201</v>
      </c>
      <c r="K2706">
        <v>140.27055899999999</v>
      </c>
      <c r="L2706">
        <v>146.51383800948</v>
      </c>
    </row>
    <row r="2707" spans="1:12" x14ac:dyDescent="0.2">
      <c r="A2707" s="8" t="s">
        <v>110</v>
      </c>
      <c r="B2707" s="8" t="s">
        <v>89</v>
      </c>
      <c r="C2707" s="8" t="s">
        <v>439</v>
      </c>
      <c r="D2707" s="8" t="s">
        <v>440</v>
      </c>
      <c r="E2707" s="8" t="s">
        <v>47</v>
      </c>
      <c r="F2707" s="8" t="s">
        <v>48</v>
      </c>
      <c r="G2707" s="8" t="s">
        <v>7</v>
      </c>
      <c r="H2707" s="8" t="s">
        <v>38</v>
      </c>
      <c r="I2707" s="9">
        <v>0.64907700000000002</v>
      </c>
      <c r="J2707">
        <v>16.059747000000002</v>
      </c>
      <c r="K2707">
        <v>16.258341000000001</v>
      </c>
      <c r="L2707">
        <v>15.9978687</v>
      </c>
    </row>
    <row r="2708" spans="1:12" x14ac:dyDescent="0.2">
      <c r="A2708" s="8" t="s">
        <v>110</v>
      </c>
      <c r="B2708" s="8" t="s">
        <v>89</v>
      </c>
      <c r="C2708" s="8" t="s">
        <v>439</v>
      </c>
      <c r="D2708" s="8" t="s">
        <v>440</v>
      </c>
      <c r="E2708" s="8" t="s">
        <v>49</v>
      </c>
      <c r="F2708" s="8" t="s">
        <v>50</v>
      </c>
      <c r="G2708" s="8" t="s">
        <v>7</v>
      </c>
      <c r="H2708" s="8" t="s">
        <v>38</v>
      </c>
      <c r="I2708" s="9">
        <v>10777.361999999999</v>
      </c>
      <c r="J2708">
        <v>11999.037275000001</v>
      </c>
      <c r="K2708">
        <v>10918.338686999999</v>
      </c>
      <c r="L2708">
        <v>10751.969569676001</v>
      </c>
    </row>
    <row r="2709" spans="1:12" x14ac:dyDescent="0.2">
      <c r="A2709" s="8" t="s">
        <v>110</v>
      </c>
      <c r="B2709" s="8" t="s">
        <v>89</v>
      </c>
      <c r="C2709" s="8" t="s">
        <v>439</v>
      </c>
      <c r="D2709" s="8" t="s">
        <v>440</v>
      </c>
      <c r="E2709" s="8" t="s">
        <v>51</v>
      </c>
      <c r="F2709" s="8" t="s">
        <v>52</v>
      </c>
      <c r="G2709" s="8" t="s">
        <v>7</v>
      </c>
      <c r="H2709" s="8" t="s">
        <v>38</v>
      </c>
      <c r="I2709" s="9">
        <v>691.18364999999994</v>
      </c>
      <c r="J2709">
        <v>1175.369522</v>
      </c>
      <c r="K2709">
        <v>1245.842234</v>
      </c>
      <c r="L2709">
        <v>1259.9341192812999</v>
      </c>
    </row>
    <row r="2710" spans="1:12" x14ac:dyDescent="0.2">
      <c r="A2710" s="8" t="s">
        <v>110</v>
      </c>
      <c r="B2710" s="8" t="s">
        <v>89</v>
      </c>
      <c r="C2710" s="8" t="s">
        <v>439</v>
      </c>
      <c r="D2710" s="8" t="s">
        <v>440</v>
      </c>
      <c r="E2710" s="8" t="s">
        <v>68</v>
      </c>
      <c r="F2710" s="8" t="s">
        <v>69</v>
      </c>
      <c r="G2710" s="8" t="s">
        <v>7</v>
      </c>
      <c r="H2710" s="8" t="s">
        <v>38</v>
      </c>
      <c r="I2710" s="9">
        <v>6.7886895999999997</v>
      </c>
      <c r="J2710">
        <v>7.8742482783999996</v>
      </c>
      <c r="K2710">
        <v>7.2686499616000004</v>
      </c>
      <c r="L2710">
        <v>5.8816886426573998</v>
      </c>
    </row>
    <row r="2711" spans="1:12" x14ac:dyDescent="0.2">
      <c r="A2711" s="8" t="s">
        <v>110</v>
      </c>
      <c r="B2711" s="8" t="s">
        <v>89</v>
      </c>
      <c r="C2711" s="8" t="s">
        <v>439</v>
      </c>
      <c r="D2711" s="8" t="s">
        <v>440</v>
      </c>
      <c r="E2711" s="8" t="s">
        <v>53</v>
      </c>
      <c r="F2711" s="8" t="s">
        <v>54</v>
      </c>
      <c r="G2711" s="8" t="s">
        <v>7</v>
      </c>
      <c r="H2711" s="8" t="s">
        <v>38</v>
      </c>
      <c r="I2711" s="9">
        <v>369.12846000000002</v>
      </c>
      <c r="J2711">
        <v>345.71270775381998</v>
      </c>
      <c r="K2711">
        <v>355.52246189047997</v>
      </c>
      <c r="L2711">
        <v>273.11845495708002</v>
      </c>
    </row>
    <row r="2712" spans="1:12" x14ac:dyDescent="0.2">
      <c r="A2712" s="8" t="s">
        <v>110</v>
      </c>
      <c r="B2712" s="8" t="s">
        <v>89</v>
      </c>
      <c r="C2712" s="8" t="s">
        <v>439</v>
      </c>
      <c r="D2712" s="8" t="s">
        <v>440</v>
      </c>
      <c r="E2712" s="8" t="s">
        <v>70</v>
      </c>
      <c r="F2712" s="8" t="s">
        <v>71</v>
      </c>
      <c r="G2712" s="8" t="s">
        <v>7</v>
      </c>
      <c r="H2712" s="8" t="s">
        <v>38</v>
      </c>
      <c r="I2712" s="9">
        <v>3886.4452000000001</v>
      </c>
      <c r="J2712">
        <v>4448.3479689325004</v>
      </c>
      <c r="K2712">
        <v>4251.6806552068001</v>
      </c>
      <c r="L2712">
        <v>4246.8841742570003</v>
      </c>
    </row>
    <row r="2713" spans="1:12" x14ac:dyDescent="0.2">
      <c r="A2713" s="8" t="s">
        <v>110</v>
      </c>
      <c r="B2713" s="8" t="s">
        <v>89</v>
      </c>
      <c r="C2713" s="8" t="s">
        <v>439</v>
      </c>
      <c r="D2713" s="8" t="s">
        <v>440</v>
      </c>
      <c r="E2713" s="8" t="s">
        <v>83</v>
      </c>
      <c r="F2713" s="8" t="s">
        <v>84</v>
      </c>
      <c r="G2713" s="8" t="s">
        <v>7</v>
      </c>
      <c r="H2713" s="8" t="s">
        <v>38</v>
      </c>
      <c r="I2713" s="9">
        <v>956.25</v>
      </c>
      <c r="J2713">
        <v>1071</v>
      </c>
      <c r="K2713">
        <v>825</v>
      </c>
      <c r="L2713">
        <v>386.25</v>
      </c>
    </row>
    <row r="2714" spans="1:12" x14ac:dyDescent="0.2">
      <c r="A2714" s="8" t="s">
        <v>110</v>
      </c>
      <c r="B2714" s="8" t="s">
        <v>89</v>
      </c>
      <c r="C2714" s="8" t="s">
        <v>439</v>
      </c>
      <c r="D2714" s="8" t="s">
        <v>440</v>
      </c>
      <c r="E2714" s="8" t="s">
        <v>55</v>
      </c>
      <c r="F2714" s="8" t="s">
        <v>56</v>
      </c>
      <c r="G2714" s="8" t="s">
        <v>7</v>
      </c>
      <c r="H2714" s="8" t="s">
        <v>38</v>
      </c>
      <c r="I2714" s="9">
        <v>59.275826000000002</v>
      </c>
      <c r="J2714">
        <v>54.222795814657999</v>
      </c>
      <c r="K2714">
        <v>54.222795814657999</v>
      </c>
      <c r="L2714">
        <v>54.222795814657999</v>
      </c>
    </row>
    <row r="2715" spans="1:12" x14ac:dyDescent="0.2">
      <c r="A2715" s="8" t="s">
        <v>110</v>
      </c>
      <c r="B2715" s="8" t="s">
        <v>89</v>
      </c>
      <c r="C2715" s="8" t="s">
        <v>439</v>
      </c>
      <c r="D2715" s="8" t="s">
        <v>440</v>
      </c>
      <c r="E2715" s="8" t="s">
        <v>57</v>
      </c>
      <c r="F2715" s="8" t="s">
        <v>58</v>
      </c>
      <c r="G2715" s="8" t="s">
        <v>7</v>
      </c>
      <c r="H2715" s="8" t="s">
        <v>38</v>
      </c>
      <c r="I2715" s="9">
        <v>549.65377000000001</v>
      </c>
      <c r="J2715">
        <v>502.79795847849999</v>
      </c>
      <c r="K2715">
        <v>502.79795847849999</v>
      </c>
      <c r="L2715">
        <v>502.79795847849999</v>
      </c>
    </row>
    <row r="2716" spans="1:12" x14ac:dyDescent="0.2">
      <c r="A2716" s="8" t="s">
        <v>110</v>
      </c>
      <c r="B2716" s="8" t="s">
        <v>89</v>
      </c>
      <c r="C2716" s="8" t="s">
        <v>439</v>
      </c>
      <c r="D2716" s="8" t="s">
        <v>440</v>
      </c>
      <c r="E2716" s="8" t="s">
        <v>72</v>
      </c>
      <c r="F2716" s="8" t="s">
        <v>73</v>
      </c>
      <c r="G2716" s="8" t="s">
        <v>7</v>
      </c>
      <c r="H2716" s="8" t="s">
        <v>38</v>
      </c>
      <c r="I2716" s="9">
        <v>3150.4081000000001</v>
      </c>
      <c r="J2716">
        <v>2649.6561327098002</v>
      </c>
      <c r="K2716">
        <v>1596.7715992344999</v>
      </c>
      <c r="L2716">
        <v>1372.0988691702</v>
      </c>
    </row>
    <row r="2717" spans="1:12" x14ac:dyDescent="0.2">
      <c r="A2717" s="8" t="s">
        <v>110</v>
      </c>
      <c r="B2717" s="8" t="s">
        <v>89</v>
      </c>
      <c r="C2717" s="8" t="s">
        <v>439</v>
      </c>
      <c r="D2717" s="8" t="s">
        <v>440</v>
      </c>
      <c r="E2717" s="8" t="s">
        <v>74</v>
      </c>
      <c r="F2717" s="8" t="s">
        <v>75</v>
      </c>
      <c r="G2717" s="8" t="s">
        <v>7</v>
      </c>
      <c r="H2717" s="8" t="s">
        <v>38</v>
      </c>
      <c r="I2717" s="9">
        <v>650.11774000000003</v>
      </c>
      <c r="J2717">
        <v>725.27750349965004</v>
      </c>
      <c r="K2717">
        <v>502.06568184485002</v>
      </c>
      <c r="L2717">
        <v>331.27002196855</v>
      </c>
    </row>
    <row r="2718" spans="1:12" x14ac:dyDescent="0.2">
      <c r="A2718" s="8" t="s">
        <v>110</v>
      </c>
      <c r="B2718" s="8" t="s">
        <v>89</v>
      </c>
      <c r="C2718" s="8" t="s">
        <v>439</v>
      </c>
      <c r="D2718" s="8" t="s">
        <v>440</v>
      </c>
      <c r="E2718" s="8" t="s">
        <v>59</v>
      </c>
      <c r="F2718" s="8" t="s">
        <v>60</v>
      </c>
      <c r="G2718" s="8" t="s">
        <v>7</v>
      </c>
      <c r="H2718" s="8" t="s">
        <v>38</v>
      </c>
      <c r="I2718" s="9">
        <v>185.83124000000001</v>
      </c>
      <c r="J2718">
        <v>202.79234779179001</v>
      </c>
      <c r="K2718">
        <v>190.60768982177001</v>
      </c>
      <c r="L2718">
        <v>184.60069703419001</v>
      </c>
    </row>
    <row r="2719" spans="1:12" x14ac:dyDescent="0.2">
      <c r="A2719" s="8" t="s">
        <v>110</v>
      </c>
      <c r="B2719" s="8" t="s">
        <v>89</v>
      </c>
      <c r="C2719" s="8" t="s">
        <v>439</v>
      </c>
      <c r="D2719" s="8" t="s">
        <v>440</v>
      </c>
      <c r="E2719" s="8" t="s">
        <v>76</v>
      </c>
      <c r="F2719" s="8" t="s">
        <v>77</v>
      </c>
      <c r="G2719" s="8" t="s">
        <v>7</v>
      </c>
      <c r="H2719" s="8" t="s">
        <v>38</v>
      </c>
      <c r="I2719" s="9">
        <v>912.89523999999994</v>
      </c>
      <c r="J2719">
        <v>647.95238099824996</v>
      </c>
      <c r="K2719">
        <v>583.00000004123001</v>
      </c>
      <c r="L2719">
        <v>272.95000001929998</v>
      </c>
    </row>
    <row r="2720" spans="1:12" x14ac:dyDescent="0.2">
      <c r="A2720" s="8" t="s">
        <v>110</v>
      </c>
      <c r="B2720" s="8" t="s">
        <v>89</v>
      </c>
      <c r="C2720" s="8" t="s">
        <v>439</v>
      </c>
      <c r="D2720" s="8" t="s">
        <v>440</v>
      </c>
      <c r="E2720" s="8" t="s">
        <v>78</v>
      </c>
      <c r="F2720" s="8" t="s">
        <v>79</v>
      </c>
      <c r="G2720" s="8" t="s">
        <v>7</v>
      </c>
      <c r="H2720" s="8" t="s">
        <v>38</v>
      </c>
      <c r="I2720" s="9">
        <v>229.58566999999999</v>
      </c>
      <c r="J2720">
        <v>312.87137168571002</v>
      </c>
      <c r="K2720">
        <v>281.59994879999999</v>
      </c>
      <c r="L2720">
        <v>286.91137640570997</v>
      </c>
    </row>
    <row r="2721" spans="1:12" x14ac:dyDescent="0.2">
      <c r="A2721" s="8" t="s">
        <v>110</v>
      </c>
      <c r="B2721" s="8" t="s">
        <v>89</v>
      </c>
      <c r="C2721" s="8" t="s">
        <v>439</v>
      </c>
      <c r="D2721" s="8" t="s">
        <v>440</v>
      </c>
      <c r="E2721" s="8" t="s">
        <v>92</v>
      </c>
      <c r="F2721" s="8" t="s">
        <v>93</v>
      </c>
      <c r="G2721" s="8" t="s">
        <v>7</v>
      </c>
      <c r="H2721" s="8" t="s">
        <v>38</v>
      </c>
      <c r="I2721" s="9">
        <v>7.5041371000000003</v>
      </c>
      <c r="J2721">
        <v>5.0976990000000004</v>
      </c>
      <c r="K2721">
        <v>5.7807618300000003</v>
      </c>
      <c r="L2721">
        <v>6.0592549199999999</v>
      </c>
    </row>
    <row r="2722" spans="1:12" x14ac:dyDescent="0.2">
      <c r="A2722" s="8" t="s">
        <v>110</v>
      </c>
      <c r="B2722" s="8" t="s">
        <v>102</v>
      </c>
      <c r="C2722" s="8" t="s">
        <v>441</v>
      </c>
      <c r="D2722" s="8" t="s">
        <v>442</v>
      </c>
      <c r="E2722" s="8" t="s">
        <v>36</v>
      </c>
      <c r="F2722" s="8" t="s">
        <v>37</v>
      </c>
      <c r="G2722" s="8" t="s">
        <v>7</v>
      </c>
      <c r="H2722" s="8" t="s">
        <v>38</v>
      </c>
      <c r="I2722" s="9">
        <v>755398.49</v>
      </c>
      <c r="J2722">
        <v>837940.86254799995</v>
      </c>
      <c r="K2722">
        <v>805866.56890800002</v>
      </c>
      <c r="L2722">
        <v>825234.34693509003</v>
      </c>
    </row>
    <row r="2723" spans="1:12" x14ac:dyDescent="0.2">
      <c r="A2723" s="8" t="s">
        <v>110</v>
      </c>
      <c r="B2723" s="8" t="s">
        <v>102</v>
      </c>
      <c r="C2723" s="8" t="s">
        <v>441</v>
      </c>
      <c r="D2723" s="8" t="s">
        <v>442</v>
      </c>
      <c r="E2723" s="8" t="s">
        <v>64</v>
      </c>
      <c r="F2723" s="8" t="s">
        <v>65</v>
      </c>
      <c r="G2723" s="8" t="s">
        <v>7</v>
      </c>
      <c r="H2723" s="8" t="s">
        <v>38</v>
      </c>
      <c r="I2723" s="9">
        <v>33472.902000000002</v>
      </c>
      <c r="J2723">
        <v>36641.991361</v>
      </c>
      <c r="K2723">
        <v>35553.666804</v>
      </c>
      <c r="L2723">
        <v>35955.048488187</v>
      </c>
    </row>
    <row r="2724" spans="1:12" x14ac:dyDescent="0.2">
      <c r="A2724" s="8" t="s">
        <v>110</v>
      </c>
      <c r="B2724" s="8" t="s">
        <v>102</v>
      </c>
      <c r="C2724" s="8" t="s">
        <v>441</v>
      </c>
      <c r="D2724" s="8" t="s">
        <v>442</v>
      </c>
      <c r="E2724" s="8" t="s">
        <v>39</v>
      </c>
      <c r="F2724" s="8" t="s">
        <v>40</v>
      </c>
      <c r="G2724" s="8" t="s">
        <v>7</v>
      </c>
      <c r="H2724" s="8" t="s">
        <v>38</v>
      </c>
      <c r="I2724" s="9">
        <v>267958.59999999998</v>
      </c>
      <c r="J2724">
        <v>284774.67010699998</v>
      </c>
      <c r="K2724">
        <v>280169.29687800002</v>
      </c>
      <c r="L2724">
        <v>284907.62633280002</v>
      </c>
    </row>
    <row r="2725" spans="1:12" x14ac:dyDescent="0.2">
      <c r="A2725" s="8" t="s">
        <v>110</v>
      </c>
      <c r="B2725" s="8" t="s">
        <v>102</v>
      </c>
      <c r="C2725" s="8" t="s">
        <v>441</v>
      </c>
      <c r="D2725" s="8" t="s">
        <v>442</v>
      </c>
      <c r="E2725" s="8" t="s">
        <v>41</v>
      </c>
      <c r="F2725" s="8" t="s">
        <v>42</v>
      </c>
      <c r="G2725" s="8" t="s">
        <v>7</v>
      </c>
      <c r="H2725" s="8" t="s">
        <v>38</v>
      </c>
      <c r="I2725" s="9">
        <v>14370.213</v>
      </c>
      <c r="J2725">
        <v>17087.136494999999</v>
      </c>
      <c r="K2725">
        <v>15038.053029999999</v>
      </c>
      <c r="L2725">
        <v>16200.021531286</v>
      </c>
    </row>
    <row r="2726" spans="1:12" x14ac:dyDescent="0.2">
      <c r="A2726" s="8" t="s">
        <v>110</v>
      </c>
      <c r="B2726" s="8" t="s">
        <v>102</v>
      </c>
      <c r="C2726" s="8" t="s">
        <v>441</v>
      </c>
      <c r="D2726" s="8" t="s">
        <v>442</v>
      </c>
      <c r="E2726" s="8" t="s">
        <v>43</v>
      </c>
      <c r="F2726" s="8" t="s">
        <v>44</v>
      </c>
      <c r="G2726" s="8" t="s">
        <v>7</v>
      </c>
      <c r="H2726" s="8" t="s">
        <v>38</v>
      </c>
      <c r="I2726" s="9">
        <v>145982.79</v>
      </c>
      <c r="J2726">
        <v>158448.69916700001</v>
      </c>
      <c r="K2726">
        <v>167035.54573700001</v>
      </c>
      <c r="L2726">
        <v>175016.84872541</v>
      </c>
    </row>
    <row r="2727" spans="1:12" x14ac:dyDescent="0.2">
      <c r="A2727" s="8" t="s">
        <v>110</v>
      </c>
      <c r="B2727" s="8" t="s">
        <v>102</v>
      </c>
      <c r="C2727" s="8" t="s">
        <v>441</v>
      </c>
      <c r="D2727" s="8" t="s">
        <v>442</v>
      </c>
      <c r="E2727" s="8" t="s">
        <v>66</v>
      </c>
      <c r="F2727" s="8" t="s">
        <v>67</v>
      </c>
      <c r="G2727" s="8" t="s">
        <v>7</v>
      </c>
      <c r="H2727" s="8" t="s">
        <v>38</v>
      </c>
      <c r="I2727" s="9">
        <v>11792.689</v>
      </c>
      <c r="J2727">
        <v>12648.386547</v>
      </c>
      <c r="K2727">
        <v>14270.153885</v>
      </c>
      <c r="L2727">
        <v>14953.732395776</v>
      </c>
    </row>
    <row r="2728" spans="1:12" x14ac:dyDescent="0.2">
      <c r="A2728" s="8" t="s">
        <v>110</v>
      </c>
      <c r="B2728" s="8" t="s">
        <v>102</v>
      </c>
      <c r="C2728" s="8" t="s">
        <v>441</v>
      </c>
      <c r="D2728" s="8" t="s">
        <v>442</v>
      </c>
      <c r="E2728" s="8" t="s">
        <v>45</v>
      </c>
      <c r="F2728" s="8" t="s">
        <v>46</v>
      </c>
      <c r="G2728" s="8" t="s">
        <v>7</v>
      </c>
      <c r="H2728" s="8" t="s">
        <v>38</v>
      </c>
      <c r="I2728" s="9">
        <v>1343.4374</v>
      </c>
      <c r="J2728">
        <v>1248.316865</v>
      </c>
      <c r="K2728">
        <v>1328.0399030000001</v>
      </c>
      <c r="L2728">
        <v>1294.8614653179</v>
      </c>
    </row>
    <row r="2729" spans="1:12" x14ac:dyDescent="0.2">
      <c r="A2729" s="8" t="s">
        <v>110</v>
      </c>
      <c r="B2729" s="8" t="s">
        <v>102</v>
      </c>
      <c r="C2729" s="8" t="s">
        <v>441</v>
      </c>
      <c r="D2729" s="8" t="s">
        <v>442</v>
      </c>
      <c r="E2729" s="8" t="s">
        <v>47</v>
      </c>
      <c r="F2729" s="8" t="s">
        <v>48</v>
      </c>
      <c r="G2729" s="8" t="s">
        <v>7</v>
      </c>
      <c r="H2729" s="8" t="s">
        <v>38</v>
      </c>
      <c r="I2729" s="9">
        <v>66345.381999999998</v>
      </c>
      <c r="J2729">
        <v>72472.353480000005</v>
      </c>
      <c r="K2729">
        <v>69403.224128999995</v>
      </c>
      <c r="L2729">
        <v>70393.396166202001</v>
      </c>
    </row>
    <row r="2730" spans="1:12" x14ac:dyDescent="0.2">
      <c r="A2730" s="8" t="s">
        <v>110</v>
      </c>
      <c r="B2730" s="8" t="s">
        <v>102</v>
      </c>
      <c r="C2730" s="8" t="s">
        <v>441</v>
      </c>
      <c r="D2730" s="8" t="s">
        <v>442</v>
      </c>
      <c r="E2730" s="8" t="s">
        <v>49</v>
      </c>
      <c r="F2730" s="8" t="s">
        <v>50</v>
      </c>
      <c r="G2730" s="8" t="s">
        <v>7</v>
      </c>
      <c r="H2730" s="8" t="s">
        <v>38</v>
      </c>
      <c r="I2730" s="9">
        <v>215555.18</v>
      </c>
      <c r="J2730">
        <v>232035.770005</v>
      </c>
      <c r="K2730">
        <v>228048.562665</v>
      </c>
      <c r="L2730">
        <v>232616.47771248</v>
      </c>
    </row>
    <row r="2731" spans="1:12" x14ac:dyDescent="0.2">
      <c r="A2731" s="8" t="s">
        <v>110</v>
      </c>
      <c r="B2731" s="8" t="s">
        <v>102</v>
      </c>
      <c r="C2731" s="8" t="s">
        <v>441</v>
      </c>
      <c r="D2731" s="8" t="s">
        <v>442</v>
      </c>
      <c r="E2731" s="8" t="s">
        <v>51</v>
      </c>
      <c r="F2731" s="8" t="s">
        <v>52</v>
      </c>
      <c r="G2731" s="8" t="s">
        <v>7</v>
      </c>
      <c r="H2731" s="8" t="s">
        <v>38</v>
      </c>
      <c r="I2731" s="9">
        <v>5381.6734999999999</v>
      </c>
      <c r="J2731">
        <v>5771.4862169999997</v>
      </c>
      <c r="K2731">
        <v>6515.80249</v>
      </c>
      <c r="L2731">
        <v>6827.9268439855005</v>
      </c>
    </row>
    <row r="2732" spans="1:12" x14ac:dyDescent="0.2">
      <c r="A2732" s="8" t="s">
        <v>110</v>
      </c>
      <c r="B2732" s="8" t="s">
        <v>102</v>
      </c>
      <c r="C2732" s="8" t="s">
        <v>441</v>
      </c>
      <c r="D2732" s="8" t="s">
        <v>442</v>
      </c>
      <c r="E2732" s="8" t="s">
        <v>68</v>
      </c>
      <c r="F2732" s="8" t="s">
        <v>69</v>
      </c>
      <c r="G2732" s="8" t="s">
        <v>7</v>
      </c>
      <c r="H2732" s="8" t="s">
        <v>38</v>
      </c>
      <c r="I2732" s="9">
        <v>46924.923000000003</v>
      </c>
      <c r="J2732">
        <v>48485.526201064997</v>
      </c>
      <c r="K2732">
        <v>48838.845129064997</v>
      </c>
      <c r="L2732">
        <v>50708.993201497004</v>
      </c>
    </row>
    <row r="2733" spans="1:12" x14ac:dyDescent="0.2">
      <c r="A2733" s="8" t="s">
        <v>110</v>
      </c>
      <c r="B2733" s="8" t="s">
        <v>102</v>
      </c>
      <c r="C2733" s="8" t="s">
        <v>441</v>
      </c>
      <c r="D2733" s="8" t="s">
        <v>442</v>
      </c>
      <c r="E2733" s="8" t="s">
        <v>53</v>
      </c>
      <c r="F2733" s="8" t="s">
        <v>54</v>
      </c>
      <c r="G2733" s="8" t="s">
        <v>7</v>
      </c>
      <c r="H2733" s="8" t="s">
        <v>38</v>
      </c>
      <c r="I2733" s="9">
        <v>100515.01</v>
      </c>
      <c r="J2733">
        <v>108310.29090829</v>
      </c>
      <c r="K2733">
        <v>106279.35794622</v>
      </c>
      <c r="L2733">
        <v>116164.44413813</v>
      </c>
    </row>
    <row r="2734" spans="1:12" x14ac:dyDescent="0.2">
      <c r="A2734" s="8" t="s">
        <v>110</v>
      </c>
      <c r="B2734" s="8" t="s">
        <v>102</v>
      </c>
      <c r="C2734" s="8" t="s">
        <v>441</v>
      </c>
      <c r="D2734" s="8" t="s">
        <v>442</v>
      </c>
      <c r="E2734" s="8" t="s">
        <v>70</v>
      </c>
      <c r="F2734" s="8" t="s">
        <v>71</v>
      </c>
      <c r="G2734" s="8" t="s">
        <v>7</v>
      </c>
      <c r="H2734" s="8" t="s">
        <v>38</v>
      </c>
      <c r="I2734" s="9">
        <v>20323.169000000002</v>
      </c>
      <c r="J2734">
        <v>21351.808740984001</v>
      </c>
      <c r="K2734">
        <v>21709.460478689001</v>
      </c>
      <c r="L2734">
        <v>22532.059475409998</v>
      </c>
    </row>
    <row r="2735" spans="1:12" x14ac:dyDescent="0.2">
      <c r="A2735" s="8" t="s">
        <v>110</v>
      </c>
      <c r="B2735" s="8" t="s">
        <v>102</v>
      </c>
      <c r="C2735" s="8" t="s">
        <v>441</v>
      </c>
      <c r="D2735" s="8" t="s">
        <v>442</v>
      </c>
      <c r="E2735" s="8" t="s">
        <v>83</v>
      </c>
      <c r="F2735" s="8" t="s">
        <v>84</v>
      </c>
      <c r="G2735" s="8" t="s">
        <v>7</v>
      </c>
      <c r="H2735" s="8" t="s">
        <v>38</v>
      </c>
      <c r="I2735" s="9">
        <v>8523</v>
      </c>
      <c r="J2735">
        <v>8250</v>
      </c>
      <c r="K2735">
        <v>8250</v>
      </c>
      <c r="L2735">
        <v>8250</v>
      </c>
    </row>
    <row r="2736" spans="1:12" x14ac:dyDescent="0.2">
      <c r="A2736" s="8" t="s">
        <v>110</v>
      </c>
      <c r="B2736" s="8" t="s">
        <v>102</v>
      </c>
      <c r="C2736" s="8" t="s">
        <v>441</v>
      </c>
      <c r="D2736" s="8" t="s">
        <v>442</v>
      </c>
      <c r="E2736" s="8" t="s">
        <v>55</v>
      </c>
      <c r="F2736" s="8" t="s">
        <v>56</v>
      </c>
      <c r="G2736" s="8" t="s">
        <v>7</v>
      </c>
      <c r="H2736" s="8" t="s">
        <v>38</v>
      </c>
      <c r="I2736" s="9">
        <v>1799.8204000000001</v>
      </c>
      <c r="J2736">
        <v>1960.51865</v>
      </c>
      <c r="K2736">
        <v>1992.6583000000001</v>
      </c>
      <c r="L2736">
        <v>1861.9921819671999</v>
      </c>
    </row>
    <row r="2737" spans="1:12" x14ac:dyDescent="0.2">
      <c r="A2737" s="8" t="s">
        <v>110</v>
      </c>
      <c r="B2737" s="8" t="s">
        <v>102</v>
      </c>
      <c r="C2737" s="8" t="s">
        <v>441</v>
      </c>
      <c r="D2737" s="8" t="s">
        <v>442</v>
      </c>
      <c r="E2737" s="8" t="s">
        <v>57</v>
      </c>
      <c r="F2737" s="8" t="s">
        <v>58</v>
      </c>
      <c r="G2737" s="8" t="s">
        <v>7</v>
      </c>
      <c r="H2737" s="8" t="s">
        <v>38</v>
      </c>
      <c r="I2737" s="9">
        <v>4856.8707000000004</v>
      </c>
      <c r="J2737">
        <v>5290.5198465783997</v>
      </c>
      <c r="K2737">
        <v>5377.2496801287998</v>
      </c>
      <c r="L2737">
        <v>5024.6431437268002</v>
      </c>
    </row>
    <row r="2738" spans="1:12" x14ac:dyDescent="0.2">
      <c r="A2738" s="8" t="s">
        <v>110</v>
      </c>
      <c r="B2738" s="8" t="s">
        <v>102</v>
      </c>
      <c r="C2738" s="8" t="s">
        <v>441</v>
      </c>
      <c r="D2738" s="8" t="s">
        <v>442</v>
      </c>
      <c r="E2738" s="8" t="s">
        <v>72</v>
      </c>
      <c r="F2738" s="8" t="s">
        <v>73</v>
      </c>
      <c r="G2738" s="8" t="s">
        <v>7</v>
      </c>
      <c r="H2738" s="8" t="s">
        <v>38</v>
      </c>
      <c r="I2738" s="9">
        <v>50185.648999999998</v>
      </c>
      <c r="J2738">
        <v>52009.085428844002</v>
      </c>
      <c r="K2738">
        <v>44123.433380479997</v>
      </c>
      <c r="L2738">
        <v>43824.219251966999</v>
      </c>
    </row>
    <row r="2739" spans="1:12" x14ac:dyDescent="0.2">
      <c r="A2739" s="8" t="s">
        <v>110</v>
      </c>
      <c r="B2739" s="8" t="s">
        <v>102</v>
      </c>
      <c r="C2739" s="8" t="s">
        <v>441</v>
      </c>
      <c r="D2739" s="8" t="s">
        <v>442</v>
      </c>
      <c r="E2739" s="8" t="s">
        <v>74</v>
      </c>
      <c r="F2739" s="8" t="s">
        <v>75</v>
      </c>
      <c r="G2739" s="8" t="s">
        <v>7</v>
      </c>
      <c r="H2739" s="8" t="s">
        <v>38</v>
      </c>
      <c r="I2739" s="9">
        <v>17237.688999999998</v>
      </c>
      <c r="J2739">
        <v>18640.730919456</v>
      </c>
      <c r="K2739">
        <v>18643.910393310001</v>
      </c>
      <c r="L2739">
        <v>18828.324065369001</v>
      </c>
    </row>
    <row r="2740" spans="1:12" x14ac:dyDescent="0.2">
      <c r="A2740" s="8" t="s">
        <v>110</v>
      </c>
      <c r="B2740" s="8" t="s">
        <v>102</v>
      </c>
      <c r="C2740" s="8" t="s">
        <v>441</v>
      </c>
      <c r="D2740" s="8" t="s">
        <v>442</v>
      </c>
      <c r="E2740" s="8" t="s">
        <v>59</v>
      </c>
      <c r="F2740" s="8" t="s">
        <v>60</v>
      </c>
      <c r="G2740" s="8" t="s">
        <v>7</v>
      </c>
      <c r="H2740" s="8" t="s">
        <v>38</v>
      </c>
      <c r="I2740" s="9">
        <v>9065.2566000000006</v>
      </c>
      <c r="J2740">
        <v>9433.8902048887994</v>
      </c>
      <c r="K2740">
        <v>8895.4413559712993</v>
      </c>
      <c r="L2740">
        <v>9514.2728548865998</v>
      </c>
    </row>
    <row r="2741" spans="1:12" x14ac:dyDescent="0.2">
      <c r="A2741" s="8" t="s">
        <v>110</v>
      </c>
      <c r="B2741" s="8" t="s">
        <v>102</v>
      </c>
      <c r="C2741" s="8" t="s">
        <v>441</v>
      </c>
      <c r="D2741" s="8" t="s">
        <v>442</v>
      </c>
      <c r="E2741" s="8" t="s">
        <v>76</v>
      </c>
      <c r="F2741" s="8" t="s">
        <v>77</v>
      </c>
      <c r="G2741" s="8" t="s">
        <v>7</v>
      </c>
      <c r="H2741" s="8" t="s">
        <v>38</v>
      </c>
      <c r="I2741" s="9">
        <v>6671.5523999999996</v>
      </c>
      <c r="J2741">
        <v>5212.6380954629003</v>
      </c>
      <c r="K2741">
        <v>7622.8952384035001</v>
      </c>
      <c r="L2741">
        <v>7622.8952384035001</v>
      </c>
    </row>
    <row r="2742" spans="1:12" x14ac:dyDescent="0.2">
      <c r="A2742" s="8" t="s">
        <v>110</v>
      </c>
      <c r="B2742" s="8" t="s">
        <v>102</v>
      </c>
      <c r="C2742" s="8" t="s">
        <v>441</v>
      </c>
      <c r="D2742" s="8" t="s">
        <v>442</v>
      </c>
      <c r="E2742" s="8" t="s">
        <v>78</v>
      </c>
      <c r="F2742" s="8" t="s">
        <v>79</v>
      </c>
      <c r="G2742" s="8" t="s">
        <v>7</v>
      </c>
      <c r="H2742" s="8" t="s">
        <v>38</v>
      </c>
      <c r="I2742" s="9">
        <v>494.84276999999997</v>
      </c>
      <c r="J2742">
        <v>444.87134768571002</v>
      </c>
      <c r="K2742">
        <v>510.71419285714001</v>
      </c>
      <c r="L2742">
        <v>570.23989631999996</v>
      </c>
    </row>
    <row r="2743" spans="1:12" x14ac:dyDescent="0.2">
      <c r="A2743" s="8" t="s">
        <v>32</v>
      </c>
      <c r="B2743" s="8" t="s">
        <v>120</v>
      </c>
      <c r="C2743" s="8" t="s">
        <v>443</v>
      </c>
      <c r="D2743" s="8" t="s">
        <v>444</v>
      </c>
      <c r="E2743" s="8" t="s">
        <v>36</v>
      </c>
      <c r="F2743" s="8" t="s">
        <v>37</v>
      </c>
      <c r="G2743" s="8" t="s">
        <v>7</v>
      </c>
      <c r="H2743" s="8" t="s">
        <v>38</v>
      </c>
      <c r="I2743" s="9">
        <v>218.72154</v>
      </c>
      <c r="J2743">
        <v>330.38073900000001</v>
      </c>
      <c r="K2743">
        <v>459.73796700000003</v>
      </c>
      <c r="L2743">
        <v>502.86239747723999</v>
      </c>
    </row>
    <row r="2744" spans="1:12" x14ac:dyDescent="0.2">
      <c r="A2744" s="8" t="s">
        <v>32</v>
      </c>
      <c r="B2744" s="8" t="s">
        <v>120</v>
      </c>
      <c r="C2744" s="8" t="s">
        <v>443</v>
      </c>
      <c r="D2744" s="8" t="s">
        <v>444</v>
      </c>
      <c r="E2744" s="8" t="s">
        <v>64</v>
      </c>
      <c r="F2744" s="8" t="s">
        <v>65</v>
      </c>
      <c r="G2744" s="8" t="s">
        <v>7</v>
      </c>
      <c r="H2744" s="8" t="s">
        <v>38</v>
      </c>
      <c r="I2744" s="9"/>
      <c r="K2744">
        <v>22.058520000000001</v>
      </c>
      <c r="L2744">
        <v>22.723191578538</v>
      </c>
    </row>
    <row r="2745" spans="1:12" x14ac:dyDescent="0.2">
      <c r="A2745" s="8" t="s">
        <v>32</v>
      </c>
      <c r="B2745" s="8" t="s">
        <v>120</v>
      </c>
      <c r="C2745" s="8" t="s">
        <v>443</v>
      </c>
      <c r="D2745" s="8" t="s">
        <v>444</v>
      </c>
      <c r="E2745" s="8" t="s">
        <v>39</v>
      </c>
      <c r="F2745" s="8" t="s">
        <v>40</v>
      </c>
      <c r="G2745" s="8" t="s">
        <v>7</v>
      </c>
      <c r="H2745" s="8" t="s">
        <v>38</v>
      </c>
      <c r="I2745" s="9">
        <v>284.98624999999998</v>
      </c>
      <c r="J2745">
        <v>277.81069400000001</v>
      </c>
      <c r="K2745">
        <v>368.33641399999999</v>
      </c>
      <c r="L2745">
        <v>392.04736550293001</v>
      </c>
    </row>
    <row r="2746" spans="1:12" x14ac:dyDescent="0.2">
      <c r="A2746" s="8" t="s">
        <v>32</v>
      </c>
      <c r="B2746" s="8" t="s">
        <v>120</v>
      </c>
      <c r="C2746" s="8" t="s">
        <v>443</v>
      </c>
      <c r="D2746" s="8" t="s">
        <v>444</v>
      </c>
      <c r="E2746" s="8" t="s">
        <v>41</v>
      </c>
      <c r="F2746" s="8" t="s">
        <v>42</v>
      </c>
      <c r="G2746" s="8" t="s">
        <v>7</v>
      </c>
      <c r="H2746" s="8" t="s">
        <v>38</v>
      </c>
      <c r="I2746" s="9">
        <v>4.9914149999999999</v>
      </c>
      <c r="J2746">
        <v>6.554405</v>
      </c>
      <c r="K2746">
        <v>6.68954</v>
      </c>
      <c r="L2746">
        <v>7.5394091024629999</v>
      </c>
    </row>
    <row r="2747" spans="1:12" x14ac:dyDescent="0.2">
      <c r="A2747" s="8" t="s">
        <v>32</v>
      </c>
      <c r="B2747" s="8" t="s">
        <v>120</v>
      </c>
      <c r="C2747" s="8" t="s">
        <v>443</v>
      </c>
      <c r="D2747" s="8" t="s">
        <v>444</v>
      </c>
      <c r="E2747" s="8" t="s">
        <v>43</v>
      </c>
      <c r="F2747" s="8" t="s">
        <v>44</v>
      </c>
      <c r="G2747" s="8" t="s">
        <v>7</v>
      </c>
      <c r="H2747" s="8" t="s">
        <v>38</v>
      </c>
      <c r="I2747" s="9">
        <v>580.86677999999995</v>
      </c>
      <c r="J2747">
        <v>643.11703499999999</v>
      </c>
      <c r="K2747">
        <v>775.85903099999996</v>
      </c>
      <c r="L2747">
        <v>791.12152919368998</v>
      </c>
    </row>
    <row r="2748" spans="1:12" x14ac:dyDescent="0.2">
      <c r="A2748" s="8" t="s">
        <v>32</v>
      </c>
      <c r="B2748" s="8" t="s">
        <v>120</v>
      </c>
      <c r="C2748" s="8" t="s">
        <v>443</v>
      </c>
      <c r="D2748" s="8" t="s">
        <v>444</v>
      </c>
      <c r="E2748" s="8" t="s">
        <v>49</v>
      </c>
      <c r="F2748" s="8" t="s">
        <v>50</v>
      </c>
      <c r="G2748" s="8" t="s">
        <v>7</v>
      </c>
      <c r="H2748" s="8" t="s">
        <v>38</v>
      </c>
      <c r="I2748" s="9">
        <v>137.72175999999999</v>
      </c>
      <c r="J2748">
        <v>150.68813900000001</v>
      </c>
      <c r="K2748">
        <v>163.433843</v>
      </c>
      <c r="L2748">
        <v>166.64887128981999</v>
      </c>
    </row>
    <row r="2749" spans="1:12" x14ac:dyDescent="0.2">
      <c r="A2749" s="8" t="s">
        <v>32</v>
      </c>
      <c r="B2749" s="8" t="s">
        <v>120</v>
      </c>
      <c r="C2749" s="8" t="s">
        <v>443</v>
      </c>
      <c r="D2749" s="8" t="s">
        <v>444</v>
      </c>
      <c r="E2749" s="8" t="s">
        <v>51</v>
      </c>
      <c r="F2749" s="8" t="s">
        <v>52</v>
      </c>
      <c r="G2749" s="8" t="s">
        <v>7</v>
      </c>
      <c r="H2749" s="8" t="s">
        <v>38</v>
      </c>
      <c r="I2749" s="9">
        <v>10.274509999999999</v>
      </c>
      <c r="J2749">
        <v>9.6087159999999994</v>
      </c>
      <c r="K2749">
        <v>10.66996</v>
      </c>
      <c r="L2749">
        <v>10.879856693497</v>
      </c>
    </row>
    <row r="2750" spans="1:12" x14ac:dyDescent="0.2">
      <c r="A2750" s="8" t="s">
        <v>32</v>
      </c>
      <c r="B2750" s="8" t="s">
        <v>120</v>
      </c>
      <c r="C2750" s="8" t="s">
        <v>443</v>
      </c>
      <c r="D2750" s="8" t="s">
        <v>444</v>
      </c>
      <c r="E2750" s="8" t="s">
        <v>53</v>
      </c>
      <c r="F2750" s="8" t="s">
        <v>54</v>
      </c>
      <c r="G2750" s="8" t="s">
        <v>7</v>
      </c>
      <c r="H2750" s="8" t="s">
        <v>38</v>
      </c>
      <c r="I2750" s="9">
        <v>2.4047999999999999E-3</v>
      </c>
      <c r="J2750">
        <v>2.5627948E-3</v>
      </c>
      <c r="K2750">
        <v>2.6066536000000002E-3</v>
      </c>
      <c r="L2750">
        <v>2.6059220000000001E-3</v>
      </c>
    </row>
    <row r="2751" spans="1:12" x14ac:dyDescent="0.2">
      <c r="A2751" s="8" t="s">
        <v>32</v>
      </c>
      <c r="B2751" s="8" t="s">
        <v>120</v>
      </c>
      <c r="C2751" s="8" t="s">
        <v>443</v>
      </c>
      <c r="D2751" s="8" t="s">
        <v>444</v>
      </c>
      <c r="E2751" s="8" t="s">
        <v>70</v>
      </c>
      <c r="F2751" s="8" t="s">
        <v>71</v>
      </c>
      <c r="G2751" s="8" t="s">
        <v>7</v>
      </c>
      <c r="H2751" s="8" t="s">
        <v>38</v>
      </c>
      <c r="I2751" s="9">
        <v>191.40466000000001</v>
      </c>
      <c r="J2751">
        <v>261.71657719000001</v>
      </c>
      <c r="K2751">
        <v>367.18445157999997</v>
      </c>
      <c r="L2751">
        <v>366.77021698200002</v>
      </c>
    </row>
    <row r="2752" spans="1:12" x14ac:dyDescent="0.2">
      <c r="A2752" s="8" t="s">
        <v>32</v>
      </c>
      <c r="B2752" s="8" t="s">
        <v>120</v>
      </c>
      <c r="C2752" s="8" t="s">
        <v>443</v>
      </c>
      <c r="D2752" s="8" t="s">
        <v>444</v>
      </c>
      <c r="E2752" s="8" t="s">
        <v>55</v>
      </c>
      <c r="F2752" s="8" t="s">
        <v>56</v>
      </c>
      <c r="G2752" s="8" t="s">
        <v>7</v>
      </c>
      <c r="H2752" s="8" t="s">
        <v>38</v>
      </c>
      <c r="I2752" s="9">
        <v>0.61149070000000005</v>
      </c>
      <c r="J2752">
        <v>0.68488548471074995</v>
      </c>
      <c r="K2752">
        <v>0.68488548471074995</v>
      </c>
      <c r="L2752">
        <v>0.68488548471074995</v>
      </c>
    </row>
    <row r="2753" spans="1:12" x14ac:dyDescent="0.2">
      <c r="A2753" s="8" t="s">
        <v>32</v>
      </c>
      <c r="B2753" s="8" t="s">
        <v>120</v>
      </c>
      <c r="C2753" s="8" t="s">
        <v>443</v>
      </c>
      <c r="D2753" s="8" t="s">
        <v>444</v>
      </c>
      <c r="E2753" s="8" t="s">
        <v>57</v>
      </c>
      <c r="F2753" s="8" t="s">
        <v>58</v>
      </c>
      <c r="G2753" s="8" t="s">
        <v>7</v>
      </c>
      <c r="H2753" s="8" t="s">
        <v>38</v>
      </c>
      <c r="I2753" s="9">
        <v>3.9042800000000003E-2</v>
      </c>
      <c r="J2753">
        <v>4.3728931653382E-2</v>
      </c>
      <c r="K2753">
        <v>4.3728931653382E-2</v>
      </c>
      <c r="L2753">
        <v>4.3728931653382E-2</v>
      </c>
    </row>
    <row r="2754" spans="1:12" x14ac:dyDescent="0.2">
      <c r="A2754" s="8" t="s">
        <v>32</v>
      </c>
      <c r="B2754" s="8" t="s">
        <v>120</v>
      </c>
      <c r="C2754" s="8" t="s">
        <v>443</v>
      </c>
      <c r="D2754" s="8" t="s">
        <v>444</v>
      </c>
      <c r="E2754" s="8" t="s">
        <v>59</v>
      </c>
      <c r="F2754" s="8" t="s">
        <v>60</v>
      </c>
      <c r="G2754" s="8" t="s">
        <v>7</v>
      </c>
      <c r="H2754" s="8" t="s">
        <v>38</v>
      </c>
      <c r="I2754" s="9">
        <v>25.747913</v>
      </c>
      <c r="J2754">
        <v>25.989050126809001</v>
      </c>
      <c r="K2754">
        <v>26.546203518778999</v>
      </c>
      <c r="L2754">
        <v>26.982665734539999</v>
      </c>
    </row>
    <row r="2755" spans="1:12" x14ac:dyDescent="0.2">
      <c r="A2755" s="8" t="s">
        <v>32</v>
      </c>
      <c r="B2755" s="8" t="s">
        <v>96</v>
      </c>
      <c r="C2755" s="8" t="s">
        <v>445</v>
      </c>
      <c r="D2755" s="8" t="s">
        <v>446</v>
      </c>
      <c r="E2755" s="8" t="s">
        <v>36</v>
      </c>
      <c r="F2755" s="8" t="s">
        <v>37</v>
      </c>
      <c r="G2755" s="8" t="s">
        <v>7</v>
      </c>
      <c r="H2755" s="8" t="s">
        <v>38</v>
      </c>
      <c r="I2755" s="9">
        <v>241107.22</v>
      </c>
      <c r="J2755">
        <v>249913.59052699999</v>
      </c>
      <c r="K2755">
        <v>260024.43322899999</v>
      </c>
      <c r="L2755">
        <v>268499.87520453002</v>
      </c>
    </row>
    <row r="2756" spans="1:12" x14ac:dyDescent="0.2">
      <c r="A2756" s="8" t="s">
        <v>32</v>
      </c>
      <c r="B2756" s="8" t="s">
        <v>96</v>
      </c>
      <c r="C2756" s="8" t="s">
        <v>445</v>
      </c>
      <c r="D2756" s="8" t="s">
        <v>446</v>
      </c>
      <c r="E2756" s="8" t="s">
        <v>64</v>
      </c>
      <c r="F2756" s="8" t="s">
        <v>65</v>
      </c>
      <c r="G2756" s="8" t="s">
        <v>7</v>
      </c>
      <c r="H2756" s="8" t="s">
        <v>38</v>
      </c>
      <c r="I2756" s="9">
        <v>28025.632000000001</v>
      </c>
      <c r="J2756">
        <v>28366.770914000001</v>
      </c>
      <c r="K2756">
        <v>30823.494013</v>
      </c>
      <c r="L2756">
        <v>29243.205399877999</v>
      </c>
    </row>
    <row r="2757" spans="1:12" x14ac:dyDescent="0.2">
      <c r="A2757" s="8" t="s">
        <v>32</v>
      </c>
      <c r="B2757" s="8" t="s">
        <v>96</v>
      </c>
      <c r="C2757" s="8" t="s">
        <v>445</v>
      </c>
      <c r="D2757" s="8" t="s">
        <v>446</v>
      </c>
      <c r="E2757" s="8" t="s">
        <v>39</v>
      </c>
      <c r="F2757" s="8" t="s">
        <v>40</v>
      </c>
      <c r="G2757" s="8" t="s">
        <v>7</v>
      </c>
      <c r="H2757" s="8" t="s">
        <v>38</v>
      </c>
      <c r="I2757" s="9">
        <v>93162.491999999998</v>
      </c>
      <c r="J2757">
        <v>91606.504159000004</v>
      </c>
      <c r="K2757">
        <v>99138.374028000006</v>
      </c>
      <c r="L2757">
        <v>100308.17415455</v>
      </c>
    </row>
    <row r="2758" spans="1:12" x14ac:dyDescent="0.2">
      <c r="A2758" s="8" t="s">
        <v>32</v>
      </c>
      <c r="B2758" s="8" t="s">
        <v>96</v>
      </c>
      <c r="C2758" s="8" t="s">
        <v>445</v>
      </c>
      <c r="D2758" s="8" t="s">
        <v>446</v>
      </c>
      <c r="E2758" s="8" t="s">
        <v>41</v>
      </c>
      <c r="F2758" s="8" t="s">
        <v>42</v>
      </c>
      <c r="G2758" s="8" t="s">
        <v>7</v>
      </c>
      <c r="H2758" s="8" t="s">
        <v>38</v>
      </c>
      <c r="I2758" s="9">
        <v>1443.3625999999999</v>
      </c>
      <c r="J2758">
        <v>2298.2881349999998</v>
      </c>
      <c r="K2758">
        <v>2424.6193400000002</v>
      </c>
      <c r="L2758">
        <v>2673.8405897685998</v>
      </c>
    </row>
    <row r="2759" spans="1:12" x14ac:dyDescent="0.2">
      <c r="A2759" s="8" t="s">
        <v>32</v>
      </c>
      <c r="B2759" s="8" t="s">
        <v>96</v>
      </c>
      <c r="C2759" s="8" t="s">
        <v>445</v>
      </c>
      <c r="D2759" s="8" t="s">
        <v>446</v>
      </c>
      <c r="E2759" s="8" t="s">
        <v>43</v>
      </c>
      <c r="F2759" s="8" t="s">
        <v>44</v>
      </c>
      <c r="G2759" s="8" t="s">
        <v>7</v>
      </c>
      <c r="H2759" s="8" t="s">
        <v>38</v>
      </c>
      <c r="I2759" s="9">
        <v>120874.32</v>
      </c>
      <c r="J2759">
        <v>125921.22183900001</v>
      </c>
      <c r="K2759">
        <v>135347.576673</v>
      </c>
      <c r="L2759">
        <v>137904.85844395001</v>
      </c>
    </row>
    <row r="2760" spans="1:12" x14ac:dyDescent="0.2">
      <c r="A2760" s="8" t="s">
        <v>32</v>
      </c>
      <c r="B2760" s="8" t="s">
        <v>96</v>
      </c>
      <c r="C2760" s="8" t="s">
        <v>445</v>
      </c>
      <c r="D2760" s="8" t="s">
        <v>446</v>
      </c>
      <c r="E2760" s="8" t="s">
        <v>49</v>
      </c>
      <c r="F2760" s="8" t="s">
        <v>50</v>
      </c>
      <c r="G2760" s="8" t="s">
        <v>7</v>
      </c>
      <c r="H2760" s="8" t="s">
        <v>38</v>
      </c>
      <c r="I2760" s="9">
        <v>4738.1486999999997</v>
      </c>
      <c r="J2760">
        <v>5052.2045179999996</v>
      </c>
      <c r="K2760">
        <v>5116.709726</v>
      </c>
      <c r="L2760">
        <v>5213.3857717126002</v>
      </c>
    </row>
    <row r="2761" spans="1:12" x14ac:dyDescent="0.2">
      <c r="A2761" s="8" t="s">
        <v>32</v>
      </c>
      <c r="B2761" s="8" t="s">
        <v>96</v>
      </c>
      <c r="C2761" s="8" t="s">
        <v>445</v>
      </c>
      <c r="D2761" s="8" t="s">
        <v>446</v>
      </c>
      <c r="E2761" s="8" t="s">
        <v>53</v>
      </c>
      <c r="F2761" s="8" t="s">
        <v>54</v>
      </c>
      <c r="G2761" s="8" t="s">
        <v>7</v>
      </c>
      <c r="H2761" s="8" t="s">
        <v>38</v>
      </c>
      <c r="I2761" s="9">
        <v>6227.8422</v>
      </c>
      <c r="J2761">
        <v>5924.5045995962</v>
      </c>
      <c r="K2761">
        <v>5672.2508337695999</v>
      </c>
      <c r="L2761">
        <v>6751.6737302888996</v>
      </c>
    </row>
    <row r="2762" spans="1:12" x14ac:dyDescent="0.2">
      <c r="A2762" s="8" t="s">
        <v>32</v>
      </c>
      <c r="B2762" s="8" t="s">
        <v>96</v>
      </c>
      <c r="C2762" s="8" t="s">
        <v>445</v>
      </c>
      <c r="D2762" s="8" t="s">
        <v>446</v>
      </c>
      <c r="E2762" s="8" t="s">
        <v>70</v>
      </c>
      <c r="F2762" s="8" t="s">
        <v>71</v>
      </c>
      <c r="G2762" s="8" t="s">
        <v>7</v>
      </c>
      <c r="H2762" s="8" t="s">
        <v>38</v>
      </c>
      <c r="I2762" s="9">
        <v>23785.192999999999</v>
      </c>
      <c r="J2762">
        <v>23910.313104780998</v>
      </c>
      <c r="K2762">
        <v>23331.913195599998</v>
      </c>
      <c r="L2762">
        <v>21818.010430999999</v>
      </c>
    </row>
    <row r="2763" spans="1:12" x14ac:dyDescent="0.2">
      <c r="A2763" s="8" t="s">
        <v>32</v>
      </c>
      <c r="B2763" s="8" t="s">
        <v>96</v>
      </c>
      <c r="C2763" s="8" t="s">
        <v>445</v>
      </c>
      <c r="D2763" s="8" t="s">
        <v>446</v>
      </c>
      <c r="E2763" s="8" t="s">
        <v>83</v>
      </c>
      <c r="F2763" s="8" t="s">
        <v>84</v>
      </c>
      <c r="G2763" s="8" t="s">
        <v>7</v>
      </c>
      <c r="H2763" s="8" t="s">
        <v>38</v>
      </c>
      <c r="I2763" s="9"/>
    </row>
    <row r="2764" spans="1:12" x14ac:dyDescent="0.2">
      <c r="A2764" s="8" t="s">
        <v>32</v>
      </c>
      <c r="B2764" s="8" t="s">
        <v>96</v>
      </c>
      <c r="C2764" s="8" t="s">
        <v>445</v>
      </c>
      <c r="D2764" s="8" t="s">
        <v>446</v>
      </c>
      <c r="E2764" s="8" t="s">
        <v>55</v>
      </c>
      <c r="F2764" s="8" t="s">
        <v>56</v>
      </c>
      <c r="G2764" s="8" t="s">
        <v>7</v>
      </c>
      <c r="H2764" s="8" t="s">
        <v>38</v>
      </c>
      <c r="I2764" s="9">
        <v>2.0087202999999998</v>
      </c>
      <c r="J2764">
        <v>2.0306057476714998</v>
      </c>
      <c r="K2764">
        <v>2.0306057476714998</v>
      </c>
      <c r="L2764">
        <v>2.0696558582036002</v>
      </c>
    </row>
    <row r="2765" spans="1:12" x14ac:dyDescent="0.2">
      <c r="A2765" s="8" t="s">
        <v>32</v>
      </c>
      <c r="B2765" s="8" t="s">
        <v>96</v>
      </c>
      <c r="C2765" s="8" t="s">
        <v>445</v>
      </c>
      <c r="D2765" s="8" t="s">
        <v>446</v>
      </c>
      <c r="E2765" s="8" t="s">
        <v>57</v>
      </c>
      <c r="F2765" s="8" t="s">
        <v>58</v>
      </c>
      <c r="G2765" s="8" t="s">
        <v>7</v>
      </c>
      <c r="H2765" s="8" t="s">
        <v>38</v>
      </c>
      <c r="I2765" s="9">
        <v>140.73600999999999</v>
      </c>
      <c r="J2765">
        <v>142.26935635021999</v>
      </c>
      <c r="K2765">
        <v>142.26935635021999</v>
      </c>
      <c r="L2765">
        <v>145.00530551080001</v>
      </c>
    </row>
    <row r="2766" spans="1:12" x14ac:dyDescent="0.2">
      <c r="A2766" s="8" t="s">
        <v>32</v>
      </c>
      <c r="B2766" s="8" t="s">
        <v>96</v>
      </c>
      <c r="C2766" s="8" t="s">
        <v>445</v>
      </c>
      <c r="D2766" s="8" t="s">
        <v>446</v>
      </c>
      <c r="E2766" s="8" t="s">
        <v>72</v>
      </c>
      <c r="F2766" s="8" t="s">
        <v>73</v>
      </c>
      <c r="G2766" s="8" t="s">
        <v>7</v>
      </c>
      <c r="H2766" s="8" t="s">
        <v>38</v>
      </c>
      <c r="I2766" s="9">
        <v>55290.29</v>
      </c>
      <c r="J2766">
        <v>54766.056545168998</v>
      </c>
      <c r="K2766">
        <v>56329.436351866003</v>
      </c>
      <c r="L2766">
        <v>60844.407219524001</v>
      </c>
    </row>
    <row r="2767" spans="1:12" x14ac:dyDescent="0.2">
      <c r="A2767" s="8" t="s">
        <v>32</v>
      </c>
      <c r="B2767" s="8" t="s">
        <v>96</v>
      </c>
      <c r="C2767" s="8" t="s">
        <v>445</v>
      </c>
      <c r="D2767" s="8" t="s">
        <v>446</v>
      </c>
      <c r="E2767" s="8" t="s">
        <v>74</v>
      </c>
      <c r="F2767" s="8" t="s">
        <v>75</v>
      </c>
      <c r="G2767" s="8" t="s">
        <v>7</v>
      </c>
      <c r="H2767" s="8" t="s">
        <v>38</v>
      </c>
      <c r="I2767" s="9">
        <v>1963.9808</v>
      </c>
      <c r="J2767">
        <v>1984.88</v>
      </c>
      <c r="K2767">
        <v>1675.0079599999999</v>
      </c>
      <c r="L2767">
        <v>1633.3345200000001</v>
      </c>
    </row>
    <row r="2768" spans="1:12" x14ac:dyDescent="0.2">
      <c r="A2768" s="8" t="s">
        <v>32</v>
      </c>
      <c r="B2768" s="8" t="s">
        <v>96</v>
      </c>
      <c r="C2768" s="8" t="s">
        <v>445</v>
      </c>
      <c r="D2768" s="8" t="s">
        <v>446</v>
      </c>
      <c r="E2768" s="8" t="s">
        <v>59</v>
      </c>
      <c r="F2768" s="8" t="s">
        <v>60</v>
      </c>
      <c r="G2768" s="8" t="s">
        <v>7</v>
      </c>
      <c r="H2768" s="8" t="s">
        <v>38</v>
      </c>
      <c r="I2768" s="9">
        <v>180.25806</v>
      </c>
      <c r="J2768">
        <v>183.90514920355</v>
      </c>
      <c r="K2768">
        <v>187.16032645644</v>
      </c>
      <c r="L2768">
        <v>190.99146091042999</v>
      </c>
    </row>
    <row r="2769" spans="1:12" x14ac:dyDescent="0.2">
      <c r="A2769" s="8" t="s">
        <v>32</v>
      </c>
      <c r="B2769" s="8" t="s">
        <v>96</v>
      </c>
      <c r="C2769" s="8" t="s">
        <v>445</v>
      </c>
      <c r="D2769" s="8" t="s">
        <v>446</v>
      </c>
      <c r="E2769" s="8" t="s">
        <v>76</v>
      </c>
      <c r="F2769" s="8" t="s">
        <v>77</v>
      </c>
      <c r="G2769" s="8" t="s">
        <v>7</v>
      </c>
      <c r="H2769" s="8" t="s">
        <v>38</v>
      </c>
      <c r="I2769" s="9">
        <v>80.666667000000004</v>
      </c>
      <c r="J2769">
        <v>63.485714288920001</v>
      </c>
      <c r="K2769">
        <v>51.123809524831998</v>
      </c>
      <c r="L2769">
        <v>51.123809524831998</v>
      </c>
    </row>
    <row r="2770" spans="1:12" x14ac:dyDescent="0.2">
      <c r="A2770" s="8" t="s">
        <v>32</v>
      </c>
      <c r="B2770" s="8" t="s">
        <v>96</v>
      </c>
      <c r="C2770" s="8" t="s">
        <v>445</v>
      </c>
      <c r="D2770" s="8" t="s">
        <v>446</v>
      </c>
      <c r="E2770" s="8" t="s">
        <v>78</v>
      </c>
      <c r="F2770" s="8" t="s">
        <v>79</v>
      </c>
      <c r="G2770" s="8" t="s">
        <v>7</v>
      </c>
      <c r="H2770" s="8" t="s">
        <v>38</v>
      </c>
      <c r="I2770" s="9">
        <v>82.342842000000005</v>
      </c>
      <c r="J2770">
        <v>184.95710922857</v>
      </c>
      <c r="K2770">
        <v>164.37139868571001</v>
      </c>
      <c r="L2770">
        <v>153.87425773714</v>
      </c>
    </row>
    <row r="2771" spans="1:12" x14ac:dyDescent="0.2">
      <c r="A2771" s="8" t="s">
        <v>32</v>
      </c>
      <c r="B2771" s="8" t="s">
        <v>89</v>
      </c>
      <c r="C2771" s="8" t="s">
        <v>447</v>
      </c>
      <c r="D2771" s="8" t="s">
        <v>448</v>
      </c>
      <c r="E2771" s="8" t="s">
        <v>36</v>
      </c>
      <c r="F2771" s="8" t="s">
        <v>37</v>
      </c>
      <c r="G2771" s="8" t="s">
        <v>7</v>
      </c>
      <c r="H2771" s="8" t="s">
        <v>38</v>
      </c>
      <c r="I2771" s="9">
        <v>39354.631000000001</v>
      </c>
      <c r="J2771">
        <v>37383.756761700002</v>
      </c>
      <c r="K2771">
        <v>37254.227713171</v>
      </c>
      <c r="L2771">
        <v>35834.099395238998</v>
      </c>
    </row>
    <row r="2772" spans="1:12" x14ac:dyDescent="0.2">
      <c r="A2772" s="8" t="s">
        <v>32</v>
      </c>
      <c r="B2772" s="8" t="s">
        <v>89</v>
      </c>
      <c r="C2772" s="8" t="s">
        <v>447</v>
      </c>
      <c r="D2772" s="8" t="s">
        <v>448</v>
      </c>
      <c r="E2772" s="8" t="s">
        <v>64</v>
      </c>
      <c r="F2772" s="8" t="s">
        <v>65</v>
      </c>
      <c r="G2772" s="8" t="s">
        <v>7</v>
      </c>
      <c r="H2772" s="8" t="s">
        <v>38</v>
      </c>
      <c r="I2772" s="9">
        <v>1674.6504</v>
      </c>
      <c r="J2772">
        <v>1698.235602</v>
      </c>
      <c r="K2772">
        <v>1642.430486</v>
      </c>
      <c r="L2772">
        <v>1503.5343302028</v>
      </c>
    </row>
    <row r="2773" spans="1:12" x14ac:dyDescent="0.2">
      <c r="A2773" s="8" t="s">
        <v>32</v>
      </c>
      <c r="B2773" s="8" t="s">
        <v>89</v>
      </c>
      <c r="C2773" s="8" t="s">
        <v>447</v>
      </c>
      <c r="D2773" s="8" t="s">
        <v>448</v>
      </c>
      <c r="E2773" s="8" t="s">
        <v>39</v>
      </c>
      <c r="F2773" s="8" t="s">
        <v>40</v>
      </c>
      <c r="G2773" s="8" t="s">
        <v>7</v>
      </c>
      <c r="H2773" s="8" t="s">
        <v>38</v>
      </c>
      <c r="I2773" s="9">
        <v>3641.3330000000001</v>
      </c>
      <c r="J2773">
        <v>3683.5836585900001</v>
      </c>
      <c r="K2773">
        <v>3887.95629289</v>
      </c>
      <c r="L2773">
        <v>4061.0433816284999</v>
      </c>
    </row>
    <row r="2774" spans="1:12" x14ac:dyDescent="0.2">
      <c r="A2774" s="8" t="s">
        <v>32</v>
      </c>
      <c r="B2774" s="8" t="s">
        <v>89</v>
      </c>
      <c r="C2774" s="8" t="s">
        <v>447</v>
      </c>
      <c r="D2774" s="8" t="s">
        <v>448</v>
      </c>
      <c r="E2774" s="8" t="s">
        <v>43</v>
      </c>
      <c r="F2774" s="8" t="s">
        <v>44</v>
      </c>
      <c r="G2774" s="8" t="s">
        <v>7</v>
      </c>
      <c r="H2774" s="8" t="s">
        <v>38</v>
      </c>
      <c r="I2774" s="9">
        <v>8485.8282999999992</v>
      </c>
      <c r="J2774">
        <v>9725.7571783098992</v>
      </c>
      <c r="K2774">
        <v>10174.27106352</v>
      </c>
      <c r="L2774">
        <v>10122.704955413001</v>
      </c>
    </row>
    <row r="2775" spans="1:12" x14ac:dyDescent="0.2">
      <c r="A2775" s="8" t="s">
        <v>32</v>
      </c>
      <c r="B2775" s="8" t="s">
        <v>89</v>
      </c>
      <c r="C2775" s="8" t="s">
        <v>447</v>
      </c>
      <c r="D2775" s="8" t="s">
        <v>448</v>
      </c>
      <c r="E2775" s="8" t="s">
        <v>66</v>
      </c>
      <c r="F2775" s="8" t="s">
        <v>67</v>
      </c>
      <c r="G2775" s="8" t="s">
        <v>7</v>
      </c>
      <c r="H2775" s="8" t="s">
        <v>38</v>
      </c>
      <c r="I2775" s="9">
        <v>33.377471</v>
      </c>
      <c r="J2775">
        <v>40.468966590000001</v>
      </c>
      <c r="K2775">
        <v>36.572907149999999</v>
      </c>
      <c r="L2775">
        <v>41.03181410122</v>
      </c>
    </row>
    <row r="2776" spans="1:12" x14ac:dyDescent="0.2">
      <c r="A2776" s="8" t="s">
        <v>32</v>
      </c>
      <c r="B2776" s="8" t="s">
        <v>89</v>
      </c>
      <c r="C2776" s="8" t="s">
        <v>447</v>
      </c>
      <c r="D2776" s="8" t="s">
        <v>448</v>
      </c>
      <c r="E2776" s="8" t="s">
        <v>45</v>
      </c>
      <c r="F2776" s="8" t="s">
        <v>46</v>
      </c>
      <c r="G2776" s="8" t="s">
        <v>7</v>
      </c>
      <c r="H2776" s="8" t="s">
        <v>38</v>
      </c>
      <c r="I2776" s="9">
        <v>16.680651000000001</v>
      </c>
      <c r="J2776">
        <v>22.203323999999999</v>
      </c>
      <c r="K2776">
        <v>19.530536999999999</v>
      </c>
      <c r="L2776">
        <v>14.580600658956</v>
      </c>
    </row>
    <row r="2777" spans="1:12" x14ac:dyDescent="0.2">
      <c r="A2777" s="8" t="s">
        <v>32</v>
      </c>
      <c r="B2777" s="8" t="s">
        <v>89</v>
      </c>
      <c r="C2777" s="8" t="s">
        <v>447</v>
      </c>
      <c r="D2777" s="8" t="s">
        <v>448</v>
      </c>
      <c r="E2777" s="8" t="s">
        <v>47</v>
      </c>
      <c r="F2777" s="8" t="s">
        <v>48</v>
      </c>
      <c r="G2777" s="8" t="s">
        <v>7</v>
      </c>
      <c r="H2777" s="8" t="s">
        <v>38</v>
      </c>
      <c r="I2777" s="9">
        <v>4.1463510000000001</v>
      </c>
      <c r="J2777">
        <v>27.76626138</v>
      </c>
      <c r="K2777">
        <v>4.8419910000000002</v>
      </c>
      <c r="L2777">
        <v>4.4753256482371997</v>
      </c>
    </row>
    <row r="2778" spans="1:12" x14ac:dyDescent="0.2">
      <c r="A2778" s="8" t="s">
        <v>32</v>
      </c>
      <c r="B2778" s="8" t="s">
        <v>89</v>
      </c>
      <c r="C2778" s="8" t="s">
        <v>447</v>
      </c>
      <c r="D2778" s="8" t="s">
        <v>448</v>
      </c>
      <c r="E2778" s="8" t="s">
        <v>49</v>
      </c>
      <c r="F2778" s="8" t="s">
        <v>50</v>
      </c>
      <c r="G2778" s="8" t="s">
        <v>7</v>
      </c>
      <c r="H2778" s="8" t="s">
        <v>38</v>
      </c>
      <c r="I2778" s="9">
        <v>3190.1302000000001</v>
      </c>
      <c r="J2778">
        <v>2921.4057159399999</v>
      </c>
      <c r="K2778">
        <v>3095.6192327600002</v>
      </c>
      <c r="L2778">
        <v>2844.2561755227998</v>
      </c>
    </row>
    <row r="2779" spans="1:12" x14ac:dyDescent="0.2">
      <c r="A2779" s="8" t="s">
        <v>32</v>
      </c>
      <c r="B2779" s="8" t="s">
        <v>89</v>
      </c>
      <c r="C2779" s="8" t="s">
        <v>447</v>
      </c>
      <c r="D2779" s="8" t="s">
        <v>448</v>
      </c>
      <c r="E2779" s="8" t="s">
        <v>51</v>
      </c>
      <c r="F2779" s="8" t="s">
        <v>52</v>
      </c>
      <c r="G2779" s="8" t="s">
        <v>7</v>
      </c>
      <c r="H2779" s="8" t="s">
        <v>38</v>
      </c>
      <c r="I2779" s="9"/>
    </row>
    <row r="2780" spans="1:12" x14ac:dyDescent="0.2">
      <c r="A2780" s="8" t="s">
        <v>32</v>
      </c>
      <c r="B2780" s="8" t="s">
        <v>89</v>
      </c>
      <c r="C2780" s="8" t="s">
        <v>447</v>
      </c>
      <c r="D2780" s="8" t="s">
        <v>448</v>
      </c>
      <c r="E2780" s="8" t="s">
        <v>68</v>
      </c>
      <c r="F2780" s="8" t="s">
        <v>69</v>
      </c>
      <c r="G2780" s="8" t="s">
        <v>7</v>
      </c>
      <c r="H2780" s="8" t="s">
        <v>38</v>
      </c>
      <c r="I2780" s="9">
        <v>10.715242</v>
      </c>
      <c r="J2780">
        <v>9.6357360793821005</v>
      </c>
      <c r="K2780">
        <v>9.2772711875420999</v>
      </c>
      <c r="L2780">
        <v>8.4437797527082008</v>
      </c>
    </row>
    <row r="2781" spans="1:12" x14ac:dyDescent="0.2">
      <c r="A2781" s="8" t="s">
        <v>32</v>
      </c>
      <c r="B2781" s="8" t="s">
        <v>89</v>
      </c>
      <c r="C2781" s="8" t="s">
        <v>447</v>
      </c>
      <c r="D2781" s="8" t="s">
        <v>448</v>
      </c>
      <c r="E2781" s="8" t="s">
        <v>53</v>
      </c>
      <c r="F2781" s="8" t="s">
        <v>54</v>
      </c>
      <c r="G2781" s="8" t="s">
        <v>7</v>
      </c>
      <c r="H2781" s="8" t="s">
        <v>38</v>
      </c>
      <c r="I2781" s="9">
        <v>338.25857000000002</v>
      </c>
      <c r="J2781">
        <v>379.57357052616999</v>
      </c>
      <c r="K2781">
        <v>179.00412079378</v>
      </c>
      <c r="L2781">
        <v>94.050148503703994</v>
      </c>
    </row>
    <row r="2782" spans="1:12" x14ac:dyDescent="0.2">
      <c r="A2782" s="8" t="s">
        <v>32</v>
      </c>
      <c r="B2782" s="8" t="s">
        <v>89</v>
      </c>
      <c r="C2782" s="8" t="s">
        <v>447</v>
      </c>
      <c r="D2782" s="8" t="s">
        <v>448</v>
      </c>
      <c r="E2782" s="8" t="s">
        <v>70</v>
      </c>
      <c r="F2782" s="8" t="s">
        <v>71</v>
      </c>
      <c r="G2782" s="8" t="s">
        <v>7</v>
      </c>
      <c r="H2782" s="8" t="s">
        <v>38</v>
      </c>
      <c r="I2782" s="9">
        <v>1266.5454999999999</v>
      </c>
      <c r="J2782">
        <v>1377.701880282</v>
      </c>
      <c r="K2782">
        <v>1349.8131782519999</v>
      </c>
      <c r="L2782">
        <v>1348.2904032084</v>
      </c>
    </row>
    <row r="2783" spans="1:12" x14ac:dyDescent="0.2">
      <c r="A2783" s="8" t="s">
        <v>32</v>
      </c>
      <c r="B2783" s="8" t="s">
        <v>89</v>
      </c>
      <c r="C2783" s="8" t="s">
        <v>447</v>
      </c>
      <c r="D2783" s="8" t="s">
        <v>448</v>
      </c>
      <c r="E2783" s="8" t="s">
        <v>83</v>
      </c>
      <c r="F2783" s="8" t="s">
        <v>84</v>
      </c>
      <c r="G2783" s="8" t="s">
        <v>7</v>
      </c>
      <c r="H2783" s="8" t="s">
        <v>38</v>
      </c>
      <c r="I2783" s="9"/>
    </row>
    <row r="2784" spans="1:12" x14ac:dyDescent="0.2">
      <c r="A2784" s="8" t="s">
        <v>32</v>
      </c>
      <c r="B2784" s="8" t="s">
        <v>89</v>
      </c>
      <c r="C2784" s="8" t="s">
        <v>447</v>
      </c>
      <c r="D2784" s="8" t="s">
        <v>448</v>
      </c>
      <c r="E2784" s="8" t="s">
        <v>55</v>
      </c>
      <c r="F2784" s="8" t="s">
        <v>56</v>
      </c>
      <c r="G2784" s="8" t="s">
        <v>7</v>
      </c>
      <c r="H2784" s="8" t="s">
        <v>38</v>
      </c>
      <c r="I2784" s="9">
        <v>0.5157505</v>
      </c>
      <c r="J2784">
        <v>0.57765394961494998</v>
      </c>
      <c r="K2784">
        <v>0.57765394961494998</v>
      </c>
      <c r="L2784">
        <v>0.57765394961494998</v>
      </c>
    </row>
    <row r="2785" spans="1:12" x14ac:dyDescent="0.2">
      <c r="A2785" s="8" t="s">
        <v>32</v>
      </c>
      <c r="B2785" s="8" t="s">
        <v>89</v>
      </c>
      <c r="C2785" s="8" t="s">
        <v>447</v>
      </c>
      <c r="D2785" s="8" t="s">
        <v>448</v>
      </c>
      <c r="E2785" s="8" t="s">
        <v>57</v>
      </c>
      <c r="F2785" s="8" t="s">
        <v>58</v>
      </c>
      <c r="G2785" s="8" t="s">
        <v>7</v>
      </c>
      <c r="H2785" s="8" t="s">
        <v>38</v>
      </c>
      <c r="I2785" s="9">
        <v>17.005386000000001</v>
      </c>
      <c r="J2785">
        <v>19.046472988144</v>
      </c>
      <c r="K2785">
        <v>19.046472988144</v>
      </c>
      <c r="L2785">
        <v>19.046472988144</v>
      </c>
    </row>
    <row r="2786" spans="1:12" x14ac:dyDescent="0.2">
      <c r="A2786" s="8" t="s">
        <v>32</v>
      </c>
      <c r="B2786" s="8" t="s">
        <v>89</v>
      </c>
      <c r="C2786" s="8" t="s">
        <v>447</v>
      </c>
      <c r="D2786" s="8" t="s">
        <v>448</v>
      </c>
      <c r="E2786" s="8" t="s">
        <v>72</v>
      </c>
      <c r="F2786" s="8" t="s">
        <v>73</v>
      </c>
      <c r="G2786" s="8" t="s">
        <v>7</v>
      </c>
      <c r="H2786" s="8" t="s">
        <v>38</v>
      </c>
      <c r="I2786" s="9">
        <v>366.63216</v>
      </c>
      <c r="J2786">
        <v>371.49881641779001</v>
      </c>
      <c r="K2786">
        <v>373.15644820492003</v>
      </c>
      <c r="L2786">
        <v>364.95157649917002</v>
      </c>
    </row>
    <row r="2787" spans="1:12" x14ac:dyDescent="0.2">
      <c r="A2787" s="8" t="s">
        <v>32</v>
      </c>
      <c r="B2787" s="8" t="s">
        <v>89</v>
      </c>
      <c r="C2787" s="8" t="s">
        <v>447</v>
      </c>
      <c r="D2787" s="8" t="s">
        <v>448</v>
      </c>
      <c r="E2787" s="8" t="s">
        <v>74</v>
      </c>
      <c r="F2787" s="8" t="s">
        <v>75</v>
      </c>
      <c r="G2787" s="8" t="s">
        <v>7</v>
      </c>
      <c r="H2787" s="8" t="s">
        <v>38</v>
      </c>
      <c r="I2787" s="9">
        <v>69.707759999999993</v>
      </c>
      <c r="J2787">
        <v>82.856999999999999</v>
      </c>
      <c r="K2787">
        <v>79.127840000000006</v>
      </c>
      <c r="L2787">
        <v>72.372773400428997</v>
      </c>
    </row>
    <row r="2788" spans="1:12" x14ac:dyDescent="0.2">
      <c r="A2788" s="8" t="s">
        <v>32</v>
      </c>
      <c r="B2788" s="8" t="s">
        <v>89</v>
      </c>
      <c r="C2788" s="8" t="s">
        <v>447</v>
      </c>
      <c r="D2788" s="8" t="s">
        <v>448</v>
      </c>
      <c r="E2788" s="8" t="s">
        <v>59</v>
      </c>
      <c r="F2788" s="8" t="s">
        <v>60</v>
      </c>
      <c r="G2788" s="8" t="s">
        <v>7</v>
      </c>
      <c r="H2788" s="8" t="s">
        <v>38</v>
      </c>
      <c r="I2788" s="9">
        <v>108.08023</v>
      </c>
      <c r="J2788">
        <v>108.16138985281999</v>
      </c>
      <c r="K2788">
        <v>110.45579577804</v>
      </c>
      <c r="L2788">
        <v>106.37121485845999</v>
      </c>
    </row>
    <row r="2789" spans="1:12" x14ac:dyDescent="0.2">
      <c r="A2789" s="8" t="s">
        <v>32</v>
      </c>
      <c r="B2789" s="8" t="s">
        <v>89</v>
      </c>
      <c r="C2789" s="8" t="s">
        <v>447</v>
      </c>
      <c r="D2789" s="8" t="s">
        <v>448</v>
      </c>
      <c r="E2789" s="8" t="s">
        <v>76</v>
      </c>
      <c r="F2789" s="8" t="s">
        <v>77</v>
      </c>
      <c r="G2789" s="8" t="s">
        <v>7</v>
      </c>
      <c r="H2789" s="8" t="s">
        <v>38</v>
      </c>
      <c r="I2789" s="9">
        <v>265.88571000000002</v>
      </c>
      <c r="J2789">
        <v>88.942857147276001</v>
      </c>
      <c r="K2789">
        <v>138.91428571777001</v>
      </c>
      <c r="L2789">
        <v>138.91428571777001</v>
      </c>
    </row>
    <row r="2790" spans="1:12" x14ac:dyDescent="0.2">
      <c r="A2790" s="8" t="s">
        <v>32</v>
      </c>
      <c r="B2790" s="8" t="s">
        <v>89</v>
      </c>
      <c r="C2790" s="8" t="s">
        <v>447</v>
      </c>
      <c r="D2790" s="8" t="s">
        <v>448</v>
      </c>
      <c r="E2790" s="8" t="s">
        <v>78</v>
      </c>
      <c r="F2790" s="8" t="s">
        <v>79</v>
      </c>
      <c r="G2790" s="8" t="s">
        <v>7</v>
      </c>
      <c r="H2790" s="8" t="s">
        <v>38</v>
      </c>
      <c r="I2790" s="9">
        <v>191.71424999999999</v>
      </c>
      <c r="J2790">
        <v>93.971411485714</v>
      </c>
      <c r="K2790">
        <v>181.18568134285999</v>
      </c>
      <c r="L2790">
        <v>182.19139544570999</v>
      </c>
    </row>
    <row r="2791" spans="1:12" x14ac:dyDescent="0.2">
      <c r="A2791" s="8" t="s">
        <v>32</v>
      </c>
      <c r="B2791" s="8" t="s">
        <v>89</v>
      </c>
      <c r="C2791" s="8" t="s">
        <v>447</v>
      </c>
      <c r="D2791" s="8" t="s">
        <v>448</v>
      </c>
      <c r="E2791" s="8" t="s">
        <v>92</v>
      </c>
      <c r="F2791" s="8" t="s">
        <v>93</v>
      </c>
      <c r="G2791" s="8" t="s">
        <v>7</v>
      </c>
      <c r="H2791" s="8" t="s">
        <v>38</v>
      </c>
      <c r="I2791" s="9">
        <v>6.9998037999999996</v>
      </c>
      <c r="J2791">
        <v>6.9977964914440003</v>
      </c>
      <c r="K2791">
        <v>6.9957897440050996</v>
      </c>
      <c r="L2791">
        <v>6.9936498297862002</v>
      </c>
    </row>
    <row r="2792" spans="1:12" x14ac:dyDescent="0.2">
      <c r="A2792" s="8" t="s">
        <v>32</v>
      </c>
      <c r="B2792" s="8" t="s">
        <v>120</v>
      </c>
      <c r="C2792" s="8" t="s">
        <v>449</v>
      </c>
      <c r="D2792" s="8" t="s">
        <v>450</v>
      </c>
      <c r="E2792" s="8" t="s">
        <v>36</v>
      </c>
      <c r="F2792" s="8" t="s">
        <v>37</v>
      </c>
      <c r="G2792" s="8" t="s">
        <v>7</v>
      </c>
      <c r="H2792" s="8" t="s">
        <v>38</v>
      </c>
      <c r="I2792" s="9">
        <v>5081.1679999999997</v>
      </c>
      <c r="J2792">
        <v>5650.5146670000004</v>
      </c>
      <c r="K2792">
        <v>3849.5505309999999</v>
      </c>
      <c r="L2792">
        <v>3925.2778934181001</v>
      </c>
    </row>
    <row r="2793" spans="1:12" x14ac:dyDescent="0.2">
      <c r="A2793" s="8" t="s">
        <v>32</v>
      </c>
      <c r="B2793" s="8" t="s">
        <v>120</v>
      </c>
      <c r="C2793" s="8" t="s">
        <v>449</v>
      </c>
      <c r="D2793" s="8" t="s">
        <v>450</v>
      </c>
      <c r="E2793" s="8" t="s">
        <v>64</v>
      </c>
      <c r="F2793" s="8" t="s">
        <v>65</v>
      </c>
      <c r="G2793" s="8" t="s">
        <v>7</v>
      </c>
      <c r="H2793" s="8" t="s">
        <v>38</v>
      </c>
      <c r="I2793" s="9">
        <v>332.68722000000002</v>
      </c>
      <c r="J2793">
        <v>304.17060700000002</v>
      </c>
      <c r="K2793">
        <v>284.235907</v>
      </c>
      <c r="L2793">
        <v>267.81505494359999</v>
      </c>
    </row>
    <row r="2794" spans="1:12" x14ac:dyDescent="0.2">
      <c r="A2794" s="8" t="s">
        <v>32</v>
      </c>
      <c r="B2794" s="8" t="s">
        <v>120</v>
      </c>
      <c r="C2794" s="8" t="s">
        <v>449</v>
      </c>
      <c r="D2794" s="8" t="s">
        <v>450</v>
      </c>
      <c r="E2794" s="8" t="s">
        <v>39</v>
      </c>
      <c r="F2794" s="8" t="s">
        <v>40</v>
      </c>
      <c r="G2794" s="8" t="s">
        <v>7</v>
      </c>
      <c r="H2794" s="8" t="s">
        <v>38</v>
      </c>
      <c r="I2794" s="9">
        <v>1512.3901000000001</v>
      </c>
      <c r="J2794">
        <v>1275.2456589999999</v>
      </c>
      <c r="K2794">
        <v>1242.5283010000001</v>
      </c>
      <c r="L2794">
        <v>1266.9709963762</v>
      </c>
    </row>
    <row r="2795" spans="1:12" x14ac:dyDescent="0.2">
      <c r="A2795" s="8" t="s">
        <v>32</v>
      </c>
      <c r="B2795" s="8" t="s">
        <v>120</v>
      </c>
      <c r="C2795" s="8" t="s">
        <v>449</v>
      </c>
      <c r="D2795" s="8" t="s">
        <v>450</v>
      </c>
      <c r="E2795" s="8" t="s">
        <v>41</v>
      </c>
      <c r="F2795" s="8" t="s">
        <v>42</v>
      </c>
      <c r="G2795" s="8" t="s">
        <v>7</v>
      </c>
      <c r="H2795" s="8" t="s">
        <v>38</v>
      </c>
      <c r="I2795" s="9">
        <v>120.00775</v>
      </c>
      <c r="J2795">
        <v>120.511105</v>
      </c>
      <c r="K2795">
        <v>145.98441</v>
      </c>
      <c r="L2795">
        <v>164.53092283948999</v>
      </c>
    </row>
    <row r="2796" spans="1:12" x14ac:dyDescent="0.2">
      <c r="A2796" s="8" t="s">
        <v>32</v>
      </c>
      <c r="B2796" s="8" t="s">
        <v>120</v>
      </c>
      <c r="C2796" s="8" t="s">
        <v>449</v>
      </c>
      <c r="D2796" s="8" t="s">
        <v>450</v>
      </c>
      <c r="E2796" s="8" t="s">
        <v>43</v>
      </c>
      <c r="F2796" s="8" t="s">
        <v>44</v>
      </c>
      <c r="G2796" s="8" t="s">
        <v>7</v>
      </c>
      <c r="H2796" s="8" t="s">
        <v>38</v>
      </c>
      <c r="I2796" s="9">
        <v>11418.382</v>
      </c>
      <c r="J2796">
        <v>13118.679614999999</v>
      </c>
      <c r="K2796">
        <v>12765.398799000001</v>
      </c>
      <c r="L2796">
        <v>13016.516422598001</v>
      </c>
    </row>
    <row r="2797" spans="1:12" x14ac:dyDescent="0.2">
      <c r="A2797" s="8" t="s">
        <v>32</v>
      </c>
      <c r="B2797" s="8" t="s">
        <v>120</v>
      </c>
      <c r="C2797" s="8" t="s">
        <v>449</v>
      </c>
      <c r="D2797" s="8" t="s">
        <v>450</v>
      </c>
      <c r="E2797" s="8" t="s">
        <v>66</v>
      </c>
      <c r="F2797" s="8" t="s">
        <v>67</v>
      </c>
      <c r="G2797" s="8" t="s">
        <v>7</v>
      </c>
      <c r="H2797" s="8" t="s">
        <v>38</v>
      </c>
      <c r="I2797" s="9">
        <v>73.318245000000005</v>
      </c>
      <c r="J2797">
        <v>86.158293</v>
      </c>
      <c r="K2797">
        <v>84.002724000000001</v>
      </c>
      <c r="L2797">
        <v>85.655203860501004</v>
      </c>
    </row>
    <row r="2798" spans="1:12" x14ac:dyDescent="0.2">
      <c r="A2798" s="8" t="s">
        <v>32</v>
      </c>
      <c r="B2798" s="8" t="s">
        <v>120</v>
      </c>
      <c r="C2798" s="8" t="s">
        <v>449</v>
      </c>
      <c r="D2798" s="8" t="s">
        <v>450</v>
      </c>
      <c r="E2798" s="8" t="s">
        <v>45</v>
      </c>
      <c r="F2798" s="8" t="s">
        <v>46</v>
      </c>
      <c r="G2798" s="8" t="s">
        <v>7</v>
      </c>
      <c r="H2798" s="8" t="s">
        <v>38</v>
      </c>
      <c r="I2798" s="9">
        <v>11.280984</v>
      </c>
      <c r="J2798">
        <v>13.257231000000001</v>
      </c>
      <c r="K2798">
        <v>12.927486</v>
      </c>
      <c r="L2798">
        <v>12.110699004571</v>
      </c>
    </row>
    <row r="2799" spans="1:12" x14ac:dyDescent="0.2">
      <c r="A2799" s="8" t="s">
        <v>32</v>
      </c>
      <c r="B2799" s="8" t="s">
        <v>120</v>
      </c>
      <c r="C2799" s="8" t="s">
        <v>449</v>
      </c>
      <c r="D2799" s="8" t="s">
        <v>450</v>
      </c>
      <c r="E2799" s="8" t="s">
        <v>49</v>
      </c>
      <c r="F2799" s="8" t="s">
        <v>50</v>
      </c>
      <c r="G2799" s="8" t="s">
        <v>7</v>
      </c>
      <c r="H2799" s="8" t="s">
        <v>38</v>
      </c>
      <c r="I2799" s="9">
        <v>1302.9885999999999</v>
      </c>
      <c r="J2799">
        <v>1193.1364390000001</v>
      </c>
      <c r="K2799">
        <v>1187.867778</v>
      </c>
      <c r="L2799">
        <v>1211.2352057049</v>
      </c>
    </row>
    <row r="2800" spans="1:12" x14ac:dyDescent="0.2">
      <c r="A2800" s="8" t="s">
        <v>32</v>
      </c>
      <c r="B2800" s="8" t="s">
        <v>120</v>
      </c>
      <c r="C2800" s="8" t="s">
        <v>449</v>
      </c>
      <c r="D2800" s="8" t="s">
        <v>450</v>
      </c>
      <c r="E2800" s="8" t="s">
        <v>51</v>
      </c>
      <c r="F2800" s="8" t="s">
        <v>52</v>
      </c>
      <c r="G2800" s="8" t="s">
        <v>7</v>
      </c>
      <c r="H2800" s="8" t="s">
        <v>38</v>
      </c>
      <c r="I2800" s="9">
        <v>158.67188999999999</v>
      </c>
      <c r="J2800">
        <v>131.851867</v>
      </c>
      <c r="K2800">
        <v>128.554261</v>
      </c>
      <c r="L2800">
        <v>131.08314717377999</v>
      </c>
    </row>
    <row r="2801" spans="1:12" x14ac:dyDescent="0.2">
      <c r="A2801" s="8" t="s">
        <v>32</v>
      </c>
      <c r="B2801" s="8" t="s">
        <v>120</v>
      </c>
      <c r="C2801" s="8" t="s">
        <v>449</v>
      </c>
      <c r="D2801" s="8" t="s">
        <v>450</v>
      </c>
      <c r="E2801" s="8" t="s">
        <v>53</v>
      </c>
      <c r="F2801" s="8" t="s">
        <v>54</v>
      </c>
      <c r="G2801" s="8" t="s">
        <v>7</v>
      </c>
      <c r="H2801" s="8" t="s">
        <v>38</v>
      </c>
      <c r="I2801" s="9">
        <v>534.68732999999997</v>
      </c>
      <c r="J2801">
        <v>532.52539544548995</v>
      </c>
      <c r="K2801">
        <v>470.04581351713</v>
      </c>
      <c r="L2801">
        <v>314.58066202105999</v>
      </c>
    </row>
    <row r="2802" spans="1:12" x14ac:dyDescent="0.2">
      <c r="A2802" s="8" t="s">
        <v>32</v>
      </c>
      <c r="B2802" s="8" t="s">
        <v>120</v>
      </c>
      <c r="C2802" s="8" t="s">
        <v>449</v>
      </c>
      <c r="D2802" s="8" t="s">
        <v>450</v>
      </c>
      <c r="E2802" s="8" t="s">
        <v>70</v>
      </c>
      <c r="F2802" s="8" t="s">
        <v>71</v>
      </c>
      <c r="G2802" s="8" t="s">
        <v>7</v>
      </c>
      <c r="H2802" s="8" t="s">
        <v>38</v>
      </c>
      <c r="I2802" s="9">
        <v>932.41413</v>
      </c>
      <c r="J2802">
        <v>892.57071474500003</v>
      </c>
      <c r="K2802">
        <v>882.80517081999994</v>
      </c>
      <c r="L2802">
        <v>881.80924508438</v>
      </c>
    </row>
    <row r="2803" spans="1:12" x14ac:dyDescent="0.2">
      <c r="A2803" s="8" t="s">
        <v>32</v>
      </c>
      <c r="B2803" s="8" t="s">
        <v>120</v>
      </c>
      <c r="C2803" s="8" t="s">
        <v>449</v>
      </c>
      <c r="D2803" s="8" t="s">
        <v>450</v>
      </c>
      <c r="E2803" s="8" t="s">
        <v>55</v>
      </c>
      <c r="F2803" s="8" t="s">
        <v>56</v>
      </c>
      <c r="G2803" s="8" t="s">
        <v>7</v>
      </c>
      <c r="H2803" s="8" t="s">
        <v>38</v>
      </c>
      <c r="I2803" s="9">
        <v>2.6781271000000002</v>
      </c>
      <c r="J2803">
        <v>2.9995717926446002</v>
      </c>
      <c r="K2803">
        <v>2.9995717926446002</v>
      </c>
      <c r="L2803">
        <v>2.9995717926446002</v>
      </c>
    </row>
    <row r="2804" spans="1:12" x14ac:dyDescent="0.2">
      <c r="A2804" s="8" t="s">
        <v>32</v>
      </c>
      <c r="B2804" s="8" t="s">
        <v>120</v>
      </c>
      <c r="C2804" s="8" t="s">
        <v>449</v>
      </c>
      <c r="D2804" s="8" t="s">
        <v>450</v>
      </c>
      <c r="E2804" s="8" t="s">
        <v>57</v>
      </c>
      <c r="F2804" s="8" t="s">
        <v>58</v>
      </c>
      <c r="G2804" s="8" t="s">
        <v>7</v>
      </c>
      <c r="H2804" s="8" t="s">
        <v>38</v>
      </c>
      <c r="I2804" s="9">
        <v>4.5631506000000002</v>
      </c>
      <c r="J2804">
        <v>5.1108469787879001</v>
      </c>
      <c r="K2804">
        <v>5.1108469787879001</v>
      </c>
      <c r="L2804">
        <v>5.1108469787879001</v>
      </c>
    </row>
    <row r="2805" spans="1:12" x14ac:dyDescent="0.2">
      <c r="A2805" s="8" t="s">
        <v>32</v>
      </c>
      <c r="B2805" s="8" t="s">
        <v>120</v>
      </c>
      <c r="C2805" s="8" t="s">
        <v>449</v>
      </c>
      <c r="D2805" s="8" t="s">
        <v>450</v>
      </c>
      <c r="E2805" s="8" t="s">
        <v>59</v>
      </c>
      <c r="F2805" s="8" t="s">
        <v>60</v>
      </c>
      <c r="G2805" s="8" t="s">
        <v>7</v>
      </c>
      <c r="H2805" s="8" t="s">
        <v>38</v>
      </c>
      <c r="I2805" s="9">
        <v>135.17712</v>
      </c>
      <c r="J2805">
        <v>138.98891028819</v>
      </c>
      <c r="K2805">
        <v>139.04787060133</v>
      </c>
      <c r="L2805">
        <v>140.68879932492001</v>
      </c>
    </row>
    <row r="2806" spans="1:12" x14ac:dyDescent="0.2">
      <c r="A2806" s="8" t="s">
        <v>32</v>
      </c>
      <c r="B2806" s="8" t="s">
        <v>120</v>
      </c>
      <c r="C2806" s="8" t="s">
        <v>449</v>
      </c>
      <c r="D2806" s="8" t="s">
        <v>450</v>
      </c>
      <c r="E2806" s="8" t="s">
        <v>76</v>
      </c>
      <c r="F2806" s="8" t="s">
        <v>77</v>
      </c>
      <c r="G2806" s="8" t="s">
        <v>7</v>
      </c>
      <c r="H2806" s="8" t="s">
        <v>38</v>
      </c>
      <c r="I2806" s="9">
        <v>15.085713999999999</v>
      </c>
      <c r="J2806">
        <v>4.0857142866759997</v>
      </c>
      <c r="K2806">
        <v>23.466666669424001</v>
      </c>
      <c r="L2806">
        <v>20.42857143162</v>
      </c>
    </row>
    <row r="2807" spans="1:12" x14ac:dyDescent="0.2">
      <c r="A2807" s="8" t="s">
        <v>32</v>
      </c>
      <c r="B2807" s="8" t="s">
        <v>120</v>
      </c>
      <c r="C2807" s="8" t="s">
        <v>449</v>
      </c>
      <c r="D2807" s="8" t="s">
        <v>450</v>
      </c>
      <c r="E2807" s="8" t="s">
        <v>78</v>
      </c>
      <c r="F2807" s="8" t="s">
        <v>79</v>
      </c>
      <c r="G2807" s="8" t="s">
        <v>7</v>
      </c>
      <c r="H2807" s="8" t="s">
        <v>38</v>
      </c>
      <c r="I2807" s="9">
        <v>32.999994000000001</v>
      </c>
      <c r="J2807">
        <v>133.41426145713999</v>
      </c>
      <c r="K2807">
        <v>218.89996020000001</v>
      </c>
      <c r="L2807">
        <v>256.73995331999998</v>
      </c>
    </row>
    <row r="2808" spans="1:12" x14ac:dyDescent="0.2">
      <c r="A2808" s="8" t="s">
        <v>451</v>
      </c>
      <c r="B2808" s="8" t="s">
        <v>451</v>
      </c>
      <c r="C2808" s="8" t="s">
        <v>452</v>
      </c>
      <c r="D2808" s="8" t="s">
        <v>451</v>
      </c>
      <c r="E2808" s="8" t="s">
        <v>45</v>
      </c>
      <c r="F2808" s="8" t="s">
        <v>46</v>
      </c>
      <c r="G2808" s="8" t="s">
        <v>7</v>
      </c>
      <c r="H2808" s="8" t="s">
        <v>38</v>
      </c>
      <c r="I2808" s="9">
        <v>635701.53</v>
      </c>
      <c r="J2808">
        <v>657319.67520701</v>
      </c>
      <c r="K2808">
        <v>659311.86962141003</v>
      </c>
      <c r="L2808">
        <v>712392.27549740998</v>
      </c>
    </row>
    <row r="2809" spans="1:12" x14ac:dyDescent="0.2">
      <c r="A2809" s="8" t="s">
        <v>32</v>
      </c>
      <c r="B2809" s="8" t="s">
        <v>125</v>
      </c>
      <c r="C2809" s="8" t="s">
        <v>453</v>
      </c>
      <c r="D2809" s="8" t="s">
        <v>454</v>
      </c>
      <c r="E2809" s="8" t="s">
        <v>36</v>
      </c>
      <c r="F2809" s="8" t="s">
        <v>37</v>
      </c>
      <c r="G2809" s="8" t="s">
        <v>7</v>
      </c>
      <c r="H2809" s="8" t="s">
        <v>38</v>
      </c>
      <c r="I2809" s="9">
        <v>3230.0731000000001</v>
      </c>
      <c r="J2809">
        <v>3732.3724830000001</v>
      </c>
      <c r="K2809">
        <v>4145.087039</v>
      </c>
      <c r="L2809">
        <v>3853.0488670363002</v>
      </c>
    </row>
    <row r="2810" spans="1:12" x14ac:dyDescent="0.2">
      <c r="A2810" s="8" t="s">
        <v>32</v>
      </c>
      <c r="B2810" s="8" t="s">
        <v>125</v>
      </c>
      <c r="C2810" s="8" t="s">
        <v>453</v>
      </c>
      <c r="D2810" s="8" t="s">
        <v>454</v>
      </c>
      <c r="E2810" s="8" t="s">
        <v>64</v>
      </c>
      <c r="F2810" s="8" t="s">
        <v>65</v>
      </c>
      <c r="G2810" s="8" t="s">
        <v>7</v>
      </c>
      <c r="H2810" s="8" t="s">
        <v>38</v>
      </c>
      <c r="I2810" s="9">
        <v>27.719424</v>
      </c>
      <c r="J2810">
        <v>131.32951199999999</v>
      </c>
      <c r="K2810">
        <v>50.021963999999997</v>
      </c>
      <c r="L2810">
        <v>72.124954749810001</v>
      </c>
    </row>
    <row r="2811" spans="1:12" x14ac:dyDescent="0.2">
      <c r="A2811" s="8" t="s">
        <v>32</v>
      </c>
      <c r="B2811" s="8" t="s">
        <v>125</v>
      </c>
      <c r="C2811" s="8" t="s">
        <v>453</v>
      </c>
      <c r="D2811" s="8" t="s">
        <v>454</v>
      </c>
      <c r="E2811" s="8" t="s">
        <v>39</v>
      </c>
      <c r="F2811" s="8" t="s">
        <v>40</v>
      </c>
      <c r="G2811" s="8" t="s">
        <v>7</v>
      </c>
      <c r="H2811" s="8" t="s">
        <v>38</v>
      </c>
      <c r="I2811" s="9">
        <v>1305.8175000000001</v>
      </c>
      <c r="J2811">
        <v>1479.7836159999999</v>
      </c>
      <c r="K2811">
        <v>1649.351811</v>
      </c>
      <c r="L2811">
        <v>599.08178445128999</v>
      </c>
    </row>
    <row r="2812" spans="1:12" x14ac:dyDescent="0.2">
      <c r="A2812" s="8" t="s">
        <v>32</v>
      </c>
      <c r="B2812" s="8" t="s">
        <v>125</v>
      </c>
      <c r="C2812" s="8" t="s">
        <v>453</v>
      </c>
      <c r="D2812" s="8" t="s">
        <v>454</v>
      </c>
      <c r="E2812" s="8" t="s">
        <v>41</v>
      </c>
      <c r="F2812" s="8" t="s">
        <v>42</v>
      </c>
      <c r="G2812" s="8" t="s">
        <v>7</v>
      </c>
      <c r="H2812" s="8" t="s">
        <v>38</v>
      </c>
      <c r="I2812" s="9">
        <v>6.644495</v>
      </c>
      <c r="J2812">
        <v>13.167439999999999</v>
      </c>
      <c r="K2812">
        <v>35.559809999999999</v>
      </c>
      <c r="L2812">
        <v>6.9025801369897</v>
      </c>
    </row>
    <row r="2813" spans="1:12" x14ac:dyDescent="0.2">
      <c r="A2813" s="8" t="s">
        <v>32</v>
      </c>
      <c r="B2813" s="8" t="s">
        <v>125</v>
      </c>
      <c r="C2813" s="8" t="s">
        <v>453</v>
      </c>
      <c r="D2813" s="8" t="s">
        <v>454</v>
      </c>
      <c r="E2813" s="8" t="s">
        <v>43</v>
      </c>
      <c r="F2813" s="8" t="s">
        <v>44</v>
      </c>
      <c r="G2813" s="8" t="s">
        <v>7</v>
      </c>
      <c r="H2813" s="8" t="s">
        <v>38</v>
      </c>
      <c r="I2813" s="9">
        <v>2675.2015999999999</v>
      </c>
      <c r="J2813">
        <v>4008.540618</v>
      </c>
      <c r="K2813">
        <v>4632.5322779999997</v>
      </c>
      <c r="L2813">
        <v>5143.2383402551004</v>
      </c>
    </row>
    <row r="2814" spans="1:12" x14ac:dyDescent="0.2">
      <c r="A2814" s="8" t="s">
        <v>32</v>
      </c>
      <c r="B2814" s="8" t="s">
        <v>125</v>
      </c>
      <c r="C2814" s="8" t="s">
        <v>453</v>
      </c>
      <c r="D2814" s="8" t="s">
        <v>454</v>
      </c>
      <c r="E2814" s="8" t="s">
        <v>66</v>
      </c>
      <c r="F2814" s="8" t="s">
        <v>67</v>
      </c>
      <c r="G2814" s="8" t="s">
        <v>7</v>
      </c>
      <c r="H2814" s="8" t="s">
        <v>38</v>
      </c>
      <c r="I2814" s="9"/>
    </row>
    <row r="2815" spans="1:12" x14ac:dyDescent="0.2">
      <c r="A2815" s="8" t="s">
        <v>32</v>
      </c>
      <c r="B2815" s="8" t="s">
        <v>125</v>
      </c>
      <c r="C2815" s="8" t="s">
        <v>453</v>
      </c>
      <c r="D2815" s="8" t="s">
        <v>454</v>
      </c>
      <c r="E2815" s="8" t="s">
        <v>45</v>
      </c>
      <c r="F2815" s="8" t="s">
        <v>46</v>
      </c>
      <c r="G2815" s="8" t="s">
        <v>7</v>
      </c>
      <c r="H2815" s="8" t="s">
        <v>38</v>
      </c>
      <c r="I2815" s="9">
        <v>184.09268</v>
      </c>
      <c r="J2815">
        <v>188.569458</v>
      </c>
      <c r="K2815">
        <v>202.14602099999999</v>
      </c>
      <c r="L2815">
        <v>190.16212292501001</v>
      </c>
    </row>
    <row r="2816" spans="1:12" x14ac:dyDescent="0.2">
      <c r="A2816" s="8" t="s">
        <v>32</v>
      </c>
      <c r="B2816" s="8" t="s">
        <v>125</v>
      </c>
      <c r="C2816" s="8" t="s">
        <v>453</v>
      </c>
      <c r="D2816" s="8" t="s">
        <v>454</v>
      </c>
      <c r="E2816" s="8" t="s">
        <v>49</v>
      </c>
      <c r="F2816" s="8" t="s">
        <v>50</v>
      </c>
      <c r="G2816" s="8" t="s">
        <v>7</v>
      </c>
      <c r="H2816" s="8" t="s">
        <v>38</v>
      </c>
      <c r="I2816" s="9">
        <v>538.755</v>
      </c>
      <c r="J2816">
        <v>589.26718300000005</v>
      </c>
      <c r="K2816">
        <v>605.73691399999996</v>
      </c>
      <c r="L2816">
        <v>629.55670007157005</v>
      </c>
    </row>
    <row r="2817" spans="1:12" x14ac:dyDescent="0.2">
      <c r="A2817" s="8" t="s">
        <v>32</v>
      </c>
      <c r="B2817" s="8" t="s">
        <v>125</v>
      </c>
      <c r="C2817" s="8" t="s">
        <v>453</v>
      </c>
      <c r="D2817" s="8" t="s">
        <v>454</v>
      </c>
      <c r="E2817" s="8" t="s">
        <v>51</v>
      </c>
      <c r="F2817" s="8" t="s">
        <v>52</v>
      </c>
      <c r="G2817" s="8" t="s">
        <v>7</v>
      </c>
      <c r="H2817" s="8" t="s">
        <v>38</v>
      </c>
      <c r="I2817" s="9">
        <v>3.7421999999999997E-2</v>
      </c>
    </row>
    <row r="2818" spans="1:12" x14ac:dyDescent="0.2">
      <c r="A2818" s="8" t="s">
        <v>32</v>
      </c>
      <c r="B2818" s="8" t="s">
        <v>125</v>
      </c>
      <c r="C2818" s="8" t="s">
        <v>453</v>
      </c>
      <c r="D2818" s="8" t="s">
        <v>454</v>
      </c>
      <c r="E2818" s="8" t="s">
        <v>53</v>
      </c>
      <c r="F2818" s="8" t="s">
        <v>54</v>
      </c>
      <c r="G2818" s="8" t="s">
        <v>7</v>
      </c>
      <c r="H2818" s="8" t="s">
        <v>38</v>
      </c>
      <c r="I2818" s="9">
        <v>1.1478E-3</v>
      </c>
      <c r="J2818">
        <v>8.8230354084800004E-4</v>
      </c>
      <c r="K2818">
        <v>7.1456908295999995E-4</v>
      </c>
      <c r="L2818">
        <v>1.1033950177017999E-3</v>
      </c>
    </row>
    <row r="2819" spans="1:12" x14ac:dyDescent="0.2">
      <c r="A2819" s="8" t="s">
        <v>32</v>
      </c>
      <c r="B2819" s="8" t="s">
        <v>125</v>
      </c>
      <c r="C2819" s="8" t="s">
        <v>453</v>
      </c>
      <c r="D2819" s="8" t="s">
        <v>454</v>
      </c>
      <c r="E2819" s="8" t="s">
        <v>70</v>
      </c>
      <c r="F2819" s="8" t="s">
        <v>71</v>
      </c>
      <c r="G2819" s="8" t="s">
        <v>7</v>
      </c>
      <c r="H2819" s="8" t="s">
        <v>38</v>
      </c>
      <c r="I2819" s="9">
        <v>2749.1959000000002</v>
      </c>
      <c r="J2819">
        <v>2929.6631775000001</v>
      </c>
      <c r="K2819">
        <v>3124.974056</v>
      </c>
      <c r="L2819">
        <v>3121.4486551659002</v>
      </c>
    </row>
    <row r="2820" spans="1:12" x14ac:dyDescent="0.2">
      <c r="A2820" s="8" t="s">
        <v>32</v>
      </c>
      <c r="B2820" s="8" t="s">
        <v>125</v>
      </c>
      <c r="C2820" s="8" t="s">
        <v>453</v>
      </c>
      <c r="D2820" s="8" t="s">
        <v>454</v>
      </c>
      <c r="E2820" s="8" t="s">
        <v>55</v>
      </c>
      <c r="F2820" s="8" t="s">
        <v>56</v>
      </c>
      <c r="G2820" s="8" t="s">
        <v>7</v>
      </c>
      <c r="H2820" s="8" t="s">
        <v>38</v>
      </c>
      <c r="I2820" s="9">
        <v>0.83320919999999998</v>
      </c>
      <c r="J2820">
        <v>0.93321591747376997</v>
      </c>
      <c r="K2820">
        <v>0.93321591747376997</v>
      </c>
      <c r="L2820">
        <v>0.93321591747376997</v>
      </c>
    </row>
    <row r="2821" spans="1:12" x14ac:dyDescent="0.2">
      <c r="A2821" s="8" t="s">
        <v>32</v>
      </c>
      <c r="B2821" s="8" t="s">
        <v>125</v>
      </c>
      <c r="C2821" s="8" t="s">
        <v>453</v>
      </c>
      <c r="D2821" s="8" t="s">
        <v>454</v>
      </c>
      <c r="E2821" s="8" t="s">
        <v>57</v>
      </c>
      <c r="F2821" s="8" t="s">
        <v>58</v>
      </c>
      <c r="G2821" s="8" t="s">
        <v>7</v>
      </c>
      <c r="H2821" s="8" t="s">
        <v>38</v>
      </c>
      <c r="I2821" s="9">
        <v>0.32492179999999998</v>
      </c>
      <c r="J2821">
        <v>0.36392082447951002</v>
      </c>
      <c r="K2821">
        <v>0.36392082447951002</v>
      </c>
      <c r="L2821">
        <v>0.36392082447951002</v>
      </c>
    </row>
    <row r="2822" spans="1:12" x14ac:dyDescent="0.2">
      <c r="A2822" s="8" t="s">
        <v>32</v>
      </c>
      <c r="B2822" s="8" t="s">
        <v>125</v>
      </c>
      <c r="C2822" s="8" t="s">
        <v>453</v>
      </c>
      <c r="D2822" s="8" t="s">
        <v>454</v>
      </c>
      <c r="E2822" s="8" t="s">
        <v>74</v>
      </c>
      <c r="F2822" s="8" t="s">
        <v>75</v>
      </c>
      <c r="G2822" s="8" t="s">
        <v>7</v>
      </c>
      <c r="H2822" s="8" t="s">
        <v>38</v>
      </c>
      <c r="I2822" s="9">
        <v>2.1959599999999999</v>
      </c>
      <c r="J2822">
        <v>2.5313599999999998</v>
      </c>
      <c r="K2822">
        <v>3.0804800000000001</v>
      </c>
      <c r="L2822">
        <v>3.3404799999999999</v>
      </c>
    </row>
    <row r="2823" spans="1:12" x14ac:dyDescent="0.2">
      <c r="A2823" s="8" t="s">
        <v>32</v>
      </c>
      <c r="B2823" s="8" t="s">
        <v>125</v>
      </c>
      <c r="C2823" s="8" t="s">
        <v>453</v>
      </c>
      <c r="D2823" s="8" t="s">
        <v>454</v>
      </c>
      <c r="E2823" s="8" t="s">
        <v>59</v>
      </c>
      <c r="F2823" s="8" t="s">
        <v>60</v>
      </c>
      <c r="G2823" s="8" t="s">
        <v>7</v>
      </c>
      <c r="H2823" s="8" t="s">
        <v>38</v>
      </c>
      <c r="I2823" s="9">
        <v>37.533617</v>
      </c>
      <c r="J2823">
        <v>38.269890586290003</v>
      </c>
      <c r="K2823">
        <v>39.102692604436001</v>
      </c>
      <c r="L2823">
        <v>39.610363370479</v>
      </c>
    </row>
    <row r="2824" spans="1:12" x14ac:dyDescent="0.2">
      <c r="A2824" s="8" t="s">
        <v>32</v>
      </c>
      <c r="B2824" s="8" t="s">
        <v>125</v>
      </c>
      <c r="C2824" s="8" t="s">
        <v>453</v>
      </c>
      <c r="D2824" s="8" t="s">
        <v>454</v>
      </c>
      <c r="E2824" s="8" t="s">
        <v>76</v>
      </c>
      <c r="F2824" s="8" t="s">
        <v>77</v>
      </c>
      <c r="G2824" s="8" t="s">
        <v>7</v>
      </c>
      <c r="H2824" s="8" t="s">
        <v>38</v>
      </c>
      <c r="I2824" s="9">
        <v>9.2190475999999997</v>
      </c>
      <c r="J2824">
        <v>3.9809523812080001</v>
      </c>
      <c r="K2824">
        <v>2.7238095238639999</v>
      </c>
      <c r="L2824">
        <v>2.7238095238639999</v>
      </c>
    </row>
    <row r="2825" spans="1:12" x14ac:dyDescent="0.2">
      <c r="A2825" s="8" t="s">
        <v>32</v>
      </c>
      <c r="B2825" s="8" t="s">
        <v>125</v>
      </c>
      <c r="C2825" s="8" t="s">
        <v>453</v>
      </c>
      <c r="D2825" s="8" t="s">
        <v>454</v>
      </c>
      <c r="E2825" s="8" t="s">
        <v>78</v>
      </c>
      <c r="F2825" s="8" t="s">
        <v>79</v>
      </c>
      <c r="G2825" s="8" t="s">
        <v>7</v>
      </c>
      <c r="H2825" s="8" t="s">
        <v>38</v>
      </c>
      <c r="I2825" s="9">
        <v>47.299990999999999</v>
      </c>
      <c r="J2825">
        <v>5.3428561714285996</v>
      </c>
      <c r="K2825">
        <v>52.171419085714</v>
      </c>
      <c r="L2825">
        <v>54.465704382856998</v>
      </c>
    </row>
    <row r="2826" spans="1:12" x14ac:dyDescent="0.2">
      <c r="A2826" s="8" t="s">
        <v>32</v>
      </c>
      <c r="B2826" s="8" t="s">
        <v>153</v>
      </c>
      <c r="C2826" s="8" t="s">
        <v>455</v>
      </c>
      <c r="D2826" s="8" t="s">
        <v>456</v>
      </c>
      <c r="E2826" s="8" t="s">
        <v>36</v>
      </c>
      <c r="F2826" s="8" t="s">
        <v>37</v>
      </c>
      <c r="G2826" s="8" t="s">
        <v>7</v>
      </c>
      <c r="H2826" s="8" t="s">
        <v>38</v>
      </c>
      <c r="I2826" s="9">
        <v>20506.041000000001</v>
      </c>
      <c r="J2826">
        <v>21535.414263999999</v>
      </c>
      <c r="K2826">
        <v>21727.666001000001</v>
      </c>
      <c r="L2826">
        <v>21835.104265628001</v>
      </c>
    </row>
    <row r="2827" spans="1:12" x14ac:dyDescent="0.2">
      <c r="A2827" s="8" t="s">
        <v>32</v>
      </c>
      <c r="B2827" s="8" t="s">
        <v>153</v>
      </c>
      <c r="C2827" s="8" t="s">
        <v>455</v>
      </c>
      <c r="D2827" s="8" t="s">
        <v>456</v>
      </c>
      <c r="E2827" s="8" t="s">
        <v>64</v>
      </c>
      <c r="F2827" s="8" t="s">
        <v>65</v>
      </c>
      <c r="G2827" s="8" t="s">
        <v>7</v>
      </c>
      <c r="H2827" s="8" t="s">
        <v>38</v>
      </c>
      <c r="I2827" s="9">
        <v>4144.0537999999997</v>
      </c>
      <c r="J2827">
        <v>4278.553191</v>
      </c>
      <c r="K2827">
        <v>4712.4189450000003</v>
      </c>
      <c r="L2827">
        <v>4594.2120856400998</v>
      </c>
    </row>
    <row r="2828" spans="1:12" x14ac:dyDescent="0.2">
      <c r="A2828" s="8" t="s">
        <v>32</v>
      </c>
      <c r="B2828" s="8" t="s">
        <v>153</v>
      </c>
      <c r="C2828" s="8" t="s">
        <v>455</v>
      </c>
      <c r="D2828" s="8" t="s">
        <v>456</v>
      </c>
      <c r="E2828" s="8" t="s">
        <v>39</v>
      </c>
      <c r="F2828" s="8" t="s">
        <v>40</v>
      </c>
      <c r="G2828" s="8" t="s">
        <v>7</v>
      </c>
      <c r="H2828" s="8" t="s">
        <v>38</v>
      </c>
      <c r="I2828" s="9">
        <v>12244.459000000001</v>
      </c>
      <c r="J2828">
        <v>12980.129502</v>
      </c>
      <c r="K2828">
        <v>13405.856865</v>
      </c>
      <c r="L2828">
        <v>13241.006217747999</v>
      </c>
    </row>
    <row r="2829" spans="1:12" x14ac:dyDescent="0.2">
      <c r="A2829" s="8" t="s">
        <v>32</v>
      </c>
      <c r="B2829" s="8" t="s">
        <v>153</v>
      </c>
      <c r="C2829" s="8" t="s">
        <v>455</v>
      </c>
      <c r="D2829" s="8" t="s">
        <v>456</v>
      </c>
      <c r="E2829" s="8" t="s">
        <v>41</v>
      </c>
      <c r="F2829" s="8" t="s">
        <v>42</v>
      </c>
      <c r="G2829" s="8" t="s">
        <v>7</v>
      </c>
      <c r="H2829" s="8" t="s">
        <v>38</v>
      </c>
      <c r="I2829" s="9">
        <v>9.8669999999999994E-2</v>
      </c>
      <c r="J2829">
        <v>2.4202750000000002</v>
      </c>
      <c r="K2829">
        <v>5.1980500000000003</v>
      </c>
      <c r="L2829">
        <v>3.2542286118152002</v>
      </c>
    </row>
    <row r="2830" spans="1:12" x14ac:dyDescent="0.2">
      <c r="A2830" s="8" t="s">
        <v>32</v>
      </c>
      <c r="B2830" s="8" t="s">
        <v>153</v>
      </c>
      <c r="C2830" s="8" t="s">
        <v>455</v>
      </c>
      <c r="D2830" s="8" t="s">
        <v>456</v>
      </c>
      <c r="E2830" s="8" t="s">
        <v>43</v>
      </c>
      <c r="F2830" s="8" t="s">
        <v>44</v>
      </c>
      <c r="G2830" s="8" t="s">
        <v>7</v>
      </c>
      <c r="H2830" s="8" t="s">
        <v>38</v>
      </c>
      <c r="I2830" s="9">
        <v>5875.4237999999996</v>
      </c>
      <c r="J2830">
        <v>5816.3825310000002</v>
      </c>
      <c r="K2830">
        <v>5683.4421359999997</v>
      </c>
      <c r="L2830">
        <v>5508.0070488194997</v>
      </c>
    </row>
    <row r="2831" spans="1:12" x14ac:dyDescent="0.2">
      <c r="A2831" s="8" t="s">
        <v>32</v>
      </c>
      <c r="B2831" s="8" t="s">
        <v>153</v>
      </c>
      <c r="C2831" s="8" t="s">
        <v>455</v>
      </c>
      <c r="D2831" s="8" t="s">
        <v>456</v>
      </c>
      <c r="E2831" s="8" t="s">
        <v>45</v>
      </c>
      <c r="F2831" s="8" t="s">
        <v>46</v>
      </c>
      <c r="G2831" s="8" t="s">
        <v>7</v>
      </c>
      <c r="H2831" s="8" t="s">
        <v>38</v>
      </c>
      <c r="I2831" s="9">
        <v>298.15246999999999</v>
      </c>
      <c r="J2831">
        <v>320.85300000000001</v>
      </c>
      <c r="K2831">
        <v>337.58552100000003</v>
      </c>
      <c r="L2831">
        <v>341.21523569175002</v>
      </c>
    </row>
    <row r="2832" spans="1:12" x14ac:dyDescent="0.2">
      <c r="A2832" s="8" t="s">
        <v>32</v>
      </c>
      <c r="B2832" s="8" t="s">
        <v>153</v>
      </c>
      <c r="C2832" s="8" t="s">
        <v>455</v>
      </c>
      <c r="D2832" s="8" t="s">
        <v>456</v>
      </c>
      <c r="E2832" s="8" t="s">
        <v>49</v>
      </c>
      <c r="F2832" s="8" t="s">
        <v>50</v>
      </c>
      <c r="G2832" s="8" t="s">
        <v>7</v>
      </c>
      <c r="H2832" s="8" t="s">
        <v>38</v>
      </c>
      <c r="I2832" s="9">
        <v>580.71267</v>
      </c>
      <c r="J2832">
        <v>646.03269699999998</v>
      </c>
      <c r="K2832">
        <v>716.42436499999997</v>
      </c>
      <c r="L2832">
        <v>728.67778512252005</v>
      </c>
    </row>
    <row r="2833" spans="1:12" x14ac:dyDescent="0.2">
      <c r="A2833" s="8" t="s">
        <v>32</v>
      </c>
      <c r="B2833" s="8" t="s">
        <v>153</v>
      </c>
      <c r="C2833" s="8" t="s">
        <v>455</v>
      </c>
      <c r="D2833" s="8" t="s">
        <v>456</v>
      </c>
      <c r="E2833" s="8" t="s">
        <v>51</v>
      </c>
      <c r="F2833" s="8" t="s">
        <v>52</v>
      </c>
      <c r="G2833" s="8" t="s">
        <v>7</v>
      </c>
      <c r="H2833" s="8" t="s">
        <v>38</v>
      </c>
      <c r="I2833" s="9">
        <v>6.4133519999999997</v>
      </c>
      <c r="J2833">
        <v>6.5031119999999998</v>
      </c>
      <c r="K2833">
        <v>6.7404149999999996</v>
      </c>
      <c r="L2833">
        <v>11.55444564433</v>
      </c>
    </row>
    <row r="2834" spans="1:12" x14ac:dyDescent="0.2">
      <c r="A2834" s="8" t="s">
        <v>32</v>
      </c>
      <c r="B2834" s="8" t="s">
        <v>153</v>
      </c>
      <c r="C2834" s="8" t="s">
        <v>455</v>
      </c>
      <c r="D2834" s="8" t="s">
        <v>456</v>
      </c>
      <c r="E2834" s="8" t="s">
        <v>53</v>
      </c>
      <c r="F2834" s="8" t="s">
        <v>54</v>
      </c>
      <c r="G2834" s="8" t="s">
        <v>7</v>
      </c>
      <c r="H2834" s="8" t="s">
        <v>38</v>
      </c>
      <c r="I2834" s="9">
        <v>3.8288000000000003E-2</v>
      </c>
      <c r="J2834">
        <v>4.0344246299999997E-2</v>
      </c>
      <c r="K2834">
        <v>4.3077075569999998E-2</v>
      </c>
      <c r="L2834">
        <v>4.1753453120118002E-2</v>
      </c>
    </row>
    <row r="2835" spans="1:12" x14ac:dyDescent="0.2">
      <c r="A2835" s="8" t="s">
        <v>32</v>
      </c>
      <c r="B2835" s="8" t="s">
        <v>153</v>
      </c>
      <c r="C2835" s="8" t="s">
        <v>455</v>
      </c>
      <c r="D2835" s="8" t="s">
        <v>456</v>
      </c>
      <c r="E2835" s="8" t="s">
        <v>70</v>
      </c>
      <c r="F2835" s="8" t="s">
        <v>71</v>
      </c>
      <c r="G2835" s="8" t="s">
        <v>7</v>
      </c>
      <c r="H2835" s="8" t="s">
        <v>38</v>
      </c>
      <c r="I2835" s="9"/>
    </row>
    <row r="2836" spans="1:12" x14ac:dyDescent="0.2">
      <c r="A2836" s="8" t="s">
        <v>32</v>
      </c>
      <c r="B2836" s="8" t="s">
        <v>153</v>
      </c>
      <c r="C2836" s="8" t="s">
        <v>455</v>
      </c>
      <c r="D2836" s="8" t="s">
        <v>456</v>
      </c>
      <c r="E2836" s="8" t="s">
        <v>83</v>
      </c>
      <c r="F2836" s="8" t="s">
        <v>84</v>
      </c>
      <c r="G2836" s="8" t="s">
        <v>7</v>
      </c>
      <c r="H2836" s="8" t="s">
        <v>38</v>
      </c>
      <c r="I2836" s="9">
        <v>30</v>
      </c>
      <c r="J2836">
        <v>30</v>
      </c>
      <c r="K2836">
        <v>30</v>
      </c>
      <c r="L2836">
        <v>30</v>
      </c>
    </row>
    <row r="2837" spans="1:12" x14ac:dyDescent="0.2">
      <c r="A2837" s="8" t="s">
        <v>32</v>
      </c>
      <c r="B2837" s="8" t="s">
        <v>153</v>
      </c>
      <c r="C2837" s="8" t="s">
        <v>455</v>
      </c>
      <c r="D2837" s="8" t="s">
        <v>456</v>
      </c>
      <c r="E2837" s="8" t="s">
        <v>55</v>
      </c>
      <c r="F2837" s="8" t="s">
        <v>56</v>
      </c>
      <c r="G2837" s="8" t="s">
        <v>7</v>
      </c>
      <c r="H2837" s="8" t="s">
        <v>38</v>
      </c>
      <c r="I2837" s="9">
        <v>0.29414610000000002</v>
      </c>
      <c r="J2837">
        <v>0.29414613448815002</v>
      </c>
      <c r="K2837">
        <v>0.29414613448815002</v>
      </c>
      <c r="L2837">
        <v>0.29414613448815002</v>
      </c>
    </row>
    <row r="2838" spans="1:12" x14ac:dyDescent="0.2">
      <c r="A2838" s="8" t="s">
        <v>32</v>
      </c>
      <c r="B2838" s="8" t="s">
        <v>153</v>
      </c>
      <c r="C2838" s="8" t="s">
        <v>455</v>
      </c>
      <c r="D2838" s="8" t="s">
        <v>456</v>
      </c>
      <c r="E2838" s="8" t="s">
        <v>57</v>
      </c>
      <c r="F2838" s="8" t="s">
        <v>58</v>
      </c>
      <c r="G2838" s="8" t="s">
        <v>7</v>
      </c>
      <c r="H2838" s="8" t="s">
        <v>38</v>
      </c>
      <c r="I2838" s="9">
        <v>11.468794000000001</v>
      </c>
      <c r="J2838">
        <v>11.46879392</v>
      </c>
      <c r="K2838">
        <v>11.46879392</v>
      </c>
      <c r="L2838">
        <v>11.46879392</v>
      </c>
    </row>
    <row r="2839" spans="1:12" x14ac:dyDescent="0.2">
      <c r="A2839" s="8" t="s">
        <v>32</v>
      </c>
      <c r="B2839" s="8" t="s">
        <v>153</v>
      </c>
      <c r="C2839" s="8" t="s">
        <v>455</v>
      </c>
      <c r="D2839" s="8" t="s">
        <v>456</v>
      </c>
      <c r="E2839" s="8" t="s">
        <v>72</v>
      </c>
      <c r="F2839" s="8" t="s">
        <v>73</v>
      </c>
      <c r="G2839" s="8" t="s">
        <v>7</v>
      </c>
      <c r="H2839" s="8" t="s">
        <v>38</v>
      </c>
      <c r="I2839" s="9">
        <v>9782.2240999999995</v>
      </c>
      <c r="J2839">
        <v>9677.4145645420995</v>
      </c>
      <c r="K2839">
        <v>9293.1129031343007</v>
      </c>
      <c r="L2839">
        <v>9369.3836474053005</v>
      </c>
    </row>
    <row r="2840" spans="1:12" x14ac:dyDescent="0.2">
      <c r="A2840" s="8" t="s">
        <v>32</v>
      </c>
      <c r="B2840" s="8" t="s">
        <v>153</v>
      </c>
      <c r="C2840" s="8" t="s">
        <v>455</v>
      </c>
      <c r="D2840" s="8" t="s">
        <v>456</v>
      </c>
      <c r="E2840" s="8" t="s">
        <v>74</v>
      </c>
      <c r="F2840" s="8" t="s">
        <v>75</v>
      </c>
      <c r="G2840" s="8" t="s">
        <v>7</v>
      </c>
      <c r="H2840" s="8" t="s">
        <v>38</v>
      </c>
      <c r="I2840" s="9">
        <v>16.778199999999998</v>
      </c>
      <c r="J2840">
        <v>22.717600000000001</v>
      </c>
      <c r="K2840">
        <v>21.900400000000001</v>
      </c>
      <c r="L2840">
        <v>18.607479999999999</v>
      </c>
    </row>
    <row r="2841" spans="1:12" x14ac:dyDescent="0.2">
      <c r="A2841" s="8" t="s">
        <v>32</v>
      </c>
      <c r="B2841" s="8" t="s">
        <v>153</v>
      </c>
      <c r="C2841" s="8" t="s">
        <v>455</v>
      </c>
      <c r="D2841" s="8" t="s">
        <v>456</v>
      </c>
      <c r="E2841" s="8" t="s">
        <v>59</v>
      </c>
      <c r="F2841" s="8" t="s">
        <v>60</v>
      </c>
      <c r="G2841" s="8" t="s">
        <v>7</v>
      </c>
      <c r="H2841" s="8" t="s">
        <v>38</v>
      </c>
      <c r="I2841" s="9">
        <v>340.09037000000001</v>
      </c>
      <c r="J2841">
        <v>348.73981367898</v>
      </c>
      <c r="K2841">
        <v>353.20502087809001</v>
      </c>
      <c r="L2841">
        <v>366.76366492224997</v>
      </c>
    </row>
    <row r="2842" spans="1:12" x14ac:dyDescent="0.2">
      <c r="A2842" s="8" t="s">
        <v>32</v>
      </c>
      <c r="B2842" s="8" t="s">
        <v>153</v>
      </c>
      <c r="C2842" s="8" t="s">
        <v>455</v>
      </c>
      <c r="D2842" s="8" t="s">
        <v>456</v>
      </c>
      <c r="E2842" s="8" t="s">
        <v>92</v>
      </c>
      <c r="F2842" s="8" t="s">
        <v>93</v>
      </c>
      <c r="G2842" s="8" t="s">
        <v>7</v>
      </c>
      <c r="H2842" s="8" t="s">
        <v>38</v>
      </c>
      <c r="I2842" s="9">
        <v>40.575991000000002</v>
      </c>
      <c r="J2842">
        <v>40.965318611615999</v>
      </c>
      <c r="K2842">
        <v>41.293478707303002</v>
      </c>
      <c r="L2842">
        <v>41.746284946000998</v>
      </c>
    </row>
    <row r="2843" spans="1:12" x14ac:dyDescent="0.2">
      <c r="A2843" s="8" t="s">
        <v>32</v>
      </c>
      <c r="B2843" s="8" t="s">
        <v>125</v>
      </c>
      <c r="C2843" s="8" t="s">
        <v>457</v>
      </c>
      <c r="D2843" s="8" t="s">
        <v>458</v>
      </c>
      <c r="E2843" s="8" t="s">
        <v>36</v>
      </c>
      <c r="F2843" s="8" t="s">
        <v>37</v>
      </c>
      <c r="G2843" s="8" t="s">
        <v>7</v>
      </c>
      <c r="H2843" s="8" t="s">
        <v>38</v>
      </c>
      <c r="I2843" s="9">
        <v>4.7950302000000002</v>
      </c>
      <c r="J2843">
        <v>5.1501217699988997</v>
      </c>
      <c r="K2843">
        <v>5.6712151968189</v>
      </c>
      <c r="L2843">
        <v>5.6058862320380003</v>
      </c>
    </row>
    <row r="2844" spans="1:12" x14ac:dyDescent="0.2">
      <c r="A2844" s="8" t="s">
        <v>32</v>
      </c>
      <c r="B2844" s="8" t="s">
        <v>125</v>
      </c>
      <c r="C2844" s="8" t="s">
        <v>457</v>
      </c>
      <c r="D2844" s="8" t="s">
        <v>458</v>
      </c>
      <c r="E2844" s="8" t="s">
        <v>39</v>
      </c>
      <c r="F2844" s="8" t="s">
        <v>40</v>
      </c>
      <c r="G2844" s="8" t="s">
        <v>7</v>
      </c>
      <c r="H2844" s="8" t="s">
        <v>38</v>
      </c>
      <c r="I2844" s="9">
        <v>0.1074118</v>
      </c>
      <c r="J2844">
        <v>0.10845374802716</v>
      </c>
      <c r="K2844">
        <v>0.11712551711888999</v>
      </c>
      <c r="L2844">
        <v>0.11797096917289</v>
      </c>
    </row>
    <row r="2845" spans="1:12" x14ac:dyDescent="0.2">
      <c r="A2845" s="8" t="s">
        <v>32</v>
      </c>
      <c r="B2845" s="8" t="s">
        <v>125</v>
      </c>
      <c r="C2845" s="8" t="s">
        <v>457</v>
      </c>
      <c r="D2845" s="8" t="s">
        <v>458</v>
      </c>
      <c r="E2845" s="8" t="s">
        <v>41</v>
      </c>
      <c r="F2845" s="8" t="s">
        <v>42</v>
      </c>
      <c r="G2845" s="8" t="s">
        <v>7</v>
      </c>
      <c r="H2845" s="8" t="s">
        <v>38</v>
      </c>
      <c r="I2845" s="9"/>
    </row>
    <row r="2846" spans="1:12" x14ac:dyDescent="0.2">
      <c r="A2846" s="8" t="s">
        <v>32</v>
      </c>
      <c r="B2846" s="8" t="s">
        <v>125</v>
      </c>
      <c r="C2846" s="8" t="s">
        <v>457</v>
      </c>
      <c r="D2846" s="8" t="s">
        <v>458</v>
      </c>
      <c r="E2846" s="8" t="s">
        <v>43</v>
      </c>
      <c r="F2846" s="8" t="s">
        <v>44</v>
      </c>
      <c r="G2846" s="8" t="s">
        <v>7</v>
      </c>
      <c r="H2846" s="8" t="s">
        <v>38</v>
      </c>
      <c r="I2846" s="9">
        <v>10.651218999999999</v>
      </c>
      <c r="J2846">
        <v>10.651218515842</v>
      </c>
      <c r="K2846">
        <v>11.46680863009</v>
      </c>
      <c r="L2846">
        <v>11.585271545372001</v>
      </c>
    </row>
    <row r="2847" spans="1:12" x14ac:dyDescent="0.2">
      <c r="A2847" s="8" t="s">
        <v>32</v>
      </c>
      <c r="B2847" s="8" t="s">
        <v>125</v>
      </c>
      <c r="C2847" s="8" t="s">
        <v>457</v>
      </c>
      <c r="D2847" s="8" t="s">
        <v>458</v>
      </c>
      <c r="E2847" s="8" t="s">
        <v>66</v>
      </c>
      <c r="F2847" s="8" t="s">
        <v>67</v>
      </c>
      <c r="G2847" s="8" t="s">
        <v>7</v>
      </c>
      <c r="H2847" s="8" t="s">
        <v>38</v>
      </c>
      <c r="I2847" s="9"/>
    </row>
    <row r="2848" spans="1:12" x14ac:dyDescent="0.2">
      <c r="A2848" s="8" t="s">
        <v>32</v>
      </c>
      <c r="B2848" s="8" t="s">
        <v>125</v>
      </c>
      <c r="C2848" s="8" t="s">
        <v>457</v>
      </c>
      <c r="D2848" s="8" t="s">
        <v>458</v>
      </c>
      <c r="E2848" s="8" t="s">
        <v>45</v>
      </c>
      <c r="F2848" s="8" t="s">
        <v>46</v>
      </c>
      <c r="G2848" s="8" t="s">
        <v>7</v>
      </c>
      <c r="H2848" s="8" t="s">
        <v>38</v>
      </c>
      <c r="I2848" s="9"/>
    </row>
    <row r="2849" spans="1:12" x14ac:dyDescent="0.2">
      <c r="A2849" s="8" t="s">
        <v>32</v>
      </c>
      <c r="B2849" s="8" t="s">
        <v>125</v>
      </c>
      <c r="C2849" s="8" t="s">
        <v>457</v>
      </c>
      <c r="D2849" s="8" t="s">
        <v>458</v>
      </c>
      <c r="E2849" s="8" t="s">
        <v>49</v>
      </c>
      <c r="F2849" s="8" t="s">
        <v>50</v>
      </c>
      <c r="G2849" s="8" t="s">
        <v>7</v>
      </c>
      <c r="H2849" s="8" t="s">
        <v>38</v>
      </c>
      <c r="I2849" s="9">
        <v>1.7242E-3</v>
      </c>
      <c r="J2849">
        <v>1.7265499238019E-3</v>
      </c>
      <c r="K2849">
        <v>1.8595931804004E-3</v>
      </c>
      <c r="L2849">
        <v>1.8779860746336E-3</v>
      </c>
    </row>
    <row r="2850" spans="1:12" x14ac:dyDescent="0.2">
      <c r="A2850" s="8" t="s">
        <v>32</v>
      </c>
      <c r="B2850" s="8" t="s">
        <v>125</v>
      </c>
      <c r="C2850" s="8" t="s">
        <v>457</v>
      </c>
      <c r="D2850" s="8" t="s">
        <v>458</v>
      </c>
      <c r="E2850" s="8" t="s">
        <v>51</v>
      </c>
      <c r="F2850" s="8" t="s">
        <v>52</v>
      </c>
      <c r="G2850" s="8" t="s">
        <v>7</v>
      </c>
      <c r="H2850" s="8" t="s">
        <v>38</v>
      </c>
      <c r="I2850" s="9">
        <v>1.3917000000000001E-3</v>
      </c>
      <c r="J2850">
        <v>1.4197853995994E-3</v>
      </c>
      <c r="K2850">
        <v>1.5385399386298999E-3</v>
      </c>
      <c r="L2850">
        <v>1.5446196322669E-3</v>
      </c>
    </row>
    <row r="2851" spans="1:12" x14ac:dyDescent="0.2">
      <c r="A2851" s="8" t="s">
        <v>32</v>
      </c>
      <c r="B2851" s="8" t="s">
        <v>125</v>
      </c>
      <c r="C2851" s="8" t="s">
        <v>457</v>
      </c>
      <c r="D2851" s="8" t="s">
        <v>458</v>
      </c>
      <c r="E2851" s="8" t="s">
        <v>68</v>
      </c>
      <c r="F2851" s="8" t="s">
        <v>69</v>
      </c>
      <c r="G2851" s="8" t="s">
        <v>7</v>
      </c>
      <c r="H2851" s="8" t="s">
        <v>38</v>
      </c>
      <c r="I2851" s="9">
        <v>2.1597999999999999E-3</v>
      </c>
      <c r="J2851">
        <v>2.2407254215296999E-3</v>
      </c>
      <c r="K2851">
        <v>2.3201182592225002E-3</v>
      </c>
      <c r="L2851">
        <v>2.3977218146159001E-3</v>
      </c>
    </row>
    <row r="2852" spans="1:12" x14ac:dyDescent="0.2">
      <c r="A2852" s="8" t="s">
        <v>32</v>
      </c>
      <c r="B2852" s="8" t="s">
        <v>125</v>
      </c>
      <c r="C2852" s="8" t="s">
        <v>457</v>
      </c>
      <c r="D2852" s="8" t="s">
        <v>458</v>
      </c>
      <c r="E2852" s="8" t="s">
        <v>53</v>
      </c>
      <c r="F2852" s="8" t="s">
        <v>54</v>
      </c>
      <c r="G2852" s="8" t="s">
        <v>7</v>
      </c>
      <c r="H2852" s="8" t="s">
        <v>38</v>
      </c>
      <c r="I2852" s="9">
        <v>1.6112100000000001E-2</v>
      </c>
      <c r="J2852">
        <v>1.6644590151508001E-2</v>
      </c>
      <c r="K2852">
        <v>1.5210845951486999E-2</v>
      </c>
      <c r="L2852">
        <v>1.4337492797103E-2</v>
      </c>
    </row>
    <row r="2853" spans="1:12" x14ac:dyDescent="0.2">
      <c r="A2853" s="8" t="s">
        <v>32</v>
      </c>
      <c r="B2853" s="8" t="s">
        <v>125</v>
      </c>
      <c r="C2853" s="8" t="s">
        <v>457</v>
      </c>
      <c r="D2853" s="8" t="s">
        <v>458</v>
      </c>
      <c r="E2853" s="8" t="s">
        <v>55</v>
      </c>
      <c r="F2853" s="8" t="s">
        <v>56</v>
      </c>
      <c r="G2853" s="8" t="s">
        <v>7</v>
      </c>
      <c r="H2853" s="8" t="s">
        <v>38</v>
      </c>
      <c r="I2853" s="9">
        <v>1.885E-4</v>
      </c>
      <c r="J2853">
        <v>1.8625767937327999E-4</v>
      </c>
      <c r="K2853">
        <v>1.840470738548E-4</v>
      </c>
      <c r="L2853">
        <v>1.8184049933835E-4</v>
      </c>
    </row>
    <row r="2854" spans="1:12" x14ac:dyDescent="0.2">
      <c r="A2854" s="8" t="s">
        <v>32</v>
      </c>
      <c r="B2854" s="8" t="s">
        <v>125</v>
      </c>
      <c r="C2854" s="8" t="s">
        <v>457</v>
      </c>
      <c r="D2854" s="8" t="s">
        <v>458</v>
      </c>
      <c r="E2854" s="8" t="s">
        <v>59</v>
      </c>
      <c r="F2854" s="8" t="s">
        <v>60</v>
      </c>
      <c r="G2854" s="8" t="s">
        <v>7</v>
      </c>
      <c r="H2854" s="8" t="s">
        <v>38</v>
      </c>
      <c r="I2854" s="9">
        <v>1.39673E-2</v>
      </c>
      <c r="J2854">
        <v>1.2068297010883E-2</v>
      </c>
      <c r="K2854">
        <v>1.1210297010883E-2</v>
      </c>
      <c r="L2854">
        <v>1.1351097010883E-2</v>
      </c>
    </row>
    <row r="2855" spans="1:12" x14ac:dyDescent="0.2">
      <c r="A2855" s="8" t="s">
        <v>32</v>
      </c>
      <c r="B2855" s="8" t="s">
        <v>105</v>
      </c>
      <c r="C2855" s="8" t="s">
        <v>459</v>
      </c>
      <c r="D2855" s="8" t="s">
        <v>460</v>
      </c>
      <c r="E2855" s="8" t="s">
        <v>36</v>
      </c>
      <c r="F2855" s="8" t="s">
        <v>37</v>
      </c>
      <c r="G2855" s="8" t="s">
        <v>7</v>
      </c>
      <c r="H2855" s="8" t="s">
        <v>38</v>
      </c>
      <c r="I2855" s="9">
        <v>72.806663</v>
      </c>
      <c r="J2855">
        <v>77.065425232696995</v>
      </c>
      <c r="K2855">
        <v>69.250411147372006</v>
      </c>
      <c r="L2855">
        <v>68.923106219814002</v>
      </c>
    </row>
    <row r="2856" spans="1:12" x14ac:dyDescent="0.2">
      <c r="A2856" s="8" t="s">
        <v>32</v>
      </c>
      <c r="B2856" s="8" t="s">
        <v>105</v>
      </c>
      <c r="C2856" s="8" t="s">
        <v>459</v>
      </c>
      <c r="D2856" s="8" t="s">
        <v>460</v>
      </c>
      <c r="E2856" s="8" t="s">
        <v>39</v>
      </c>
      <c r="F2856" s="8" t="s">
        <v>40</v>
      </c>
      <c r="G2856" s="8" t="s">
        <v>7</v>
      </c>
      <c r="H2856" s="8" t="s">
        <v>38</v>
      </c>
      <c r="I2856" s="9">
        <v>39.237763999999999</v>
      </c>
      <c r="J2856">
        <v>40.875847769118003</v>
      </c>
      <c r="K2856">
        <v>36.730718671494998</v>
      </c>
      <c r="L2856">
        <v>36.557114717167998</v>
      </c>
    </row>
    <row r="2857" spans="1:12" x14ac:dyDescent="0.2">
      <c r="A2857" s="8" t="s">
        <v>32</v>
      </c>
      <c r="B2857" s="8" t="s">
        <v>105</v>
      </c>
      <c r="C2857" s="8" t="s">
        <v>459</v>
      </c>
      <c r="D2857" s="8" t="s">
        <v>460</v>
      </c>
      <c r="E2857" s="8" t="s">
        <v>41</v>
      </c>
      <c r="F2857" s="8" t="s">
        <v>42</v>
      </c>
      <c r="G2857" s="8" t="s">
        <v>7</v>
      </c>
      <c r="H2857" s="8" t="s">
        <v>38</v>
      </c>
      <c r="I2857" s="9">
        <v>7.4589252999999998</v>
      </c>
      <c r="J2857">
        <v>8.4018141257945</v>
      </c>
      <c r="K2857">
        <v>7.5498011439706003</v>
      </c>
      <c r="L2857">
        <v>10.054652745566999</v>
      </c>
    </row>
    <row r="2858" spans="1:12" x14ac:dyDescent="0.2">
      <c r="A2858" s="8" t="s">
        <v>32</v>
      </c>
      <c r="B2858" s="8" t="s">
        <v>105</v>
      </c>
      <c r="C2858" s="8" t="s">
        <v>459</v>
      </c>
      <c r="D2858" s="8" t="s">
        <v>460</v>
      </c>
      <c r="E2858" s="8" t="s">
        <v>43</v>
      </c>
      <c r="F2858" s="8" t="s">
        <v>44</v>
      </c>
      <c r="G2858" s="8" t="s">
        <v>7</v>
      </c>
      <c r="H2858" s="8" t="s">
        <v>38</v>
      </c>
      <c r="I2858" s="9">
        <v>125.8295</v>
      </c>
      <c r="J2858">
        <v>137.96953835158999</v>
      </c>
      <c r="K2858">
        <v>123.97829956983</v>
      </c>
      <c r="L2858">
        <v>123.39232892088999</v>
      </c>
    </row>
    <row r="2859" spans="1:12" x14ac:dyDescent="0.2">
      <c r="A2859" s="8" t="s">
        <v>32</v>
      </c>
      <c r="B2859" s="8" t="s">
        <v>105</v>
      </c>
      <c r="C2859" s="8" t="s">
        <v>459</v>
      </c>
      <c r="D2859" s="8" t="s">
        <v>460</v>
      </c>
      <c r="E2859" s="8" t="s">
        <v>66</v>
      </c>
      <c r="F2859" s="8" t="s">
        <v>67</v>
      </c>
      <c r="G2859" s="8" t="s">
        <v>7</v>
      </c>
      <c r="H2859" s="8" t="s">
        <v>38</v>
      </c>
      <c r="I2859" s="9"/>
    </row>
    <row r="2860" spans="1:12" x14ac:dyDescent="0.2">
      <c r="A2860" s="8" t="s">
        <v>32</v>
      </c>
      <c r="B2860" s="8" t="s">
        <v>105</v>
      </c>
      <c r="C2860" s="8" t="s">
        <v>459</v>
      </c>
      <c r="D2860" s="8" t="s">
        <v>460</v>
      </c>
      <c r="E2860" s="8" t="s">
        <v>45</v>
      </c>
      <c r="F2860" s="8" t="s">
        <v>46</v>
      </c>
      <c r="G2860" s="8" t="s">
        <v>7</v>
      </c>
      <c r="H2860" s="8" t="s">
        <v>38</v>
      </c>
      <c r="I2860" s="9">
        <v>8.6622739000000006</v>
      </c>
      <c r="J2860">
        <v>11.383571791137999</v>
      </c>
      <c r="K2860">
        <v>10.229185237394001</v>
      </c>
      <c r="L2860">
        <v>9.8728930552962009</v>
      </c>
    </row>
    <row r="2861" spans="1:12" x14ac:dyDescent="0.2">
      <c r="A2861" s="8" t="s">
        <v>32</v>
      </c>
      <c r="B2861" s="8" t="s">
        <v>105</v>
      </c>
      <c r="C2861" s="8" t="s">
        <v>459</v>
      </c>
      <c r="D2861" s="8" t="s">
        <v>460</v>
      </c>
      <c r="E2861" s="8" t="s">
        <v>47</v>
      </c>
      <c r="F2861" s="8" t="s">
        <v>48</v>
      </c>
      <c r="G2861" s="8" t="s">
        <v>7</v>
      </c>
      <c r="H2861" s="8" t="s">
        <v>38</v>
      </c>
      <c r="I2861" s="9">
        <v>9.0851614999999999</v>
      </c>
      <c r="J2861">
        <v>9.7194565181693005</v>
      </c>
      <c r="K2861">
        <v>8.7337700341622</v>
      </c>
      <c r="L2861">
        <v>8.6924907706753007</v>
      </c>
    </row>
    <row r="2862" spans="1:12" x14ac:dyDescent="0.2">
      <c r="A2862" s="8" t="s">
        <v>32</v>
      </c>
      <c r="B2862" s="8" t="s">
        <v>105</v>
      </c>
      <c r="C2862" s="8" t="s">
        <v>459</v>
      </c>
      <c r="D2862" s="8" t="s">
        <v>460</v>
      </c>
      <c r="E2862" s="8" t="s">
        <v>49</v>
      </c>
      <c r="F2862" s="8" t="s">
        <v>50</v>
      </c>
      <c r="G2862" s="8" t="s">
        <v>7</v>
      </c>
      <c r="H2862" s="8" t="s">
        <v>38</v>
      </c>
      <c r="I2862" s="9">
        <v>40.978405000000002</v>
      </c>
      <c r="J2862">
        <v>43.236416344806003</v>
      </c>
      <c r="K2862">
        <v>38.851906923441</v>
      </c>
      <c r="L2862">
        <v>38.668277391567997</v>
      </c>
    </row>
    <row r="2863" spans="1:12" x14ac:dyDescent="0.2">
      <c r="A2863" s="8" t="s">
        <v>32</v>
      </c>
      <c r="B2863" s="8" t="s">
        <v>105</v>
      </c>
      <c r="C2863" s="8" t="s">
        <v>459</v>
      </c>
      <c r="D2863" s="8" t="s">
        <v>460</v>
      </c>
      <c r="E2863" s="8" t="s">
        <v>51</v>
      </c>
      <c r="F2863" s="8" t="s">
        <v>52</v>
      </c>
      <c r="G2863" s="8" t="s">
        <v>7</v>
      </c>
      <c r="H2863" s="8" t="s">
        <v>38</v>
      </c>
      <c r="I2863" s="9">
        <v>1.8945373999999999</v>
      </c>
      <c r="J2863">
        <v>2.1904179024585999</v>
      </c>
      <c r="K2863">
        <v>1.9682577035452999</v>
      </c>
      <c r="L2863">
        <v>1.9589549364656</v>
      </c>
    </row>
    <row r="2864" spans="1:12" x14ac:dyDescent="0.2">
      <c r="A2864" s="8" t="s">
        <v>32</v>
      </c>
      <c r="B2864" s="8" t="s">
        <v>105</v>
      </c>
      <c r="C2864" s="8" t="s">
        <v>459</v>
      </c>
      <c r="D2864" s="8" t="s">
        <v>460</v>
      </c>
      <c r="E2864" s="8" t="s">
        <v>53</v>
      </c>
      <c r="F2864" s="8" t="s">
        <v>54</v>
      </c>
      <c r="G2864" s="8" t="s">
        <v>7</v>
      </c>
      <c r="H2864" s="8" t="s">
        <v>38</v>
      </c>
      <c r="I2864" s="9">
        <v>1.874E-6</v>
      </c>
      <c r="J2864">
        <v>6.0997051081169002E-7</v>
      </c>
      <c r="K2864">
        <v>5.1113971885188003E-7</v>
      </c>
      <c r="L2864">
        <v>1.2180314673669999E-7</v>
      </c>
    </row>
    <row r="2865" spans="1:12" x14ac:dyDescent="0.2">
      <c r="A2865" s="8" t="s">
        <v>32</v>
      </c>
      <c r="B2865" s="8" t="s">
        <v>105</v>
      </c>
      <c r="C2865" s="8" t="s">
        <v>459</v>
      </c>
      <c r="D2865" s="8" t="s">
        <v>460</v>
      </c>
      <c r="E2865" s="8" t="s">
        <v>55</v>
      </c>
      <c r="F2865" s="8" t="s">
        <v>56</v>
      </c>
      <c r="G2865" s="8" t="s">
        <v>7</v>
      </c>
      <c r="H2865" s="8" t="s">
        <v>38</v>
      </c>
      <c r="I2865" s="9">
        <v>3.10776E-2</v>
      </c>
      <c r="J2865">
        <v>3.1591183109860997E-2</v>
      </c>
      <c r="K2865">
        <v>3.2113264064943997E-2</v>
      </c>
      <c r="L2865">
        <v>3.2621045186288999E-2</v>
      </c>
    </row>
    <row r="2866" spans="1:12" x14ac:dyDescent="0.2">
      <c r="A2866" s="8" t="s">
        <v>32</v>
      </c>
      <c r="B2866" s="8" t="s">
        <v>105</v>
      </c>
      <c r="C2866" s="8" t="s">
        <v>459</v>
      </c>
      <c r="D2866" s="8" t="s">
        <v>460</v>
      </c>
      <c r="E2866" s="8" t="s">
        <v>59</v>
      </c>
      <c r="F2866" s="8" t="s">
        <v>60</v>
      </c>
      <c r="G2866" s="8" t="s">
        <v>7</v>
      </c>
      <c r="H2866" s="8" t="s">
        <v>38</v>
      </c>
      <c r="I2866" s="9">
        <v>1.7238228</v>
      </c>
      <c r="J2866">
        <v>1.7674966958016001</v>
      </c>
      <c r="K2866">
        <v>1.7219333541484001</v>
      </c>
      <c r="L2866">
        <v>1.6780082365236999</v>
      </c>
    </row>
    <row r="2867" spans="1:12" x14ac:dyDescent="0.2">
      <c r="A2867" s="8" t="s">
        <v>32</v>
      </c>
      <c r="B2867" s="8" t="s">
        <v>125</v>
      </c>
      <c r="C2867" s="8" t="s">
        <v>461</v>
      </c>
      <c r="D2867" s="8" t="s">
        <v>462</v>
      </c>
      <c r="E2867" s="8" t="s">
        <v>36</v>
      </c>
      <c r="F2867" s="8" t="s">
        <v>37</v>
      </c>
      <c r="G2867" s="8" t="s">
        <v>7</v>
      </c>
      <c r="H2867" s="8" t="s">
        <v>38</v>
      </c>
      <c r="I2867" s="9">
        <v>228.37119999999999</v>
      </c>
      <c r="J2867">
        <v>252.17751161365001</v>
      </c>
      <c r="K2867">
        <v>246.96234328347001</v>
      </c>
      <c r="L2867">
        <v>236.15425792551</v>
      </c>
    </row>
    <row r="2868" spans="1:12" x14ac:dyDescent="0.2">
      <c r="A2868" s="8" t="s">
        <v>32</v>
      </c>
      <c r="B2868" s="8" t="s">
        <v>125</v>
      </c>
      <c r="C2868" s="8" t="s">
        <v>461</v>
      </c>
      <c r="D2868" s="8" t="s">
        <v>462</v>
      </c>
      <c r="E2868" s="8" t="s">
        <v>64</v>
      </c>
      <c r="F2868" s="8" t="s">
        <v>65</v>
      </c>
      <c r="G2868" s="8" t="s">
        <v>7</v>
      </c>
      <c r="H2868" s="8" t="s">
        <v>38</v>
      </c>
      <c r="I2868" s="9"/>
    </row>
    <row r="2869" spans="1:12" x14ac:dyDescent="0.2">
      <c r="A2869" s="8" t="s">
        <v>32</v>
      </c>
      <c r="B2869" s="8" t="s">
        <v>125</v>
      </c>
      <c r="C2869" s="8" t="s">
        <v>461</v>
      </c>
      <c r="D2869" s="8" t="s">
        <v>462</v>
      </c>
      <c r="E2869" s="8" t="s">
        <v>39</v>
      </c>
      <c r="F2869" s="8" t="s">
        <v>40</v>
      </c>
      <c r="G2869" s="8" t="s">
        <v>7</v>
      </c>
      <c r="H2869" s="8" t="s">
        <v>38</v>
      </c>
      <c r="I2869" s="9">
        <v>137.27565999999999</v>
      </c>
      <c r="J2869">
        <v>162.50591967246001</v>
      </c>
      <c r="K2869">
        <v>159.56793900336001</v>
      </c>
      <c r="L2869">
        <v>152.58459133094999</v>
      </c>
    </row>
    <row r="2870" spans="1:12" x14ac:dyDescent="0.2">
      <c r="A2870" s="8" t="s">
        <v>32</v>
      </c>
      <c r="B2870" s="8" t="s">
        <v>125</v>
      </c>
      <c r="C2870" s="8" t="s">
        <v>461</v>
      </c>
      <c r="D2870" s="8" t="s">
        <v>462</v>
      </c>
      <c r="E2870" s="8" t="s">
        <v>41</v>
      </c>
      <c r="F2870" s="8" t="s">
        <v>42</v>
      </c>
      <c r="G2870" s="8" t="s">
        <v>7</v>
      </c>
      <c r="H2870" s="8" t="s">
        <v>38</v>
      </c>
      <c r="I2870" s="9">
        <v>4.8604633000000002</v>
      </c>
      <c r="J2870">
        <v>6.4184176625124003</v>
      </c>
      <c r="K2870">
        <v>6.1362077988707</v>
      </c>
      <c r="L2870">
        <v>6.9157791019129</v>
      </c>
    </row>
    <row r="2871" spans="1:12" x14ac:dyDescent="0.2">
      <c r="A2871" s="8" t="s">
        <v>32</v>
      </c>
      <c r="B2871" s="8" t="s">
        <v>125</v>
      </c>
      <c r="C2871" s="8" t="s">
        <v>461</v>
      </c>
      <c r="D2871" s="8" t="s">
        <v>462</v>
      </c>
      <c r="E2871" s="8" t="s">
        <v>43</v>
      </c>
      <c r="F2871" s="8" t="s">
        <v>44</v>
      </c>
      <c r="G2871" s="8" t="s">
        <v>7</v>
      </c>
      <c r="H2871" s="8" t="s">
        <v>38</v>
      </c>
      <c r="I2871" s="9">
        <v>566.94632000000001</v>
      </c>
      <c r="J2871">
        <v>728.80979096705005</v>
      </c>
      <c r="K2871">
        <v>719.12853025701997</v>
      </c>
      <c r="L2871">
        <v>687.65651539426005</v>
      </c>
    </row>
    <row r="2872" spans="1:12" x14ac:dyDescent="0.2">
      <c r="A2872" s="8" t="s">
        <v>32</v>
      </c>
      <c r="B2872" s="8" t="s">
        <v>125</v>
      </c>
      <c r="C2872" s="8" t="s">
        <v>461</v>
      </c>
      <c r="D2872" s="8" t="s">
        <v>462</v>
      </c>
      <c r="E2872" s="8" t="s">
        <v>66</v>
      </c>
      <c r="F2872" s="8" t="s">
        <v>67</v>
      </c>
      <c r="G2872" s="8" t="s">
        <v>7</v>
      </c>
      <c r="H2872" s="8" t="s">
        <v>38</v>
      </c>
      <c r="I2872" s="9">
        <v>27.583129</v>
      </c>
      <c r="J2872">
        <v>32.848369464542003</v>
      </c>
      <c r="K2872">
        <v>30.625736545888</v>
      </c>
      <c r="L2872">
        <v>29.285428666001</v>
      </c>
    </row>
    <row r="2873" spans="1:12" x14ac:dyDescent="0.2">
      <c r="A2873" s="8" t="s">
        <v>32</v>
      </c>
      <c r="B2873" s="8" t="s">
        <v>125</v>
      </c>
      <c r="C2873" s="8" t="s">
        <v>461</v>
      </c>
      <c r="D2873" s="8" t="s">
        <v>462</v>
      </c>
      <c r="E2873" s="8" t="s">
        <v>45</v>
      </c>
      <c r="F2873" s="8" t="s">
        <v>46</v>
      </c>
      <c r="G2873" s="8" t="s">
        <v>7</v>
      </c>
      <c r="H2873" s="8" t="s">
        <v>38</v>
      </c>
      <c r="I2873" s="9">
        <v>5.9575595000000003</v>
      </c>
      <c r="J2873">
        <v>7.1184227766076997</v>
      </c>
      <c r="K2873">
        <v>6.7584891288879003</v>
      </c>
      <c r="L2873">
        <v>6.3314729225484996</v>
      </c>
    </row>
    <row r="2874" spans="1:12" x14ac:dyDescent="0.2">
      <c r="A2874" s="8" t="s">
        <v>32</v>
      </c>
      <c r="B2874" s="8" t="s">
        <v>125</v>
      </c>
      <c r="C2874" s="8" t="s">
        <v>461</v>
      </c>
      <c r="D2874" s="8" t="s">
        <v>462</v>
      </c>
      <c r="E2874" s="8" t="s">
        <v>47</v>
      </c>
      <c r="F2874" s="8" t="s">
        <v>48</v>
      </c>
      <c r="G2874" s="8" t="s">
        <v>7</v>
      </c>
      <c r="H2874" s="8" t="s">
        <v>38</v>
      </c>
      <c r="I2874" s="9">
        <v>6.8151903999999996</v>
      </c>
      <c r="J2874">
        <v>9.0195198826134995</v>
      </c>
      <c r="K2874">
        <v>9.1559988424984002</v>
      </c>
      <c r="L2874">
        <v>8.7552947687055003</v>
      </c>
    </row>
    <row r="2875" spans="1:12" x14ac:dyDescent="0.2">
      <c r="A2875" s="8" t="s">
        <v>32</v>
      </c>
      <c r="B2875" s="8" t="s">
        <v>125</v>
      </c>
      <c r="C2875" s="8" t="s">
        <v>461</v>
      </c>
      <c r="D2875" s="8" t="s">
        <v>462</v>
      </c>
      <c r="E2875" s="8" t="s">
        <v>49</v>
      </c>
      <c r="F2875" s="8" t="s">
        <v>50</v>
      </c>
      <c r="G2875" s="8" t="s">
        <v>7</v>
      </c>
      <c r="H2875" s="8" t="s">
        <v>38</v>
      </c>
      <c r="I2875" s="9">
        <v>61.248128000000001</v>
      </c>
      <c r="J2875">
        <v>75.319676898899004</v>
      </c>
      <c r="K2875">
        <v>78.660061609246</v>
      </c>
      <c r="L2875">
        <v>75.217574593484002</v>
      </c>
    </row>
    <row r="2876" spans="1:12" x14ac:dyDescent="0.2">
      <c r="A2876" s="8" t="s">
        <v>32</v>
      </c>
      <c r="B2876" s="8" t="s">
        <v>125</v>
      </c>
      <c r="C2876" s="8" t="s">
        <v>461</v>
      </c>
      <c r="D2876" s="8" t="s">
        <v>462</v>
      </c>
      <c r="E2876" s="8" t="s">
        <v>51</v>
      </c>
      <c r="F2876" s="8" t="s">
        <v>52</v>
      </c>
      <c r="G2876" s="8" t="s">
        <v>7</v>
      </c>
      <c r="H2876" s="8" t="s">
        <v>38</v>
      </c>
      <c r="I2876" s="9">
        <v>47.193772000000003</v>
      </c>
      <c r="J2876">
        <v>45.283392732369997</v>
      </c>
      <c r="K2876">
        <v>56.842475748272001</v>
      </c>
      <c r="L2876">
        <v>54.354815801103001</v>
      </c>
    </row>
    <row r="2877" spans="1:12" x14ac:dyDescent="0.2">
      <c r="A2877" s="8" t="s">
        <v>32</v>
      </c>
      <c r="B2877" s="8" t="s">
        <v>125</v>
      </c>
      <c r="C2877" s="8" t="s">
        <v>461</v>
      </c>
      <c r="D2877" s="8" t="s">
        <v>462</v>
      </c>
      <c r="E2877" s="8" t="s">
        <v>53</v>
      </c>
      <c r="F2877" s="8" t="s">
        <v>54</v>
      </c>
      <c r="G2877" s="8" t="s">
        <v>7</v>
      </c>
      <c r="H2877" s="8" t="s">
        <v>38</v>
      </c>
      <c r="I2877" s="9"/>
    </row>
    <row r="2878" spans="1:12" x14ac:dyDescent="0.2">
      <c r="A2878" s="8" t="s">
        <v>32</v>
      </c>
      <c r="B2878" s="8" t="s">
        <v>125</v>
      </c>
      <c r="C2878" s="8" t="s">
        <v>461</v>
      </c>
      <c r="D2878" s="8" t="s">
        <v>462</v>
      </c>
      <c r="E2878" s="8" t="s">
        <v>70</v>
      </c>
      <c r="F2878" s="8" t="s">
        <v>71</v>
      </c>
      <c r="G2878" s="8" t="s">
        <v>7</v>
      </c>
      <c r="H2878" s="8" t="s">
        <v>38</v>
      </c>
      <c r="I2878" s="9">
        <v>128.90518</v>
      </c>
      <c r="J2878">
        <v>136.71761495000001</v>
      </c>
      <c r="K2878">
        <v>136.71761495000001</v>
      </c>
      <c r="L2878">
        <v>136.56337866351001</v>
      </c>
    </row>
    <row r="2879" spans="1:12" x14ac:dyDescent="0.2">
      <c r="A2879" s="8" t="s">
        <v>32</v>
      </c>
      <c r="B2879" s="8" t="s">
        <v>125</v>
      </c>
      <c r="C2879" s="8" t="s">
        <v>461</v>
      </c>
      <c r="D2879" s="8" t="s">
        <v>462</v>
      </c>
      <c r="E2879" s="8" t="s">
        <v>55</v>
      </c>
      <c r="F2879" s="8" t="s">
        <v>56</v>
      </c>
      <c r="G2879" s="8" t="s">
        <v>7</v>
      </c>
      <c r="H2879" s="8" t="s">
        <v>38</v>
      </c>
      <c r="I2879" s="9">
        <v>0.33857720000000002</v>
      </c>
      <c r="J2879">
        <v>0.37921524829683001</v>
      </c>
      <c r="K2879">
        <v>0.37921524829683001</v>
      </c>
      <c r="L2879">
        <v>0.37921524829683001</v>
      </c>
    </row>
    <row r="2880" spans="1:12" x14ac:dyDescent="0.2">
      <c r="A2880" s="8" t="s">
        <v>32</v>
      </c>
      <c r="B2880" s="8" t="s">
        <v>125</v>
      </c>
      <c r="C2880" s="8" t="s">
        <v>461</v>
      </c>
      <c r="D2880" s="8" t="s">
        <v>462</v>
      </c>
      <c r="E2880" s="8" t="s">
        <v>57</v>
      </c>
      <c r="F2880" s="8" t="s">
        <v>58</v>
      </c>
      <c r="G2880" s="8" t="s">
        <v>7</v>
      </c>
      <c r="H2880" s="8" t="s">
        <v>38</v>
      </c>
      <c r="I2880" s="9">
        <v>1.33875E-2</v>
      </c>
      <c r="J2880">
        <v>1.4994330362848999E-2</v>
      </c>
      <c r="K2880">
        <v>1.4994330362848999E-2</v>
      </c>
      <c r="L2880">
        <v>1.4994330362848999E-2</v>
      </c>
    </row>
    <row r="2881" spans="1:12" x14ac:dyDescent="0.2">
      <c r="A2881" s="8" t="s">
        <v>32</v>
      </c>
      <c r="B2881" s="8" t="s">
        <v>125</v>
      </c>
      <c r="C2881" s="8" t="s">
        <v>461</v>
      </c>
      <c r="D2881" s="8" t="s">
        <v>462</v>
      </c>
      <c r="E2881" s="8" t="s">
        <v>59</v>
      </c>
      <c r="F2881" s="8" t="s">
        <v>60</v>
      </c>
      <c r="G2881" s="8" t="s">
        <v>7</v>
      </c>
      <c r="H2881" s="8" t="s">
        <v>38</v>
      </c>
      <c r="I2881" s="9">
        <v>15.228617</v>
      </c>
      <c r="J2881">
        <v>15.757407506721</v>
      </c>
      <c r="K2881">
        <v>15.892994410118</v>
      </c>
      <c r="L2881">
        <v>16.212023944997998</v>
      </c>
    </row>
    <row r="2882" spans="1:12" x14ac:dyDescent="0.2">
      <c r="A2882" s="8" t="s">
        <v>32</v>
      </c>
      <c r="B2882" s="8" t="s">
        <v>33</v>
      </c>
      <c r="C2882" s="8" t="s">
        <v>463</v>
      </c>
      <c r="D2882" s="8" t="s">
        <v>464</v>
      </c>
      <c r="E2882" s="8" t="s">
        <v>36</v>
      </c>
      <c r="F2882" s="8" t="s">
        <v>37</v>
      </c>
      <c r="G2882" s="8" t="s">
        <v>7</v>
      </c>
      <c r="H2882" s="8" t="s">
        <v>38</v>
      </c>
      <c r="I2882" s="9">
        <v>735.83173999999997</v>
      </c>
      <c r="J2882">
        <v>659.75690168999995</v>
      </c>
      <c r="K2882">
        <v>821.71972902000005</v>
      </c>
      <c r="L2882">
        <v>1184.0069383282</v>
      </c>
    </row>
    <row r="2883" spans="1:12" x14ac:dyDescent="0.2">
      <c r="A2883" s="8" t="s">
        <v>32</v>
      </c>
      <c r="B2883" s="8" t="s">
        <v>33</v>
      </c>
      <c r="C2883" s="8" t="s">
        <v>463</v>
      </c>
      <c r="D2883" s="8" t="s">
        <v>464</v>
      </c>
      <c r="E2883" s="8" t="s">
        <v>64</v>
      </c>
      <c r="F2883" s="8" t="s">
        <v>65</v>
      </c>
      <c r="G2883" s="8" t="s">
        <v>7</v>
      </c>
      <c r="H2883" s="8" t="s">
        <v>38</v>
      </c>
      <c r="I2883" s="9"/>
    </row>
    <row r="2884" spans="1:12" x14ac:dyDescent="0.2">
      <c r="A2884" s="8" t="s">
        <v>32</v>
      </c>
      <c r="B2884" s="8" t="s">
        <v>33</v>
      </c>
      <c r="C2884" s="8" t="s">
        <v>463</v>
      </c>
      <c r="D2884" s="8" t="s">
        <v>464</v>
      </c>
      <c r="E2884" s="8" t="s">
        <v>39</v>
      </c>
      <c r="F2884" s="8" t="s">
        <v>40</v>
      </c>
      <c r="G2884" s="8" t="s">
        <v>7</v>
      </c>
      <c r="H2884" s="8" t="s">
        <v>38</v>
      </c>
      <c r="I2884" s="9">
        <v>1357.8969999999999</v>
      </c>
      <c r="J2884">
        <v>1670.4454401</v>
      </c>
      <c r="K2884">
        <v>2178.8220652999998</v>
      </c>
      <c r="L2884">
        <v>2309.9504304981001</v>
      </c>
    </row>
    <row r="2885" spans="1:12" x14ac:dyDescent="0.2">
      <c r="A2885" s="8" t="s">
        <v>32</v>
      </c>
      <c r="B2885" s="8" t="s">
        <v>33</v>
      </c>
      <c r="C2885" s="8" t="s">
        <v>463</v>
      </c>
      <c r="D2885" s="8" t="s">
        <v>464</v>
      </c>
      <c r="E2885" s="8" t="s">
        <v>43</v>
      </c>
      <c r="F2885" s="8" t="s">
        <v>44</v>
      </c>
      <c r="G2885" s="8" t="s">
        <v>7</v>
      </c>
      <c r="H2885" s="8" t="s">
        <v>38</v>
      </c>
      <c r="I2885" s="9">
        <v>3192.6024000000002</v>
      </c>
      <c r="J2885">
        <v>3927.0568290699998</v>
      </c>
      <c r="K2885">
        <v>4142.2975576999997</v>
      </c>
      <c r="L2885">
        <v>4391.2919007910004</v>
      </c>
    </row>
    <row r="2886" spans="1:12" x14ac:dyDescent="0.2">
      <c r="A2886" s="8" t="s">
        <v>32</v>
      </c>
      <c r="B2886" s="8" t="s">
        <v>33</v>
      </c>
      <c r="C2886" s="8" t="s">
        <v>463</v>
      </c>
      <c r="D2886" s="8" t="s">
        <v>464</v>
      </c>
      <c r="E2886" s="8" t="s">
        <v>45</v>
      </c>
      <c r="F2886" s="8" t="s">
        <v>46</v>
      </c>
      <c r="G2886" s="8" t="s">
        <v>7</v>
      </c>
      <c r="H2886" s="8" t="s">
        <v>38</v>
      </c>
      <c r="I2886" s="9">
        <v>0.22631180000000001</v>
      </c>
      <c r="J2886">
        <v>0.20715695000000001</v>
      </c>
      <c r="K2886">
        <v>0.6792357</v>
      </c>
      <c r="L2886">
        <v>0.72380847144075</v>
      </c>
    </row>
    <row r="2887" spans="1:12" x14ac:dyDescent="0.2">
      <c r="A2887" s="8" t="s">
        <v>32</v>
      </c>
      <c r="B2887" s="8" t="s">
        <v>33</v>
      </c>
      <c r="C2887" s="8" t="s">
        <v>463</v>
      </c>
      <c r="D2887" s="8" t="s">
        <v>464</v>
      </c>
      <c r="E2887" s="8" t="s">
        <v>47</v>
      </c>
      <c r="F2887" s="8" t="s">
        <v>48</v>
      </c>
      <c r="G2887" s="8" t="s">
        <v>7</v>
      </c>
      <c r="H2887" s="8" t="s">
        <v>38</v>
      </c>
      <c r="I2887" s="9"/>
    </row>
    <row r="2888" spans="1:12" x14ac:dyDescent="0.2">
      <c r="A2888" s="8" t="s">
        <v>32</v>
      </c>
      <c r="B2888" s="8" t="s">
        <v>33</v>
      </c>
      <c r="C2888" s="8" t="s">
        <v>463</v>
      </c>
      <c r="D2888" s="8" t="s">
        <v>464</v>
      </c>
      <c r="E2888" s="8" t="s">
        <v>49</v>
      </c>
      <c r="F2888" s="8" t="s">
        <v>50</v>
      </c>
      <c r="G2888" s="8" t="s">
        <v>7</v>
      </c>
      <c r="H2888" s="8" t="s">
        <v>38</v>
      </c>
      <c r="I2888" s="9">
        <v>697.97319000000005</v>
      </c>
      <c r="J2888">
        <v>662.37682627000004</v>
      </c>
      <c r="K2888">
        <v>703.58798682999998</v>
      </c>
      <c r="L2888">
        <v>745.88080286918</v>
      </c>
    </row>
    <row r="2889" spans="1:12" x14ac:dyDescent="0.2">
      <c r="A2889" s="8" t="s">
        <v>32</v>
      </c>
      <c r="B2889" s="8" t="s">
        <v>33</v>
      </c>
      <c r="C2889" s="8" t="s">
        <v>463</v>
      </c>
      <c r="D2889" s="8" t="s">
        <v>464</v>
      </c>
      <c r="E2889" s="8" t="s">
        <v>53</v>
      </c>
      <c r="F2889" s="8" t="s">
        <v>54</v>
      </c>
      <c r="G2889" s="8" t="s">
        <v>7</v>
      </c>
      <c r="H2889" s="8" t="s">
        <v>38</v>
      </c>
      <c r="I2889" s="9"/>
    </row>
    <row r="2890" spans="1:12" x14ac:dyDescent="0.2">
      <c r="A2890" s="8" t="s">
        <v>32</v>
      </c>
      <c r="B2890" s="8" t="s">
        <v>33</v>
      </c>
      <c r="C2890" s="8" t="s">
        <v>463</v>
      </c>
      <c r="D2890" s="8" t="s">
        <v>464</v>
      </c>
      <c r="E2890" s="8" t="s">
        <v>70</v>
      </c>
      <c r="F2890" s="8" t="s">
        <v>71</v>
      </c>
      <c r="G2890" s="8" t="s">
        <v>7</v>
      </c>
      <c r="H2890" s="8" t="s">
        <v>38</v>
      </c>
      <c r="I2890" s="9">
        <v>373.32956000000001</v>
      </c>
      <c r="J2890">
        <v>399.46262385</v>
      </c>
      <c r="K2890">
        <v>397.96930563000001</v>
      </c>
      <c r="L2890">
        <v>397.52034147962001</v>
      </c>
    </row>
    <row r="2891" spans="1:12" x14ac:dyDescent="0.2">
      <c r="A2891" s="8" t="s">
        <v>32</v>
      </c>
      <c r="B2891" s="8" t="s">
        <v>33</v>
      </c>
      <c r="C2891" s="8" t="s">
        <v>463</v>
      </c>
      <c r="D2891" s="8" t="s">
        <v>464</v>
      </c>
      <c r="E2891" s="8" t="s">
        <v>55</v>
      </c>
      <c r="F2891" s="8" t="s">
        <v>56</v>
      </c>
      <c r="G2891" s="8" t="s">
        <v>7</v>
      </c>
      <c r="H2891" s="8" t="s">
        <v>38</v>
      </c>
      <c r="I2891" s="9">
        <v>0.24072460000000001</v>
      </c>
      <c r="J2891">
        <v>0.26961778823038002</v>
      </c>
      <c r="K2891">
        <v>0.26961778823038002</v>
      </c>
      <c r="L2891">
        <v>0.26961778823038002</v>
      </c>
    </row>
    <row r="2892" spans="1:12" x14ac:dyDescent="0.2">
      <c r="A2892" s="8" t="s">
        <v>32</v>
      </c>
      <c r="B2892" s="8" t="s">
        <v>33</v>
      </c>
      <c r="C2892" s="8" t="s">
        <v>463</v>
      </c>
      <c r="D2892" s="8" t="s">
        <v>464</v>
      </c>
      <c r="E2892" s="8" t="s">
        <v>57</v>
      </c>
      <c r="F2892" s="8" t="s">
        <v>58</v>
      </c>
      <c r="G2892" s="8" t="s">
        <v>7</v>
      </c>
      <c r="H2892" s="8" t="s">
        <v>38</v>
      </c>
      <c r="I2892" s="9">
        <v>6.2737793999999996</v>
      </c>
      <c r="J2892">
        <v>7.0267955734846002</v>
      </c>
      <c r="K2892">
        <v>7.0267955734846002</v>
      </c>
      <c r="L2892">
        <v>7.0267955734846002</v>
      </c>
    </row>
    <row r="2893" spans="1:12" x14ac:dyDescent="0.2">
      <c r="A2893" s="8" t="s">
        <v>32</v>
      </c>
      <c r="B2893" s="8" t="s">
        <v>33</v>
      </c>
      <c r="C2893" s="8" t="s">
        <v>463</v>
      </c>
      <c r="D2893" s="8" t="s">
        <v>464</v>
      </c>
      <c r="E2893" s="8" t="s">
        <v>74</v>
      </c>
      <c r="F2893" s="8" t="s">
        <v>75</v>
      </c>
      <c r="G2893" s="8" t="s">
        <v>7</v>
      </c>
      <c r="H2893" s="8" t="s">
        <v>38</v>
      </c>
      <c r="I2893" s="9">
        <v>3.2640799999999999</v>
      </c>
      <c r="J2893">
        <v>4.1111199999999997</v>
      </c>
      <c r="K2893">
        <v>3.5542799999999999</v>
      </c>
      <c r="L2893">
        <v>3.3444799999999999</v>
      </c>
    </row>
    <row r="2894" spans="1:12" x14ac:dyDescent="0.2">
      <c r="A2894" s="8" t="s">
        <v>32</v>
      </c>
      <c r="B2894" s="8" t="s">
        <v>33</v>
      </c>
      <c r="C2894" s="8" t="s">
        <v>463</v>
      </c>
      <c r="D2894" s="8" t="s">
        <v>464</v>
      </c>
      <c r="E2894" s="8" t="s">
        <v>59</v>
      </c>
      <c r="F2894" s="8" t="s">
        <v>60</v>
      </c>
      <c r="G2894" s="8" t="s">
        <v>7</v>
      </c>
      <c r="H2894" s="8" t="s">
        <v>38</v>
      </c>
      <c r="I2894" s="9">
        <v>13.96466</v>
      </c>
      <c r="J2894">
        <v>14.790842835038999</v>
      </c>
      <c r="K2894">
        <v>14.833304803779001</v>
      </c>
      <c r="L2894">
        <v>15.019783691696</v>
      </c>
    </row>
    <row r="2895" spans="1:12" x14ac:dyDescent="0.2">
      <c r="A2895" s="8" t="s">
        <v>32</v>
      </c>
      <c r="B2895" s="8" t="s">
        <v>33</v>
      </c>
      <c r="C2895" s="8" t="s">
        <v>463</v>
      </c>
      <c r="D2895" s="8" t="s">
        <v>464</v>
      </c>
      <c r="E2895" s="8" t="s">
        <v>76</v>
      </c>
      <c r="F2895" s="8" t="s">
        <v>77</v>
      </c>
      <c r="G2895" s="8" t="s">
        <v>7</v>
      </c>
      <c r="H2895" s="8" t="s">
        <v>38</v>
      </c>
      <c r="I2895" s="9">
        <v>216.54285999999999</v>
      </c>
      <c r="J2895">
        <v>147.08571432790001</v>
      </c>
      <c r="K2895">
        <v>167.82857147892</v>
      </c>
      <c r="L2895">
        <v>156.43047623806001</v>
      </c>
    </row>
    <row r="2896" spans="1:12" x14ac:dyDescent="0.2">
      <c r="A2896" s="8" t="s">
        <v>32</v>
      </c>
      <c r="B2896" s="8" t="s">
        <v>33</v>
      </c>
      <c r="C2896" s="8" t="s">
        <v>463</v>
      </c>
      <c r="D2896" s="8" t="s">
        <v>464</v>
      </c>
      <c r="E2896" s="8" t="s">
        <v>78</v>
      </c>
      <c r="F2896" s="8" t="s">
        <v>79</v>
      </c>
      <c r="G2896" s="8" t="s">
        <v>7</v>
      </c>
      <c r="H2896" s="8" t="s">
        <v>38</v>
      </c>
      <c r="I2896" s="9">
        <v>55.314276</v>
      </c>
      <c r="J2896">
        <v>39.442849971428998</v>
      </c>
      <c r="K2896">
        <v>27.185709342856999</v>
      </c>
      <c r="L2896">
        <v>25.048566874285999</v>
      </c>
    </row>
    <row r="2897" spans="1:12" x14ac:dyDescent="0.2">
      <c r="A2897" s="8" t="s">
        <v>32</v>
      </c>
      <c r="B2897" s="8" t="s">
        <v>120</v>
      </c>
      <c r="C2897" s="8" t="s">
        <v>465</v>
      </c>
      <c r="D2897" s="8" t="s">
        <v>466</v>
      </c>
      <c r="E2897" s="8" t="s">
        <v>36</v>
      </c>
      <c r="F2897" s="8" t="s">
        <v>37</v>
      </c>
      <c r="G2897" s="8" t="s">
        <v>7</v>
      </c>
      <c r="H2897" s="8" t="s">
        <v>38</v>
      </c>
      <c r="I2897" s="9">
        <v>159.83170000000001</v>
      </c>
      <c r="J2897">
        <v>150.42875142618001</v>
      </c>
      <c r="K2897">
        <v>150.77520576181001</v>
      </c>
      <c r="L2897">
        <v>153.74121661384001</v>
      </c>
    </row>
    <row r="2898" spans="1:12" x14ac:dyDescent="0.2">
      <c r="A2898" s="8" t="s">
        <v>32</v>
      </c>
      <c r="B2898" s="8" t="s">
        <v>120</v>
      </c>
      <c r="C2898" s="8" t="s">
        <v>465</v>
      </c>
      <c r="D2898" s="8" t="s">
        <v>466</v>
      </c>
      <c r="E2898" s="8" t="s">
        <v>64</v>
      </c>
      <c r="F2898" s="8" t="s">
        <v>65</v>
      </c>
      <c r="G2898" s="8" t="s">
        <v>7</v>
      </c>
      <c r="H2898" s="8" t="s">
        <v>38</v>
      </c>
      <c r="I2898" s="9"/>
    </row>
    <row r="2899" spans="1:12" x14ac:dyDescent="0.2">
      <c r="A2899" s="8" t="s">
        <v>32</v>
      </c>
      <c r="B2899" s="8" t="s">
        <v>120</v>
      </c>
      <c r="C2899" s="8" t="s">
        <v>465</v>
      </c>
      <c r="D2899" s="8" t="s">
        <v>466</v>
      </c>
      <c r="E2899" s="8" t="s">
        <v>39</v>
      </c>
      <c r="F2899" s="8" t="s">
        <v>40</v>
      </c>
      <c r="G2899" s="8" t="s">
        <v>7</v>
      </c>
      <c r="H2899" s="8" t="s">
        <v>38</v>
      </c>
      <c r="I2899" s="9">
        <v>96.076052000000004</v>
      </c>
      <c r="J2899">
        <v>96.937916625740996</v>
      </c>
      <c r="K2899">
        <v>97.419260427915006</v>
      </c>
      <c r="L2899">
        <v>99.335666923041998</v>
      </c>
    </row>
    <row r="2900" spans="1:12" x14ac:dyDescent="0.2">
      <c r="A2900" s="8" t="s">
        <v>32</v>
      </c>
      <c r="B2900" s="8" t="s">
        <v>120</v>
      </c>
      <c r="C2900" s="8" t="s">
        <v>465</v>
      </c>
      <c r="D2900" s="8" t="s">
        <v>466</v>
      </c>
      <c r="E2900" s="8" t="s">
        <v>41</v>
      </c>
      <c r="F2900" s="8" t="s">
        <v>42</v>
      </c>
      <c r="G2900" s="8" t="s">
        <v>7</v>
      </c>
      <c r="H2900" s="8" t="s">
        <v>38</v>
      </c>
      <c r="I2900" s="9">
        <v>3.4017255</v>
      </c>
      <c r="J2900">
        <v>3.8287099786389001</v>
      </c>
      <c r="K2900">
        <v>3.7462715212820998</v>
      </c>
      <c r="L2900">
        <v>4.2222146228069999</v>
      </c>
    </row>
    <row r="2901" spans="1:12" x14ac:dyDescent="0.2">
      <c r="A2901" s="8" t="s">
        <v>32</v>
      </c>
      <c r="B2901" s="8" t="s">
        <v>120</v>
      </c>
      <c r="C2901" s="8" t="s">
        <v>465</v>
      </c>
      <c r="D2901" s="8" t="s">
        <v>466</v>
      </c>
      <c r="E2901" s="8" t="s">
        <v>43</v>
      </c>
      <c r="F2901" s="8" t="s">
        <v>44</v>
      </c>
      <c r="G2901" s="8" t="s">
        <v>7</v>
      </c>
      <c r="H2901" s="8" t="s">
        <v>38</v>
      </c>
      <c r="I2901" s="9">
        <v>396.79257000000001</v>
      </c>
      <c r="J2901">
        <v>434.74910264921999</v>
      </c>
      <c r="K2901">
        <v>439.04163961643002</v>
      </c>
      <c r="L2901">
        <v>447.67835319952002</v>
      </c>
    </row>
    <row r="2902" spans="1:12" x14ac:dyDescent="0.2">
      <c r="A2902" s="8" t="s">
        <v>32</v>
      </c>
      <c r="B2902" s="8" t="s">
        <v>120</v>
      </c>
      <c r="C2902" s="8" t="s">
        <v>465</v>
      </c>
      <c r="D2902" s="8" t="s">
        <v>466</v>
      </c>
      <c r="E2902" s="8" t="s">
        <v>66</v>
      </c>
      <c r="F2902" s="8" t="s">
        <v>67</v>
      </c>
      <c r="G2902" s="8" t="s">
        <v>7</v>
      </c>
      <c r="H2902" s="8" t="s">
        <v>38</v>
      </c>
      <c r="I2902" s="9">
        <v>19.304791999999999</v>
      </c>
      <c r="J2902">
        <v>19.594686192746</v>
      </c>
      <c r="K2902">
        <v>18.697594410225999</v>
      </c>
      <c r="L2902">
        <v>19.065408651615002</v>
      </c>
    </row>
    <row r="2903" spans="1:12" x14ac:dyDescent="0.2">
      <c r="A2903" s="8" t="s">
        <v>32</v>
      </c>
      <c r="B2903" s="8" t="s">
        <v>120</v>
      </c>
      <c r="C2903" s="8" t="s">
        <v>465</v>
      </c>
      <c r="D2903" s="8" t="s">
        <v>466</v>
      </c>
      <c r="E2903" s="8" t="s">
        <v>45</v>
      </c>
      <c r="F2903" s="8" t="s">
        <v>46</v>
      </c>
      <c r="G2903" s="8" t="s">
        <v>7</v>
      </c>
      <c r="H2903" s="8" t="s">
        <v>38</v>
      </c>
      <c r="I2903" s="9">
        <v>4.1695577000000004</v>
      </c>
      <c r="J2903">
        <v>4.2462765357498</v>
      </c>
      <c r="K2903">
        <v>4.126186103917</v>
      </c>
      <c r="L2903">
        <v>3.8654845916199001</v>
      </c>
    </row>
    <row r="2904" spans="1:12" x14ac:dyDescent="0.2">
      <c r="A2904" s="8" t="s">
        <v>32</v>
      </c>
      <c r="B2904" s="8" t="s">
        <v>120</v>
      </c>
      <c r="C2904" s="8" t="s">
        <v>465</v>
      </c>
      <c r="D2904" s="8" t="s">
        <v>466</v>
      </c>
      <c r="E2904" s="8" t="s">
        <v>47</v>
      </c>
      <c r="F2904" s="8" t="s">
        <v>48</v>
      </c>
      <c r="G2904" s="8" t="s">
        <v>7</v>
      </c>
      <c r="H2904" s="8" t="s">
        <v>38</v>
      </c>
      <c r="I2904" s="9">
        <v>4.7697935999999999</v>
      </c>
      <c r="J2904">
        <v>5.3803176410268003</v>
      </c>
      <c r="K2904">
        <v>5.5899113649404999</v>
      </c>
      <c r="L2904">
        <v>5.699874655566</v>
      </c>
    </row>
    <row r="2905" spans="1:12" x14ac:dyDescent="0.2">
      <c r="A2905" s="8" t="s">
        <v>32</v>
      </c>
      <c r="B2905" s="8" t="s">
        <v>120</v>
      </c>
      <c r="C2905" s="8" t="s">
        <v>465</v>
      </c>
      <c r="D2905" s="8" t="s">
        <v>466</v>
      </c>
      <c r="E2905" s="8" t="s">
        <v>49</v>
      </c>
      <c r="F2905" s="8" t="s">
        <v>50</v>
      </c>
      <c r="G2905" s="8" t="s">
        <v>7</v>
      </c>
      <c r="H2905" s="8" t="s">
        <v>38</v>
      </c>
      <c r="I2905" s="9">
        <v>42.866143000000001</v>
      </c>
      <c r="J2905">
        <v>44.929640558446998</v>
      </c>
      <c r="K2905">
        <v>48.023463078165001</v>
      </c>
      <c r="L2905">
        <v>48.968168223299003</v>
      </c>
    </row>
    <row r="2906" spans="1:12" x14ac:dyDescent="0.2">
      <c r="A2906" s="8" t="s">
        <v>32</v>
      </c>
      <c r="B2906" s="8" t="s">
        <v>120</v>
      </c>
      <c r="C2906" s="8" t="s">
        <v>465</v>
      </c>
      <c r="D2906" s="8" t="s">
        <v>466</v>
      </c>
      <c r="E2906" s="8" t="s">
        <v>51</v>
      </c>
      <c r="F2906" s="8" t="s">
        <v>52</v>
      </c>
      <c r="G2906" s="8" t="s">
        <v>7</v>
      </c>
      <c r="H2906" s="8" t="s">
        <v>38</v>
      </c>
      <c r="I2906" s="9">
        <v>33.029825000000002</v>
      </c>
      <c r="J2906">
        <v>27.012417504967999</v>
      </c>
      <c r="K2906">
        <v>34.703412119470002</v>
      </c>
      <c r="L2906">
        <v>35.386088667175002</v>
      </c>
    </row>
    <row r="2907" spans="1:12" x14ac:dyDescent="0.2">
      <c r="A2907" s="8" t="s">
        <v>32</v>
      </c>
      <c r="B2907" s="8" t="s">
        <v>120</v>
      </c>
      <c r="C2907" s="8" t="s">
        <v>465</v>
      </c>
      <c r="D2907" s="8" t="s">
        <v>466</v>
      </c>
      <c r="E2907" s="8" t="s">
        <v>53</v>
      </c>
      <c r="F2907" s="8" t="s">
        <v>54</v>
      </c>
      <c r="G2907" s="8" t="s">
        <v>7</v>
      </c>
      <c r="H2907" s="8" t="s">
        <v>38</v>
      </c>
      <c r="I2907" s="9"/>
    </row>
    <row r="2908" spans="1:12" x14ac:dyDescent="0.2">
      <c r="A2908" s="8" t="s">
        <v>32</v>
      </c>
      <c r="B2908" s="8" t="s">
        <v>120</v>
      </c>
      <c r="C2908" s="8" t="s">
        <v>465</v>
      </c>
      <c r="D2908" s="8" t="s">
        <v>466</v>
      </c>
      <c r="E2908" s="8" t="s">
        <v>55</v>
      </c>
      <c r="F2908" s="8" t="s">
        <v>56</v>
      </c>
      <c r="G2908" s="8" t="s">
        <v>7</v>
      </c>
      <c r="H2908" s="8" t="s">
        <v>38</v>
      </c>
      <c r="I2908" s="9">
        <v>0.57325210000000004</v>
      </c>
      <c r="J2908">
        <v>0.58342326461433003</v>
      </c>
      <c r="K2908">
        <v>0.59377489075969003</v>
      </c>
      <c r="L2908">
        <v>0.60382641733560005</v>
      </c>
    </row>
    <row r="2909" spans="1:12" x14ac:dyDescent="0.2">
      <c r="A2909" s="8" t="s">
        <v>32</v>
      </c>
      <c r="B2909" s="8" t="s">
        <v>120</v>
      </c>
      <c r="C2909" s="8" t="s">
        <v>465</v>
      </c>
      <c r="D2909" s="8" t="s">
        <v>466</v>
      </c>
      <c r="E2909" s="8" t="s">
        <v>72</v>
      </c>
      <c r="F2909" s="8" t="s">
        <v>73</v>
      </c>
      <c r="G2909" s="8" t="s">
        <v>7</v>
      </c>
      <c r="H2909" s="8" t="s">
        <v>38</v>
      </c>
      <c r="I2909" s="9"/>
    </row>
    <row r="2910" spans="1:12" x14ac:dyDescent="0.2">
      <c r="A2910" s="8" t="s">
        <v>32</v>
      </c>
      <c r="B2910" s="8" t="s">
        <v>120</v>
      </c>
      <c r="C2910" s="8" t="s">
        <v>465</v>
      </c>
      <c r="D2910" s="8" t="s">
        <v>466</v>
      </c>
      <c r="E2910" s="8" t="s">
        <v>59</v>
      </c>
      <c r="F2910" s="8" t="s">
        <v>60</v>
      </c>
      <c r="G2910" s="8" t="s">
        <v>7</v>
      </c>
      <c r="H2910" s="8" t="s">
        <v>38</v>
      </c>
      <c r="I2910" s="9">
        <v>28.775241999999999</v>
      </c>
      <c r="J2910">
        <v>29.505105911881</v>
      </c>
      <c r="K2910">
        <v>30.191263909673001</v>
      </c>
      <c r="L2910">
        <v>31.011174654929</v>
      </c>
    </row>
    <row r="2911" spans="1:12" x14ac:dyDescent="0.2">
      <c r="A2911" s="8" t="s">
        <v>32</v>
      </c>
      <c r="B2911" s="8" t="s">
        <v>467</v>
      </c>
      <c r="C2911" s="8" t="s">
        <v>468</v>
      </c>
      <c r="D2911" s="8" t="s">
        <v>469</v>
      </c>
      <c r="E2911" s="8" t="s">
        <v>36</v>
      </c>
      <c r="F2911" s="8" t="s">
        <v>37</v>
      </c>
      <c r="G2911" s="8" t="s">
        <v>7</v>
      </c>
      <c r="H2911" s="8" t="s">
        <v>38</v>
      </c>
      <c r="I2911" s="9">
        <v>16.702303000000001</v>
      </c>
      <c r="J2911">
        <v>14.554195077397999</v>
      </c>
      <c r="K2911">
        <v>14.536038219082</v>
      </c>
      <c r="L2911">
        <v>14.521604359577999</v>
      </c>
    </row>
    <row r="2912" spans="1:12" x14ac:dyDescent="0.2">
      <c r="A2912" s="8" t="s">
        <v>32</v>
      </c>
      <c r="B2912" s="8" t="s">
        <v>467</v>
      </c>
      <c r="C2912" s="8" t="s">
        <v>468</v>
      </c>
      <c r="D2912" s="8" t="s">
        <v>469</v>
      </c>
      <c r="E2912" s="8" t="s">
        <v>39</v>
      </c>
      <c r="F2912" s="8" t="s">
        <v>40</v>
      </c>
      <c r="G2912" s="8" t="s">
        <v>7</v>
      </c>
      <c r="H2912" s="8" t="s">
        <v>38</v>
      </c>
      <c r="I2912" s="9">
        <v>1.9047229999999999</v>
      </c>
      <c r="J2912">
        <v>1.9678155093575</v>
      </c>
      <c r="K2912">
        <v>1.965375181437</v>
      </c>
      <c r="L2912">
        <v>1.9634236215406</v>
      </c>
    </row>
    <row r="2913" spans="1:12" x14ac:dyDescent="0.2">
      <c r="A2913" s="8" t="s">
        <v>32</v>
      </c>
      <c r="B2913" s="8" t="s">
        <v>467</v>
      </c>
      <c r="C2913" s="8" t="s">
        <v>468</v>
      </c>
      <c r="D2913" s="8" t="s">
        <v>469</v>
      </c>
      <c r="E2913" s="8" t="s">
        <v>41</v>
      </c>
      <c r="F2913" s="8" t="s">
        <v>42</v>
      </c>
      <c r="G2913" s="8" t="s">
        <v>7</v>
      </c>
      <c r="H2913" s="8" t="s">
        <v>38</v>
      </c>
      <c r="I2913" s="9">
        <v>0.80432400000000004</v>
      </c>
      <c r="J2913">
        <v>0.71750979295016004</v>
      </c>
      <c r="K2913">
        <v>0.71662010403317999</v>
      </c>
      <c r="L2913">
        <v>0.78775898688217005</v>
      </c>
    </row>
    <row r="2914" spans="1:12" x14ac:dyDescent="0.2">
      <c r="A2914" s="8" t="s">
        <v>32</v>
      </c>
      <c r="B2914" s="8" t="s">
        <v>467</v>
      </c>
      <c r="C2914" s="8" t="s">
        <v>468</v>
      </c>
      <c r="D2914" s="8" t="s">
        <v>469</v>
      </c>
      <c r="E2914" s="8" t="s">
        <v>43</v>
      </c>
      <c r="F2914" s="8" t="s">
        <v>44</v>
      </c>
      <c r="G2914" s="8" t="s">
        <v>7</v>
      </c>
      <c r="H2914" s="8" t="s">
        <v>38</v>
      </c>
      <c r="I2914" s="9">
        <v>9.2071047999999998</v>
      </c>
      <c r="J2914">
        <v>8.2321042748971998</v>
      </c>
      <c r="K2914">
        <v>8.2219100289229008</v>
      </c>
      <c r="L2914">
        <v>8.2137459134726001</v>
      </c>
    </row>
    <row r="2915" spans="1:12" x14ac:dyDescent="0.2">
      <c r="A2915" s="8" t="s">
        <v>32</v>
      </c>
      <c r="B2915" s="8" t="s">
        <v>467</v>
      </c>
      <c r="C2915" s="8" t="s">
        <v>468</v>
      </c>
      <c r="D2915" s="8" t="s">
        <v>469</v>
      </c>
      <c r="E2915" s="8" t="s">
        <v>45</v>
      </c>
      <c r="F2915" s="8" t="s">
        <v>46</v>
      </c>
      <c r="G2915" s="8" t="s">
        <v>7</v>
      </c>
      <c r="H2915" s="8" t="s">
        <v>38</v>
      </c>
      <c r="I2915" s="9">
        <v>0.70747769999999999</v>
      </c>
      <c r="J2915">
        <v>0.61532276677508002</v>
      </c>
      <c r="K2915">
        <v>0.61456560968979002</v>
      </c>
      <c r="L2915">
        <v>0.60667566628568004</v>
      </c>
    </row>
    <row r="2916" spans="1:12" x14ac:dyDescent="0.2">
      <c r="A2916" s="8" t="s">
        <v>32</v>
      </c>
      <c r="B2916" s="8" t="s">
        <v>467</v>
      </c>
      <c r="C2916" s="8" t="s">
        <v>468</v>
      </c>
      <c r="D2916" s="8" t="s">
        <v>469</v>
      </c>
      <c r="E2916" s="8" t="s">
        <v>47</v>
      </c>
      <c r="F2916" s="8" t="s">
        <v>48</v>
      </c>
      <c r="G2916" s="8" t="s">
        <v>7</v>
      </c>
      <c r="H2916" s="8" t="s">
        <v>38</v>
      </c>
      <c r="I2916" s="9">
        <v>0.30380550000000001</v>
      </c>
      <c r="J2916">
        <v>0.24828605059615</v>
      </c>
      <c r="K2916">
        <v>0.24798298988879</v>
      </c>
      <c r="L2916">
        <v>0.24773675005498</v>
      </c>
    </row>
    <row r="2917" spans="1:12" x14ac:dyDescent="0.2">
      <c r="A2917" s="8" t="s">
        <v>32</v>
      </c>
      <c r="B2917" s="8" t="s">
        <v>467</v>
      </c>
      <c r="C2917" s="8" t="s">
        <v>468</v>
      </c>
      <c r="D2917" s="8" t="s">
        <v>469</v>
      </c>
      <c r="E2917" s="8" t="s">
        <v>49</v>
      </c>
      <c r="F2917" s="8" t="s">
        <v>50</v>
      </c>
      <c r="G2917" s="8" t="s">
        <v>7</v>
      </c>
      <c r="H2917" s="8" t="s">
        <v>38</v>
      </c>
      <c r="I2917" s="9">
        <v>2.5321338</v>
      </c>
      <c r="J2917">
        <v>2.1989720660158998</v>
      </c>
      <c r="K2917">
        <v>2.1244382070025001</v>
      </c>
      <c r="L2917">
        <v>2.1223287021881001</v>
      </c>
    </row>
    <row r="2918" spans="1:12" x14ac:dyDescent="0.2">
      <c r="A2918" s="8" t="s">
        <v>32</v>
      </c>
      <c r="B2918" s="8" t="s">
        <v>467</v>
      </c>
      <c r="C2918" s="8" t="s">
        <v>468</v>
      </c>
      <c r="D2918" s="8" t="s">
        <v>469</v>
      </c>
      <c r="E2918" s="8" t="s">
        <v>51</v>
      </c>
      <c r="F2918" s="8" t="s">
        <v>52</v>
      </c>
      <c r="G2918" s="8" t="s">
        <v>7</v>
      </c>
      <c r="H2918" s="8" t="s">
        <v>38</v>
      </c>
      <c r="I2918" s="9">
        <v>0.19433139999999999</v>
      </c>
      <c r="J2918">
        <v>0.18294129633077999</v>
      </c>
      <c r="K2918">
        <v>0.18271295446522001</v>
      </c>
      <c r="L2918">
        <v>0.18253152586172999</v>
      </c>
    </row>
    <row r="2919" spans="1:12" x14ac:dyDescent="0.2">
      <c r="A2919" s="8" t="s">
        <v>32</v>
      </c>
      <c r="B2919" s="8" t="s">
        <v>467</v>
      </c>
      <c r="C2919" s="8" t="s">
        <v>468</v>
      </c>
      <c r="D2919" s="8" t="s">
        <v>469</v>
      </c>
      <c r="E2919" s="8" t="s">
        <v>53</v>
      </c>
      <c r="F2919" s="8" t="s">
        <v>54</v>
      </c>
      <c r="G2919" s="8" t="s">
        <v>7</v>
      </c>
      <c r="H2919" s="8" t="s">
        <v>38</v>
      </c>
      <c r="I2919" s="9"/>
    </row>
    <row r="2920" spans="1:12" x14ac:dyDescent="0.2">
      <c r="A2920" s="8" t="s">
        <v>32</v>
      </c>
      <c r="B2920" s="8" t="s">
        <v>467</v>
      </c>
      <c r="C2920" s="8" t="s">
        <v>468</v>
      </c>
      <c r="D2920" s="8" t="s">
        <v>469</v>
      </c>
      <c r="E2920" s="8" t="s">
        <v>55</v>
      </c>
      <c r="F2920" s="8" t="s">
        <v>56</v>
      </c>
      <c r="G2920" s="8" t="s">
        <v>7</v>
      </c>
      <c r="H2920" s="8" t="s">
        <v>38</v>
      </c>
      <c r="I2920" s="9">
        <v>3.1409999999999999E-4</v>
      </c>
      <c r="J2920">
        <v>3.1419776133871999E-4</v>
      </c>
      <c r="K2920">
        <v>3.1425460234058998E-4</v>
      </c>
      <c r="L2920">
        <v>3.1430950839878003E-4</v>
      </c>
    </row>
    <row r="2921" spans="1:12" x14ac:dyDescent="0.2">
      <c r="A2921" s="8" t="s">
        <v>32</v>
      </c>
      <c r="B2921" s="8" t="s">
        <v>467</v>
      </c>
      <c r="C2921" s="8" t="s">
        <v>468</v>
      </c>
      <c r="D2921" s="8" t="s">
        <v>469</v>
      </c>
      <c r="E2921" s="8" t="s">
        <v>59</v>
      </c>
      <c r="F2921" s="8" t="s">
        <v>60</v>
      </c>
      <c r="G2921" s="8" t="s">
        <v>7</v>
      </c>
      <c r="H2921" s="8" t="s">
        <v>38</v>
      </c>
      <c r="I2921" s="9">
        <v>9.6077399999999993E-2</v>
      </c>
      <c r="J2921">
        <v>8.5978819894239999E-2</v>
      </c>
      <c r="K2921">
        <v>8.5890041328361005E-2</v>
      </c>
      <c r="L2921">
        <v>8.1364157140917007E-2</v>
      </c>
    </row>
    <row r="2922" spans="1:12" x14ac:dyDescent="0.2">
      <c r="A2922" s="8" t="s">
        <v>32</v>
      </c>
      <c r="B2922" s="8" t="s">
        <v>467</v>
      </c>
      <c r="C2922" s="8" t="s">
        <v>468</v>
      </c>
      <c r="D2922" s="8" t="s">
        <v>469</v>
      </c>
      <c r="E2922" s="8" t="s">
        <v>92</v>
      </c>
      <c r="F2922" s="8" t="s">
        <v>93</v>
      </c>
      <c r="G2922" s="8" t="s">
        <v>7</v>
      </c>
      <c r="H2922" s="8" t="s">
        <v>38</v>
      </c>
      <c r="I2922" s="9">
        <v>3.6003599999999997E-2</v>
      </c>
      <c r="J2922">
        <v>3.6114644279999997E-2</v>
      </c>
      <c r="K2922">
        <v>3.6226034872342001E-2</v>
      </c>
      <c r="L2922">
        <v>3.6365574706809997E-2</v>
      </c>
    </row>
    <row r="2923" spans="1:12" x14ac:dyDescent="0.2">
      <c r="A2923" s="8" t="s">
        <v>32</v>
      </c>
      <c r="B2923" s="8" t="s">
        <v>125</v>
      </c>
      <c r="C2923" s="8" t="s">
        <v>470</v>
      </c>
      <c r="D2923" s="8" t="s">
        <v>471</v>
      </c>
      <c r="E2923" s="8" t="s">
        <v>36</v>
      </c>
      <c r="F2923" s="8" t="s">
        <v>37</v>
      </c>
      <c r="G2923" s="8" t="s">
        <v>7</v>
      </c>
      <c r="H2923" s="8" t="s">
        <v>38</v>
      </c>
      <c r="I2923" s="9">
        <v>32.247618000000003</v>
      </c>
      <c r="J2923">
        <v>30.131625300296999</v>
      </c>
      <c r="K2923">
        <v>26.42429474639</v>
      </c>
      <c r="L2923">
        <v>27.256970404644001</v>
      </c>
    </row>
    <row r="2924" spans="1:12" x14ac:dyDescent="0.2">
      <c r="A2924" s="8" t="s">
        <v>32</v>
      </c>
      <c r="B2924" s="8" t="s">
        <v>125</v>
      </c>
      <c r="C2924" s="8" t="s">
        <v>470</v>
      </c>
      <c r="D2924" s="8" t="s">
        <v>471</v>
      </c>
      <c r="E2924" s="8" t="s">
        <v>64</v>
      </c>
      <c r="F2924" s="8" t="s">
        <v>65</v>
      </c>
      <c r="G2924" s="8" t="s">
        <v>7</v>
      </c>
      <c r="H2924" s="8" t="s">
        <v>38</v>
      </c>
      <c r="I2924" s="9"/>
    </row>
    <row r="2925" spans="1:12" x14ac:dyDescent="0.2">
      <c r="A2925" s="8" t="s">
        <v>32</v>
      </c>
      <c r="B2925" s="8" t="s">
        <v>125</v>
      </c>
      <c r="C2925" s="8" t="s">
        <v>470</v>
      </c>
      <c r="D2925" s="8" t="s">
        <v>471</v>
      </c>
      <c r="E2925" s="8" t="s">
        <v>39</v>
      </c>
      <c r="F2925" s="8" t="s">
        <v>40</v>
      </c>
      <c r="G2925" s="8" t="s">
        <v>7</v>
      </c>
      <c r="H2925" s="8" t="s">
        <v>38</v>
      </c>
      <c r="I2925" s="9">
        <v>19.384288000000002</v>
      </c>
      <c r="J2925">
        <v>19.417145681699001</v>
      </c>
      <c r="K2925">
        <v>17.073332704245999</v>
      </c>
      <c r="L2925">
        <v>17.611343223904001</v>
      </c>
    </row>
    <row r="2926" spans="1:12" x14ac:dyDescent="0.2">
      <c r="A2926" s="8" t="s">
        <v>32</v>
      </c>
      <c r="B2926" s="8" t="s">
        <v>125</v>
      </c>
      <c r="C2926" s="8" t="s">
        <v>470</v>
      </c>
      <c r="D2926" s="8" t="s">
        <v>471</v>
      </c>
      <c r="E2926" s="8" t="s">
        <v>41</v>
      </c>
      <c r="F2926" s="8" t="s">
        <v>42</v>
      </c>
      <c r="G2926" s="8" t="s">
        <v>7</v>
      </c>
      <c r="H2926" s="8" t="s">
        <v>38</v>
      </c>
      <c r="I2926" s="9">
        <v>0.68633160000000004</v>
      </c>
      <c r="J2926">
        <v>0.76690960581740997</v>
      </c>
      <c r="K2926">
        <v>0.65655743846073999</v>
      </c>
      <c r="L2926">
        <v>0.73996943404490001</v>
      </c>
    </row>
    <row r="2927" spans="1:12" x14ac:dyDescent="0.2">
      <c r="A2927" s="8" t="s">
        <v>32</v>
      </c>
      <c r="B2927" s="8" t="s">
        <v>125</v>
      </c>
      <c r="C2927" s="8" t="s">
        <v>470</v>
      </c>
      <c r="D2927" s="8" t="s">
        <v>471</v>
      </c>
      <c r="E2927" s="8" t="s">
        <v>43</v>
      </c>
      <c r="F2927" s="8" t="s">
        <v>44</v>
      </c>
      <c r="G2927" s="8" t="s">
        <v>7</v>
      </c>
      <c r="H2927" s="8" t="s">
        <v>38</v>
      </c>
      <c r="I2927" s="9">
        <v>80.056804</v>
      </c>
      <c r="J2927">
        <v>87.082402376351993</v>
      </c>
      <c r="K2927">
        <v>76.944784340007999</v>
      </c>
      <c r="L2927">
        <v>79.369448822615993</v>
      </c>
    </row>
    <row r="2928" spans="1:12" x14ac:dyDescent="0.2">
      <c r="A2928" s="8" t="s">
        <v>32</v>
      </c>
      <c r="B2928" s="8" t="s">
        <v>125</v>
      </c>
      <c r="C2928" s="8" t="s">
        <v>470</v>
      </c>
      <c r="D2928" s="8" t="s">
        <v>471</v>
      </c>
      <c r="E2928" s="8" t="s">
        <v>66</v>
      </c>
      <c r="F2928" s="8" t="s">
        <v>67</v>
      </c>
      <c r="G2928" s="8" t="s">
        <v>7</v>
      </c>
      <c r="H2928" s="8" t="s">
        <v>38</v>
      </c>
      <c r="I2928" s="9">
        <v>3.8949316</v>
      </c>
      <c r="J2928">
        <v>3.924912868312</v>
      </c>
      <c r="K2928">
        <v>3.2768699816917</v>
      </c>
      <c r="L2928">
        <v>3.3801298754829001</v>
      </c>
    </row>
    <row r="2929" spans="1:12" x14ac:dyDescent="0.2">
      <c r="A2929" s="8" t="s">
        <v>32</v>
      </c>
      <c r="B2929" s="8" t="s">
        <v>125</v>
      </c>
      <c r="C2929" s="8" t="s">
        <v>470</v>
      </c>
      <c r="D2929" s="8" t="s">
        <v>471</v>
      </c>
      <c r="E2929" s="8" t="s">
        <v>45</v>
      </c>
      <c r="F2929" s="8" t="s">
        <v>46</v>
      </c>
      <c r="G2929" s="8" t="s">
        <v>7</v>
      </c>
      <c r="H2929" s="8" t="s">
        <v>38</v>
      </c>
      <c r="I2929" s="9">
        <v>0.84124929999999998</v>
      </c>
      <c r="J2929">
        <v>0.85055025906694004</v>
      </c>
      <c r="K2929">
        <v>0.72313983746510002</v>
      </c>
      <c r="L2929">
        <v>0.67745027221487997</v>
      </c>
    </row>
    <row r="2930" spans="1:12" x14ac:dyDescent="0.2">
      <c r="A2930" s="8" t="s">
        <v>32</v>
      </c>
      <c r="B2930" s="8" t="s">
        <v>125</v>
      </c>
      <c r="C2930" s="8" t="s">
        <v>470</v>
      </c>
      <c r="D2930" s="8" t="s">
        <v>471</v>
      </c>
      <c r="E2930" s="8" t="s">
        <v>47</v>
      </c>
      <c r="F2930" s="8" t="s">
        <v>48</v>
      </c>
      <c r="G2930" s="8" t="s">
        <v>7</v>
      </c>
      <c r="H2930" s="8" t="s">
        <v>38</v>
      </c>
      <c r="I2930" s="9">
        <v>0.96235280000000001</v>
      </c>
      <c r="J2930">
        <v>1.0777043192807001</v>
      </c>
      <c r="K2930">
        <v>0.97966681436156999</v>
      </c>
      <c r="L2930">
        <v>1.0105378259571001</v>
      </c>
    </row>
    <row r="2931" spans="1:12" x14ac:dyDescent="0.2">
      <c r="A2931" s="8" t="s">
        <v>32</v>
      </c>
      <c r="B2931" s="8" t="s">
        <v>125</v>
      </c>
      <c r="C2931" s="8" t="s">
        <v>470</v>
      </c>
      <c r="D2931" s="8" t="s">
        <v>471</v>
      </c>
      <c r="E2931" s="8" t="s">
        <v>49</v>
      </c>
      <c r="F2931" s="8" t="s">
        <v>50</v>
      </c>
      <c r="G2931" s="8" t="s">
        <v>7</v>
      </c>
      <c r="H2931" s="8" t="s">
        <v>38</v>
      </c>
      <c r="I2931" s="9">
        <v>8.6486660000000004</v>
      </c>
      <c r="J2931">
        <v>8.9996299334340009</v>
      </c>
      <c r="K2931">
        <v>8.4164112839912004</v>
      </c>
      <c r="L2931">
        <v>8.6816270966856006</v>
      </c>
    </row>
    <row r="2932" spans="1:12" x14ac:dyDescent="0.2">
      <c r="A2932" s="8" t="s">
        <v>32</v>
      </c>
      <c r="B2932" s="8" t="s">
        <v>125</v>
      </c>
      <c r="C2932" s="8" t="s">
        <v>470</v>
      </c>
      <c r="D2932" s="8" t="s">
        <v>471</v>
      </c>
      <c r="E2932" s="8" t="s">
        <v>51</v>
      </c>
      <c r="F2932" s="8" t="s">
        <v>52</v>
      </c>
      <c r="G2932" s="8" t="s">
        <v>7</v>
      </c>
      <c r="H2932" s="8" t="s">
        <v>38</v>
      </c>
      <c r="I2932" s="9">
        <v>6.6640921000000004</v>
      </c>
      <c r="J2932">
        <v>5.4107212550673998</v>
      </c>
      <c r="K2932">
        <v>6.0819893159290999</v>
      </c>
      <c r="L2932">
        <v>6.2736434170409003</v>
      </c>
    </row>
    <row r="2933" spans="1:12" x14ac:dyDescent="0.2">
      <c r="A2933" s="8" t="s">
        <v>32</v>
      </c>
      <c r="B2933" s="8" t="s">
        <v>125</v>
      </c>
      <c r="C2933" s="8" t="s">
        <v>470</v>
      </c>
      <c r="D2933" s="8" t="s">
        <v>471</v>
      </c>
      <c r="E2933" s="8" t="s">
        <v>53</v>
      </c>
      <c r="F2933" s="8" t="s">
        <v>54</v>
      </c>
      <c r="G2933" s="8" t="s">
        <v>7</v>
      </c>
      <c r="H2933" s="8" t="s">
        <v>38</v>
      </c>
      <c r="I2933" s="9"/>
    </row>
    <row r="2934" spans="1:12" x14ac:dyDescent="0.2">
      <c r="A2934" s="8" t="s">
        <v>32</v>
      </c>
      <c r="B2934" s="8" t="s">
        <v>125</v>
      </c>
      <c r="C2934" s="8" t="s">
        <v>470</v>
      </c>
      <c r="D2934" s="8" t="s">
        <v>471</v>
      </c>
      <c r="E2934" s="8" t="s">
        <v>55</v>
      </c>
      <c r="F2934" s="8" t="s">
        <v>56</v>
      </c>
      <c r="G2934" s="8" t="s">
        <v>7</v>
      </c>
      <c r="H2934" s="8" t="s">
        <v>38</v>
      </c>
      <c r="I2934" s="9">
        <v>1.0136900000000001E-2</v>
      </c>
      <c r="J2934">
        <v>1.0309191148595E-2</v>
      </c>
      <c r="K2934">
        <v>1.0484427716127001E-2</v>
      </c>
      <c r="L2934">
        <v>1.0654668588232E-2</v>
      </c>
    </row>
    <row r="2935" spans="1:12" x14ac:dyDescent="0.2">
      <c r="A2935" s="8" t="s">
        <v>32</v>
      </c>
      <c r="B2935" s="8" t="s">
        <v>125</v>
      </c>
      <c r="C2935" s="8" t="s">
        <v>470</v>
      </c>
      <c r="D2935" s="8" t="s">
        <v>471</v>
      </c>
      <c r="E2935" s="8" t="s">
        <v>57</v>
      </c>
      <c r="F2935" s="8" t="s">
        <v>58</v>
      </c>
      <c r="G2935" s="8" t="s">
        <v>7</v>
      </c>
      <c r="H2935" s="8" t="s">
        <v>38</v>
      </c>
      <c r="I2935" s="9">
        <v>1.134E-5</v>
      </c>
      <c r="J2935">
        <v>1.1073253968254E-5</v>
      </c>
      <c r="K2935">
        <v>1.0809605064248001E-5</v>
      </c>
      <c r="L2935">
        <v>1.0536859410431001E-5</v>
      </c>
    </row>
    <row r="2936" spans="1:12" x14ac:dyDescent="0.2">
      <c r="A2936" s="8" t="s">
        <v>32</v>
      </c>
      <c r="B2936" s="8" t="s">
        <v>125</v>
      </c>
      <c r="C2936" s="8" t="s">
        <v>470</v>
      </c>
      <c r="D2936" s="8" t="s">
        <v>471</v>
      </c>
      <c r="E2936" s="8" t="s">
        <v>59</v>
      </c>
      <c r="F2936" s="8" t="s">
        <v>60</v>
      </c>
      <c r="G2936" s="8" t="s">
        <v>7</v>
      </c>
      <c r="H2936" s="8" t="s">
        <v>38</v>
      </c>
      <c r="I2936" s="9">
        <v>0.66730869999999998</v>
      </c>
      <c r="J2936">
        <v>0.66117876687129995</v>
      </c>
      <c r="K2936">
        <v>0.62367069285628995</v>
      </c>
      <c r="L2936">
        <v>0.62367921962433004</v>
      </c>
    </row>
    <row r="2937" spans="1:12" x14ac:dyDescent="0.2">
      <c r="A2937" s="8" t="s">
        <v>32</v>
      </c>
      <c r="B2937" s="8" t="s">
        <v>99</v>
      </c>
      <c r="C2937" s="8" t="s">
        <v>472</v>
      </c>
      <c r="D2937" s="8" t="s">
        <v>473</v>
      </c>
      <c r="E2937" s="8" t="s">
        <v>36</v>
      </c>
      <c r="F2937" s="8" t="s">
        <v>37</v>
      </c>
      <c r="G2937" s="8" t="s">
        <v>7</v>
      </c>
      <c r="H2937" s="8" t="s">
        <v>38</v>
      </c>
      <c r="I2937" s="9">
        <v>1057.3961999999999</v>
      </c>
      <c r="J2937">
        <v>1073.6974620000001</v>
      </c>
      <c r="K2937">
        <v>1167.369465</v>
      </c>
      <c r="L2937">
        <v>824.46470979459002</v>
      </c>
    </row>
    <row r="2938" spans="1:12" x14ac:dyDescent="0.2">
      <c r="A2938" s="8" t="s">
        <v>32</v>
      </c>
      <c r="B2938" s="8" t="s">
        <v>99</v>
      </c>
      <c r="C2938" s="8" t="s">
        <v>472</v>
      </c>
      <c r="D2938" s="8" t="s">
        <v>473</v>
      </c>
      <c r="E2938" s="8" t="s">
        <v>64</v>
      </c>
      <c r="F2938" s="8" t="s">
        <v>65</v>
      </c>
      <c r="G2938" s="8" t="s">
        <v>7</v>
      </c>
      <c r="H2938" s="8" t="s">
        <v>38</v>
      </c>
      <c r="I2938" s="9">
        <v>30.042491999999999</v>
      </c>
      <c r="J2938">
        <v>28.998828</v>
      </c>
      <c r="K2938">
        <v>30.01135</v>
      </c>
      <c r="L2938">
        <v>30.496263008686</v>
      </c>
    </row>
    <row r="2939" spans="1:12" x14ac:dyDescent="0.2">
      <c r="A2939" s="8" t="s">
        <v>32</v>
      </c>
      <c r="B2939" s="8" t="s">
        <v>99</v>
      </c>
      <c r="C2939" s="8" t="s">
        <v>472</v>
      </c>
      <c r="D2939" s="8" t="s">
        <v>473</v>
      </c>
      <c r="E2939" s="8" t="s">
        <v>39</v>
      </c>
      <c r="F2939" s="8" t="s">
        <v>40</v>
      </c>
      <c r="G2939" s="8" t="s">
        <v>7</v>
      </c>
      <c r="H2939" s="8" t="s">
        <v>38</v>
      </c>
      <c r="I2939" s="9">
        <v>102.93501000000001</v>
      </c>
      <c r="J2939">
        <v>105.78805800000001</v>
      </c>
      <c r="K2939">
        <v>108.257082</v>
      </c>
      <c r="L2939">
        <v>105.65184927212999</v>
      </c>
    </row>
    <row r="2940" spans="1:12" x14ac:dyDescent="0.2">
      <c r="A2940" s="8" t="s">
        <v>32</v>
      </c>
      <c r="B2940" s="8" t="s">
        <v>99</v>
      </c>
      <c r="C2940" s="8" t="s">
        <v>472</v>
      </c>
      <c r="D2940" s="8" t="s">
        <v>473</v>
      </c>
      <c r="E2940" s="8" t="s">
        <v>41</v>
      </c>
      <c r="F2940" s="8" t="s">
        <v>42</v>
      </c>
      <c r="G2940" s="8" t="s">
        <v>7</v>
      </c>
      <c r="H2940" s="8" t="s">
        <v>38</v>
      </c>
      <c r="I2940" s="9"/>
    </row>
    <row r="2941" spans="1:12" x14ac:dyDescent="0.2">
      <c r="A2941" s="8" t="s">
        <v>32</v>
      </c>
      <c r="B2941" s="8" t="s">
        <v>99</v>
      </c>
      <c r="C2941" s="8" t="s">
        <v>472</v>
      </c>
      <c r="D2941" s="8" t="s">
        <v>473</v>
      </c>
      <c r="E2941" s="8" t="s">
        <v>43</v>
      </c>
      <c r="F2941" s="8" t="s">
        <v>44</v>
      </c>
      <c r="G2941" s="8" t="s">
        <v>7</v>
      </c>
      <c r="H2941" s="8" t="s">
        <v>38</v>
      </c>
      <c r="I2941" s="9">
        <v>413.38905</v>
      </c>
      <c r="J2941">
        <v>518.04036900000006</v>
      </c>
      <c r="K2941">
        <v>541.352889</v>
      </c>
      <c r="L2941">
        <v>571.54862763456003</v>
      </c>
    </row>
    <row r="2942" spans="1:12" x14ac:dyDescent="0.2">
      <c r="A2942" s="8" t="s">
        <v>32</v>
      </c>
      <c r="B2942" s="8" t="s">
        <v>99</v>
      </c>
      <c r="C2942" s="8" t="s">
        <v>472</v>
      </c>
      <c r="D2942" s="8" t="s">
        <v>473</v>
      </c>
      <c r="E2942" s="8" t="s">
        <v>45</v>
      </c>
      <c r="F2942" s="8" t="s">
        <v>46</v>
      </c>
      <c r="G2942" s="8" t="s">
        <v>7</v>
      </c>
      <c r="H2942" s="8" t="s">
        <v>38</v>
      </c>
      <c r="I2942" s="9"/>
    </row>
    <row r="2943" spans="1:12" x14ac:dyDescent="0.2">
      <c r="A2943" s="8" t="s">
        <v>32</v>
      </c>
      <c r="B2943" s="8" t="s">
        <v>99</v>
      </c>
      <c r="C2943" s="8" t="s">
        <v>472</v>
      </c>
      <c r="D2943" s="8" t="s">
        <v>473</v>
      </c>
      <c r="E2943" s="8" t="s">
        <v>47</v>
      </c>
      <c r="F2943" s="8" t="s">
        <v>48</v>
      </c>
      <c r="G2943" s="8" t="s">
        <v>7</v>
      </c>
      <c r="H2943" s="8" t="s">
        <v>38</v>
      </c>
      <c r="I2943" s="9">
        <v>397.27381000000003</v>
      </c>
      <c r="J2943">
        <v>393.73479600000002</v>
      </c>
      <c r="K2943">
        <v>401.16850799999997</v>
      </c>
      <c r="L2943">
        <v>370.48223867229001</v>
      </c>
    </row>
    <row r="2944" spans="1:12" x14ac:dyDescent="0.2">
      <c r="A2944" s="8" t="s">
        <v>32</v>
      </c>
      <c r="B2944" s="8" t="s">
        <v>99</v>
      </c>
      <c r="C2944" s="8" t="s">
        <v>472</v>
      </c>
      <c r="D2944" s="8" t="s">
        <v>473</v>
      </c>
      <c r="E2944" s="8" t="s">
        <v>49</v>
      </c>
      <c r="F2944" s="8" t="s">
        <v>50</v>
      </c>
      <c r="G2944" s="8" t="s">
        <v>7</v>
      </c>
      <c r="H2944" s="8" t="s">
        <v>38</v>
      </c>
      <c r="I2944" s="9">
        <v>578.75246000000004</v>
      </c>
      <c r="J2944">
        <v>573.66800599999999</v>
      </c>
      <c r="K2944">
        <v>585.03638799999999</v>
      </c>
      <c r="L2944">
        <v>567.89893307614</v>
      </c>
    </row>
    <row r="2945" spans="1:12" x14ac:dyDescent="0.2">
      <c r="A2945" s="8" t="s">
        <v>32</v>
      </c>
      <c r="B2945" s="8" t="s">
        <v>99</v>
      </c>
      <c r="C2945" s="8" t="s">
        <v>472</v>
      </c>
      <c r="D2945" s="8" t="s">
        <v>473</v>
      </c>
      <c r="E2945" s="8" t="s">
        <v>51</v>
      </c>
      <c r="F2945" s="8" t="s">
        <v>52</v>
      </c>
      <c r="G2945" s="8" t="s">
        <v>7</v>
      </c>
      <c r="H2945" s="8" t="s">
        <v>38</v>
      </c>
      <c r="I2945" s="9"/>
    </row>
    <row r="2946" spans="1:12" x14ac:dyDescent="0.2">
      <c r="A2946" s="8" t="s">
        <v>32</v>
      </c>
      <c r="B2946" s="8" t="s">
        <v>99</v>
      </c>
      <c r="C2946" s="8" t="s">
        <v>472</v>
      </c>
      <c r="D2946" s="8" t="s">
        <v>473</v>
      </c>
      <c r="E2946" s="8" t="s">
        <v>53</v>
      </c>
      <c r="F2946" s="8" t="s">
        <v>54</v>
      </c>
      <c r="G2946" s="8" t="s">
        <v>7</v>
      </c>
      <c r="H2946" s="8" t="s">
        <v>38</v>
      </c>
      <c r="I2946" s="9">
        <v>3.8089678</v>
      </c>
      <c r="J2946">
        <v>3.8090387070746998</v>
      </c>
      <c r="K2946">
        <v>8.1570557267964006</v>
      </c>
      <c r="L2946">
        <v>3.8980069019636998</v>
      </c>
    </row>
    <row r="2947" spans="1:12" x14ac:dyDescent="0.2">
      <c r="A2947" s="8" t="s">
        <v>32</v>
      </c>
      <c r="B2947" s="8" t="s">
        <v>99</v>
      </c>
      <c r="C2947" s="8" t="s">
        <v>472</v>
      </c>
      <c r="D2947" s="8" t="s">
        <v>473</v>
      </c>
      <c r="E2947" s="8" t="s">
        <v>70</v>
      </c>
      <c r="F2947" s="8" t="s">
        <v>71</v>
      </c>
      <c r="G2947" s="8" t="s">
        <v>7</v>
      </c>
      <c r="H2947" s="8" t="s">
        <v>38</v>
      </c>
      <c r="I2947" s="9">
        <v>19.157867</v>
      </c>
      <c r="J2947">
        <v>19.157866550000001</v>
      </c>
      <c r="K2947">
        <v>19.157866550000001</v>
      </c>
      <c r="L2947">
        <v>19.136253839780998</v>
      </c>
    </row>
    <row r="2948" spans="1:12" x14ac:dyDescent="0.2">
      <c r="A2948" s="8" t="s">
        <v>32</v>
      </c>
      <c r="B2948" s="8" t="s">
        <v>99</v>
      </c>
      <c r="C2948" s="8" t="s">
        <v>472</v>
      </c>
      <c r="D2948" s="8" t="s">
        <v>473</v>
      </c>
      <c r="E2948" s="8" t="s">
        <v>55</v>
      </c>
      <c r="F2948" s="8" t="s">
        <v>56</v>
      </c>
      <c r="G2948" s="8" t="s">
        <v>7</v>
      </c>
      <c r="H2948" s="8" t="s">
        <v>38</v>
      </c>
      <c r="I2948" s="9">
        <v>2.77717E-2</v>
      </c>
      <c r="J2948">
        <v>3.1105019008621001E-2</v>
      </c>
      <c r="K2948">
        <v>3.1105019008621001E-2</v>
      </c>
      <c r="L2948">
        <v>3.1105019008621001E-2</v>
      </c>
    </row>
    <row r="2949" spans="1:12" x14ac:dyDescent="0.2">
      <c r="A2949" s="8" t="s">
        <v>32</v>
      </c>
      <c r="B2949" s="8" t="s">
        <v>99</v>
      </c>
      <c r="C2949" s="8" t="s">
        <v>472</v>
      </c>
      <c r="D2949" s="8" t="s">
        <v>473</v>
      </c>
      <c r="E2949" s="8" t="s">
        <v>57</v>
      </c>
      <c r="F2949" s="8" t="s">
        <v>58</v>
      </c>
      <c r="G2949" s="8" t="s">
        <v>7</v>
      </c>
      <c r="H2949" s="8" t="s">
        <v>38</v>
      </c>
      <c r="I2949" s="9">
        <v>4.4610400000000001E-2</v>
      </c>
      <c r="J2949">
        <v>4.9964832832835003E-2</v>
      </c>
      <c r="K2949">
        <v>4.9964832832835003E-2</v>
      </c>
      <c r="L2949">
        <v>4.9964832832835003E-2</v>
      </c>
    </row>
    <row r="2950" spans="1:12" x14ac:dyDescent="0.2">
      <c r="A2950" s="8" t="s">
        <v>32</v>
      </c>
      <c r="B2950" s="8" t="s">
        <v>99</v>
      </c>
      <c r="C2950" s="8" t="s">
        <v>472</v>
      </c>
      <c r="D2950" s="8" t="s">
        <v>473</v>
      </c>
      <c r="E2950" s="8" t="s">
        <v>74</v>
      </c>
      <c r="F2950" s="8" t="s">
        <v>75</v>
      </c>
      <c r="G2950" s="8" t="s">
        <v>7</v>
      </c>
      <c r="H2950" s="8" t="s">
        <v>38</v>
      </c>
      <c r="I2950" s="9"/>
    </row>
    <row r="2951" spans="1:12" x14ac:dyDescent="0.2">
      <c r="A2951" s="8" t="s">
        <v>32</v>
      </c>
      <c r="B2951" s="8" t="s">
        <v>99</v>
      </c>
      <c r="C2951" s="8" t="s">
        <v>472</v>
      </c>
      <c r="D2951" s="8" t="s">
        <v>473</v>
      </c>
      <c r="E2951" s="8" t="s">
        <v>59</v>
      </c>
      <c r="F2951" s="8" t="s">
        <v>60</v>
      </c>
      <c r="G2951" s="8" t="s">
        <v>7</v>
      </c>
      <c r="H2951" s="8" t="s">
        <v>38</v>
      </c>
      <c r="I2951" s="9">
        <v>1.3319631999999999</v>
      </c>
      <c r="J2951">
        <v>1.9225191161202</v>
      </c>
      <c r="K2951">
        <v>2.0216445180303002</v>
      </c>
      <c r="L2951">
        <v>2.1020895298304998</v>
      </c>
    </row>
    <row r="2952" spans="1:12" x14ac:dyDescent="0.2">
      <c r="A2952" s="8" t="s">
        <v>32</v>
      </c>
      <c r="B2952" s="8" t="s">
        <v>99</v>
      </c>
      <c r="C2952" s="8" t="s">
        <v>472</v>
      </c>
      <c r="D2952" s="8" t="s">
        <v>473</v>
      </c>
      <c r="E2952" s="8" t="s">
        <v>92</v>
      </c>
      <c r="F2952" s="8" t="s">
        <v>93</v>
      </c>
      <c r="G2952" s="8" t="s">
        <v>7</v>
      </c>
      <c r="H2952" s="8" t="s">
        <v>38</v>
      </c>
      <c r="I2952" s="9">
        <v>0.2000343</v>
      </c>
      <c r="J2952">
        <v>0.20141990264000001</v>
      </c>
      <c r="K2952">
        <v>0.20281508909522999</v>
      </c>
      <c r="L2952">
        <v>0.20439770884226999</v>
      </c>
    </row>
    <row r="2953" spans="1:12" x14ac:dyDescent="0.2">
      <c r="A2953" s="8" t="s">
        <v>110</v>
      </c>
      <c r="B2953" s="8" t="s">
        <v>89</v>
      </c>
      <c r="C2953" s="8" t="s">
        <v>474</v>
      </c>
      <c r="D2953" s="8" t="s">
        <v>475</v>
      </c>
      <c r="E2953" s="8" t="s">
        <v>36</v>
      </c>
      <c r="F2953" s="8" t="s">
        <v>37</v>
      </c>
      <c r="G2953" s="8" t="s">
        <v>7</v>
      </c>
      <c r="H2953" s="8" t="s">
        <v>38</v>
      </c>
      <c r="I2953" s="9">
        <v>5424.7062999999998</v>
      </c>
      <c r="J2953">
        <v>5693.0149579999998</v>
      </c>
      <c r="K2953">
        <v>4711.6215309999998</v>
      </c>
      <c r="L2953">
        <v>4197.2210082357997</v>
      </c>
    </row>
    <row r="2954" spans="1:12" x14ac:dyDescent="0.2">
      <c r="A2954" s="8" t="s">
        <v>110</v>
      </c>
      <c r="B2954" s="8" t="s">
        <v>89</v>
      </c>
      <c r="C2954" s="8" t="s">
        <v>474</v>
      </c>
      <c r="D2954" s="8" t="s">
        <v>475</v>
      </c>
      <c r="E2954" s="8" t="s">
        <v>64</v>
      </c>
      <c r="F2954" s="8" t="s">
        <v>65</v>
      </c>
      <c r="G2954" s="8" t="s">
        <v>7</v>
      </c>
      <c r="H2954" s="8" t="s">
        <v>38</v>
      </c>
      <c r="I2954" s="9">
        <v>3703.8078999999998</v>
      </c>
      <c r="J2954">
        <v>4685.1780099999996</v>
      </c>
      <c r="K2954">
        <v>3297.8188700000001</v>
      </c>
      <c r="L2954">
        <v>3393.6304652221002</v>
      </c>
    </row>
    <row r="2955" spans="1:12" x14ac:dyDescent="0.2">
      <c r="A2955" s="8" t="s">
        <v>110</v>
      </c>
      <c r="B2955" s="8" t="s">
        <v>89</v>
      </c>
      <c r="C2955" s="8" t="s">
        <v>474</v>
      </c>
      <c r="D2955" s="8" t="s">
        <v>475</v>
      </c>
      <c r="E2955" s="8" t="s">
        <v>39</v>
      </c>
      <c r="F2955" s="8" t="s">
        <v>40</v>
      </c>
      <c r="G2955" s="8" t="s">
        <v>7</v>
      </c>
      <c r="H2955" s="8" t="s">
        <v>38</v>
      </c>
      <c r="I2955" s="9">
        <v>7210.0748999999996</v>
      </c>
      <c r="J2955">
        <v>7985.5668649999998</v>
      </c>
      <c r="K2955">
        <v>8136.9486740000002</v>
      </c>
      <c r="L2955">
        <v>6941.5239169844999</v>
      </c>
    </row>
    <row r="2956" spans="1:12" x14ac:dyDescent="0.2">
      <c r="A2956" s="8" t="s">
        <v>110</v>
      </c>
      <c r="B2956" s="8" t="s">
        <v>89</v>
      </c>
      <c r="C2956" s="8" t="s">
        <v>474</v>
      </c>
      <c r="D2956" s="8" t="s">
        <v>475</v>
      </c>
      <c r="E2956" s="8" t="s">
        <v>41</v>
      </c>
      <c r="F2956" s="8" t="s">
        <v>42</v>
      </c>
      <c r="G2956" s="8" t="s">
        <v>7</v>
      </c>
      <c r="H2956" s="8" t="s">
        <v>38</v>
      </c>
      <c r="I2956" s="9"/>
    </row>
    <row r="2957" spans="1:12" x14ac:dyDescent="0.2">
      <c r="A2957" s="8" t="s">
        <v>110</v>
      </c>
      <c r="B2957" s="8" t="s">
        <v>89</v>
      </c>
      <c r="C2957" s="8" t="s">
        <v>474</v>
      </c>
      <c r="D2957" s="8" t="s">
        <v>475</v>
      </c>
      <c r="E2957" s="8" t="s">
        <v>43</v>
      </c>
      <c r="F2957" s="8" t="s">
        <v>44</v>
      </c>
      <c r="G2957" s="8" t="s">
        <v>7</v>
      </c>
      <c r="H2957" s="8" t="s">
        <v>38</v>
      </c>
      <c r="I2957" s="9">
        <v>6703.6715999999997</v>
      </c>
      <c r="J2957">
        <v>7002.5871599999</v>
      </c>
      <c r="K2957">
        <v>7309.2533400000002</v>
      </c>
      <c r="L2957">
        <v>7225.9310458834998</v>
      </c>
    </row>
    <row r="2958" spans="1:12" x14ac:dyDescent="0.2">
      <c r="A2958" s="8" t="s">
        <v>110</v>
      </c>
      <c r="B2958" s="8" t="s">
        <v>89</v>
      </c>
      <c r="C2958" s="8" t="s">
        <v>474</v>
      </c>
      <c r="D2958" s="8" t="s">
        <v>475</v>
      </c>
      <c r="E2958" s="8" t="s">
        <v>47</v>
      </c>
      <c r="F2958" s="8" t="s">
        <v>48</v>
      </c>
      <c r="G2958" s="8" t="s">
        <v>7</v>
      </c>
      <c r="H2958" s="8" t="s">
        <v>38</v>
      </c>
      <c r="I2958" s="9">
        <v>284.56905999999998</v>
      </c>
      <c r="J2958">
        <v>248.44174000000001</v>
      </c>
      <c r="K2958">
        <v>157.96366</v>
      </c>
      <c r="L2958">
        <v>140.06462491157001</v>
      </c>
    </row>
    <row r="2959" spans="1:12" x14ac:dyDescent="0.2">
      <c r="A2959" s="8" t="s">
        <v>110</v>
      </c>
      <c r="B2959" s="8" t="s">
        <v>89</v>
      </c>
      <c r="C2959" s="8" t="s">
        <v>474</v>
      </c>
      <c r="D2959" s="8" t="s">
        <v>475</v>
      </c>
      <c r="E2959" s="8" t="s">
        <v>49</v>
      </c>
      <c r="F2959" s="8" t="s">
        <v>50</v>
      </c>
      <c r="G2959" s="8" t="s">
        <v>7</v>
      </c>
      <c r="H2959" s="8" t="s">
        <v>38</v>
      </c>
      <c r="I2959" s="9">
        <v>4266.0141999999996</v>
      </c>
      <c r="J2959">
        <v>5024.7787930000004</v>
      </c>
      <c r="K2959">
        <v>4516.7074789999997</v>
      </c>
      <c r="L2959">
        <v>4067.472490485</v>
      </c>
    </row>
    <row r="2960" spans="1:12" x14ac:dyDescent="0.2">
      <c r="A2960" s="8" t="s">
        <v>110</v>
      </c>
      <c r="B2960" s="8" t="s">
        <v>89</v>
      </c>
      <c r="C2960" s="8" t="s">
        <v>474</v>
      </c>
      <c r="D2960" s="8" t="s">
        <v>475</v>
      </c>
      <c r="E2960" s="8" t="s">
        <v>51</v>
      </c>
      <c r="F2960" s="8" t="s">
        <v>52</v>
      </c>
      <c r="G2960" s="8" t="s">
        <v>7</v>
      </c>
      <c r="H2960" s="8" t="s">
        <v>38</v>
      </c>
      <c r="I2960" s="9"/>
    </row>
    <row r="2961" spans="1:12" x14ac:dyDescent="0.2">
      <c r="A2961" s="8" t="s">
        <v>110</v>
      </c>
      <c r="B2961" s="8" t="s">
        <v>89</v>
      </c>
      <c r="C2961" s="8" t="s">
        <v>474</v>
      </c>
      <c r="D2961" s="8" t="s">
        <v>475</v>
      </c>
      <c r="E2961" s="8" t="s">
        <v>68</v>
      </c>
      <c r="F2961" s="8" t="s">
        <v>69</v>
      </c>
      <c r="G2961" s="8" t="s">
        <v>7</v>
      </c>
      <c r="H2961" s="8" t="s">
        <v>38</v>
      </c>
      <c r="I2961" s="9">
        <v>242.58077</v>
      </c>
      <c r="J2961">
        <v>355.64554153072999</v>
      </c>
      <c r="K2961">
        <v>315.97813156017003</v>
      </c>
      <c r="L2961">
        <v>260.05159988693998</v>
      </c>
    </row>
    <row r="2962" spans="1:12" x14ac:dyDescent="0.2">
      <c r="A2962" s="8" t="s">
        <v>110</v>
      </c>
      <c r="B2962" s="8" t="s">
        <v>89</v>
      </c>
      <c r="C2962" s="8" t="s">
        <v>474</v>
      </c>
      <c r="D2962" s="8" t="s">
        <v>475</v>
      </c>
      <c r="E2962" s="8" t="s">
        <v>53</v>
      </c>
      <c r="F2962" s="8" t="s">
        <v>54</v>
      </c>
      <c r="G2962" s="8" t="s">
        <v>7</v>
      </c>
      <c r="H2962" s="8" t="s">
        <v>38</v>
      </c>
      <c r="I2962" s="9">
        <v>367.91568000000001</v>
      </c>
      <c r="J2962">
        <v>719.49626369235</v>
      </c>
      <c r="K2962">
        <v>591.44670271133998</v>
      </c>
      <c r="L2962">
        <v>727.08810231055998</v>
      </c>
    </row>
    <row r="2963" spans="1:12" x14ac:dyDescent="0.2">
      <c r="A2963" s="8" t="s">
        <v>110</v>
      </c>
      <c r="B2963" s="8" t="s">
        <v>89</v>
      </c>
      <c r="C2963" s="8" t="s">
        <v>474</v>
      </c>
      <c r="D2963" s="8" t="s">
        <v>475</v>
      </c>
      <c r="E2963" s="8" t="s">
        <v>70</v>
      </c>
      <c r="F2963" s="8" t="s">
        <v>71</v>
      </c>
      <c r="G2963" s="8" t="s">
        <v>7</v>
      </c>
      <c r="H2963" s="8" t="s">
        <v>38</v>
      </c>
      <c r="I2963" s="9">
        <v>1531.3670999999999</v>
      </c>
      <c r="J2963">
        <v>1527.5977674096</v>
      </c>
      <c r="K2963">
        <v>1540.4347234382001</v>
      </c>
      <c r="L2963">
        <v>1538.6969010559001</v>
      </c>
    </row>
    <row r="2964" spans="1:12" x14ac:dyDescent="0.2">
      <c r="A2964" s="8" t="s">
        <v>110</v>
      </c>
      <c r="B2964" s="8" t="s">
        <v>89</v>
      </c>
      <c r="C2964" s="8" t="s">
        <v>474</v>
      </c>
      <c r="D2964" s="8" t="s">
        <v>475</v>
      </c>
      <c r="E2964" s="8" t="s">
        <v>83</v>
      </c>
      <c r="F2964" s="8" t="s">
        <v>84</v>
      </c>
      <c r="G2964" s="8" t="s">
        <v>7</v>
      </c>
      <c r="H2964" s="8" t="s">
        <v>38</v>
      </c>
      <c r="I2964" s="9">
        <v>561.75</v>
      </c>
      <c r="J2964">
        <v>636.75</v>
      </c>
      <c r="K2964">
        <v>602.25</v>
      </c>
      <c r="L2964">
        <v>571.5</v>
      </c>
    </row>
    <row r="2965" spans="1:12" x14ac:dyDescent="0.2">
      <c r="A2965" s="8" t="s">
        <v>110</v>
      </c>
      <c r="B2965" s="8" t="s">
        <v>89</v>
      </c>
      <c r="C2965" s="8" t="s">
        <v>474</v>
      </c>
      <c r="D2965" s="8" t="s">
        <v>475</v>
      </c>
      <c r="E2965" s="8" t="s">
        <v>55</v>
      </c>
      <c r="F2965" s="8" t="s">
        <v>56</v>
      </c>
      <c r="G2965" s="8" t="s">
        <v>7</v>
      </c>
      <c r="H2965" s="8" t="s">
        <v>38</v>
      </c>
      <c r="I2965" s="9">
        <v>18.243473000000002</v>
      </c>
      <c r="J2965">
        <v>18.660460208816001</v>
      </c>
      <c r="K2965">
        <v>18.660460208816001</v>
      </c>
      <c r="L2965">
        <v>18.660460208816001</v>
      </c>
    </row>
    <row r="2966" spans="1:12" x14ac:dyDescent="0.2">
      <c r="A2966" s="8" t="s">
        <v>110</v>
      </c>
      <c r="B2966" s="8" t="s">
        <v>89</v>
      </c>
      <c r="C2966" s="8" t="s">
        <v>474</v>
      </c>
      <c r="D2966" s="8" t="s">
        <v>475</v>
      </c>
      <c r="E2966" s="8" t="s">
        <v>57</v>
      </c>
      <c r="F2966" s="8" t="s">
        <v>58</v>
      </c>
      <c r="G2966" s="8" t="s">
        <v>7</v>
      </c>
      <c r="H2966" s="8" t="s">
        <v>38</v>
      </c>
      <c r="I2966" s="9">
        <v>49.1295</v>
      </c>
      <c r="J2966">
        <v>50.252442476719999</v>
      </c>
      <c r="K2966">
        <v>50.252442476719999</v>
      </c>
      <c r="L2966">
        <v>50.252442476719999</v>
      </c>
    </row>
    <row r="2967" spans="1:12" x14ac:dyDescent="0.2">
      <c r="A2967" s="8" t="s">
        <v>110</v>
      </c>
      <c r="B2967" s="8" t="s">
        <v>89</v>
      </c>
      <c r="C2967" s="8" t="s">
        <v>474</v>
      </c>
      <c r="D2967" s="8" t="s">
        <v>475</v>
      </c>
      <c r="E2967" s="8" t="s">
        <v>72</v>
      </c>
      <c r="F2967" s="8" t="s">
        <v>73</v>
      </c>
      <c r="G2967" s="8" t="s">
        <v>7</v>
      </c>
      <c r="H2967" s="8" t="s">
        <v>38</v>
      </c>
      <c r="I2967" s="9">
        <v>1023.4018</v>
      </c>
      <c r="J2967">
        <v>1329.1403763577</v>
      </c>
      <c r="K2967">
        <v>1121.1853670977</v>
      </c>
      <c r="L2967">
        <v>1137.0138381894001</v>
      </c>
    </row>
    <row r="2968" spans="1:12" x14ac:dyDescent="0.2">
      <c r="A2968" s="8" t="s">
        <v>110</v>
      </c>
      <c r="B2968" s="8" t="s">
        <v>89</v>
      </c>
      <c r="C2968" s="8" t="s">
        <v>474</v>
      </c>
      <c r="D2968" s="8" t="s">
        <v>475</v>
      </c>
      <c r="E2968" s="8" t="s">
        <v>74</v>
      </c>
      <c r="F2968" s="8" t="s">
        <v>75</v>
      </c>
      <c r="G2968" s="8" t="s">
        <v>7</v>
      </c>
      <c r="H2968" s="8" t="s">
        <v>38</v>
      </c>
      <c r="I2968" s="9">
        <v>987.68</v>
      </c>
      <c r="J2968">
        <v>1097.9905899132</v>
      </c>
      <c r="K2968">
        <v>551.00985628522005</v>
      </c>
      <c r="L2968">
        <v>601.60238314047001</v>
      </c>
    </row>
    <row r="2969" spans="1:12" x14ac:dyDescent="0.2">
      <c r="A2969" s="8" t="s">
        <v>110</v>
      </c>
      <c r="B2969" s="8" t="s">
        <v>89</v>
      </c>
      <c r="C2969" s="8" t="s">
        <v>474</v>
      </c>
      <c r="D2969" s="8" t="s">
        <v>475</v>
      </c>
      <c r="E2969" s="8" t="s">
        <v>59</v>
      </c>
      <c r="F2969" s="8" t="s">
        <v>60</v>
      </c>
      <c r="G2969" s="8" t="s">
        <v>7</v>
      </c>
      <c r="H2969" s="8" t="s">
        <v>38</v>
      </c>
      <c r="I2969" s="9">
        <v>130.11115000000001</v>
      </c>
      <c r="J2969">
        <v>135.24533552932999</v>
      </c>
      <c r="K2969">
        <v>139.59127691072001</v>
      </c>
      <c r="L2969">
        <v>141.98954675498999</v>
      </c>
    </row>
    <row r="2970" spans="1:12" x14ac:dyDescent="0.2">
      <c r="A2970" s="8" t="s">
        <v>110</v>
      </c>
      <c r="B2970" s="8" t="s">
        <v>89</v>
      </c>
      <c r="C2970" s="8" t="s">
        <v>474</v>
      </c>
      <c r="D2970" s="8" t="s">
        <v>475</v>
      </c>
      <c r="E2970" s="8" t="s">
        <v>76</v>
      </c>
      <c r="F2970" s="8" t="s">
        <v>77</v>
      </c>
      <c r="G2970" s="8" t="s">
        <v>7</v>
      </c>
      <c r="H2970" s="8" t="s">
        <v>38</v>
      </c>
      <c r="I2970" s="9">
        <v>51.857143000000001</v>
      </c>
      <c r="J2970">
        <v>42.009523820044002</v>
      </c>
      <c r="K2970">
        <v>38.342857152424003</v>
      </c>
      <c r="L2970">
        <v>36.385127210644001</v>
      </c>
    </row>
    <row r="2971" spans="1:12" x14ac:dyDescent="0.2">
      <c r="A2971" s="8" t="s">
        <v>110</v>
      </c>
      <c r="B2971" s="8" t="s">
        <v>89</v>
      </c>
      <c r="C2971" s="8" t="s">
        <v>474</v>
      </c>
      <c r="D2971" s="8" t="s">
        <v>475</v>
      </c>
      <c r="E2971" s="8" t="s">
        <v>78</v>
      </c>
      <c r="F2971" s="8" t="s">
        <v>79</v>
      </c>
      <c r="G2971" s="8" t="s">
        <v>7</v>
      </c>
      <c r="H2971" s="8" t="s">
        <v>38</v>
      </c>
      <c r="I2971" s="9">
        <v>75.428557999999995</v>
      </c>
      <c r="J2971">
        <v>89.099983800000004</v>
      </c>
      <c r="K2971">
        <v>80.142842571429</v>
      </c>
      <c r="L2971">
        <v>89.697126548571006</v>
      </c>
    </row>
    <row r="2972" spans="1:12" x14ac:dyDescent="0.2">
      <c r="A2972" s="8" t="s">
        <v>110</v>
      </c>
      <c r="B2972" s="8" t="s">
        <v>89</v>
      </c>
      <c r="C2972" s="8" t="s">
        <v>474</v>
      </c>
      <c r="D2972" s="8" t="s">
        <v>475</v>
      </c>
      <c r="E2972" s="8" t="s">
        <v>92</v>
      </c>
      <c r="F2972" s="8" t="s">
        <v>93</v>
      </c>
      <c r="G2972" s="8" t="s">
        <v>7</v>
      </c>
      <c r="H2972" s="8" t="s">
        <v>38</v>
      </c>
      <c r="I2972" s="9">
        <v>11.542028</v>
      </c>
      <c r="J2972">
        <v>6.8214982005614004</v>
      </c>
      <c r="K2972">
        <v>9.0702908002095004</v>
      </c>
      <c r="L2972">
        <v>9.5037151715589001</v>
      </c>
    </row>
    <row r="2973" spans="1:12" x14ac:dyDescent="0.2">
      <c r="A2973" s="8" t="s">
        <v>110</v>
      </c>
      <c r="B2973" s="8" t="s">
        <v>89</v>
      </c>
      <c r="C2973" s="8" t="s">
        <v>476</v>
      </c>
      <c r="D2973" s="8" t="s">
        <v>477</v>
      </c>
      <c r="E2973" s="8" t="s">
        <v>36</v>
      </c>
      <c r="F2973" s="8" t="s">
        <v>37</v>
      </c>
      <c r="G2973" s="8" t="s">
        <v>7</v>
      </c>
      <c r="H2973" s="8" t="s">
        <v>38</v>
      </c>
      <c r="I2973" s="9">
        <v>4521.9178000000002</v>
      </c>
      <c r="J2973">
        <v>4249.996967</v>
      </c>
      <c r="K2973">
        <v>3442.676336</v>
      </c>
      <c r="L2973">
        <v>3258.1034702356001</v>
      </c>
    </row>
    <row r="2974" spans="1:12" x14ac:dyDescent="0.2">
      <c r="A2974" s="8" t="s">
        <v>110</v>
      </c>
      <c r="B2974" s="8" t="s">
        <v>89</v>
      </c>
      <c r="C2974" s="8" t="s">
        <v>476</v>
      </c>
      <c r="D2974" s="8" t="s">
        <v>477</v>
      </c>
      <c r="E2974" s="8" t="s">
        <v>64</v>
      </c>
      <c r="F2974" s="8" t="s">
        <v>65</v>
      </c>
      <c r="G2974" s="8" t="s">
        <v>7</v>
      </c>
      <c r="H2974" s="8" t="s">
        <v>38</v>
      </c>
      <c r="I2974" s="9">
        <v>0.126225</v>
      </c>
      <c r="J2974">
        <v>0.120615</v>
      </c>
      <c r="K2974">
        <v>4.2075000000000001E-2</v>
      </c>
      <c r="L2974">
        <v>4.0603846153845997E-2</v>
      </c>
    </row>
    <row r="2975" spans="1:12" x14ac:dyDescent="0.2">
      <c r="A2975" s="8" t="s">
        <v>110</v>
      </c>
      <c r="B2975" s="8" t="s">
        <v>89</v>
      </c>
      <c r="C2975" s="8" t="s">
        <v>476</v>
      </c>
      <c r="D2975" s="8" t="s">
        <v>477</v>
      </c>
      <c r="E2975" s="8" t="s">
        <v>39</v>
      </c>
      <c r="F2975" s="8" t="s">
        <v>40</v>
      </c>
      <c r="G2975" s="8" t="s">
        <v>7</v>
      </c>
      <c r="H2975" s="8" t="s">
        <v>38</v>
      </c>
      <c r="I2975" s="9">
        <v>1777.5423000000001</v>
      </c>
      <c r="J2975">
        <v>1813.3417119999999</v>
      </c>
      <c r="K2975">
        <v>1690.368573</v>
      </c>
      <c r="L2975">
        <v>1594.5208528498999</v>
      </c>
    </row>
    <row r="2976" spans="1:12" x14ac:dyDescent="0.2">
      <c r="A2976" s="8" t="s">
        <v>110</v>
      </c>
      <c r="B2976" s="8" t="s">
        <v>89</v>
      </c>
      <c r="C2976" s="8" t="s">
        <v>476</v>
      </c>
      <c r="D2976" s="8" t="s">
        <v>477</v>
      </c>
      <c r="E2976" s="8" t="s">
        <v>41</v>
      </c>
      <c r="F2976" s="8" t="s">
        <v>42</v>
      </c>
      <c r="G2976" s="8" t="s">
        <v>7</v>
      </c>
      <c r="H2976" s="8" t="s">
        <v>38</v>
      </c>
      <c r="I2976" s="9">
        <v>1.3426</v>
      </c>
      <c r="J2976">
        <v>1.4014</v>
      </c>
      <c r="K2976">
        <v>1.6015999999999999</v>
      </c>
      <c r="L2976">
        <v>1.0963620820768001</v>
      </c>
    </row>
    <row r="2977" spans="1:12" x14ac:dyDescent="0.2">
      <c r="A2977" s="8" t="s">
        <v>110</v>
      </c>
      <c r="B2977" s="8" t="s">
        <v>89</v>
      </c>
      <c r="C2977" s="8" t="s">
        <v>476</v>
      </c>
      <c r="D2977" s="8" t="s">
        <v>477</v>
      </c>
      <c r="E2977" s="8" t="s">
        <v>43</v>
      </c>
      <c r="F2977" s="8" t="s">
        <v>44</v>
      </c>
      <c r="G2977" s="8" t="s">
        <v>7</v>
      </c>
      <c r="H2977" s="8" t="s">
        <v>38</v>
      </c>
      <c r="I2977" s="9">
        <v>4479.7878000000001</v>
      </c>
      <c r="J2977">
        <v>5096.7205620000004</v>
      </c>
      <c r="K2977">
        <v>5682.8608830000003</v>
      </c>
      <c r="L2977">
        <v>5248.4700005741997</v>
      </c>
    </row>
    <row r="2978" spans="1:12" x14ac:dyDescent="0.2">
      <c r="A2978" s="8" t="s">
        <v>110</v>
      </c>
      <c r="B2978" s="8" t="s">
        <v>89</v>
      </c>
      <c r="C2978" s="8" t="s">
        <v>476</v>
      </c>
      <c r="D2978" s="8" t="s">
        <v>477</v>
      </c>
      <c r="E2978" s="8" t="s">
        <v>66</v>
      </c>
      <c r="F2978" s="8" t="s">
        <v>67</v>
      </c>
      <c r="G2978" s="8" t="s">
        <v>7</v>
      </c>
      <c r="H2978" s="8" t="s">
        <v>38</v>
      </c>
      <c r="I2978" s="9">
        <v>17.105985</v>
      </c>
      <c r="J2978">
        <v>20.685756000000001</v>
      </c>
      <c r="K2978">
        <v>21.171852000000001</v>
      </c>
      <c r="L2978">
        <v>21.3263505</v>
      </c>
    </row>
    <row r="2979" spans="1:12" x14ac:dyDescent="0.2">
      <c r="A2979" s="8" t="s">
        <v>110</v>
      </c>
      <c r="B2979" s="8" t="s">
        <v>89</v>
      </c>
      <c r="C2979" s="8" t="s">
        <v>476</v>
      </c>
      <c r="D2979" s="8" t="s">
        <v>477</v>
      </c>
      <c r="E2979" s="8" t="s">
        <v>49</v>
      </c>
      <c r="F2979" s="8" t="s">
        <v>50</v>
      </c>
      <c r="G2979" s="8" t="s">
        <v>7</v>
      </c>
      <c r="H2979" s="8" t="s">
        <v>38</v>
      </c>
      <c r="I2979" s="9">
        <v>1122.7148</v>
      </c>
      <c r="J2979">
        <v>1025.2042269999999</v>
      </c>
      <c r="K2979">
        <v>1050.245815</v>
      </c>
      <c r="L2979">
        <v>1012.9752834282</v>
      </c>
    </row>
    <row r="2980" spans="1:12" x14ac:dyDescent="0.2">
      <c r="A2980" s="8" t="s">
        <v>110</v>
      </c>
      <c r="B2980" s="8" t="s">
        <v>89</v>
      </c>
      <c r="C2980" s="8" t="s">
        <v>476</v>
      </c>
      <c r="D2980" s="8" t="s">
        <v>477</v>
      </c>
      <c r="E2980" s="8" t="s">
        <v>51</v>
      </c>
      <c r="F2980" s="8" t="s">
        <v>52</v>
      </c>
      <c r="G2980" s="8" t="s">
        <v>7</v>
      </c>
      <c r="H2980" s="8" t="s">
        <v>38</v>
      </c>
      <c r="I2980" s="9">
        <v>70.320824999999999</v>
      </c>
      <c r="J2980">
        <v>51.976171000000001</v>
      </c>
      <c r="K2980">
        <v>62.242995000000001</v>
      </c>
      <c r="L2980">
        <v>57.648746180563997</v>
      </c>
    </row>
    <row r="2981" spans="1:12" x14ac:dyDescent="0.2">
      <c r="A2981" s="8" t="s">
        <v>110</v>
      </c>
      <c r="B2981" s="8" t="s">
        <v>89</v>
      </c>
      <c r="C2981" s="8" t="s">
        <v>476</v>
      </c>
      <c r="D2981" s="8" t="s">
        <v>477</v>
      </c>
      <c r="E2981" s="8" t="s">
        <v>68</v>
      </c>
      <c r="F2981" s="8" t="s">
        <v>69</v>
      </c>
      <c r="G2981" s="8" t="s">
        <v>7</v>
      </c>
      <c r="H2981" s="8" t="s">
        <v>38</v>
      </c>
      <c r="I2981" s="9">
        <v>13.563010999999999</v>
      </c>
      <c r="J2981">
        <v>11.223138689655</v>
      </c>
      <c r="K2981">
        <v>10.249857111723999</v>
      </c>
      <c r="L2981">
        <v>10.986351654753999</v>
      </c>
    </row>
    <row r="2982" spans="1:12" x14ac:dyDescent="0.2">
      <c r="A2982" s="8" t="s">
        <v>110</v>
      </c>
      <c r="B2982" s="8" t="s">
        <v>89</v>
      </c>
      <c r="C2982" s="8" t="s">
        <v>476</v>
      </c>
      <c r="D2982" s="8" t="s">
        <v>477</v>
      </c>
      <c r="E2982" s="8" t="s">
        <v>53</v>
      </c>
      <c r="F2982" s="8" t="s">
        <v>54</v>
      </c>
      <c r="G2982" s="8" t="s">
        <v>7</v>
      </c>
      <c r="H2982" s="8" t="s">
        <v>38</v>
      </c>
      <c r="I2982" s="9">
        <v>8.6240000000000004E-4</v>
      </c>
      <c r="J2982">
        <v>8.2965912667999999E-4</v>
      </c>
      <c r="K2982">
        <v>7.0765627696000005E-4</v>
      </c>
      <c r="L2982">
        <v>7.3329071046035997E-4</v>
      </c>
    </row>
    <row r="2983" spans="1:12" x14ac:dyDescent="0.2">
      <c r="A2983" s="8" t="s">
        <v>110</v>
      </c>
      <c r="B2983" s="8" t="s">
        <v>89</v>
      </c>
      <c r="C2983" s="8" t="s">
        <v>476</v>
      </c>
      <c r="D2983" s="8" t="s">
        <v>477</v>
      </c>
      <c r="E2983" s="8" t="s">
        <v>70</v>
      </c>
      <c r="F2983" s="8" t="s">
        <v>71</v>
      </c>
      <c r="G2983" s="8" t="s">
        <v>7</v>
      </c>
      <c r="H2983" s="8" t="s">
        <v>38</v>
      </c>
      <c r="I2983" s="9">
        <v>501.31202999999999</v>
      </c>
      <c r="J2983">
        <v>480.42403239999999</v>
      </c>
      <c r="K2983">
        <v>496.09003345652002</v>
      </c>
      <c r="L2983">
        <v>495.53037562052998</v>
      </c>
    </row>
    <row r="2984" spans="1:12" x14ac:dyDescent="0.2">
      <c r="A2984" s="8" t="s">
        <v>110</v>
      </c>
      <c r="B2984" s="8" t="s">
        <v>89</v>
      </c>
      <c r="C2984" s="8" t="s">
        <v>476</v>
      </c>
      <c r="D2984" s="8" t="s">
        <v>477</v>
      </c>
      <c r="E2984" s="8" t="s">
        <v>83</v>
      </c>
      <c r="F2984" s="8" t="s">
        <v>84</v>
      </c>
      <c r="G2984" s="8" t="s">
        <v>7</v>
      </c>
      <c r="H2984" s="8" t="s">
        <v>38</v>
      </c>
      <c r="I2984" s="9">
        <v>769.5</v>
      </c>
      <c r="J2984">
        <v>838.5</v>
      </c>
      <c r="K2984">
        <v>714.75</v>
      </c>
      <c r="L2984">
        <v>712.5</v>
      </c>
    </row>
    <row r="2985" spans="1:12" x14ac:dyDescent="0.2">
      <c r="A2985" s="8" t="s">
        <v>110</v>
      </c>
      <c r="B2985" s="8" t="s">
        <v>89</v>
      </c>
      <c r="C2985" s="8" t="s">
        <v>476</v>
      </c>
      <c r="D2985" s="8" t="s">
        <v>477</v>
      </c>
      <c r="E2985" s="8" t="s">
        <v>55</v>
      </c>
      <c r="F2985" s="8" t="s">
        <v>56</v>
      </c>
      <c r="G2985" s="8" t="s">
        <v>7</v>
      </c>
      <c r="H2985" s="8" t="s">
        <v>38</v>
      </c>
      <c r="I2985" s="9">
        <v>12.228892999999999</v>
      </c>
      <c r="J2985">
        <v>12.22889318</v>
      </c>
      <c r="K2985">
        <v>12.22889318</v>
      </c>
      <c r="L2985">
        <v>12.22889318</v>
      </c>
    </row>
    <row r="2986" spans="1:12" x14ac:dyDescent="0.2">
      <c r="A2986" s="8" t="s">
        <v>110</v>
      </c>
      <c r="B2986" s="8" t="s">
        <v>89</v>
      </c>
      <c r="C2986" s="8" t="s">
        <v>476</v>
      </c>
      <c r="D2986" s="8" t="s">
        <v>477</v>
      </c>
      <c r="E2986" s="8" t="s">
        <v>57</v>
      </c>
      <c r="F2986" s="8" t="s">
        <v>58</v>
      </c>
      <c r="G2986" s="8" t="s">
        <v>7</v>
      </c>
      <c r="H2986" s="8" t="s">
        <v>38</v>
      </c>
      <c r="I2986" s="9">
        <v>27.162299000000001</v>
      </c>
      <c r="J2986">
        <v>27.162299334316</v>
      </c>
      <c r="K2986">
        <v>27.162299334316</v>
      </c>
      <c r="L2986">
        <v>27.162299334316</v>
      </c>
    </row>
    <row r="2987" spans="1:12" x14ac:dyDescent="0.2">
      <c r="A2987" s="8" t="s">
        <v>110</v>
      </c>
      <c r="B2987" s="8" t="s">
        <v>89</v>
      </c>
      <c r="C2987" s="8" t="s">
        <v>476</v>
      </c>
      <c r="D2987" s="8" t="s">
        <v>477</v>
      </c>
      <c r="E2987" s="8" t="s">
        <v>72</v>
      </c>
      <c r="F2987" s="8" t="s">
        <v>73</v>
      </c>
      <c r="G2987" s="8" t="s">
        <v>7</v>
      </c>
      <c r="H2987" s="8" t="s">
        <v>38</v>
      </c>
      <c r="I2987" s="9">
        <v>79.077983000000003</v>
      </c>
      <c r="J2987">
        <v>79.968452099686004</v>
      </c>
      <c r="K2987">
        <v>80.456634920718997</v>
      </c>
      <c r="L2987">
        <v>75.634033595999995</v>
      </c>
    </row>
    <row r="2988" spans="1:12" x14ac:dyDescent="0.2">
      <c r="A2988" s="8" t="s">
        <v>110</v>
      </c>
      <c r="B2988" s="8" t="s">
        <v>89</v>
      </c>
      <c r="C2988" s="8" t="s">
        <v>476</v>
      </c>
      <c r="D2988" s="8" t="s">
        <v>477</v>
      </c>
      <c r="E2988" s="8" t="s">
        <v>74</v>
      </c>
      <c r="F2988" s="8" t="s">
        <v>75</v>
      </c>
      <c r="G2988" s="8" t="s">
        <v>7</v>
      </c>
      <c r="H2988" s="8" t="s">
        <v>38</v>
      </c>
      <c r="I2988" s="9">
        <v>105.11676</v>
      </c>
      <c r="J2988">
        <v>88.605080000000001</v>
      </c>
      <c r="K2988">
        <v>56.329120000000003</v>
      </c>
      <c r="L2988">
        <v>50.030282631325001</v>
      </c>
    </row>
    <row r="2989" spans="1:12" x14ac:dyDescent="0.2">
      <c r="A2989" s="8" t="s">
        <v>110</v>
      </c>
      <c r="B2989" s="8" t="s">
        <v>89</v>
      </c>
      <c r="C2989" s="8" t="s">
        <v>476</v>
      </c>
      <c r="D2989" s="8" t="s">
        <v>477</v>
      </c>
      <c r="E2989" s="8" t="s">
        <v>59</v>
      </c>
      <c r="F2989" s="8" t="s">
        <v>60</v>
      </c>
      <c r="G2989" s="8" t="s">
        <v>7</v>
      </c>
      <c r="H2989" s="8" t="s">
        <v>38</v>
      </c>
      <c r="I2989" s="9">
        <v>29.986125000000001</v>
      </c>
      <c r="J2989">
        <v>33.969836031840003</v>
      </c>
      <c r="K2989">
        <v>12.771225691914999</v>
      </c>
      <c r="L2989">
        <v>13.425739568667</v>
      </c>
    </row>
    <row r="2990" spans="1:12" x14ac:dyDescent="0.2">
      <c r="A2990" s="8" t="s">
        <v>110</v>
      </c>
      <c r="B2990" s="8" t="s">
        <v>89</v>
      </c>
      <c r="C2990" s="8" t="s">
        <v>476</v>
      </c>
      <c r="D2990" s="8" t="s">
        <v>477</v>
      </c>
      <c r="E2990" s="8" t="s">
        <v>76</v>
      </c>
      <c r="F2990" s="8" t="s">
        <v>77</v>
      </c>
      <c r="G2990" s="8" t="s">
        <v>7</v>
      </c>
      <c r="H2990" s="8" t="s">
        <v>38</v>
      </c>
      <c r="I2990" s="9">
        <v>3.3523809999999998</v>
      </c>
      <c r="J2990">
        <v>12.152380955791999</v>
      </c>
      <c r="K2990">
        <v>11.314285717503999</v>
      </c>
      <c r="L2990">
        <v>11.278668868445999</v>
      </c>
    </row>
    <row r="2991" spans="1:12" x14ac:dyDescent="0.2">
      <c r="A2991" s="8" t="s">
        <v>110</v>
      </c>
      <c r="B2991" s="8" t="s">
        <v>89</v>
      </c>
      <c r="C2991" s="8" t="s">
        <v>476</v>
      </c>
      <c r="D2991" s="8" t="s">
        <v>477</v>
      </c>
      <c r="E2991" s="8" t="s">
        <v>78</v>
      </c>
      <c r="F2991" s="8" t="s">
        <v>79</v>
      </c>
      <c r="G2991" s="8" t="s">
        <v>7</v>
      </c>
      <c r="H2991" s="8" t="s">
        <v>38</v>
      </c>
      <c r="I2991" s="9"/>
      <c r="J2991">
        <v>10.214283857143</v>
      </c>
      <c r="K2991">
        <v>10.214283857143</v>
      </c>
      <c r="L2991">
        <v>10.214283857143</v>
      </c>
    </row>
    <row r="2992" spans="1:12" x14ac:dyDescent="0.2">
      <c r="A2992" s="8" t="s">
        <v>110</v>
      </c>
      <c r="B2992" s="8" t="s">
        <v>89</v>
      </c>
      <c r="C2992" s="8" t="s">
        <v>476</v>
      </c>
      <c r="D2992" s="8" t="s">
        <v>477</v>
      </c>
      <c r="E2992" s="8" t="s">
        <v>92</v>
      </c>
      <c r="F2992" s="8" t="s">
        <v>93</v>
      </c>
      <c r="G2992" s="8" t="s">
        <v>7</v>
      </c>
      <c r="H2992" s="8" t="s">
        <v>38</v>
      </c>
      <c r="I2992" s="9">
        <v>8.4204577</v>
      </c>
      <c r="J2992">
        <v>6.2336854862699997</v>
      </c>
      <c r="K2992">
        <v>6.4946875685699998</v>
      </c>
      <c r="L2992">
        <v>5.4249425732520002</v>
      </c>
    </row>
    <row r="2993" spans="1:12" x14ac:dyDescent="0.2">
      <c r="A2993" s="8" t="s">
        <v>110</v>
      </c>
      <c r="B2993" s="8" t="s">
        <v>115</v>
      </c>
      <c r="C2993" s="8" t="s">
        <v>478</v>
      </c>
      <c r="D2993" s="8" t="s">
        <v>479</v>
      </c>
      <c r="E2993" s="8" t="s">
        <v>36</v>
      </c>
      <c r="F2993" s="8" t="s">
        <v>37</v>
      </c>
      <c r="G2993" s="8" t="s">
        <v>7</v>
      </c>
      <c r="H2993" s="8" t="s">
        <v>38</v>
      </c>
      <c r="I2993" s="9">
        <v>6022.5081</v>
      </c>
      <c r="J2993">
        <v>6422.7128700000003</v>
      </c>
      <c r="K2993">
        <v>6001.4741400000003</v>
      </c>
      <c r="L2993">
        <v>5764.7431122767002</v>
      </c>
    </row>
    <row r="2994" spans="1:12" x14ac:dyDescent="0.2">
      <c r="A2994" s="8" t="s">
        <v>110</v>
      </c>
      <c r="B2994" s="8" t="s">
        <v>115</v>
      </c>
      <c r="C2994" s="8" t="s">
        <v>478</v>
      </c>
      <c r="D2994" s="8" t="s">
        <v>479</v>
      </c>
      <c r="E2994" s="8" t="s">
        <v>64</v>
      </c>
      <c r="F2994" s="8" t="s">
        <v>65</v>
      </c>
      <c r="G2994" s="8" t="s">
        <v>7</v>
      </c>
      <c r="H2994" s="8" t="s">
        <v>38</v>
      </c>
      <c r="I2994" s="9">
        <v>2204.5745999999999</v>
      </c>
      <c r="J2994">
        <v>3790.407905</v>
      </c>
      <c r="K2994">
        <v>3536.1462200000001</v>
      </c>
      <c r="L2994">
        <v>3251.1323818660999</v>
      </c>
    </row>
    <row r="2995" spans="1:12" x14ac:dyDescent="0.2">
      <c r="A2995" s="8" t="s">
        <v>110</v>
      </c>
      <c r="B2995" s="8" t="s">
        <v>115</v>
      </c>
      <c r="C2995" s="8" t="s">
        <v>478</v>
      </c>
      <c r="D2995" s="8" t="s">
        <v>479</v>
      </c>
      <c r="E2995" s="8" t="s">
        <v>39</v>
      </c>
      <c r="F2995" s="8" t="s">
        <v>40</v>
      </c>
      <c r="G2995" s="8" t="s">
        <v>7</v>
      </c>
      <c r="H2995" s="8" t="s">
        <v>38</v>
      </c>
      <c r="I2995" s="9">
        <v>6834.0889999999999</v>
      </c>
      <c r="J2995">
        <v>7139.4530869999999</v>
      </c>
      <c r="K2995">
        <v>7104.0622160000003</v>
      </c>
      <c r="L2995">
        <v>7028.4974035305004</v>
      </c>
    </row>
    <row r="2996" spans="1:12" x14ac:dyDescent="0.2">
      <c r="A2996" s="8" t="s">
        <v>110</v>
      </c>
      <c r="B2996" s="8" t="s">
        <v>115</v>
      </c>
      <c r="C2996" s="8" t="s">
        <v>478</v>
      </c>
      <c r="D2996" s="8" t="s">
        <v>479</v>
      </c>
      <c r="E2996" s="8" t="s">
        <v>41</v>
      </c>
      <c r="F2996" s="8" t="s">
        <v>42</v>
      </c>
      <c r="G2996" s="8" t="s">
        <v>7</v>
      </c>
      <c r="H2996" s="8" t="s">
        <v>38</v>
      </c>
      <c r="I2996" s="9">
        <v>184.05957000000001</v>
      </c>
      <c r="J2996">
        <v>210.51340500000001</v>
      </c>
      <c r="K2996">
        <v>317.34326499999997</v>
      </c>
      <c r="L2996">
        <v>289.22240543987999</v>
      </c>
    </row>
    <row r="2997" spans="1:12" x14ac:dyDescent="0.2">
      <c r="A2997" s="8" t="s">
        <v>110</v>
      </c>
      <c r="B2997" s="8" t="s">
        <v>115</v>
      </c>
      <c r="C2997" s="8" t="s">
        <v>478</v>
      </c>
      <c r="D2997" s="8" t="s">
        <v>479</v>
      </c>
      <c r="E2997" s="8" t="s">
        <v>43</v>
      </c>
      <c r="F2997" s="8" t="s">
        <v>44</v>
      </c>
      <c r="G2997" s="8" t="s">
        <v>7</v>
      </c>
      <c r="H2997" s="8" t="s">
        <v>38</v>
      </c>
      <c r="I2997" s="9">
        <v>14614.656000000001</v>
      </c>
      <c r="J2997">
        <v>14879.384463</v>
      </c>
      <c r="K2997">
        <v>13033.265885999999</v>
      </c>
      <c r="L2997">
        <v>13048.198259831001</v>
      </c>
    </row>
    <row r="2998" spans="1:12" x14ac:dyDescent="0.2">
      <c r="A2998" s="8" t="s">
        <v>110</v>
      </c>
      <c r="B2998" s="8" t="s">
        <v>115</v>
      </c>
      <c r="C2998" s="8" t="s">
        <v>478</v>
      </c>
      <c r="D2998" s="8" t="s">
        <v>479</v>
      </c>
      <c r="E2998" s="8" t="s">
        <v>66</v>
      </c>
      <c r="F2998" s="8" t="s">
        <v>67</v>
      </c>
      <c r="G2998" s="8" t="s">
        <v>7</v>
      </c>
      <c r="H2998" s="8" t="s">
        <v>38</v>
      </c>
      <c r="I2998" s="9">
        <v>43.536714000000003</v>
      </c>
      <c r="J2998">
        <v>35.642099999999999</v>
      </c>
      <c r="K2998">
        <v>39.227798999999997</v>
      </c>
      <c r="L2998">
        <v>36.22246255396</v>
      </c>
    </row>
    <row r="2999" spans="1:12" x14ac:dyDescent="0.2">
      <c r="A2999" s="8" t="s">
        <v>110</v>
      </c>
      <c r="B2999" s="8" t="s">
        <v>115</v>
      </c>
      <c r="C2999" s="8" t="s">
        <v>478</v>
      </c>
      <c r="D2999" s="8" t="s">
        <v>479</v>
      </c>
      <c r="E2999" s="8" t="s">
        <v>45</v>
      </c>
      <c r="F2999" s="8" t="s">
        <v>46</v>
      </c>
      <c r="G2999" s="8" t="s">
        <v>7</v>
      </c>
      <c r="H2999" s="8" t="s">
        <v>38</v>
      </c>
      <c r="I2999" s="9">
        <v>363.65769</v>
      </c>
      <c r="J2999">
        <v>321.07659899999999</v>
      </c>
      <c r="K2999">
        <v>426.75323700000001</v>
      </c>
      <c r="L2999">
        <v>389.21557562336</v>
      </c>
    </row>
    <row r="3000" spans="1:12" x14ac:dyDescent="0.2">
      <c r="A3000" s="8" t="s">
        <v>110</v>
      </c>
      <c r="B3000" s="8" t="s">
        <v>115</v>
      </c>
      <c r="C3000" s="8" t="s">
        <v>478</v>
      </c>
      <c r="D3000" s="8" t="s">
        <v>479</v>
      </c>
      <c r="E3000" s="8" t="s">
        <v>47</v>
      </c>
      <c r="F3000" s="8" t="s">
        <v>48</v>
      </c>
      <c r="G3000" s="8" t="s">
        <v>7</v>
      </c>
      <c r="H3000" s="8" t="s">
        <v>38</v>
      </c>
      <c r="I3000" s="9"/>
    </row>
    <row r="3001" spans="1:12" x14ac:dyDescent="0.2">
      <c r="A3001" s="8" t="s">
        <v>110</v>
      </c>
      <c r="B3001" s="8" t="s">
        <v>115</v>
      </c>
      <c r="C3001" s="8" t="s">
        <v>478</v>
      </c>
      <c r="D3001" s="8" t="s">
        <v>479</v>
      </c>
      <c r="E3001" s="8" t="s">
        <v>49</v>
      </c>
      <c r="F3001" s="8" t="s">
        <v>50</v>
      </c>
      <c r="G3001" s="8" t="s">
        <v>7</v>
      </c>
      <c r="H3001" s="8" t="s">
        <v>38</v>
      </c>
      <c r="I3001" s="9">
        <v>2414.4301</v>
      </c>
      <c r="J3001">
        <v>2361.667794</v>
      </c>
      <c r="K3001">
        <v>2044.879623</v>
      </c>
      <c r="L3001">
        <v>1871.8636845161</v>
      </c>
    </row>
    <row r="3002" spans="1:12" x14ac:dyDescent="0.2">
      <c r="A3002" s="8" t="s">
        <v>110</v>
      </c>
      <c r="B3002" s="8" t="s">
        <v>115</v>
      </c>
      <c r="C3002" s="8" t="s">
        <v>478</v>
      </c>
      <c r="D3002" s="8" t="s">
        <v>479</v>
      </c>
      <c r="E3002" s="8" t="s">
        <v>51</v>
      </c>
      <c r="F3002" s="8" t="s">
        <v>52</v>
      </c>
      <c r="G3002" s="8" t="s">
        <v>7</v>
      </c>
      <c r="H3002" s="8" t="s">
        <v>38</v>
      </c>
      <c r="I3002" s="9"/>
    </row>
    <row r="3003" spans="1:12" x14ac:dyDescent="0.2">
      <c r="A3003" s="8" t="s">
        <v>110</v>
      </c>
      <c r="B3003" s="8" t="s">
        <v>115</v>
      </c>
      <c r="C3003" s="8" t="s">
        <v>478</v>
      </c>
      <c r="D3003" s="8" t="s">
        <v>479</v>
      </c>
      <c r="E3003" s="8" t="s">
        <v>68</v>
      </c>
      <c r="F3003" s="8" t="s">
        <v>69</v>
      </c>
      <c r="G3003" s="8" t="s">
        <v>7</v>
      </c>
      <c r="H3003" s="8" t="s">
        <v>38</v>
      </c>
      <c r="I3003" s="9">
        <v>481.32983999999999</v>
      </c>
      <c r="J3003">
        <v>354.45576</v>
      </c>
      <c r="K3003">
        <v>346.96068000000002</v>
      </c>
      <c r="L3003">
        <v>403.61302845684003</v>
      </c>
    </row>
    <row r="3004" spans="1:12" x14ac:dyDescent="0.2">
      <c r="A3004" s="8" t="s">
        <v>110</v>
      </c>
      <c r="B3004" s="8" t="s">
        <v>115</v>
      </c>
      <c r="C3004" s="8" t="s">
        <v>478</v>
      </c>
      <c r="D3004" s="8" t="s">
        <v>479</v>
      </c>
      <c r="E3004" s="8" t="s">
        <v>53</v>
      </c>
      <c r="F3004" s="8" t="s">
        <v>54</v>
      </c>
      <c r="G3004" s="8" t="s">
        <v>7</v>
      </c>
      <c r="H3004" s="8" t="s">
        <v>38</v>
      </c>
      <c r="I3004" s="9">
        <v>209.18862999999999</v>
      </c>
      <c r="J3004">
        <v>225.99497169534001</v>
      </c>
      <c r="K3004">
        <v>348.15200074285002</v>
      </c>
      <c r="L3004">
        <v>274.33676371702001</v>
      </c>
    </row>
    <row r="3005" spans="1:12" x14ac:dyDescent="0.2">
      <c r="A3005" s="8" t="s">
        <v>110</v>
      </c>
      <c r="B3005" s="8" t="s">
        <v>115</v>
      </c>
      <c r="C3005" s="8" t="s">
        <v>478</v>
      </c>
      <c r="D3005" s="8" t="s">
        <v>479</v>
      </c>
      <c r="E3005" s="8" t="s">
        <v>70</v>
      </c>
      <c r="F3005" s="8" t="s">
        <v>71</v>
      </c>
      <c r="G3005" s="8" t="s">
        <v>7</v>
      </c>
      <c r="H3005" s="8" t="s">
        <v>38</v>
      </c>
      <c r="I3005" s="9">
        <v>1183.1456000000001</v>
      </c>
      <c r="J3005">
        <v>1222.0624962183999</v>
      </c>
      <c r="K3005">
        <v>1265.7075853690999</v>
      </c>
      <c r="L3005">
        <v>1264.2796930099</v>
      </c>
    </row>
    <row r="3006" spans="1:12" x14ac:dyDescent="0.2">
      <c r="A3006" s="8" t="s">
        <v>110</v>
      </c>
      <c r="B3006" s="8" t="s">
        <v>115</v>
      </c>
      <c r="C3006" s="8" t="s">
        <v>478</v>
      </c>
      <c r="D3006" s="8" t="s">
        <v>479</v>
      </c>
      <c r="E3006" s="8" t="s">
        <v>83</v>
      </c>
      <c r="F3006" s="8" t="s">
        <v>84</v>
      </c>
      <c r="G3006" s="8" t="s">
        <v>7</v>
      </c>
      <c r="H3006" s="8" t="s">
        <v>38</v>
      </c>
      <c r="I3006" s="9">
        <v>480</v>
      </c>
      <c r="J3006">
        <v>480</v>
      </c>
      <c r="K3006">
        <v>480</v>
      </c>
      <c r="L3006">
        <v>480</v>
      </c>
    </row>
    <row r="3007" spans="1:12" x14ac:dyDescent="0.2">
      <c r="A3007" s="8" t="s">
        <v>110</v>
      </c>
      <c r="B3007" s="8" t="s">
        <v>115</v>
      </c>
      <c r="C3007" s="8" t="s">
        <v>478</v>
      </c>
      <c r="D3007" s="8" t="s">
        <v>479</v>
      </c>
      <c r="E3007" s="8" t="s">
        <v>55</v>
      </c>
      <c r="F3007" s="8" t="s">
        <v>56</v>
      </c>
      <c r="G3007" s="8" t="s">
        <v>7</v>
      </c>
      <c r="H3007" s="8" t="s">
        <v>38</v>
      </c>
      <c r="I3007" s="9">
        <v>37.972372</v>
      </c>
      <c r="J3007">
        <v>36.269382647420002</v>
      </c>
      <c r="K3007">
        <v>36.269382647420002</v>
      </c>
      <c r="L3007">
        <v>36.269382647420002</v>
      </c>
    </row>
    <row r="3008" spans="1:12" x14ac:dyDescent="0.2">
      <c r="A3008" s="8" t="s">
        <v>110</v>
      </c>
      <c r="B3008" s="8" t="s">
        <v>115</v>
      </c>
      <c r="C3008" s="8" t="s">
        <v>478</v>
      </c>
      <c r="D3008" s="8" t="s">
        <v>479</v>
      </c>
      <c r="E3008" s="8" t="s">
        <v>57</v>
      </c>
      <c r="F3008" s="8" t="s">
        <v>58</v>
      </c>
      <c r="G3008" s="8" t="s">
        <v>7</v>
      </c>
      <c r="H3008" s="8" t="s">
        <v>38</v>
      </c>
      <c r="I3008" s="9">
        <v>28.376429000000002</v>
      </c>
      <c r="J3008">
        <v>27.103799792930001</v>
      </c>
      <c r="K3008">
        <v>27.103799792930001</v>
      </c>
      <c r="L3008">
        <v>27.103799792930001</v>
      </c>
    </row>
    <row r="3009" spans="1:12" x14ac:dyDescent="0.2">
      <c r="A3009" s="8" t="s">
        <v>110</v>
      </c>
      <c r="B3009" s="8" t="s">
        <v>115</v>
      </c>
      <c r="C3009" s="8" t="s">
        <v>478</v>
      </c>
      <c r="D3009" s="8" t="s">
        <v>479</v>
      </c>
      <c r="E3009" s="8" t="s">
        <v>72</v>
      </c>
      <c r="F3009" s="8" t="s">
        <v>73</v>
      </c>
      <c r="G3009" s="8" t="s">
        <v>7</v>
      </c>
      <c r="H3009" s="8" t="s">
        <v>38</v>
      </c>
      <c r="I3009" s="9">
        <v>1695.5726</v>
      </c>
      <c r="J3009">
        <v>1678.2686938802001</v>
      </c>
      <c r="K3009">
        <v>1471.9290138281999</v>
      </c>
      <c r="L3009">
        <v>1204.0168372820001</v>
      </c>
    </row>
    <row r="3010" spans="1:12" x14ac:dyDescent="0.2">
      <c r="A3010" s="8" t="s">
        <v>110</v>
      </c>
      <c r="B3010" s="8" t="s">
        <v>115</v>
      </c>
      <c r="C3010" s="8" t="s">
        <v>478</v>
      </c>
      <c r="D3010" s="8" t="s">
        <v>479</v>
      </c>
      <c r="E3010" s="8" t="s">
        <v>74</v>
      </c>
      <c r="F3010" s="8" t="s">
        <v>75</v>
      </c>
      <c r="G3010" s="8" t="s">
        <v>7</v>
      </c>
      <c r="H3010" s="8" t="s">
        <v>38</v>
      </c>
      <c r="I3010" s="9">
        <v>831.90877</v>
      </c>
      <c r="J3010">
        <v>884.7328532468</v>
      </c>
      <c r="K3010">
        <v>900.38263584679999</v>
      </c>
      <c r="L3010">
        <v>917.13598223952999</v>
      </c>
    </row>
    <row r="3011" spans="1:12" x14ac:dyDescent="0.2">
      <c r="A3011" s="8" t="s">
        <v>110</v>
      </c>
      <c r="B3011" s="8" t="s">
        <v>115</v>
      </c>
      <c r="C3011" s="8" t="s">
        <v>478</v>
      </c>
      <c r="D3011" s="8" t="s">
        <v>479</v>
      </c>
      <c r="E3011" s="8" t="s">
        <v>59</v>
      </c>
      <c r="F3011" s="8" t="s">
        <v>60</v>
      </c>
      <c r="G3011" s="8" t="s">
        <v>7</v>
      </c>
      <c r="H3011" s="8" t="s">
        <v>38</v>
      </c>
      <c r="I3011" s="9">
        <v>229.96046999999999</v>
      </c>
      <c r="J3011">
        <v>242.10330315799001</v>
      </c>
      <c r="K3011">
        <v>218.24149097010999</v>
      </c>
      <c r="L3011">
        <v>231.07441248354999</v>
      </c>
    </row>
    <row r="3012" spans="1:12" x14ac:dyDescent="0.2">
      <c r="A3012" s="8" t="s">
        <v>110</v>
      </c>
      <c r="B3012" s="8" t="s">
        <v>115</v>
      </c>
      <c r="C3012" s="8" t="s">
        <v>478</v>
      </c>
      <c r="D3012" s="8" t="s">
        <v>479</v>
      </c>
      <c r="E3012" s="8" t="s">
        <v>76</v>
      </c>
      <c r="F3012" s="8" t="s">
        <v>77</v>
      </c>
      <c r="G3012" s="8" t="s">
        <v>7</v>
      </c>
      <c r="H3012" s="8" t="s">
        <v>38</v>
      </c>
      <c r="I3012" s="9">
        <v>18.019048000000002</v>
      </c>
      <c r="J3012">
        <v>10.057142857520001</v>
      </c>
      <c r="K3012">
        <v>9.5333333336999999</v>
      </c>
      <c r="L3012">
        <v>9.5333333336999999</v>
      </c>
    </row>
    <row r="3013" spans="1:12" x14ac:dyDescent="0.2">
      <c r="A3013" s="8" t="s">
        <v>110</v>
      </c>
      <c r="B3013" s="8" t="s">
        <v>115</v>
      </c>
      <c r="C3013" s="8" t="s">
        <v>478</v>
      </c>
      <c r="D3013" s="8" t="s">
        <v>479</v>
      </c>
      <c r="E3013" s="8" t="s">
        <v>78</v>
      </c>
      <c r="F3013" s="8" t="s">
        <v>79</v>
      </c>
      <c r="G3013" s="8" t="s">
        <v>7</v>
      </c>
      <c r="H3013" s="8" t="s">
        <v>38</v>
      </c>
      <c r="I3013" s="9">
        <v>0.1571428</v>
      </c>
      <c r="J3013">
        <v>0.15714282857143</v>
      </c>
      <c r="K3013">
        <v>0.15714282857143</v>
      </c>
      <c r="L3013">
        <v>3.1428565714285997E-2</v>
      </c>
    </row>
    <row r="3014" spans="1:12" x14ac:dyDescent="0.2">
      <c r="A3014" s="8" t="s">
        <v>110</v>
      </c>
      <c r="B3014" s="8" t="s">
        <v>115</v>
      </c>
      <c r="C3014" s="8" t="s">
        <v>478</v>
      </c>
      <c r="D3014" s="8" t="s">
        <v>479</v>
      </c>
      <c r="E3014" s="8" t="s">
        <v>92</v>
      </c>
      <c r="F3014" s="8" t="s">
        <v>93</v>
      </c>
      <c r="G3014" s="8" t="s">
        <v>7</v>
      </c>
      <c r="H3014" s="8" t="s">
        <v>38</v>
      </c>
      <c r="I3014" s="9">
        <v>161.70296999999999</v>
      </c>
      <c r="J3014">
        <v>156.42626999999999</v>
      </c>
      <c r="K3014">
        <v>144.9987825</v>
      </c>
      <c r="L3014">
        <v>141.82654199999999</v>
      </c>
    </row>
    <row r="3015" spans="1:12" x14ac:dyDescent="0.2">
      <c r="A3015" s="8" t="s">
        <v>32</v>
      </c>
      <c r="B3015" s="8" t="s">
        <v>80</v>
      </c>
      <c r="C3015" s="8" t="s">
        <v>480</v>
      </c>
      <c r="D3015" s="8" t="s">
        <v>481</v>
      </c>
      <c r="E3015" s="8" t="s">
        <v>36</v>
      </c>
      <c r="F3015" s="8" t="s">
        <v>37</v>
      </c>
      <c r="G3015" s="8" t="s">
        <v>7</v>
      </c>
      <c r="H3015" s="8" t="s">
        <v>38</v>
      </c>
      <c r="I3015" s="9">
        <v>35.672950999999998</v>
      </c>
      <c r="J3015">
        <v>39.848726939999999</v>
      </c>
      <c r="K3015">
        <v>43.601102300000001</v>
      </c>
      <c r="L3015">
        <v>41.866088440665003</v>
      </c>
    </row>
    <row r="3016" spans="1:12" x14ac:dyDescent="0.2">
      <c r="A3016" s="8" t="s">
        <v>32</v>
      </c>
      <c r="B3016" s="8" t="s">
        <v>80</v>
      </c>
      <c r="C3016" s="8" t="s">
        <v>480</v>
      </c>
      <c r="D3016" s="8" t="s">
        <v>481</v>
      </c>
      <c r="E3016" s="8" t="s">
        <v>39</v>
      </c>
      <c r="F3016" s="8" t="s">
        <v>40</v>
      </c>
      <c r="G3016" s="8" t="s">
        <v>7</v>
      </c>
      <c r="H3016" s="8" t="s">
        <v>38</v>
      </c>
      <c r="I3016" s="9">
        <v>105.63439</v>
      </c>
      <c r="J3016">
        <v>123.22377184</v>
      </c>
      <c r="K3016">
        <v>142.35734020999999</v>
      </c>
      <c r="L3016">
        <v>136.90778102482</v>
      </c>
    </row>
    <row r="3017" spans="1:12" x14ac:dyDescent="0.2">
      <c r="A3017" s="8" t="s">
        <v>32</v>
      </c>
      <c r="B3017" s="8" t="s">
        <v>80</v>
      </c>
      <c r="C3017" s="8" t="s">
        <v>480</v>
      </c>
      <c r="D3017" s="8" t="s">
        <v>481</v>
      </c>
      <c r="E3017" s="8" t="s">
        <v>43</v>
      </c>
      <c r="F3017" s="8" t="s">
        <v>44</v>
      </c>
      <c r="G3017" s="8" t="s">
        <v>7</v>
      </c>
      <c r="H3017" s="8" t="s">
        <v>38</v>
      </c>
      <c r="I3017" s="9">
        <v>752.97128999999995</v>
      </c>
      <c r="J3017">
        <v>733.82562282000004</v>
      </c>
      <c r="K3017">
        <v>827.07705374</v>
      </c>
      <c r="L3017">
        <v>835.62153739795997</v>
      </c>
    </row>
    <row r="3018" spans="1:12" x14ac:dyDescent="0.2">
      <c r="A3018" s="8" t="s">
        <v>32</v>
      </c>
      <c r="B3018" s="8" t="s">
        <v>80</v>
      </c>
      <c r="C3018" s="8" t="s">
        <v>480</v>
      </c>
      <c r="D3018" s="8" t="s">
        <v>481</v>
      </c>
      <c r="E3018" s="8" t="s">
        <v>66</v>
      </c>
      <c r="F3018" s="8" t="s">
        <v>67</v>
      </c>
      <c r="G3018" s="8" t="s">
        <v>7</v>
      </c>
      <c r="H3018" s="8" t="s">
        <v>38</v>
      </c>
      <c r="I3018" s="9"/>
      <c r="K3018">
        <v>30.384779099999999</v>
      </c>
      <c r="L3018">
        <v>30.698682438626999</v>
      </c>
    </row>
    <row r="3019" spans="1:12" x14ac:dyDescent="0.2">
      <c r="A3019" s="8" t="s">
        <v>32</v>
      </c>
      <c r="B3019" s="8" t="s">
        <v>80</v>
      </c>
      <c r="C3019" s="8" t="s">
        <v>480</v>
      </c>
      <c r="D3019" s="8" t="s">
        <v>481</v>
      </c>
      <c r="E3019" s="8" t="s">
        <v>49</v>
      </c>
      <c r="F3019" s="8" t="s">
        <v>50</v>
      </c>
      <c r="G3019" s="8" t="s">
        <v>7</v>
      </c>
      <c r="H3019" s="8" t="s">
        <v>38</v>
      </c>
      <c r="I3019" s="9">
        <v>60.951962999999999</v>
      </c>
      <c r="J3019">
        <v>86.313993670000002</v>
      </c>
      <c r="K3019">
        <v>25.984178700000001</v>
      </c>
      <c r="L3019">
        <v>26.248868146858001</v>
      </c>
    </row>
    <row r="3020" spans="1:12" x14ac:dyDescent="0.2">
      <c r="A3020" s="8" t="s">
        <v>32</v>
      </c>
      <c r="B3020" s="8" t="s">
        <v>80</v>
      </c>
      <c r="C3020" s="8" t="s">
        <v>480</v>
      </c>
      <c r="D3020" s="8" t="s">
        <v>481</v>
      </c>
      <c r="E3020" s="8" t="s">
        <v>51</v>
      </c>
      <c r="F3020" s="8" t="s">
        <v>52</v>
      </c>
      <c r="G3020" s="8" t="s">
        <v>7</v>
      </c>
      <c r="H3020" s="8" t="s">
        <v>38</v>
      </c>
      <c r="I3020" s="9"/>
    </row>
    <row r="3021" spans="1:12" x14ac:dyDescent="0.2">
      <c r="A3021" s="8" t="s">
        <v>32</v>
      </c>
      <c r="B3021" s="8" t="s">
        <v>80</v>
      </c>
      <c r="C3021" s="8" t="s">
        <v>480</v>
      </c>
      <c r="D3021" s="8" t="s">
        <v>481</v>
      </c>
      <c r="E3021" s="8" t="s">
        <v>68</v>
      </c>
      <c r="F3021" s="8" t="s">
        <v>69</v>
      </c>
      <c r="G3021" s="8" t="s">
        <v>7</v>
      </c>
      <c r="H3021" s="8" t="s">
        <v>38</v>
      </c>
      <c r="I3021" s="9">
        <v>1.4625649999999999</v>
      </c>
      <c r="J3021">
        <v>1.8515151770108</v>
      </c>
      <c r="K3021">
        <v>2.8972961528374999</v>
      </c>
      <c r="L3021">
        <v>2.6492452533141</v>
      </c>
    </row>
    <row r="3022" spans="1:12" x14ac:dyDescent="0.2">
      <c r="A3022" s="8" t="s">
        <v>32</v>
      </c>
      <c r="B3022" s="8" t="s">
        <v>80</v>
      </c>
      <c r="C3022" s="8" t="s">
        <v>480</v>
      </c>
      <c r="D3022" s="8" t="s">
        <v>481</v>
      </c>
      <c r="E3022" s="8" t="s">
        <v>55</v>
      </c>
      <c r="F3022" s="8" t="s">
        <v>56</v>
      </c>
      <c r="G3022" s="8" t="s">
        <v>7</v>
      </c>
      <c r="H3022" s="8" t="s">
        <v>38</v>
      </c>
      <c r="I3022" s="9">
        <v>6.7580299999999996E-2</v>
      </c>
      <c r="J3022">
        <v>6.8427288313061996E-2</v>
      </c>
      <c r="K3022">
        <v>6.9284895608432998E-2</v>
      </c>
      <c r="L3022">
        <v>7.0123274878555006E-2</v>
      </c>
    </row>
    <row r="3023" spans="1:12" x14ac:dyDescent="0.2">
      <c r="A3023" s="8" t="s">
        <v>32</v>
      </c>
      <c r="B3023" s="8" t="s">
        <v>80</v>
      </c>
      <c r="C3023" s="8" t="s">
        <v>480</v>
      </c>
      <c r="D3023" s="8" t="s">
        <v>481</v>
      </c>
      <c r="E3023" s="8" t="s">
        <v>57</v>
      </c>
      <c r="F3023" s="8" t="s">
        <v>58</v>
      </c>
      <c r="G3023" s="8" t="s">
        <v>7</v>
      </c>
      <c r="H3023" s="8" t="s">
        <v>38</v>
      </c>
      <c r="I3023" s="9">
        <v>0.151731</v>
      </c>
      <c r="J3023">
        <v>0.17869877123621999</v>
      </c>
      <c r="K3023">
        <v>0.21045964219680999</v>
      </c>
      <c r="L3023">
        <v>0.23330255772708</v>
      </c>
    </row>
    <row r="3024" spans="1:12" x14ac:dyDescent="0.2">
      <c r="A3024" s="8" t="s">
        <v>32</v>
      </c>
      <c r="B3024" s="8" t="s">
        <v>80</v>
      </c>
      <c r="C3024" s="8" t="s">
        <v>480</v>
      </c>
      <c r="D3024" s="8" t="s">
        <v>481</v>
      </c>
      <c r="E3024" s="8" t="s">
        <v>59</v>
      </c>
      <c r="F3024" s="8" t="s">
        <v>60</v>
      </c>
      <c r="G3024" s="8" t="s">
        <v>7</v>
      </c>
      <c r="H3024" s="8" t="s">
        <v>38</v>
      </c>
      <c r="I3024" s="9">
        <v>3.7112037</v>
      </c>
      <c r="J3024">
        <v>3.8642841514681998</v>
      </c>
      <c r="K3024">
        <v>3.9521236233025001</v>
      </c>
      <c r="L3024">
        <v>4.1052329375988004</v>
      </c>
    </row>
    <row r="3025" spans="1:12" x14ac:dyDescent="0.2">
      <c r="A3025" s="8" t="s">
        <v>32</v>
      </c>
      <c r="B3025" s="8" t="s">
        <v>120</v>
      </c>
      <c r="C3025" s="8" t="s">
        <v>482</v>
      </c>
      <c r="D3025" s="8" t="s">
        <v>483</v>
      </c>
      <c r="E3025" s="8" t="s">
        <v>36</v>
      </c>
      <c r="F3025" s="8" t="s">
        <v>37</v>
      </c>
      <c r="G3025" s="8" t="s">
        <v>7</v>
      </c>
      <c r="H3025" s="8" t="s">
        <v>38</v>
      </c>
      <c r="I3025" s="9">
        <v>175.94253</v>
      </c>
      <c r="J3025">
        <v>150.30385829186</v>
      </c>
      <c r="K3025">
        <v>158.01191532474999</v>
      </c>
      <c r="L3025">
        <v>157.26508830029999</v>
      </c>
    </row>
    <row r="3026" spans="1:12" x14ac:dyDescent="0.2">
      <c r="A3026" s="8" t="s">
        <v>32</v>
      </c>
      <c r="B3026" s="8" t="s">
        <v>120</v>
      </c>
      <c r="C3026" s="8" t="s">
        <v>482</v>
      </c>
      <c r="D3026" s="8" t="s">
        <v>483</v>
      </c>
      <c r="E3026" s="8" t="s">
        <v>64</v>
      </c>
      <c r="F3026" s="8" t="s">
        <v>65</v>
      </c>
      <c r="G3026" s="8" t="s">
        <v>7</v>
      </c>
      <c r="H3026" s="8" t="s">
        <v>38</v>
      </c>
      <c r="I3026" s="9"/>
    </row>
    <row r="3027" spans="1:12" x14ac:dyDescent="0.2">
      <c r="A3027" s="8" t="s">
        <v>32</v>
      </c>
      <c r="B3027" s="8" t="s">
        <v>120</v>
      </c>
      <c r="C3027" s="8" t="s">
        <v>482</v>
      </c>
      <c r="D3027" s="8" t="s">
        <v>483</v>
      </c>
      <c r="E3027" s="8" t="s">
        <v>39</v>
      </c>
      <c r="F3027" s="8" t="s">
        <v>40</v>
      </c>
      <c r="G3027" s="8" t="s">
        <v>7</v>
      </c>
      <c r="H3027" s="8" t="s">
        <v>38</v>
      </c>
      <c r="I3027" s="9">
        <v>105.76039</v>
      </c>
      <c r="J3027">
        <v>96.857434137339993</v>
      </c>
      <c r="K3027">
        <v>102.09506166452999</v>
      </c>
      <c r="L3027">
        <v>101.61251988306999</v>
      </c>
    </row>
    <row r="3028" spans="1:12" x14ac:dyDescent="0.2">
      <c r="A3028" s="8" t="s">
        <v>32</v>
      </c>
      <c r="B3028" s="8" t="s">
        <v>120</v>
      </c>
      <c r="C3028" s="8" t="s">
        <v>482</v>
      </c>
      <c r="D3028" s="8" t="s">
        <v>483</v>
      </c>
      <c r="E3028" s="8" t="s">
        <v>41</v>
      </c>
      <c r="F3028" s="8" t="s">
        <v>42</v>
      </c>
      <c r="G3028" s="8" t="s">
        <v>7</v>
      </c>
      <c r="H3028" s="8" t="s">
        <v>38</v>
      </c>
      <c r="I3028" s="9">
        <v>3.7446149000000002</v>
      </c>
      <c r="J3028">
        <v>3.825531200745</v>
      </c>
      <c r="K3028">
        <v>3.9260801231436</v>
      </c>
      <c r="L3028">
        <v>5.2286638464655999</v>
      </c>
    </row>
    <row r="3029" spans="1:12" x14ac:dyDescent="0.2">
      <c r="A3029" s="8" t="s">
        <v>32</v>
      </c>
      <c r="B3029" s="8" t="s">
        <v>120</v>
      </c>
      <c r="C3029" s="8" t="s">
        <v>482</v>
      </c>
      <c r="D3029" s="8" t="s">
        <v>483</v>
      </c>
      <c r="E3029" s="8" t="s">
        <v>43</v>
      </c>
      <c r="F3029" s="8" t="s">
        <v>44</v>
      </c>
      <c r="G3029" s="8" t="s">
        <v>7</v>
      </c>
      <c r="H3029" s="8" t="s">
        <v>38</v>
      </c>
      <c r="I3029" s="9">
        <v>436.78874000000002</v>
      </c>
      <c r="J3029">
        <v>434.38815317940998</v>
      </c>
      <c r="K3029">
        <v>460.11418145701998</v>
      </c>
      <c r="L3029">
        <v>457.93949922287999</v>
      </c>
    </row>
    <row r="3030" spans="1:12" x14ac:dyDescent="0.2">
      <c r="A3030" s="8" t="s">
        <v>32</v>
      </c>
      <c r="B3030" s="8" t="s">
        <v>120</v>
      </c>
      <c r="C3030" s="8" t="s">
        <v>482</v>
      </c>
      <c r="D3030" s="8" t="s">
        <v>483</v>
      </c>
      <c r="E3030" s="8" t="s">
        <v>66</v>
      </c>
      <c r="F3030" s="8" t="s">
        <v>67</v>
      </c>
      <c r="G3030" s="8" t="s">
        <v>7</v>
      </c>
      <c r="H3030" s="8" t="s">
        <v>38</v>
      </c>
      <c r="I3030" s="9">
        <v>21.250689000000001</v>
      </c>
      <c r="J3030">
        <v>19.578417748372999</v>
      </c>
      <c r="K3030">
        <v>19.595016898152</v>
      </c>
      <c r="L3030">
        <v>19.502403071315999</v>
      </c>
    </row>
    <row r="3031" spans="1:12" x14ac:dyDescent="0.2">
      <c r="A3031" s="8" t="s">
        <v>32</v>
      </c>
      <c r="B3031" s="8" t="s">
        <v>120</v>
      </c>
      <c r="C3031" s="8" t="s">
        <v>482</v>
      </c>
      <c r="D3031" s="8" t="s">
        <v>483</v>
      </c>
      <c r="E3031" s="8" t="s">
        <v>45</v>
      </c>
      <c r="F3031" s="8" t="s">
        <v>46</v>
      </c>
      <c r="G3031" s="8" t="s">
        <v>7</v>
      </c>
      <c r="H3031" s="8" t="s">
        <v>38</v>
      </c>
      <c r="I3031" s="9">
        <v>4.5898434999999997</v>
      </c>
      <c r="J3031">
        <v>4.2427510741559997</v>
      </c>
      <c r="K3031">
        <v>4.3242293450837996</v>
      </c>
      <c r="L3031">
        <v>4.1736123532614</v>
      </c>
    </row>
    <row r="3032" spans="1:12" x14ac:dyDescent="0.2">
      <c r="A3032" s="8" t="s">
        <v>32</v>
      </c>
      <c r="B3032" s="8" t="s">
        <v>120</v>
      </c>
      <c r="C3032" s="8" t="s">
        <v>482</v>
      </c>
      <c r="D3032" s="8" t="s">
        <v>483</v>
      </c>
      <c r="E3032" s="8" t="s">
        <v>47</v>
      </c>
      <c r="F3032" s="8" t="s">
        <v>48</v>
      </c>
      <c r="G3032" s="8" t="s">
        <v>7</v>
      </c>
      <c r="H3032" s="8" t="s">
        <v>38</v>
      </c>
      <c r="I3032" s="9">
        <v>5.2505825000000002</v>
      </c>
      <c r="J3032">
        <v>5.3758506443426004</v>
      </c>
      <c r="K3032">
        <v>5.8582085615931003</v>
      </c>
      <c r="L3032">
        <v>5.8305203428938004</v>
      </c>
    </row>
    <row r="3033" spans="1:12" x14ac:dyDescent="0.2">
      <c r="A3033" s="8" t="s">
        <v>32</v>
      </c>
      <c r="B3033" s="8" t="s">
        <v>120</v>
      </c>
      <c r="C3033" s="8" t="s">
        <v>482</v>
      </c>
      <c r="D3033" s="8" t="s">
        <v>483</v>
      </c>
      <c r="E3033" s="8" t="s">
        <v>49</v>
      </c>
      <c r="F3033" s="8" t="s">
        <v>50</v>
      </c>
      <c r="G3033" s="8" t="s">
        <v>7</v>
      </c>
      <c r="H3033" s="8" t="s">
        <v>38</v>
      </c>
      <c r="I3033" s="9">
        <v>47.186993999999999</v>
      </c>
      <c r="J3033">
        <v>44.892337824892998</v>
      </c>
      <c r="K3033">
        <v>50.328429950848999</v>
      </c>
      <c r="L3033">
        <v>50.090557816282001</v>
      </c>
    </row>
    <row r="3034" spans="1:12" x14ac:dyDescent="0.2">
      <c r="A3034" s="8" t="s">
        <v>32</v>
      </c>
      <c r="B3034" s="8" t="s">
        <v>120</v>
      </c>
      <c r="C3034" s="8" t="s">
        <v>482</v>
      </c>
      <c r="D3034" s="8" t="s">
        <v>483</v>
      </c>
      <c r="E3034" s="8" t="s">
        <v>51</v>
      </c>
      <c r="F3034" s="8" t="s">
        <v>52</v>
      </c>
      <c r="G3034" s="8" t="s">
        <v>7</v>
      </c>
      <c r="H3034" s="8" t="s">
        <v>38</v>
      </c>
      <c r="I3034" s="9">
        <v>36.359188000000003</v>
      </c>
      <c r="J3034">
        <v>26.989990505769001</v>
      </c>
      <c r="K3034">
        <v>36.369060745732</v>
      </c>
      <c r="L3034">
        <v>36.197166130299998</v>
      </c>
    </row>
    <row r="3035" spans="1:12" x14ac:dyDescent="0.2">
      <c r="A3035" s="8" t="s">
        <v>32</v>
      </c>
      <c r="B3035" s="8" t="s">
        <v>120</v>
      </c>
      <c r="C3035" s="8" t="s">
        <v>482</v>
      </c>
      <c r="D3035" s="8" t="s">
        <v>483</v>
      </c>
      <c r="E3035" s="8" t="s">
        <v>53</v>
      </c>
      <c r="F3035" s="8" t="s">
        <v>54</v>
      </c>
      <c r="G3035" s="8" t="s">
        <v>7</v>
      </c>
      <c r="H3035" s="8" t="s">
        <v>38</v>
      </c>
      <c r="I3035" s="9"/>
    </row>
    <row r="3036" spans="1:12" x14ac:dyDescent="0.2">
      <c r="A3036" s="8" t="s">
        <v>32</v>
      </c>
      <c r="B3036" s="8" t="s">
        <v>120</v>
      </c>
      <c r="C3036" s="8" t="s">
        <v>482</v>
      </c>
      <c r="D3036" s="8" t="s">
        <v>483</v>
      </c>
      <c r="E3036" s="8" t="s">
        <v>55</v>
      </c>
      <c r="F3036" s="8" t="s">
        <v>56</v>
      </c>
      <c r="G3036" s="8" t="s">
        <v>7</v>
      </c>
      <c r="H3036" s="8" t="s">
        <v>38</v>
      </c>
      <c r="I3036" s="9">
        <v>4.9458000000000002E-3</v>
      </c>
      <c r="J3036">
        <v>4.9765986275515E-3</v>
      </c>
      <c r="K3036">
        <v>5.0075861412846E-3</v>
      </c>
      <c r="L3036">
        <v>5.0381305946124002E-3</v>
      </c>
    </row>
    <row r="3037" spans="1:12" x14ac:dyDescent="0.2">
      <c r="A3037" s="8" t="s">
        <v>32</v>
      </c>
      <c r="B3037" s="8" t="s">
        <v>120</v>
      </c>
      <c r="C3037" s="8" t="s">
        <v>482</v>
      </c>
      <c r="D3037" s="8" t="s">
        <v>483</v>
      </c>
      <c r="E3037" s="8" t="s">
        <v>57</v>
      </c>
      <c r="F3037" s="8" t="s">
        <v>58</v>
      </c>
      <c r="G3037" s="8" t="s">
        <v>7</v>
      </c>
      <c r="H3037" s="8" t="s">
        <v>38</v>
      </c>
      <c r="I3037" s="9">
        <v>4.5638999999999999E-2</v>
      </c>
      <c r="J3037">
        <v>5.4715308556958997E-2</v>
      </c>
      <c r="K3037">
        <v>6.5596575390212006E-2</v>
      </c>
      <c r="L3037">
        <v>7.2362489468255006E-2</v>
      </c>
    </row>
    <row r="3038" spans="1:12" x14ac:dyDescent="0.2">
      <c r="A3038" s="8" t="s">
        <v>32</v>
      </c>
      <c r="B3038" s="8" t="s">
        <v>120</v>
      </c>
      <c r="C3038" s="8" t="s">
        <v>482</v>
      </c>
      <c r="D3038" s="8" t="s">
        <v>483</v>
      </c>
      <c r="E3038" s="8" t="s">
        <v>59</v>
      </c>
      <c r="F3038" s="8" t="s">
        <v>60</v>
      </c>
      <c r="G3038" s="8" t="s">
        <v>7</v>
      </c>
      <c r="H3038" s="8" t="s">
        <v>38</v>
      </c>
      <c r="I3038" s="9">
        <v>1.9001146</v>
      </c>
      <c r="J3038">
        <v>1.6943734401821999</v>
      </c>
      <c r="K3038">
        <v>1.7138559940171001</v>
      </c>
      <c r="L3038">
        <v>1.5526179959152999</v>
      </c>
    </row>
    <row r="3039" spans="1:12" x14ac:dyDescent="0.2">
      <c r="A3039" s="8" t="s">
        <v>32</v>
      </c>
      <c r="B3039" s="8" t="s">
        <v>96</v>
      </c>
      <c r="C3039" s="8" t="s">
        <v>484</v>
      </c>
      <c r="D3039" s="8" t="s">
        <v>485</v>
      </c>
      <c r="E3039" s="8" t="s">
        <v>36</v>
      </c>
      <c r="F3039" s="8" t="s">
        <v>37</v>
      </c>
      <c r="G3039" s="8" t="s">
        <v>7</v>
      </c>
      <c r="H3039" s="8" t="s">
        <v>38</v>
      </c>
      <c r="I3039" s="9">
        <v>17110.68</v>
      </c>
      <c r="J3039">
        <v>17513.412906000001</v>
      </c>
      <c r="K3039">
        <v>16649.512793999998</v>
      </c>
      <c r="L3039">
        <v>16749.846325701001</v>
      </c>
    </row>
    <row r="3040" spans="1:12" x14ac:dyDescent="0.2">
      <c r="A3040" s="8" t="s">
        <v>32</v>
      </c>
      <c r="B3040" s="8" t="s">
        <v>96</v>
      </c>
      <c r="C3040" s="8" t="s">
        <v>484</v>
      </c>
      <c r="D3040" s="8" t="s">
        <v>485</v>
      </c>
      <c r="E3040" s="8" t="s">
        <v>64</v>
      </c>
      <c r="F3040" s="8" t="s">
        <v>65</v>
      </c>
      <c r="G3040" s="8" t="s">
        <v>7</v>
      </c>
      <c r="H3040" s="8" t="s">
        <v>38</v>
      </c>
      <c r="I3040" s="9">
        <v>616.41148999999996</v>
      </c>
      <c r="J3040">
        <v>605.02101600000003</v>
      </c>
      <c r="K3040">
        <v>587.92734599999994</v>
      </c>
      <c r="L3040">
        <v>508.1323112645</v>
      </c>
    </row>
    <row r="3041" spans="1:12" x14ac:dyDescent="0.2">
      <c r="A3041" s="8" t="s">
        <v>32</v>
      </c>
      <c r="B3041" s="8" t="s">
        <v>96</v>
      </c>
      <c r="C3041" s="8" t="s">
        <v>484</v>
      </c>
      <c r="D3041" s="8" t="s">
        <v>485</v>
      </c>
      <c r="E3041" s="8" t="s">
        <v>39</v>
      </c>
      <c r="F3041" s="8" t="s">
        <v>40</v>
      </c>
      <c r="G3041" s="8" t="s">
        <v>7</v>
      </c>
      <c r="H3041" s="8" t="s">
        <v>38</v>
      </c>
      <c r="I3041" s="9">
        <v>2511.1570000000002</v>
      </c>
      <c r="J3041">
        <v>2398.5702719999999</v>
      </c>
      <c r="K3041">
        <v>2397.6881760000001</v>
      </c>
      <c r="L3041">
        <v>2419.0253699382001</v>
      </c>
    </row>
    <row r="3042" spans="1:12" x14ac:dyDescent="0.2">
      <c r="A3042" s="8" t="s">
        <v>32</v>
      </c>
      <c r="B3042" s="8" t="s">
        <v>96</v>
      </c>
      <c r="C3042" s="8" t="s">
        <v>484</v>
      </c>
      <c r="D3042" s="8" t="s">
        <v>485</v>
      </c>
      <c r="E3042" s="8" t="s">
        <v>41</v>
      </c>
      <c r="F3042" s="8" t="s">
        <v>42</v>
      </c>
      <c r="G3042" s="8" t="s">
        <v>7</v>
      </c>
      <c r="H3042" s="8" t="s">
        <v>38</v>
      </c>
      <c r="I3042" s="9">
        <v>273.60762</v>
      </c>
      <c r="J3042">
        <v>231.51414</v>
      </c>
      <c r="K3042">
        <v>294.65436</v>
      </c>
      <c r="L3042">
        <v>324.94122880347999</v>
      </c>
    </row>
    <row r="3043" spans="1:12" x14ac:dyDescent="0.2">
      <c r="A3043" s="8" t="s">
        <v>32</v>
      </c>
      <c r="B3043" s="8" t="s">
        <v>96</v>
      </c>
      <c r="C3043" s="8" t="s">
        <v>484</v>
      </c>
      <c r="D3043" s="8" t="s">
        <v>485</v>
      </c>
      <c r="E3043" s="8" t="s">
        <v>43</v>
      </c>
      <c r="F3043" s="8" t="s">
        <v>44</v>
      </c>
      <c r="G3043" s="8" t="s">
        <v>7</v>
      </c>
      <c r="H3043" s="8" t="s">
        <v>38</v>
      </c>
      <c r="I3043" s="9">
        <v>4919.7683999999999</v>
      </c>
      <c r="J3043">
        <v>4634.2995270000001</v>
      </c>
      <c r="K3043">
        <v>4672.5048569999999</v>
      </c>
      <c r="L3043">
        <v>4725.4824061305999</v>
      </c>
    </row>
    <row r="3044" spans="1:12" x14ac:dyDescent="0.2">
      <c r="A3044" s="8" t="s">
        <v>32</v>
      </c>
      <c r="B3044" s="8" t="s">
        <v>96</v>
      </c>
      <c r="C3044" s="8" t="s">
        <v>484</v>
      </c>
      <c r="D3044" s="8" t="s">
        <v>485</v>
      </c>
      <c r="E3044" s="8" t="s">
        <v>49</v>
      </c>
      <c r="F3044" s="8" t="s">
        <v>50</v>
      </c>
      <c r="G3044" s="8" t="s">
        <v>7</v>
      </c>
      <c r="H3044" s="8" t="s">
        <v>38</v>
      </c>
      <c r="I3044" s="9">
        <v>2841.1842999999999</v>
      </c>
      <c r="J3044">
        <v>2685.5543950000001</v>
      </c>
      <c r="K3044">
        <v>2678.6805330000002</v>
      </c>
      <c r="L3044">
        <v>2709.0518079126</v>
      </c>
    </row>
    <row r="3045" spans="1:12" x14ac:dyDescent="0.2">
      <c r="A3045" s="8" t="s">
        <v>32</v>
      </c>
      <c r="B3045" s="8" t="s">
        <v>96</v>
      </c>
      <c r="C3045" s="8" t="s">
        <v>484</v>
      </c>
      <c r="D3045" s="8" t="s">
        <v>485</v>
      </c>
      <c r="E3045" s="8" t="s">
        <v>51</v>
      </c>
      <c r="F3045" s="8" t="s">
        <v>52</v>
      </c>
      <c r="G3045" s="8" t="s">
        <v>7</v>
      </c>
      <c r="H3045" s="8" t="s">
        <v>38</v>
      </c>
      <c r="I3045" s="9">
        <v>240.14046999999999</v>
      </c>
      <c r="J3045">
        <v>222.26880600000001</v>
      </c>
      <c r="K3045">
        <v>241.25502599999999</v>
      </c>
      <c r="L3045">
        <v>243.99041106306001</v>
      </c>
    </row>
    <row r="3046" spans="1:12" x14ac:dyDescent="0.2">
      <c r="A3046" s="8" t="s">
        <v>32</v>
      </c>
      <c r="B3046" s="8" t="s">
        <v>96</v>
      </c>
      <c r="C3046" s="8" t="s">
        <v>484</v>
      </c>
      <c r="D3046" s="8" t="s">
        <v>485</v>
      </c>
      <c r="E3046" s="8" t="s">
        <v>53</v>
      </c>
      <c r="F3046" s="8" t="s">
        <v>54</v>
      </c>
      <c r="G3046" s="8" t="s">
        <v>7</v>
      </c>
      <c r="H3046" s="8" t="s">
        <v>38</v>
      </c>
      <c r="I3046" s="9">
        <v>1934.7555</v>
      </c>
      <c r="J3046">
        <v>2059.0543406065999</v>
      </c>
      <c r="K3046">
        <v>2107.4365063344999</v>
      </c>
      <c r="L3046">
        <v>2141.4649105230001</v>
      </c>
    </row>
    <row r="3047" spans="1:12" x14ac:dyDescent="0.2">
      <c r="A3047" s="8" t="s">
        <v>32</v>
      </c>
      <c r="B3047" s="8" t="s">
        <v>96</v>
      </c>
      <c r="C3047" s="8" t="s">
        <v>484</v>
      </c>
      <c r="D3047" s="8" t="s">
        <v>485</v>
      </c>
      <c r="E3047" s="8" t="s">
        <v>70</v>
      </c>
      <c r="F3047" s="8" t="s">
        <v>71</v>
      </c>
      <c r="G3047" s="8" t="s">
        <v>7</v>
      </c>
      <c r="H3047" s="8" t="s">
        <v>38</v>
      </c>
      <c r="I3047" s="9">
        <v>1082.4404999999999</v>
      </c>
      <c r="J3047">
        <v>1496.0921438400001</v>
      </c>
      <c r="K3047">
        <v>1335.7965569999999</v>
      </c>
      <c r="L3047">
        <v>1334.2895946343001</v>
      </c>
    </row>
    <row r="3048" spans="1:12" x14ac:dyDescent="0.2">
      <c r="A3048" s="8" t="s">
        <v>32</v>
      </c>
      <c r="B3048" s="8" t="s">
        <v>96</v>
      </c>
      <c r="C3048" s="8" t="s">
        <v>484</v>
      </c>
      <c r="D3048" s="8" t="s">
        <v>485</v>
      </c>
      <c r="E3048" s="8" t="s">
        <v>55</v>
      </c>
      <c r="F3048" s="8" t="s">
        <v>56</v>
      </c>
      <c r="G3048" s="8" t="s">
        <v>7</v>
      </c>
      <c r="H3048" s="8" t="s">
        <v>38</v>
      </c>
      <c r="I3048" s="9">
        <v>0.98798609999999998</v>
      </c>
      <c r="J3048">
        <v>1.1065700768725</v>
      </c>
      <c r="K3048">
        <v>1.1065700768725</v>
      </c>
      <c r="L3048">
        <v>1.1065700768725</v>
      </c>
    </row>
    <row r="3049" spans="1:12" x14ac:dyDescent="0.2">
      <c r="A3049" s="8" t="s">
        <v>32</v>
      </c>
      <c r="B3049" s="8" t="s">
        <v>96</v>
      </c>
      <c r="C3049" s="8" t="s">
        <v>484</v>
      </c>
      <c r="D3049" s="8" t="s">
        <v>485</v>
      </c>
      <c r="E3049" s="8" t="s">
        <v>57</v>
      </c>
      <c r="F3049" s="8" t="s">
        <v>58</v>
      </c>
      <c r="G3049" s="8" t="s">
        <v>7</v>
      </c>
      <c r="H3049" s="8" t="s">
        <v>38</v>
      </c>
      <c r="I3049" s="9"/>
    </row>
    <row r="3050" spans="1:12" x14ac:dyDescent="0.2">
      <c r="A3050" s="8" t="s">
        <v>32</v>
      </c>
      <c r="B3050" s="8" t="s">
        <v>96</v>
      </c>
      <c r="C3050" s="8" t="s">
        <v>484</v>
      </c>
      <c r="D3050" s="8" t="s">
        <v>485</v>
      </c>
      <c r="E3050" s="8" t="s">
        <v>72</v>
      </c>
      <c r="F3050" s="8" t="s">
        <v>73</v>
      </c>
      <c r="G3050" s="8" t="s">
        <v>7</v>
      </c>
      <c r="H3050" s="8" t="s">
        <v>38</v>
      </c>
      <c r="I3050" s="9">
        <v>48.570006999999997</v>
      </c>
      <c r="J3050">
        <v>48.570006900000003</v>
      </c>
      <c r="K3050">
        <v>48.408673640000004</v>
      </c>
      <c r="L3050">
        <v>48.570006900000003</v>
      </c>
    </row>
    <row r="3051" spans="1:12" x14ac:dyDescent="0.2">
      <c r="A3051" s="8" t="s">
        <v>32</v>
      </c>
      <c r="B3051" s="8" t="s">
        <v>96</v>
      </c>
      <c r="C3051" s="8" t="s">
        <v>484</v>
      </c>
      <c r="D3051" s="8" t="s">
        <v>485</v>
      </c>
      <c r="E3051" s="8" t="s">
        <v>74</v>
      </c>
      <c r="F3051" s="8" t="s">
        <v>75</v>
      </c>
      <c r="G3051" s="8" t="s">
        <v>7</v>
      </c>
      <c r="H3051" s="8" t="s">
        <v>38</v>
      </c>
      <c r="I3051" s="9">
        <v>2.4373999999999998</v>
      </c>
      <c r="J3051">
        <v>2.4373999999999998</v>
      </c>
      <c r="K3051">
        <v>2.4373999999999998</v>
      </c>
      <c r="L3051">
        <v>2.4373999999999998</v>
      </c>
    </row>
    <row r="3052" spans="1:12" x14ac:dyDescent="0.2">
      <c r="A3052" s="8" t="s">
        <v>32</v>
      </c>
      <c r="B3052" s="8" t="s">
        <v>96</v>
      </c>
      <c r="C3052" s="8" t="s">
        <v>484</v>
      </c>
      <c r="D3052" s="8" t="s">
        <v>485</v>
      </c>
      <c r="E3052" s="8" t="s">
        <v>59</v>
      </c>
      <c r="F3052" s="8" t="s">
        <v>60</v>
      </c>
      <c r="G3052" s="8" t="s">
        <v>7</v>
      </c>
      <c r="H3052" s="8" t="s">
        <v>38</v>
      </c>
      <c r="I3052" s="9">
        <v>96.976195000000004</v>
      </c>
      <c r="J3052">
        <v>100.17622429012999</v>
      </c>
      <c r="K3052">
        <v>100.08005653951</v>
      </c>
      <c r="L3052">
        <v>102.71039823071</v>
      </c>
    </row>
    <row r="3053" spans="1:12" x14ac:dyDescent="0.2">
      <c r="A3053" s="8" t="s">
        <v>32</v>
      </c>
      <c r="B3053" s="8" t="s">
        <v>96</v>
      </c>
      <c r="C3053" s="8" t="s">
        <v>484</v>
      </c>
      <c r="D3053" s="8" t="s">
        <v>485</v>
      </c>
      <c r="E3053" s="8" t="s">
        <v>76</v>
      </c>
      <c r="F3053" s="8" t="s">
        <v>77</v>
      </c>
      <c r="G3053" s="8" t="s">
        <v>7</v>
      </c>
      <c r="H3053" s="8" t="s">
        <v>38</v>
      </c>
      <c r="I3053" s="9">
        <v>9.4285713999999992</v>
      </c>
      <c r="J3053">
        <v>5.6571428588400003</v>
      </c>
      <c r="K3053">
        <v>1.2571428575200001</v>
      </c>
      <c r="L3053">
        <v>1.0895238098624001</v>
      </c>
    </row>
    <row r="3054" spans="1:12" x14ac:dyDescent="0.2">
      <c r="A3054" s="8" t="s">
        <v>32</v>
      </c>
      <c r="B3054" s="8" t="s">
        <v>96</v>
      </c>
      <c r="C3054" s="8" t="s">
        <v>484</v>
      </c>
      <c r="D3054" s="8" t="s">
        <v>485</v>
      </c>
      <c r="E3054" s="8" t="s">
        <v>78</v>
      </c>
      <c r="F3054" s="8" t="s">
        <v>79</v>
      </c>
      <c r="G3054" s="8" t="s">
        <v>7</v>
      </c>
      <c r="H3054" s="8" t="s">
        <v>38</v>
      </c>
      <c r="I3054" s="9">
        <v>60.657131999999997</v>
      </c>
      <c r="J3054">
        <v>32.528565514286001</v>
      </c>
      <c r="K3054">
        <v>46.828562914286003</v>
      </c>
      <c r="L3054">
        <v>44.974277537143003</v>
      </c>
    </row>
    <row r="3055" spans="1:12" x14ac:dyDescent="0.2">
      <c r="A3055" s="8" t="s">
        <v>32</v>
      </c>
      <c r="B3055" s="8" t="s">
        <v>33</v>
      </c>
      <c r="C3055" s="8" t="s">
        <v>486</v>
      </c>
      <c r="D3055" s="8" t="s">
        <v>487</v>
      </c>
      <c r="E3055" s="8" t="s">
        <v>36</v>
      </c>
      <c r="F3055" s="8" t="s">
        <v>37</v>
      </c>
      <c r="G3055" s="8" t="s">
        <v>7</v>
      </c>
      <c r="H3055" s="8" t="s">
        <v>38</v>
      </c>
      <c r="I3055" s="9">
        <v>110.59088</v>
      </c>
      <c r="J3055">
        <v>108.61469257506999</v>
      </c>
      <c r="K3055">
        <v>111.68061570694</v>
      </c>
      <c r="L3055">
        <v>111.45447507182</v>
      </c>
    </row>
    <row r="3056" spans="1:12" x14ac:dyDescent="0.2">
      <c r="A3056" s="8" t="s">
        <v>32</v>
      </c>
      <c r="B3056" s="8" t="s">
        <v>33</v>
      </c>
      <c r="C3056" s="8" t="s">
        <v>486</v>
      </c>
      <c r="D3056" s="8" t="s">
        <v>487</v>
      </c>
      <c r="E3056" s="8" t="s">
        <v>39</v>
      </c>
      <c r="F3056" s="8" t="s">
        <v>40</v>
      </c>
      <c r="G3056" s="8" t="s">
        <v>7</v>
      </c>
      <c r="H3056" s="8" t="s">
        <v>38</v>
      </c>
      <c r="I3056" s="9">
        <v>12.611732999999999</v>
      </c>
      <c r="J3056">
        <v>14.685365659639</v>
      </c>
      <c r="K3056">
        <v>15.100009166865</v>
      </c>
      <c r="L3056">
        <v>15.069433353491</v>
      </c>
    </row>
    <row r="3057" spans="1:12" x14ac:dyDescent="0.2">
      <c r="A3057" s="8" t="s">
        <v>32</v>
      </c>
      <c r="B3057" s="8" t="s">
        <v>33</v>
      </c>
      <c r="C3057" s="8" t="s">
        <v>486</v>
      </c>
      <c r="D3057" s="8" t="s">
        <v>487</v>
      </c>
      <c r="E3057" s="8" t="s">
        <v>41</v>
      </c>
      <c r="F3057" s="8" t="s">
        <v>42</v>
      </c>
      <c r="G3057" s="8" t="s">
        <v>7</v>
      </c>
      <c r="H3057" s="8" t="s">
        <v>38</v>
      </c>
      <c r="I3057" s="9">
        <v>5.3256664000000002</v>
      </c>
      <c r="J3057">
        <v>5.3546146088083004</v>
      </c>
      <c r="K3057">
        <v>5.5058037988189001</v>
      </c>
      <c r="L3057">
        <v>6.2863584623005</v>
      </c>
    </row>
    <row r="3058" spans="1:12" x14ac:dyDescent="0.2">
      <c r="A3058" s="8" t="s">
        <v>32</v>
      </c>
      <c r="B3058" s="8" t="s">
        <v>33</v>
      </c>
      <c r="C3058" s="8" t="s">
        <v>486</v>
      </c>
      <c r="D3058" s="8" t="s">
        <v>487</v>
      </c>
      <c r="E3058" s="8" t="s">
        <v>43</v>
      </c>
      <c r="F3058" s="8" t="s">
        <v>44</v>
      </c>
      <c r="G3058" s="8" t="s">
        <v>7</v>
      </c>
      <c r="H3058" s="8" t="s">
        <v>38</v>
      </c>
      <c r="I3058" s="9">
        <v>60.962958</v>
      </c>
      <c r="J3058">
        <v>61.434347300483999</v>
      </c>
      <c r="K3058">
        <v>63.169067147321002</v>
      </c>
      <c r="L3058">
        <v>63.041156919801999</v>
      </c>
    </row>
    <row r="3059" spans="1:12" x14ac:dyDescent="0.2">
      <c r="A3059" s="8" t="s">
        <v>32</v>
      </c>
      <c r="B3059" s="8" t="s">
        <v>33</v>
      </c>
      <c r="C3059" s="8" t="s">
        <v>486</v>
      </c>
      <c r="D3059" s="8" t="s">
        <v>487</v>
      </c>
      <c r="E3059" s="8" t="s">
        <v>45</v>
      </c>
      <c r="F3059" s="8" t="s">
        <v>46</v>
      </c>
      <c r="G3059" s="8" t="s">
        <v>7</v>
      </c>
      <c r="H3059" s="8" t="s">
        <v>38</v>
      </c>
      <c r="I3059" s="9">
        <v>4.6844190000000001</v>
      </c>
      <c r="J3059">
        <v>4.5920157585014998</v>
      </c>
      <c r="K3059">
        <v>4.7217174754239002</v>
      </c>
      <c r="L3059">
        <v>5.0315657855757996</v>
      </c>
    </row>
    <row r="3060" spans="1:12" x14ac:dyDescent="0.2">
      <c r="A3060" s="8" t="s">
        <v>32</v>
      </c>
      <c r="B3060" s="8" t="s">
        <v>33</v>
      </c>
      <c r="C3060" s="8" t="s">
        <v>486</v>
      </c>
      <c r="D3060" s="8" t="s">
        <v>487</v>
      </c>
      <c r="E3060" s="8" t="s">
        <v>47</v>
      </c>
      <c r="F3060" s="8" t="s">
        <v>48</v>
      </c>
      <c r="G3060" s="8" t="s">
        <v>7</v>
      </c>
      <c r="H3060" s="8" t="s">
        <v>38</v>
      </c>
      <c r="I3060" s="9">
        <v>2.0115856000000001</v>
      </c>
      <c r="J3060">
        <v>1.8529030917042999</v>
      </c>
      <c r="K3060">
        <v>1.9052573045159999</v>
      </c>
      <c r="L3060">
        <v>1.9013993736282</v>
      </c>
    </row>
    <row r="3061" spans="1:12" x14ac:dyDescent="0.2">
      <c r="A3061" s="8" t="s">
        <v>32</v>
      </c>
      <c r="B3061" s="8" t="s">
        <v>33</v>
      </c>
      <c r="C3061" s="8" t="s">
        <v>486</v>
      </c>
      <c r="D3061" s="8" t="s">
        <v>487</v>
      </c>
      <c r="E3061" s="8" t="s">
        <v>49</v>
      </c>
      <c r="F3061" s="8" t="s">
        <v>50</v>
      </c>
      <c r="G3061" s="8" t="s">
        <v>7</v>
      </c>
      <c r="H3061" s="8" t="s">
        <v>38</v>
      </c>
      <c r="I3061" s="9">
        <v>16.766005</v>
      </c>
      <c r="J3061">
        <v>16.410435181152</v>
      </c>
      <c r="K3061">
        <v>16.322092953631</v>
      </c>
      <c r="L3061">
        <v>16.289042558595</v>
      </c>
    </row>
    <row r="3062" spans="1:12" x14ac:dyDescent="0.2">
      <c r="A3062" s="8" t="s">
        <v>32</v>
      </c>
      <c r="B3062" s="8" t="s">
        <v>33</v>
      </c>
      <c r="C3062" s="8" t="s">
        <v>486</v>
      </c>
      <c r="D3062" s="8" t="s">
        <v>487</v>
      </c>
      <c r="E3062" s="8" t="s">
        <v>51</v>
      </c>
      <c r="F3062" s="8" t="s">
        <v>52</v>
      </c>
      <c r="G3062" s="8" t="s">
        <v>7</v>
      </c>
      <c r="H3062" s="8" t="s">
        <v>38</v>
      </c>
      <c r="I3062" s="9">
        <v>1.2867253000000001</v>
      </c>
      <c r="J3062">
        <v>1.3652498509594999</v>
      </c>
      <c r="K3062">
        <v>1.4037865713316</v>
      </c>
      <c r="L3062">
        <v>1.4009440620492</v>
      </c>
    </row>
    <row r="3063" spans="1:12" x14ac:dyDescent="0.2">
      <c r="A3063" s="8" t="s">
        <v>32</v>
      </c>
      <c r="B3063" s="8" t="s">
        <v>33</v>
      </c>
      <c r="C3063" s="8" t="s">
        <v>486</v>
      </c>
      <c r="D3063" s="8" t="s">
        <v>487</v>
      </c>
      <c r="E3063" s="8" t="s">
        <v>53</v>
      </c>
      <c r="F3063" s="8" t="s">
        <v>54</v>
      </c>
      <c r="G3063" s="8" t="s">
        <v>7</v>
      </c>
      <c r="H3063" s="8" t="s">
        <v>38</v>
      </c>
      <c r="I3063" s="9"/>
    </row>
    <row r="3064" spans="1:12" x14ac:dyDescent="0.2">
      <c r="A3064" s="8" t="s">
        <v>32</v>
      </c>
      <c r="B3064" s="8" t="s">
        <v>33</v>
      </c>
      <c r="C3064" s="8" t="s">
        <v>486</v>
      </c>
      <c r="D3064" s="8" t="s">
        <v>487</v>
      </c>
      <c r="E3064" s="8" t="s">
        <v>55</v>
      </c>
      <c r="F3064" s="8" t="s">
        <v>56</v>
      </c>
      <c r="G3064" s="8" t="s">
        <v>7</v>
      </c>
      <c r="H3064" s="8" t="s">
        <v>38</v>
      </c>
      <c r="I3064" s="9">
        <v>1.8395E-3</v>
      </c>
      <c r="J3064">
        <v>1.8703099549898E-3</v>
      </c>
      <c r="K3064">
        <v>1.901674954752E-3</v>
      </c>
      <c r="L3064">
        <v>1.9322302109852001E-3</v>
      </c>
    </row>
    <row r="3065" spans="1:12" x14ac:dyDescent="0.2">
      <c r="A3065" s="8" t="s">
        <v>32</v>
      </c>
      <c r="B3065" s="8" t="s">
        <v>33</v>
      </c>
      <c r="C3065" s="8" t="s">
        <v>486</v>
      </c>
      <c r="D3065" s="8" t="s">
        <v>487</v>
      </c>
      <c r="E3065" s="8" t="s">
        <v>59</v>
      </c>
      <c r="F3065" s="8" t="s">
        <v>60</v>
      </c>
      <c r="G3065" s="8" t="s">
        <v>7</v>
      </c>
      <c r="H3065" s="8" t="s">
        <v>38</v>
      </c>
      <c r="I3065" s="9">
        <v>0.69853089999999995</v>
      </c>
      <c r="J3065">
        <v>0.68356576796598001</v>
      </c>
      <c r="K3065">
        <v>0.70004924051302997</v>
      </c>
      <c r="L3065">
        <v>0.76526352743317005</v>
      </c>
    </row>
    <row r="3066" spans="1:12" x14ac:dyDescent="0.2">
      <c r="A3066" s="8" t="s">
        <v>32</v>
      </c>
      <c r="B3066" s="8" t="s">
        <v>125</v>
      </c>
      <c r="C3066" s="8" t="s">
        <v>488</v>
      </c>
      <c r="D3066" s="8" t="s">
        <v>489</v>
      </c>
      <c r="E3066" s="8" t="s">
        <v>36</v>
      </c>
      <c r="F3066" s="8" t="s">
        <v>37</v>
      </c>
      <c r="G3066" s="8" t="s">
        <v>7</v>
      </c>
      <c r="H3066" s="8" t="s">
        <v>38</v>
      </c>
      <c r="I3066" s="9">
        <v>390.96192000000002</v>
      </c>
      <c r="J3066">
        <v>392.63239174129001</v>
      </c>
      <c r="K3066">
        <v>390.83069485864002</v>
      </c>
      <c r="L3066">
        <v>403.14645235493998</v>
      </c>
    </row>
    <row r="3067" spans="1:12" x14ac:dyDescent="0.2">
      <c r="A3067" s="8" t="s">
        <v>32</v>
      </c>
      <c r="B3067" s="8" t="s">
        <v>125</v>
      </c>
      <c r="C3067" s="8" t="s">
        <v>488</v>
      </c>
      <c r="D3067" s="8" t="s">
        <v>489</v>
      </c>
      <c r="E3067" s="8" t="s">
        <v>64</v>
      </c>
      <c r="F3067" s="8" t="s">
        <v>65</v>
      </c>
      <c r="G3067" s="8" t="s">
        <v>7</v>
      </c>
      <c r="H3067" s="8" t="s">
        <v>38</v>
      </c>
      <c r="I3067" s="9"/>
    </row>
    <row r="3068" spans="1:12" x14ac:dyDescent="0.2">
      <c r="A3068" s="8" t="s">
        <v>32</v>
      </c>
      <c r="B3068" s="8" t="s">
        <v>125</v>
      </c>
      <c r="C3068" s="8" t="s">
        <v>488</v>
      </c>
      <c r="D3068" s="8" t="s">
        <v>489</v>
      </c>
      <c r="E3068" s="8" t="s">
        <v>39</v>
      </c>
      <c r="F3068" s="8" t="s">
        <v>40</v>
      </c>
      <c r="G3068" s="8" t="s">
        <v>7</v>
      </c>
      <c r="H3068" s="8" t="s">
        <v>38</v>
      </c>
      <c r="I3068" s="9">
        <v>235.01017999999999</v>
      </c>
      <c r="J3068">
        <v>253.01656561218999</v>
      </c>
      <c r="K3068">
        <v>252.52452519152999</v>
      </c>
      <c r="L3068">
        <v>260.48201383058</v>
      </c>
    </row>
    <row r="3069" spans="1:12" x14ac:dyDescent="0.2">
      <c r="A3069" s="8" t="s">
        <v>32</v>
      </c>
      <c r="B3069" s="8" t="s">
        <v>125</v>
      </c>
      <c r="C3069" s="8" t="s">
        <v>488</v>
      </c>
      <c r="D3069" s="8" t="s">
        <v>489</v>
      </c>
      <c r="E3069" s="8" t="s">
        <v>41</v>
      </c>
      <c r="F3069" s="8" t="s">
        <v>42</v>
      </c>
      <c r="G3069" s="8" t="s">
        <v>7</v>
      </c>
      <c r="H3069" s="8" t="s">
        <v>38</v>
      </c>
      <c r="I3069" s="9">
        <v>8.3209095000000008</v>
      </c>
      <c r="J3069">
        <v>9.9932728414249006</v>
      </c>
      <c r="K3069">
        <v>9.7108665472814</v>
      </c>
      <c r="L3069">
        <v>10.944578497083</v>
      </c>
    </row>
    <row r="3070" spans="1:12" x14ac:dyDescent="0.2">
      <c r="A3070" s="8" t="s">
        <v>32</v>
      </c>
      <c r="B3070" s="8" t="s">
        <v>125</v>
      </c>
      <c r="C3070" s="8" t="s">
        <v>488</v>
      </c>
      <c r="D3070" s="8" t="s">
        <v>489</v>
      </c>
      <c r="E3070" s="8" t="s">
        <v>43</v>
      </c>
      <c r="F3070" s="8" t="s">
        <v>44</v>
      </c>
      <c r="G3070" s="8" t="s">
        <v>7</v>
      </c>
      <c r="H3070" s="8" t="s">
        <v>38</v>
      </c>
      <c r="I3070" s="9">
        <v>970.58834000000002</v>
      </c>
      <c r="J3070">
        <v>1134.7337418027</v>
      </c>
      <c r="K3070">
        <v>1138.0581324110001</v>
      </c>
      <c r="L3070">
        <v>1173.9203309533</v>
      </c>
    </row>
    <row r="3071" spans="1:12" x14ac:dyDescent="0.2">
      <c r="A3071" s="8" t="s">
        <v>32</v>
      </c>
      <c r="B3071" s="8" t="s">
        <v>125</v>
      </c>
      <c r="C3071" s="8" t="s">
        <v>488</v>
      </c>
      <c r="D3071" s="8" t="s">
        <v>489</v>
      </c>
      <c r="E3071" s="8" t="s">
        <v>66</v>
      </c>
      <c r="F3071" s="8" t="s">
        <v>67</v>
      </c>
      <c r="G3071" s="8" t="s">
        <v>7</v>
      </c>
      <c r="H3071" s="8" t="s">
        <v>38</v>
      </c>
      <c r="I3071" s="9">
        <v>47.221159999999998</v>
      </c>
      <c r="J3071">
        <v>51.143869987202002</v>
      </c>
      <c r="K3071">
        <v>48.466813748396</v>
      </c>
      <c r="L3071">
        <v>49.994087661617002</v>
      </c>
    </row>
    <row r="3072" spans="1:12" x14ac:dyDescent="0.2">
      <c r="A3072" s="8" t="s">
        <v>32</v>
      </c>
      <c r="B3072" s="8" t="s">
        <v>125</v>
      </c>
      <c r="C3072" s="8" t="s">
        <v>488</v>
      </c>
      <c r="D3072" s="8" t="s">
        <v>489</v>
      </c>
      <c r="E3072" s="8" t="s">
        <v>45</v>
      </c>
      <c r="F3072" s="8" t="s">
        <v>46</v>
      </c>
      <c r="G3072" s="8" t="s">
        <v>7</v>
      </c>
      <c r="H3072" s="8" t="s">
        <v>38</v>
      </c>
      <c r="I3072" s="9">
        <v>10.199092</v>
      </c>
      <c r="J3072">
        <v>11.083158614426001</v>
      </c>
      <c r="K3072">
        <v>10.695658970995</v>
      </c>
      <c r="L3072">
        <v>10.019883715462001</v>
      </c>
    </row>
    <row r="3073" spans="1:12" x14ac:dyDescent="0.2">
      <c r="A3073" s="8" t="s">
        <v>32</v>
      </c>
      <c r="B3073" s="8" t="s">
        <v>125</v>
      </c>
      <c r="C3073" s="8" t="s">
        <v>488</v>
      </c>
      <c r="D3073" s="8" t="s">
        <v>489</v>
      </c>
      <c r="E3073" s="8" t="s">
        <v>47</v>
      </c>
      <c r="F3073" s="8" t="s">
        <v>48</v>
      </c>
      <c r="G3073" s="8" t="s">
        <v>7</v>
      </c>
      <c r="H3073" s="8" t="s">
        <v>38</v>
      </c>
      <c r="I3073" s="9">
        <v>11.66732</v>
      </c>
      <c r="J3073">
        <v>14.043106545100001</v>
      </c>
      <c r="K3073">
        <v>14.489842225182</v>
      </c>
      <c r="L3073">
        <v>14.946442449658999</v>
      </c>
    </row>
    <row r="3074" spans="1:12" x14ac:dyDescent="0.2">
      <c r="A3074" s="8" t="s">
        <v>32</v>
      </c>
      <c r="B3074" s="8" t="s">
        <v>125</v>
      </c>
      <c r="C3074" s="8" t="s">
        <v>488</v>
      </c>
      <c r="D3074" s="8" t="s">
        <v>489</v>
      </c>
      <c r="E3074" s="8" t="s">
        <v>49</v>
      </c>
      <c r="F3074" s="8" t="s">
        <v>50</v>
      </c>
      <c r="G3074" s="8" t="s">
        <v>7</v>
      </c>
      <c r="H3074" s="8" t="s">
        <v>38</v>
      </c>
      <c r="I3074" s="9">
        <v>104.85423</v>
      </c>
      <c r="J3074">
        <v>117.27034935336999</v>
      </c>
      <c r="K3074">
        <v>124.48362016503</v>
      </c>
      <c r="L3074">
        <v>128.40631635646</v>
      </c>
    </row>
    <row r="3075" spans="1:12" x14ac:dyDescent="0.2">
      <c r="A3075" s="8" t="s">
        <v>32</v>
      </c>
      <c r="B3075" s="8" t="s">
        <v>125</v>
      </c>
      <c r="C3075" s="8" t="s">
        <v>488</v>
      </c>
      <c r="D3075" s="8" t="s">
        <v>489</v>
      </c>
      <c r="E3075" s="8" t="s">
        <v>51</v>
      </c>
      <c r="F3075" s="8" t="s">
        <v>52</v>
      </c>
      <c r="G3075" s="8" t="s">
        <v>7</v>
      </c>
      <c r="H3075" s="8" t="s">
        <v>38</v>
      </c>
      <c r="I3075" s="9">
        <v>80.793758999999994</v>
      </c>
      <c r="J3075">
        <v>70.504807034142004</v>
      </c>
      <c r="K3075">
        <v>89.956160922403996</v>
      </c>
      <c r="L3075">
        <v>92.790836596020995</v>
      </c>
    </row>
    <row r="3076" spans="1:12" x14ac:dyDescent="0.2">
      <c r="A3076" s="8" t="s">
        <v>32</v>
      </c>
      <c r="B3076" s="8" t="s">
        <v>125</v>
      </c>
      <c r="C3076" s="8" t="s">
        <v>488</v>
      </c>
      <c r="D3076" s="8" t="s">
        <v>489</v>
      </c>
      <c r="E3076" s="8" t="s">
        <v>53</v>
      </c>
      <c r="F3076" s="8" t="s">
        <v>54</v>
      </c>
      <c r="G3076" s="8" t="s">
        <v>7</v>
      </c>
      <c r="H3076" s="8" t="s">
        <v>38</v>
      </c>
      <c r="I3076" s="9">
        <v>355.55754999999999</v>
      </c>
      <c r="J3076">
        <v>429.44157178389997</v>
      </c>
      <c r="K3076">
        <v>502.34516632200001</v>
      </c>
      <c r="L3076">
        <v>479.72471056704001</v>
      </c>
    </row>
    <row r="3077" spans="1:12" x14ac:dyDescent="0.2">
      <c r="A3077" s="8" t="s">
        <v>32</v>
      </c>
      <c r="B3077" s="8" t="s">
        <v>125</v>
      </c>
      <c r="C3077" s="8" t="s">
        <v>488</v>
      </c>
      <c r="D3077" s="8" t="s">
        <v>489</v>
      </c>
      <c r="E3077" s="8" t="s">
        <v>70</v>
      </c>
      <c r="F3077" s="8" t="s">
        <v>71</v>
      </c>
      <c r="G3077" s="8" t="s">
        <v>7</v>
      </c>
      <c r="H3077" s="8" t="s">
        <v>38</v>
      </c>
      <c r="I3077" s="9">
        <v>152.34249</v>
      </c>
      <c r="J3077">
        <v>199.21709607</v>
      </c>
      <c r="K3077">
        <v>234.37305420000001</v>
      </c>
      <c r="L3077">
        <v>234.10864913744001</v>
      </c>
    </row>
    <row r="3078" spans="1:12" x14ac:dyDescent="0.2">
      <c r="A3078" s="8" t="s">
        <v>32</v>
      </c>
      <c r="B3078" s="8" t="s">
        <v>125</v>
      </c>
      <c r="C3078" s="8" t="s">
        <v>488</v>
      </c>
      <c r="D3078" s="8" t="s">
        <v>489</v>
      </c>
      <c r="E3078" s="8" t="s">
        <v>55</v>
      </c>
      <c r="F3078" s="8" t="s">
        <v>56</v>
      </c>
      <c r="G3078" s="8" t="s">
        <v>7</v>
      </c>
      <c r="H3078" s="8" t="s">
        <v>38</v>
      </c>
      <c r="I3078" s="9">
        <v>0.64120920000000003</v>
      </c>
      <c r="J3078">
        <v>0.71817096529326996</v>
      </c>
      <c r="K3078">
        <v>0.71817096529326996</v>
      </c>
      <c r="L3078">
        <v>0.71817096529326996</v>
      </c>
    </row>
    <row r="3079" spans="1:12" x14ac:dyDescent="0.2">
      <c r="A3079" s="8" t="s">
        <v>32</v>
      </c>
      <c r="B3079" s="8" t="s">
        <v>125</v>
      </c>
      <c r="C3079" s="8" t="s">
        <v>488</v>
      </c>
      <c r="D3079" s="8" t="s">
        <v>489</v>
      </c>
      <c r="E3079" s="8" t="s">
        <v>57</v>
      </c>
      <c r="F3079" s="8" t="s">
        <v>58</v>
      </c>
      <c r="G3079" s="8" t="s">
        <v>7</v>
      </c>
      <c r="H3079" s="8" t="s">
        <v>38</v>
      </c>
      <c r="I3079" s="9">
        <v>8.1746341000000005</v>
      </c>
      <c r="J3079">
        <v>9.1558022276527993</v>
      </c>
      <c r="K3079">
        <v>9.1558022276527993</v>
      </c>
      <c r="L3079">
        <v>9.1558022276527993</v>
      </c>
    </row>
    <row r="3080" spans="1:12" x14ac:dyDescent="0.2">
      <c r="A3080" s="8" t="s">
        <v>32</v>
      </c>
      <c r="B3080" s="8" t="s">
        <v>125</v>
      </c>
      <c r="C3080" s="8" t="s">
        <v>488</v>
      </c>
      <c r="D3080" s="8" t="s">
        <v>489</v>
      </c>
      <c r="E3080" s="8" t="s">
        <v>59</v>
      </c>
      <c r="F3080" s="8" t="s">
        <v>60</v>
      </c>
      <c r="G3080" s="8" t="s">
        <v>7</v>
      </c>
      <c r="H3080" s="8" t="s">
        <v>38</v>
      </c>
      <c r="I3080" s="9">
        <v>36.956674999999997</v>
      </c>
      <c r="J3080">
        <v>38.147224781741997</v>
      </c>
      <c r="K3080">
        <v>39.207056210714001</v>
      </c>
      <c r="L3080">
        <v>40.463653967928003</v>
      </c>
    </row>
    <row r="3081" spans="1:12" x14ac:dyDescent="0.2">
      <c r="A3081" s="8" t="s">
        <v>32</v>
      </c>
      <c r="B3081" s="8" t="s">
        <v>125</v>
      </c>
      <c r="C3081" s="8" t="s">
        <v>490</v>
      </c>
      <c r="D3081" s="8" t="s">
        <v>491</v>
      </c>
      <c r="E3081" s="8" t="s">
        <v>36</v>
      </c>
      <c r="F3081" s="8" t="s">
        <v>37</v>
      </c>
      <c r="G3081" s="8" t="s">
        <v>7</v>
      </c>
      <c r="H3081" s="8" t="s">
        <v>38</v>
      </c>
      <c r="I3081" s="9">
        <v>264.13567999999998</v>
      </c>
      <c r="J3081">
        <v>299.31329099999999</v>
      </c>
      <c r="K3081">
        <v>346.59872100000001</v>
      </c>
      <c r="L3081">
        <v>342.43521356947002</v>
      </c>
    </row>
    <row r="3082" spans="1:12" x14ac:dyDescent="0.2">
      <c r="A3082" s="8" t="s">
        <v>32</v>
      </c>
      <c r="B3082" s="8" t="s">
        <v>125</v>
      </c>
      <c r="C3082" s="8" t="s">
        <v>490</v>
      </c>
      <c r="D3082" s="8" t="s">
        <v>491</v>
      </c>
      <c r="E3082" s="8" t="s">
        <v>39</v>
      </c>
      <c r="F3082" s="8" t="s">
        <v>40</v>
      </c>
      <c r="G3082" s="8" t="s">
        <v>7</v>
      </c>
      <c r="H3082" s="8" t="s">
        <v>38</v>
      </c>
      <c r="I3082" s="9">
        <v>152.98829000000001</v>
      </c>
      <c r="J3082">
        <v>157.897773</v>
      </c>
      <c r="K3082">
        <v>175.525689</v>
      </c>
      <c r="L3082">
        <v>167.84396471765001</v>
      </c>
    </row>
    <row r="3083" spans="1:12" x14ac:dyDescent="0.2">
      <c r="A3083" s="8" t="s">
        <v>32</v>
      </c>
      <c r="B3083" s="8" t="s">
        <v>125</v>
      </c>
      <c r="C3083" s="8" t="s">
        <v>490</v>
      </c>
      <c r="D3083" s="8" t="s">
        <v>491</v>
      </c>
      <c r="E3083" s="8" t="s">
        <v>41</v>
      </c>
      <c r="F3083" s="8" t="s">
        <v>42</v>
      </c>
      <c r="G3083" s="8" t="s">
        <v>7</v>
      </c>
      <c r="H3083" s="8" t="s">
        <v>38</v>
      </c>
      <c r="I3083" s="9">
        <v>0.29958499999999999</v>
      </c>
      <c r="J3083">
        <v>1.935505</v>
      </c>
      <c r="K3083">
        <v>2.0920899999999998</v>
      </c>
      <c r="L3083">
        <v>2.3578784773200998</v>
      </c>
    </row>
    <row r="3084" spans="1:12" x14ac:dyDescent="0.2">
      <c r="A3084" s="8" t="s">
        <v>32</v>
      </c>
      <c r="B3084" s="8" t="s">
        <v>125</v>
      </c>
      <c r="C3084" s="8" t="s">
        <v>490</v>
      </c>
      <c r="D3084" s="8" t="s">
        <v>491</v>
      </c>
      <c r="E3084" s="8" t="s">
        <v>43</v>
      </c>
      <c r="F3084" s="8" t="s">
        <v>44</v>
      </c>
      <c r="G3084" s="8" t="s">
        <v>7</v>
      </c>
      <c r="H3084" s="8" t="s">
        <v>38</v>
      </c>
      <c r="I3084" s="9">
        <v>1245.9492</v>
      </c>
      <c r="J3084">
        <v>1263.213915</v>
      </c>
      <c r="K3084">
        <v>1231.3799939999999</v>
      </c>
      <c r="L3084">
        <v>1177.4897534626</v>
      </c>
    </row>
    <row r="3085" spans="1:12" x14ac:dyDescent="0.2">
      <c r="A3085" s="8" t="s">
        <v>32</v>
      </c>
      <c r="B3085" s="8" t="s">
        <v>125</v>
      </c>
      <c r="C3085" s="8" t="s">
        <v>490</v>
      </c>
      <c r="D3085" s="8" t="s">
        <v>491</v>
      </c>
      <c r="E3085" s="8" t="s">
        <v>49</v>
      </c>
      <c r="F3085" s="8" t="s">
        <v>50</v>
      </c>
      <c r="G3085" s="8" t="s">
        <v>7</v>
      </c>
      <c r="H3085" s="8" t="s">
        <v>38</v>
      </c>
      <c r="I3085" s="9">
        <v>132.08511999999999</v>
      </c>
      <c r="J3085">
        <v>145.444692</v>
      </c>
      <c r="K3085">
        <v>162.400622</v>
      </c>
      <c r="L3085">
        <v>155.29330449797001</v>
      </c>
    </row>
    <row r="3086" spans="1:12" x14ac:dyDescent="0.2">
      <c r="A3086" s="8" t="s">
        <v>32</v>
      </c>
      <c r="B3086" s="8" t="s">
        <v>125</v>
      </c>
      <c r="C3086" s="8" t="s">
        <v>490</v>
      </c>
      <c r="D3086" s="8" t="s">
        <v>491</v>
      </c>
      <c r="E3086" s="8" t="s">
        <v>53</v>
      </c>
      <c r="F3086" s="8" t="s">
        <v>54</v>
      </c>
      <c r="G3086" s="8" t="s">
        <v>7</v>
      </c>
      <c r="H3086" s="8" t="s">
        <v>38</v>
      </c>
      <c r="I3086" s="9"/>
    </row>
    <row r="3087" spans="1:12" x14ac:dyDescent="0.2">
      <c r="A3087" s="8" t="s">
        <v>32</v>
      </c>
      <c r="B3087" s="8" t="s">
        <v>125</v>
      </c>
      <c r="C3087" s="8" t="s">
        <v>490</v>
      </c>
      <c r="D3087" s="8" t="s">
        <v>491</v>
      </c>
      <c r="E3087" s="8" t="s">
        <v>70</v>
      </c>
      <c r="F3087" s="8" t="s">
        <v>71</v>
      </c>
      <c r="G3087" s="8" t="s">
        <v>7</v>
      </c>
      <c r="H3087" s="8" t="s">
        <v>38</v>
      </c>
      <c r="I3087" s="9">
        <v>605.46371999999997</v>
      </c>
      <c r="J3087">
        <v>644.52589905000002</v>
      </c>
      <c r="K3087">
        <v>664.05698689999997</v>
      </c>
      <c r="L3087">
        <v>663.30783922275998</v>
      </c>
    </row>
    <row r="3088" spans="1:12" x14ac:dyDescent="0.2">
      <c r="A3088" s="8" t="s">
        <v>32</v>
      </c>
      <c r="B3088" s="8" t="s">
        <v>125</v>
      </c>
      <c r="C3088" s="8" t="s">
        <v>490</v>
      </c>
      <c r="D3088" s="8" t="s">
        <v>491</v>
      </c>
      <c r="E3088" s="8" t="s">
        <v>55</v>
      </c>
      <c r="F3088" s="8" t="s">
        <v>56</v>
      </c>
      <c r="G3088" s="8" t="s">
        <v>7</v>
      </c>
      <c r="H3088" s="8" t="s">
        <v>38</v>
      </c>
      <c r="I3088" s="9">
        <v>0.36295860000000002</v>
      </c>
      <c r="J3088">
        <v>0.40652305969108998</v>
      </c>
      <c r="K3088">
        <v>0.40652305969108998</v>
      </c>
      <c r="L3088">
        <v>0.40652305969108998</v>
      </c>
    </row>
    <row r="3089" spans="1:12" x14ac:dyDescent="0.2">
      <c r="A3089" s="8" t="s">
        <v>32</v>
      </c>
      <c r="B3089" s="8" t="s">
        <v>125</v>
      </c>
      <c r="C3089" s="8" t="s">
        <v>490</v>
      </c>
      <c r="D3089" s="8" t="s">
        <v>491</v>
      </c>
      <c r="E3089" s="8" t="s">
        <v>57</v>
      </c>
      <c r="F3089" s="8" t="s">
        <v>58</v>
      </c>
      <c r="G3089" s="8" t="s">
        <v>7</v>
      </c>
      <c r="H3089" s="8" t="s">
        <v>38</v>
      </c>
      <c r="I3089" s="9">
        <v>1.4674299999999999E-2</v>
      </c>
      <c r="J3089">
        <v>1.6435581768422001E-2</v>
      </c>
      <c r="K3089">
        <v>1.6435581768422001E-2</v>
      </c>
      <c r="L3089">
        <v>1.6435581768422001E-2</v>
      </c>
    </row>
    <row r="3090" spans="1:12" x14ac:dyDescent="0.2">
      <c r="A3090" s="8" t="s">
        <v>32</v>
      </c>
      <c r="B3090" s="8" t="s">
        <v>125</v>
      </c>
      <c r="C3090" s="8" t="s">
        <v>490</v>
      </c>
      <c r="D3090" s="8" t="s">
        <v>491</v>
      </c>
      <c r="E3090" s="8" t="s">
        <v>59</v>
      </c>
      <c r="F3090" s="8" t="s">
        <v>60</v>
      </c>
      <c r="G3090" s="8" t="s">
        <v>7</v>
      </c>
      <c r="H3090" s="8" t="s">
        <v>38</v>
      </c>
      <c r="I3090" s="9">
        <v>20.319575</v>
      </c>
      <c r="J3090">
        <v>21.071086068913001</v>
      </c>
      <c r="K3090">
        <v>21.737561310032</v>
      </c>
      <c r="L3090">
        <v>21.916954571851999</v>
      </c>
    </row>
    <row r="3091" spans="1:12" x14ac:dyDescent="0.2">
      <c r="A3091" s="8" t="s">
        <v>32</v>
      </c>
      <c r="B3091" s="8" t="s">
        <v>125</v>
      </c>
      <c r="C3091" s="8" t="s">
        <v>490</v>
      </c>
      <c r="D3091" s="8" t="s">
        <v>491</v>
      </c>
      <c r="E3091" s="8" t="s">
        <v>92</v>
      </c>
      <c r="F3091" s="8" t="s">
        <v>93</v>
      </c>
      <c r="G3091" s="8" t="s">
        <v>7</v>
      </c>
      <c r="H3091" s="8" t="s">
        <v>38</v>
      </c>
      <c r="I3091" s="9">
        <v>0.2166999</v>
      </c>
      <c r="J3091">
        <v>0.22476383571929001</v>
      </c>
      <c r="K3091">
        <v>0.23303698066650999</v>
      </c>
      <c r="L3091">
        <v>0.24086223656813999</v>
      </c>
    </row>
    <row r="3092" spans="1:12" x14ac:dyDescent="0.2">
      <c r="A3092" s="8" t="s">
        <v>32</v>
      </c>
      <c r="B3092" s="8" t="s">
        <v>153</v>
      </c>
      <c r="C3092" s="8" t="s">
        <v>492</v>
      </c>
      <c r="D3092" s="8" t="s">
        <v>493</v>
      </c>
      <c r="E3092" s="8" t="s">
        <v>36</v>
      </c>
      <c r="F3092" s="8" t="s">
        <v>37</v>
      </c>
      <c r="G3092" s="8" t="s">
        <v>7</v>
      </c>
      <c r="H3092" s="8" t="s">
        <v>38</v>
      </c>
      <c r="I3092" s="9">
        <v>84688.842000000004</v>
      </c>
      <c r="J3092">
        <v>86187.975268000999</v>
      </c>
      <c r="K3092">
        <v>89487.753295999995</v>
      </c>
      <c r="L3092">
        <v>84323.885222593002</v>
      </c>
    </row>
    <row r="3093" spans="1:12" x14ac:dyDescent="0.2">
      <c r="A3093" s="8" t="s">
        <v>32</v>
      </c>
      <c r="B3093" s="8" t="s">
        <v>153</v>
      </c>
      <c r="C3093" s="8" t="s">
        <v>492</v>
      </c>
      <c r="D3093" s="8" t="s">
        <v>493</v>
      </c>
      <c r="E3093" s="8" t="s">
        <v>64</v>
      </c>
      <c r="F3093" s="8" t="s">
        <v>65</v>
      </c>
      <c r="G3093" s="8" t="s">
        <v>7</v>
      </c>
      <c r="H3093" s="8" t="s">
        <v>38</v>
      </c>
      <c r="I3093" s="9">
        <v>16629.602999999999</v>
      </c>
      <c r="J3093">
        <v>16446.800568999999</v>
      </c>
      <c r="K3093">
        <v>14332.199519</v>
      </c>
      <c r="L3093">
        <v>14011.268898294</v>
      </c>
    </row>
    <row r="3094" spans="1:12" x14ac:dyDescent="0.2">
      <c r="A3094" s="8" t="s">
        <v>32</v>
      </c>
      <c r="B3094" s="8" t="s">
        <v>153</v>
      </c>
      <c r="C3094" s="8" t="s">
        <v>492</v>
      </c>
      <c r="D3094" s="8" t="s">
        <v>493</v>
      </c>
      <c r="E3094" s="8" t="s">
        <v>39</v>
      </c>
      <c r="F3094" s="8" t="s">
        <v>40</v>
      </c>
      <c r="G3094" s="8" t="s">
        <v>7</v>
      </c>
      <c r="H3094" s="8" t="s">
        <v>38</v>
      </c>
      <c r="I3094" s="9">
        <v>53585.728999999999</v>
      </c>
      <c r="J3094">
        <v>50787.291696</v>
      </c>
      <c r="K3094">
        <v>55171.416735999999</v>
      </c>
      <c r="L3094">
        <v>49010.179573189998</v>
      </c>
    </row>
    <row r="3095" spans="1:12" x14ac:dyDescent="0.2">
      <c r="A3095" s="8" t="s">
        <v>32</v>
      </c>
      <c r="B3095" s="8" t="s">
        <v>153</v>
      </c>
      <c r="C3095" s="8" t="s">
        <v>492</v>
      </c>
      <c r="D3095" s="8" t="s">
        <v>493</v>
      </c>
      <c r="E3095" s="8" t="s">
        <v>41</v>
      </c>
      <c r="F3095" s="8" t="s">
        <v>42</v>
      </c>
      <c r="G3095" s="8" t="s">
        <v>7</v>
      </c>
      <c r="H3095" s="8" t="s">
        <v>38</v>
      </c>
      <c r="I3095" s="9">
        <v>1813.8656000000001</v>
      </c>
      <c r="J3095">
        <v>1022.271965</v>
      </c>
      <c r="K3095">
        <v>2116.0267699999999</v>
      </c>
      <c r="L3095">
        <v>2239.9049932677999</v>
      </c>
    </row>
    <row r="3096" spans="1:12" x14ac:dyDescent="0.2">
      <c r="A3096" s="8" t="s">
        <v>32</v>
      </c>
      <c r="B3096" s="8" t="s">
        <v>153</v>
      </c>
      <c r="C3096" s="8" t="s">
        <v>492</v>
      </c>
      <c r="D3096" s="8" t="s">
        <v>493</v>
      </c>
      <c r="E3096" s="8" t="s">
        <v>43</v>
      </c>
      <c r="F3096" s="8" t="s">
        <v>44</v>
      </c>
      <c r="G3096" s="8" t="s">
        <v>7</v>
      </c>
      <c r="H3096" s="8" t="s">
        <v>38</v>
      </c>
      <c r="I3096" s="9">
        <v>70321.270999999993</v>
      </c>
      <c r="J3096">
        <v>65622.989690999995</v>
      </c>
      <c r="K3096">
        <v>74970.459600000002</v>
      </c>
      <c r="L3096">
        <v>77247.733861115004</v>
      </c>
    </row>
    <row r="3097" spans="1:12" x14ac:dyDescent="0.2">
      <c r="A3097" s="8" t="s">
        <v>32</v>
      </c>
      <c r="B3097" s="8" t="s">
        <v>153</v>
      </c>
      <c r="C3097" s="8" t="s">
        <v>492</v>
      </c>
      <c r="D3097" s="8" t="s">
        <v>493</v>
      </c>
      <c r="E3097" s="8" t="s">
        <v>66</v>
      </c>
      <c r="F3097" s="8" t="s">
        <v>67</v>
      </c>
      <c r="G3097" s="8" t="s">
        <v>7</v>
      </c>
      <c r="H3097" s="8" t="s">
        <v>38</v>
      </c>
      <c r="I3097" s="9">
        <v>221.29595</v>
      </c>
      <c r="J3097">
        <v>213.19977900000001</v>
      </c>
      <c r="K3097">
        <v>221.29594499999999</v>
      </c>
      <c r="L3097">
        <v>245.58664159909</v>
      </c>
    </row>
    <row r="3098" spans="1:12" x14ac:dyDescent="0.2">
      <c r="A3098" s="8" t="s">
        <v>32</v>
      </c>
      <c r="B3098" s="8" t="s">
        <v>153</v>
      </c>
      <c r="C3098" s="8" t="s">
        <v>492</v>
      </c>
      <c r="D3098" s="8" t="s">
        <v>493</v>
      </c>
      <c r="E3098" s="8" t="s">
        <v>45</v>
      </c>
      <c r="F3098" s="8" t="s">
        <v>46</v>
      </c>
      <c r="G3098" s="8" t="s">
        <v>7</v>
      </c>
      <c r="H3098" s="8" t="s">
        <v>38</v>
      </c>
      <c r="I3098" s="9">
        <v>542.21488999999997</v>
      </c>
      <c r="J3098">
        <v>526.02923099999998</v>
      </c>
      <c r="K3098">
        <v>655.51305300000001</v>
      </c>
      <c r="L3098">
        <v>687.88392708151002</v>
      </c>
    </row>
    <row r="3099" spans="1:12" x14ac:dyDescent="0.2">
      <c r="A3099" s="8" t="s">
        <v>32</v>
      </c>
      <c r="B3099" s="8" t="s">
        <v>153</v>
      </c>
      <c r="C3099" s="8" t="s">
        <v>492</v>
      </c>
      <c r="D3099" s="8" t="s">
        <v>493</v>
      </c>
      <c r="E3099" s="8" t="s">
        <v>49</v>
      </c>
      <c r="F3099" s="8" t="s">
        <v>50</v>
      </c>
      <c r="G3099" s="8" t="s">
        <v>7</v>
      </c>
      <c r="H3099" s="8" t="s">
        <v>38</v>
      </c>
      <c r="I3099" s="9">
        <v>13471.404</v>
      </c>
      <c r="J3099">
        <v>13263.06422</v>
      </c>
      <c r="K3099">
        <v>13087.728657</v>
      </c>
      <c r="L3099">
        <v>13369.168055624001</v>
      </c>
    </row>
    <row r="3100" spans="1:12" x14ac:dyDescent="0.2">
      <c r="A3100" s="8" t="s">
        <v>32</v>
      </c>
      <c r="B3100" s="8" t="s">
        <v>153</v>
      </c>
      <c r="C3100" s="8" t="s">
        <v>492</v>
      </c>
      <c r="D3100" s="8" t="s">
        <v>493</v>
      </c>
      <c r="E3100" s="8" t="s">
        <v>51</v>
      </c>
      <c r="F3100" s="8" t="s">
        <v>52</v>
      </c>
      <c r="G3100" s="8" t="s">
        <v>7</v>
      </c>
      <c r="H3100" s="8" t="s">
        <v>38</v>
      </c>
      <c r="I3100" s="9"/>
    </row>
    <row r="3101" spans="1:12" x14ac:dyDescent="0.2">
      <c r="A3101" s="8" t="s">
        <v>32</v>
      </c>
      <c r="B3101" s="8" t="s">
        <v>153</v>
      </c>
      <c r="C3101" s="8" t="s">
        <v>492</v>
      </c>
      <c r="D3101" s="8" t="s">
        <v>493</v>
      </c>
      <c r="E3101" s="8" t="s">
        <v>68</v>
      </c>
      <c r="F3101" s="8" t="s">
        <v>69</v>
      </c>
      <c r="G3101" s="8" t="s">
        <v>7</v>
      </c>
      <c r="H3101" s="8" t="s">
        <v>38</v>
      </c>
      <c r="I3101" s="9">
        <v>3.8362687000000002</v>
      </c>
      <c r="J3101">
        <v>3.8020454742069001</v>
      </c>
      <c r="K3101">
        <v>3.9494747508965999</v>
      </c>
      <c r="L3101">
        <v>3.7088074190160998</v>
      </c>
    </row>
    <row r="3102" spans="1:12" x14ac:dyDescent="0.2">
      <c r="A3102" s="8" t="s">
        <v>32</v>
      </c>
      <c r="B3102" s="8" t="s">
        <v>153</v>
      </c>
      <c r="C3102" s="8" t="s">
        <v>492</v>
      </c>
      <c r="D3102" s="8" t="s">
        <v>493</v>
      </c>
      <c r="E3102" s="8" t="s">
        <v>53</v>
      </c>
      <c r="F3102" s="8" t="s">
        <v>54</v>
      </c>
      <c r="G3102" s="8" t="s">
        <v>7</v>
      </c>
      <c r="H3102" s="8" t="s">
        <v>38</v>
      </c>
      <c r="I3102" s="9">
        <v>2900.2139000000002</v>
      </c>
      <c r="J3102">
        <v>2796.646370254</v>
      </c>
      <c r="K3102">
        <v>2602.2674290465002</v>
      </c>
      <c r="L3102">
        <v>2709.8717890899002</v>
      </c>
    </row>
    <row r="3103" spans="1:12" x14ac:dyDescent="0.2">
      <c r="A3103" s="8" t="s">
        <v>32</v>
      </c>
      <c r="B3103" s="8" t="s">
        <v>153</v>
      </c>
      <c r="C3103" s="8" t="s">
        <v>492</v>
      </c>
      <c r="D3103" s="8" t="s">
        <v>493</v>
      </c>
      <c r="E3103" s="8" t="s">
        <v>70</v>
      </c>
      <c r="F3103" s="8" t="s">
        <v>71</v>
      </c>
      <c r="G3103" s="8" t="s">
        <v>7</v>
      </c>
      <c r="H3103" s="8" t="s">
        <v>38</v>
      </c>
      <c r="I3103" s="9">
        <v>15461.846</v>
      </c>
      <c r="J3103">
        <v>15695.68</v>
      </c>
      <c r="K3103">
        <v>16016</v>
      </c>
      <c r="L3103">
        <v>15997.931747672999</v>
      </c>
    </row>
    <row r="3104" spans="1:12" x14ac:dyDescent="0.2">
      <c r="A3104" s="8" t="s">
        <v>32</v>
      </c>
      <c r="B3104" s="8" t="s">
        <v>153</v>
      </c>
      <c r="C3104" s="8" t="s">
        <v>492</v>
      </c>
      <c r="D3104" s="8" t="s">
        <v>493</v>
      </c>
      <c r="E3104" s="8" t="s">
        <v>83</v>
      </c>
      <c r="F3104" s="8" t="s">
        <v>84</v>
      </c>
      <c r="G3104" s="8" t="s">
        <v>7</v>
      </c>
      <c r="H3104" s="8" t="s">
        <v>38</v>
      </c>
      <c r="I3104" s="9">
        <v>555</v>
      </c>
      <c r="J3104">
        <v>592.5</v>
      </c>
      <c r="K3104">
        <v>585</v>
      </c>
      <c r="L3104">
        <v>570</v>
      </c>
    </row>
    <row r="3105" spans="1:12" x14ac:dyDescent="0.2">
      <c r="A3105" s="8" t="s">
        <v>32</v>
      </c>
      <c r="B3105" s="8" t="s">
        <v>153</v>
      </c>
      <c r="C3105" s="8" t="s">
        <v>492</v>
      </c>
      <c r="D3105" s="8" t="s">
        <v>493</v>
      </c>
      <c r="E3105" s="8" t="s">
        <v>55</v>
      </c>
      <c r="F3105" s="8" t="s">
        <v>56</v>
      </c>
      <c r="G3105" s="8" t="s">
        <v>7</v>
      </c>
      <c r="H3105" s="8" t="s">
        <v>38</v>
      </c>
      <c r="I3105" s="9">
        <v>3.5493339000000002</v>
      </c>
      <c r="J3105">
        <v>3.9753460526915001</v>
      </c>
      <c r="K3105">
        <v>3.9753460526915001</v>
      </c>
      <c r="L3105">
        <v>3.9753460526915001</v>
      </c>
    </row>
    <row r="3106" spans="1:12" x14ac:dyDescent="0.2">
      <c r="A3106" s="8" t="s">
        <v>32</v>
      </c>
      <c r="B3106" s="8" t="s">
        <v>153</v>
      </c>
      <c r="C3106" s="8" t="s">
        <v>492</v>
      </c>
      <c r="D3106" s="8" t="s">
        <v>493</v>
      </c>
      <c r="E3106" s="8" t="s">
        <v>57</v>
      </c>
      <c r="F3106" s="8" t="s">
        <v>58</v>
      </c>
      <c r="G3106" s="8" t="s">
        <v>7</v>
      </c>
      <c r="H3106" s="8" t="s">
        <v>38</v>
      </c>
      <c r="I3106" s="9">
        <v>301.61662999999999</v>
      </c>
      <c r="J3106">
        <v>337.81845242814001</v>
      </c>
      <c r="K3106">
        <v>337.81845242814001</v>
      </c>
      <c r="L3106">
        <v>337.81845242814001</v>
      </c>
    </row>
    <row r="3107" spans="1:12" x14ac:dyDescent="0.2">
      <c r="A3107" s="8" t="s">
        <v>32</v>
      </c>
      <c r="B3107" s="8" t="s">
        <v>153</v>
      </c>
      <c r="C3107" s="8" t="s">
        <v>492</v>
      </c>
      <c r="D3107" s="8" t="s">
        <v>493</v>
      </c>
      <c r="E3107" s="8" t="s">
        <v>72</v>
      </c>
      <c r="F3107" s="8" t="s">
        <v>73</v>
      </c>
      <c r="G3107" s="8" t="s">
        <v>7</v>
      </c>
      <c r="H3107" s="8" t="s">
        <v>38</v>
      </c>
      <c r="I3107" s="9">
        <v>12312.245000000001</v>
      </c>
      <c r="J3107">
        <v>12326.099232207</v>
      </c>
      <c r="K3107">
        <v>12129.819854251</v>
      </c>
      <c r="L3107">
        <v>11772.714411245001</v>
      </c>
    </row>
    <row r="3108" spans="1:12" x14ac:dyDescent="0.2">
      <c r="A3108" s="8" t="s">
        <v>32</v>
      </c>
      <c r="B3108" s="8" t="s">
        <v>153</v>
      </c>
      <c r="C3108" s="8" t="s">
        <v>492</v>
      </c>
      <c r="D3108" s="8" t="s">
        <v>493</v>
      </c>
      <c r="E3108" s="8" t="s">
        <v>74</v>
      </c>
      <c r="F3108" s="8" t="s">
        <v>75</v>
      </c>
      <c r="G3108" s="8" t="s">
        <v>7</v>
      </c>
      <c r="H3108" s="8" t="s">
        <v>38</v>
      </c>
      <c r="I3108" s="9">
        <v>184.67916</v>
      </c>
      <c r="J3108">
        <v>225.35672</v>
      </c>
      <c r="K3108">
        <v>219.24704</v>
      </c>
      <c r="L3108">
        <v>200.46249393508</v>
      </c>
    </row>
    <row r="3109" spans="1:12" x14ac:dyDescent="0.2">
      <c r="A3109" s="8" t="s">
        <v>32</v>
      </c>
      <c r="B3109" s="8" t="s">
        <v>153</v>
      </c>
      <c r="C3109" s="8" t="s">
        <v>492</v>
      </c>
      <c r="D3109" s="8" t="s">
        <v>493</v>
      </c>
      <c r="E3109" s="8" t="s">
        <v>59</v>
      </c>
      <c r="F3109" s="8" t="s">
        <v>60</v>
      </c>
      <c r="G3109" s="8" t="s">
        <v>7</v>
      </c>
      <c r="H3109" s="8" t="s">
        <v>38</v>
      </c>
      <c r="I3109" s="9">
        <v>319.84348999999997</v>
      </c>
      <c r="J3109">
        <v>320.86886604427002</v>
      </c>
      <c r="K3109">
        <v>317.15209785823998</v>
      </c>
      <c r="L3109">
        <v>327.56480207966001</v>
      </c>
    </row>
    <row r="3110" spans="1:12" x14ac:dyDescent="0.2">
      <c r="A3110" s="8" t="s">
        <v>32</v>
      </c>
      <c r="B3110" s="8" t="s">
        <v>153</v>
      </c>
      <c r="C3110" s="8" t="s">
        <v>492</v>
      </c>
      <c r="D3110" s="8" t="s">
        <v>493</v>
      </c>
      <c r="E3110" s="8" t="s">
        <v>76</v>
      </c>
      <c r="F3110" s="8" t="s">
        <v>77</v>
      </c>
      <c r="G3110" s="8" t="s">
        <v>7</v>
      </c>
      <c r="H3110" s="8" t="s">
        <v>38</v>
      </c>
      <c r="I3110" s="9">
        <v>693.41904999999997</v>
      </c>
      <c r="J3110">
        <v>729.77142871889998</v>
      </c>
      <c r="K3110">
        <v>582.68571441158997</v>
      </c>
      <c r="L3110">
        <v>567.74505506771004</v>
      </c>
    </row>
    <row r="3111" spans="1:12" x14ac:dyDescent="0.2">
      <c r="A3111" s="8" t="s">
        <v>32</v>
      </c>
      <c r="B3111" s="8" t="s">
        <v>153</v>
      </c>
      <c r="C3111" s="8" t="s">
        <v>492</v>
      </c>
      <c r="D3111" s="8" t="s">
        <v>493</v>
      </c>
      <c r="E3111" s="8" t="s">
        <v>78</v>
      </c>
      <c r="F3111" s="8" t="s">
        <v>79</v>
      </c>
      <c r="G3111" s="8" t="s">
        <v>7</v>
      </c>
      <c r="H3111" s="8" t="s">
        <v>38</v>
      </c>
      <c r="I3111" s="9">
        <v>1604.8996999999999</v>
      </c>
      <c r="J3111">
        <v>1456.2425923714</v>
      </c>
      <c r="K3111">
        <v>1455.1425925714</v>
      </c>
      <c r="L3111">
        <v>1388.1997475999999</v>
      </c>
    </row>
    <row r="3112" spans="1:12" x14ac:dyDescent="0.2">
      <c r="A3112" s="8" t="s">
        <v>32</v>
      </c>
      <c r="B3112" s="8" t="s">
        <v>153</v>
      </c>
      <c r="C3112" s="8" t="s">
        <v>492</v>
      </c>
      <c r="D3112" s="8" t="s">
        <v>493</v>
      </c>
      <c r="E3112" s="8" t="s">
        <v>92</v>
      </c>
      <c r="F3112" s="8" t="s">
        <v>93</v>
      </c>
      <c r="G3112" s="8" t="s">
        <v>7</v>
      </c>
      <c r="H3112" s="8" t="s">
        <v>38</v>
      </c>
      <c r="I3112" s="9">
        <v>17.988377</v>
      </c>
      <c r="J3112">
        <v>18.267373207992001</v>
      </c>
      <c r="K3112">
        <v>18.539982964848001</v>
      </c>
      <c r="L3112">
        <v>18.825629396751001</v>
      </c>
    </row>
    <row r="3113" spans="1:12" x14ac:dyDescent="0.2">
      <c r="A3113" s="8" t="s">
        <v>32</v>
      </c>
      <c r="B3113" s="8" t="s">
        <v>303</v>
      </c>
      <c r="C3113" s="8" t="s">
        <v>494</v>
      </c>
      <c r="D3113" s="8" t="s">
        <v>495</v>
      </c>
      <c r="E3113" s="8" t="s">
        <v>36</v>
      </c>
      <c r="F3113" s="8" t="s">
        <v>37</v>
      </c>
      <c r="G3113" s="8" t="s">
        <v>7</v>
      </c>
      <c r="H3113" s="8" t="s">
        <v>38</v>
      </c>
      <c r="I3113" s="9">
        <v>2068.5317</v>
      </c>
      <c r="J3113">
        <v>1799.5933560000001</v>
      </c>
      <c r="K3113">
        <v>1795.778116</v>
      </c>
      <c r="L3113">
        <v>1658.1839276815001</v>
      </c>
    </row>
    <row r="3114" spans="1:12" x14ac:dyDescent="0.2">
      <c r="A3114" s="8" t="s">
        <v>32</v>
      </c>
      <c r="B3114" s="8" t="s">
        <v>303</v>
      </c>
      <c r="C3114" s="8" t="s">
        <v>494</v>
      </c>
      <c r="D3114" s="8" t="s">
        <v>495</v>
      </c>
      <c r="E3114" s="8" t="s">
        <v>64</v>
      </c>
      <c r="F3114" s="8" t="s">
        <v>65</v>
      </c>
      <c r="G3114" s="8" t="s">
        <v>7</v>
      </c>
      <c r="H3114" s="8" t="s">
        <v>38</v>
      </c>
      <c r="I3114" s="9"/>
    </row>
    <row r="3115" spans="1:12" x14ac:dyDescent="0.2">
      <c r="A3115" s="8" t="s">
        <v>32</v>
      </c>
      <c r="B3115" s="8" t="s">
        <v>303</v>
      </c>
      <c r="C3115" s="8" t="s">
        <v>494</v>
      </c>
      <c r="D3115" s="8" t="s">
        <v>495</v>
      </c>
      <c r="E3115" s="8" t="s">
        <v>39</v>
      </c>
      <c r="F3115" s="8" t="s">
        <v>40</v>
      </c>
      <c r="G3115" s="8" t="s">
        <v>7</v>
      </c>
      <c r="H3115" s="8" t="s">
        <v>38</v>
      </c>
      <c r="I3115" s="9">
        <v>1310.6359</v>
      </c>
      <c r="J3115">
        <v>1406.1000160000001</v>
      </c>
      <c r="K3115">
        <v>1348.9023910000001</v>
      </c>
      <c r="L3115">
        <v>1249.742814881</v>
      </c>
    </row>
    <row r="3116" spans="1:12" x14ac:dyDescent="0.2">
      <c r="A3116" s="8" t="s">
        <v>32</v>
      </c>
      <c r="B3116" s="8" t="s">
        <v>303</v>
      </c>
      <c r="C3116" s="8" t="s">
        <v>494</v>
      </c>
      <c r="D3116" s="8" t="s">
        <v>495</v>
      </c>
      <c r="E3116" s="8" t="s">
        <v>43</v>
      </c>
      <c r="F3116" s="8" t="s">
        <v>44</v>
      </c>
      <c r="G3116" s="8" t="s">
        <v>7</v>
      </c>
      <c r="H3116" s="8" t="s">
        <v>38</v>
      </c>
      <c r="I3116" s="9">
        <v>1688.6776</v>
      </c>
      <c r="J3116">
        <v>1854.015408</v>
      </c>
      <c r="K3116">
        <v>2211.2392319999999</v>
      </c>
      <c r="L3116">
        <v>2272.0449075772999</v>
      </c>
    </row>
    <row r="3117" spans="1:12" x14ac:dyDescent="0.2">
      <c r="A3117" s="8" t="s">
        <v>32</v>
      </c>
      <c r="B3117" s="8" t="s">
        <v>303</v>
      </c>
      <c r="C3117" s="8" t="s">
        <v>494</v>
      </c>
      <c r="D3117" s="8" t="s">
        <v>495</v>
      </c>
      <c r="E3117" s="8" t="s">
        <v>66</v>
      </c>
      <c r="F3117" s="8" t="s">
        <v>67</v>
      </c>
      <c r="G3117" s="8" t="s">
        <v>7</v>
      </c>
      <c r="H3117" s="8" t="s">
        <v>38</v>
      </c>
      <c r="I3117" s="9">
        <v>3.515336</v>
      </c>
      <c r="K3117">
        <v>3.515336</v>
      </c>
      <c r="L3117">
        <v>3.2364047841077999</v>
      </c>
    </row>
    <row r="3118" spans="1:12" x14ac:dyDescent="0.2">
      <c r="A3118" s="8" t="s">
        <v>32</v>
      </c>
      <c r="B3118" s="8" t="s">
        <v>303</v>
      </c>
      <c r="C3118" s="8" t="s">
        <v>494</v>
      </c>
      <c r="D3118" s="8" t="s">
        <v>495</v>
      </c>
      <c r="E3118" s="8" t="s">
        <v>49</v>
      </c>
      <c r="F3118" s="8" t="s">
        <v>50</v>
      </c>
      <c r="G3118" s="8" t="s">
        <v>7</v>
      </c>
      <c r="H3118" s="8" t="s">
        <v>38</v>
      </c>
      <c r="I3118" s="9">
        <v>938.29269999999997</v>
      </c>
      <c r="J3118">
        <v>1048.2166540000001</v>
      </c>
      <c r="K3118">
        <v>1025.3293880000001</v>
      </c>
      <c r="L3118">
        <v>943.97262071376997</v>
      </c>
    </row>
    <row r="3119" spans="1:12" x14ac:dyDescent="0.2">
      <c r="A3119" s="8" t="s">
        <v>32</v>
      </c>
      <c r="B3119" s="8" t="s">
        <v>303</v>
      </c>
      <c r="C3119" s="8" t="s">
        <v>494</v>
      </c>
      <c r="D3119" s="8" t="s">
        <v>495</v>
      </c>
      <c r="E3119" s="8" t="s">
        <v>51</v>
      </c>
      <c r="F3119" s="8" t="s">
        <v>52</v>
      </c>
      <c r="G3119" s="8" t="s">
        <v>7</v>
      </c>
      <c r="H3119" s="8" t="s">
        <v>38</v>
      </c>
      <c r="I3119" s="9">
        <v>1245.1305</v>
      </c>
      <c r="J3119">
        <v>1286.7698439999999</v>
      </c>
      <c r="K3119">
        <v>1205.9917419999999</v>
      </c>
      <c r="L3119">
        <v>1233.3715879128999</v>
      </c>
    </row>
    <row r="3120" spans="1:12" x14ac:dyDescent="0.2">
      <c r="A3120" s="8" t="s">
        <v>32</v>
      </c>
      <c r="B3120" s="8" t="s">
        <v>303</v>
      </c>
      <c r="C3120" s="8" t="s">
        <v>494</v>
      </c>
      <c r="D3120" s="8" t="s">
        <v>495</v>
      </c>
      <c r="E3120" s="8" t="s">
        <v>68</v>
      </c>
      <c r="F3120" s="8" t="s">
        <v>69</v>
      </c>
      <c r="G3120" s="8" t="s">
        <v>7</v>
      </c>
      <c r="H3120" s="8" t="s">
        <v>38</v>
      </c>
      <c r="I3120" s="9">
        <v>14.298155</v>
      </c>
      <c r="J3120">
        <v>14.181896745794001</v>
      </c>
      <c r="K3120">
        <v>16.022881520757</v>
      </c>
      <c r="L3120">
        <v>16.022881520757</v>
      </c>
    </row>
    <row r="3121" spans="1:12" x14ac:dyDescent="0.2">
      <c r="A3121" s="8" t="s">
        <v>32</v>
      </c>
      <c r="B3121" s="8" t="s">
        <v>303</v>
      </c>
      <c r="C3121" s="8" t="s">
        <v>494</v>
      </c>
      <c r="D3121" s="8" t="s">
        <v>495</v>
      </c>
      <c r="E3121" s="8" t="s">
        <v>53</v>
      </c>
      <c r="F3121" s="8" t="s">
        <v>54</v>
      </c>
      <c r="G3121" s="8" t="s">
        <v>7</v>
      </c>
      <c r="H3121" s="8" t="s">
        <v>38</v>
      </c>
      <c r="I3121" s="9">
        <v>6.9115000000000001E-3</v>
      </c>
      <c r="J3121">
        <v>12.972713295605001</v>
      </c>
      <c r="K3121">
        <v>14.412891355539999</v>
      </c>
      <c r="L3121">
        <v>14.412891818281</v>
      </c>
    </row>
    <row r="3122" spans="1:12" x14ac:dyDescent="0.2">
      <c r="A3122" s="8" t="s">
        <v>32</v>
      </c>
      <c r="B3122" s="8" t="s">
        <v>303</v>
      </c>
      <c r="C3122" s="8" t="s">
        <v>494</v>
      </c>
      <c r="D3122" s="8" t="s">
        <v>495</v>
      </c>
      <c r="E3122" s="8" t="s">
        <v>70</v>
      </c>
      <c r="F3122" s="8" t="s">
        <v>71</v>
      </c>
      <c r="G3122" s="8" t="s">
        <v>7</v>
      </c>
      <c r="H3122" s="8" t="s">
        <v>38</v>
      </c>
      <c r="I3122" s="9">
        <v>1822.7174</v>
      </c>
      <c r="J3122">
        <v>1804.2453912000001</v>
      </c>
      <c r="K3122">
        <v>1718.3289440000001</v>
      </c>
      <c r="L3122">
        <v>1716.3904324528</v>
      </c>
    </row>
    <row r="3123" spans="1:12" x14ac:dyDescent="0.2">
      <c r="A3123" s="8" t="s">
        <v>32</v>
      </c>
      <c r="B3123" s="8" t="s">
        <v>303</v>
      </c>
      <c r="C3123" s="8" t="s">
        <v>494</v>
      </c>
      <c r="D3123" s="8" t="s">
        <v>495</v>
      </c>
      <c r="E3123" s="8" t="s">
        <v>83</v>
      </c>
      <c r="F3123" s="8" t="s">
        <v>84</v>
      </c>
      <c r="G3123" s="8" t="s">
        <v>7</v>
      </c>
      <c r="H3123" s="8" t="s">
        <v>38</v>
      </c>
      <c r="I3123" s="9">
        <v>30</v>
      </c>
      <c r="J3123">
        <v>30</v>
      </c>
      <c r="K3123">
        <v>30</v>
      </c>
      <c r="L3123">
        <v>30</v>
      </c>
    </row>
    <row r="3124" spans="1:12" x14ac:dyDescent="0.2">
      <c r="A3124" s="8" t="s">
        <v>32</v>
      </c>
      <c r="B3124" s="8" t="s">
        <v>303</v>
      </c>
      <c r="C3124" s="8" t="s">
        <v>494</v>
      </c>
      <c r="D3124" s="8" t="s">
        <v>495</v>
      </c>
      <c r="E3124" s="8" t="s">
        <v>55</v>
      </c>
      <c r="F3124" s="8" t="s">
        <v>56</v>
      </c>
      <c r="G3124" s="8" t="s">
        <v>7</v>
      </c>
      <c r="H3124" s="8" t="s">
        <v>38</v>
      </c>
      <c r="I3124" s="9">
        <v>0.449158</v>
      </c>
      <c r="J3124">
        <v>0.50306859122092995</v>
      </c>
      <c r="K3124">
        <v>0.50306859122092995</v>
      </c>
      <c r="L3124">
        <v>0.50306859122092995</v>
      </c>
    </row>
    <row r="3125" spans="1:12" x14ac:dyDescent="0.2">
      <c r="A3125" s="8" t="s">
        <v>32</v>
      </c>
      <c r="B3125" s="8" t="s">
        <v>303</v>
      </c>
      <c r="C3125" s="8" t="s">
        <v>494</v>
      </c>
      <c r="D3125" s="8" t="s">
        <v>495</v>
      </c>
      <c r="E3125" s="8" t="s">
        <v>72</v>
      </c>
      <c r="F3125" s="8" t="s">
        <v>73</v>
      </c>
      <c r="G3125" s="8" t="s">
        <v>7</v>
      </c>
      <c r="H3125" s="8" t="s">
        <v>38</v>
      </c>
      <c r="I3125" s="9">
        <v>1.29129E-2</v>
      </c>
      <c r="J3125">
        <v>1.45269882134E-2</v>
      </c>
      <c r="K3125">
        <v>1.5334043114144E-2</v>
      </c>
      <c r="L3125">
        <v>1.5755705699264998E-2</v>
      </c>
    </row>
    <row r="3126" spans="1:12" x14ac:dyDescent="0.2">
      <c r="A3126" s="8" t="s">
        <v>32</v>
      </c>
      <c r="B3126" s="8" t="s">
        <v>303</v>
      </c>
      <c r="C3126" s="8" t="s">
        <v>494</v>
      </c>
      <c r="D3126" s="8" t="s">
        <v>495</v>
      </c>
      <c r="E3126" s="8" t="s">
        <v>74</v>
      </c>
      <c r="F3126" s="8" t="s">
        <v>75</v>
      </c>
      <c r="G3126" s="8" t="s">
        <v>7</v>
      </c>
      <c r="H3126" s="8" t="s">
        <v>38</v>
      </c>
      <c r="I3126" s="9">
        <v>135.85599999999999</v>
      </c>
      <c r="J3126">
        <v>99.16</v>
      </c>
      <c r="K3126">
        <v>100.76</v>
      </c>
      <c r="L3126">
        <v>94.823739447890006</v>
      </c>
    </row>
    <row r="3127" spans="1:12" x14ac:dyDescent="0.2">
      <c r="A3127" s="8" t="s">
        <v>32</v>
      </c>
      <c r="B3127" s="8" t="s">
        <v>303</v>
      </c>
      <c r="C3127" s="8" t="s">
        <v>494</v>
      </c>
      <c r="D3127" s="8" t="s">
        <v>495</v>
      </c>
      <c r="E3127" s="8" t="s">
        <v>59</v>
      </c>
      <c r="F3127" s="8" t="s">
        <v>60</v>
      </c>
      <c r="G3127" s="8" t="s">
        <v>7</v>
      </c>
      <c r="H3127" s="8" t="s">
        <v>38</v>
      </c>
      <c r="I3127" s="9">
        <v>38.360532999999997</v>
      </c>
      <c r="J3127">
        <v>34.867998844275</v>
      </c>
      <c r="K3127">
        <v>36.223977522873</v>
      </c>
      <c r="L3127">
        <v>36.604841831378998</v>
      </c>
    </row>
    <row r="3128" spans="1:12" x14ac:dyDescent="0.2">
      <c r="A3128" s="8" t="s">
        <v>32</v>
      </c>
      <c r="B3128" s="8" t="s">
        <v>303</v>
      </c>
      <c r="C3128" s="8" t="s">
        <v>494</v>
      </c>
      <c r="D3128" s="8" t="s">
        <v>495</v>
      </c>
      <c r="E3128" s="8" t="s">
        <v>76</v>
      </c>
      <c r="F3128" s="8" t="s">
        <v>77</v>
      </c>
      <c r="G3128" s="8" t="s">
        <v>7</v>
      </c>
      <c r="H3128" s="8" t="s">
        <v>38</v>
      </c>
      <c r="I3128" s="9">
        <v>36.771428999999998</v>
      </c>
      <c r="J3128">
        <v>16.971428572295999</v>
      </c>
      <c r="K3128">
        <v>20.114285715040001</v>
      </c>
      <c r="L3128">
        <v>20.114285715040001</v>
      </c>
    </row>
    <row r="3129" spans="1:12" x14ac:dyDescent="0.2">
      <c r="A3129" s="8" t="s">
        <v>32</v>
      </c>
      <c r="B3129" s="8" t="s">
        <v>303</v>
      </c>
      <c r="C3129" s="8" t="s">
        <v>494</v>
      </c>
      <c r="D3129" s="8" t="s">
        <v>495</v>
      </c>
      <c r="E3129" s="8" t="s">
        <v>78</v>
      </c>
      <c r="F3129" s="8" t="s">
        <v>79</v>
      </c>
      <c r="G3129" s="8" t="s">
        <v>7</v>
      </c>
      <c r="H3129" s="8" t="s">
        <v>38</v>
      </c>
      <c r="I3129" s="9">
        <v>54.842846999999999</v>
      </c>
      <c r="J3129">
        <v>19.171425085713999</v>
      </c>
      <c r="K3129">
        <v>33.471422485714001</v>
      </c>
      <c r="L3129">
        <v>30.957137228571</v>
      </c>
    </row>
    <row r="3130" spans="1:12" x14ac:dyDescent="0.2">
      <c r="A3130" s="8" t="s">
        <v>32</v>
      </c>
      <c r="B3130" s="8" t="s">
        <v>105</v>
      </c>
      <c r="C3130" s="8" t="s">
        <v>496</v>
      </c>
      <c r="D3130" s="8" t="s">
        <v>497</v>
      </c>
      <c r="E3130" s="8" t="s">
        <v>59</v>
      </c>
      <c r="F3130" s="8" t="s">
        <v>60</v>
      </c>
      <c r="G3130" s="8" t="s">
        <v>7</v>
      </c>
      <c r="H3130" s="8" t="s">
        <v>38</v>
      </c>
      <c r="I3130" s="9">
        <v>4.2555999999999997E-2</v>
      </c>
      <c r="J3130">
        <v>6.9466228027878996E-2</v>
      </c>
      <c r="K3130">
        <v>8.2923412174066999E-2</v>
      </c>
      <c r="L3130">
        <v>9.7144212174067004E-2</v>
      </c>
    </row>
    <row r="3131" spans="1:12" x14ac:dyDescent="0.2">
      <c r="A3131" s="8" t="s">
        <v>32</v>
      </c>
      <c r="B3131" s="8" t="s">
        <v>303</v>
      </c>
      <c r="C3131" s="8" t="s">
        <v>498</v>
      </c>
      <c r="D3131" s="8" t="s">
        <v>499</v>
      </c>
      <c r="E3131" s="8" t="s">
        <v>36</v>
      </c>
      <c r="F3131" s="8" t="s">
        <v>37</v>
      </c>
      <c r="G3131" s="8" t="s">
        <v>7</v>
      </c>
      <c r="H3131" s="8" t="s">
        <v>38</v>
      </c>
      <c r="I3131" s="9">
        <v>18074.170999999998</v>
      </c>
      <c r="J3131">
        <v>21792.358599001</v>
      </c>
      <c r="K3131">
        <v>25756.842375</v>
      </c>
      <c r="L3131">
        <v>24219.982438571002</v>
      </c>
    </row>
    <row r="3132" spans="1:12" x14ac:dyDescent="0.2">
      <c r="A3132" s="8" t="s">
        <v>32</v>
      </c>
      <c r="B3132" s="8" t="s">
        <v>303</v>
      </c>
      <c r="C3132" s="8" t="s">
        <v>498</v>
      </c>
      <c r="D3132" s="8" t="s">
        <v>499</v>
      </c>
      <c r="E3132" s="8" t="s">
        <v>64</v>
      </c>
      <c r="F3132" s="8" t="s">
        <v>65</v>
      </c>
      <c r="G3132" s="8" t="s">
        <v>7</v>
      </c>
      <c r="H3132" s="8" t="s">
        <v>38</v>
      </c>
      <c r="I3132" s="9">
        <v>5187.2421999999997</v>
      </c>
      <c r="J3132">
        <v>5255.5644899999998</v>
      </c>
      <c r="K3132">
        <v>5349.5327219999999</v>
      </c>
      <c r="L3132">
        <v>5046.8179058165997</v>
      </c>
    </row>
    <row r="3133" spans="1:12" x14ac:dyDescent="0.2">
      <c r="A3133" s="8" t="s">
        <v>32</v>
      </c>
      <c r="B3133" s="8" t="s">
        <v>303</v>
      </c>
      <c r="C3133" s="8" t="s">
        <v>498</v>
      </c>
      <c r="D3133" s="8" t="s">
        <v>499</v>
      </c>
      <c r="E3133" s="8" t="s">
        <v>39</v>
      </c>
      <c r="F3133" s="8" t="s">
        <v>40</v>
      </c>
      <c r="G3133" s="8" t="s">
        <v>7</v>
      </c>
      <c r="H3133" s="8" t="s">
        <v>38</v>
      </c>
      <c r="I3133" s="9">
        <v>1245.903</v>
      </c>
      <c r="J3133">
        <v>15495.426441</v>
      </c>
      <c r="K3133">
        <v>15805.335182999999</v>
      </c>
      <c r="L3133">
        <v>14862.262034866</v>
      </c>
    </row>
    <row r="3134" spans="1:12" x14ac:dyDescent="0.2">
      <c r="A3134" s="8" t="s">
        <v>32</v>
      </c>
      <c r="B3134" s="8" t="s">
        <v>303</v>
      </c>
      <c r="C3134" s="8" t="s">
        <v>498</v>
      </c>
      <c r="D3134" s="8" t="s">
        <v>499</v>
      </c>
      <c r="E3134" s="8" t="s">
        <v>41</v>
      </c>
      <c r="F3134" s="8" t="s">
        <v>42</v>
      </c>
      <c r="G3134" s="8" t="s">
        <v>7</v>
      </c>
      <c r="H3134" s="8" t="s">
        <v>38</v>
      </c>
      <c r="I3134" s="9">
        <v>70.098600000000005</v>
      </c>
      <c r="J3134">
        <v>82.904250000000005</v>
      </c>
      <c r="K3134">
        <v>14.674659999999999</v>
      </c>
      <c r="L3134">
        <v>15.808549650013999</v>
      </c>
    </row>
    <row r="3135" spans="1:12" x14ac:dyDescent="0.2">
      <c r="A3135" s="8" t="s">
        <v>32</v>
      </c>
      <c r="B3135" s="8" t="s">
        <v>303</v>
      </c>
      <c r="C3135" s="8" t="s">
        <v>498</v>
      </c>
      <c r="D3135" s="8" t="s">
        <v>499</v>
      </c>
      <c r="E3135" s="8" t="s">
        <v>43</v>
      </c>
      <c r="F3135" s="8" t="s">
        <v>44</v>
      </c>
      <c r="G3135" s="8" t="s">
        <v>7</v>
      </c>
      <c r="H3135" s="8" t="s">
        <v>38</v>
      </c>
      <c r="I3135" s="9">
        <v>6812.9812000000002</v>
      </c>
      <c r="J3135">
        <v>6902.1945150000001</v>
      </c>
      <c r="K3135">
        <v>7131.7369589999998</v>
      </c>
      <c r="L3135">
        <v>6324.1572111281002</v>
      </c>
    </row>
    <row r="3136" spans="1:12" x14ac:dyDescent="0.2">
      <c r="A3136" s="8" t="s">
        <v>32</v>
      </c>
      <c r="B3136" s="8" t="s">
        <v>303</v>
      </c>
      <c r="C3136" s="8" t="s">
        <v>498</v>
      </c>
      <c r="D3136" s="8" t="s">
        <v>499</v>
      </c>
      <c r="E3136" s="8" t="s">
        <v>47</v>
      </c>
      <c r="F3136" s="8" t="s">
        <v>48</v>
      </c>
      <c r="G3136" s="8" t="s">
        <v>7</v>
      </c>
      <c r="H3136" s="8" t="s">
        <v>38</v>
      </c>
      <c r="I3136" s="9">
        <v>3871.9434999999999</v>
      </c>
      <c r="J3136">
        <v>3921.68172</v>
      </c>
      <c r="K3136">
        <v>3959.942481</v>
      </c>
      <c r="L3136">
        <v>3723.6605307125001</v>
      </c>
    </row>
    <row r="3137" spans="1:12" x14ac:dyDescent="0.2">
      <c r="A3137" s="8" t="s">
        <v>32</v>
      </c>
      <c r="B3137" s="8" t="s">
        <v>303</v>
      </c>
      <c r="C3137" s="8" t="s">
        <v>498</v>
      </c>
      <c r="D3137" s="8" t="s">
        <v>499</v>
      </c>
      <c r="E3137" s="8" t="s">
        <v>49</v>
      </c>
      <c r="F3137" s="8" t="s">
        <v>50</v>
      </c>
      <c r="G3137" s="8" t="s">
        <v>7</v>
      </c>
      <c r="H3137" s="8" t="s">
        <v>38</v>
      </c>
      <c r="I3137" s="9">
        <v>22289.713</v>
      </c>
      <c r="J3137">
        <v>23895.704837000001</v>
      </c>
      <c r="K3137">
        <v>24406.511092000001</v>
      </c>
      <c r="L3137">
        <v>22927.717728768999</v>
      </c>
    </row>
    <row r="3138" spans="1:12" x14ac:dyDescent="0.2">
      <c r="A3138" s="8" t="s">
        <v>32</v>
      </c>
      <c r="B3138" s="8" t="s">
        <v>303</v>
      </c>
      <c r="C3138" s="8" t="s">
        <v>498</v>
      </c>
      <c r="D3138" s="8" t="s">
        <v>499</v>
      </c>
      <c r="E3138" s="8" t="s">
        <v>51</v>
      </c>
      <c r="F3138" s="8" t="s">
        <v>52</v>
      </c>
      <c r="G3138" s="8" t="s">
        <v>7</v>
      </c>
      <c r="H3138" s="8" t="s">
        <v>38</v>
      </c>
      <c r="I3138" s="9">
        <v>11751.835999999999</v>
      </c>
      <c r="J3138">
        <v>12013.702788000001</v>
      </c>
      <c r="K3138">
        <v>12559.002050999999</v>
      </c>
      <c r="L3138">
        <v>11246.988531528999</v>
      </c>
    </row>
    <row r="3139" spans="1:12" x14ac:dyDescent="0.2">
      <c r="A3139" s="8" t="s">
        <v>32</v>
      </c>
      <c r="B3139" s="8" t="s">
        <v>303</v>
      </c>
      <c r="C3139" s="8" t="s">
        <v>498</v>
      </c>
      <c r="D3139" s="8" t="s">
        <v>499</v>
      </c>
      <c r="E3139" s="8" t="s">
        <v>53</v>
      </c>
      <c r="F3139" s="8" t="s">
        <v>54</v>
      </c>
      <c r="G3139" s="8" t="s">
        <v>7</v>
      </c>
      <c r="H3139" s="8" t="s">
        <v>38</v>
      </c>
      <c r="I3139" s="9">
        <v>4478.5824000000002</v>
      </c>
      <c r="J3139">
        <v>3543.52861949</v>
      </c>
      <c r="K3139">
        <v>3462.5574448960001</v>
      </c>
      <c r="L3139">
        <v>3672.4662240092998</v>
      </c>
    </row>
    <row r="3140" spans="1:12" x14ac:dyDescent="0.2">
      <c r="A3140" s="8" t="s">
        <v>32</v>
      </c>
      <c r="B3140" s="8" t="s">
        <v>303</v>
      </c>
      <c r="C3140" s="8" t="s">
        <v>498</v>
      </c>
      <c r="D3140" s="8" t="s">
        <v>499</v>
      </c>
      <c r="E3140" s="8" t="s">
        <v>70</v>
      </c>
      <c r="F3140" s="8" t="s">
        <v>71</v>
      </c>
      <c r="G3140" s="8" t="s">
        <v>7</v>
      </c>
      <c r="H3140" s="8" t="s">
        <v>38</v>
      </c>
      <c r="I3140" s="9">
        <v>816.20624999999995</v>
      </c>
      <c r="J3140">
        <v>859.16447200000005</v>
      </c>
      <c r="K3140">
        <v>902.12269560000004</v>
      </c>
      <c r="L3140">
        <v>901.1049770377</v>
      </c>
    </row>
    <row r="3141" spans="1:12" x14ac:dyDescent="0.2">
      <c r="A3141" s="8" t="s">
        <v>32</v>
      </c>
      <c r="B3141" s="8" t="s">
        <v>303</v>
      </c>
      <c r="C3141" s="8" t="s">
        <v>498</v>
      </c>
      <c r="D3141" s="8" t="s">
        <v>499</v>
      </c>
      <c r="E3141" s="8" t="s">
        <v>83</v>
      </c>
      <c r="F3141" s="8" t="s">
        <v>84</v>
      </c>
      <c r="G3141" s="8" t="s">
        <v>7</v>
      </c>
      <c r="H3141" s="8" t="s">
        <v>38</v>
      </c>
      <c r="I3141" s="9">
        <v>15</v>
      </c>
      <c r="J3141">
        <v>15</v>
      </c>
      <c r="K3141">
        <v>15</v>
      </c>
      <c r="L3141">
        <v>15</v>
      </c>
    </row>
    <row r="3142" spans="1:12" x14ac:dyDescent="0.2">
      <c r="A3142" s="8" t="s">
        <v>32</v>
      </c>
      <c r="B3142" s="8" t="s">
        <v>303</v>
      </c>
      <c r="C3142" s="8" t="s">
        <v>498</v>
      </c>
      <c r="D3142" s="8" t="s">
        <v>499</v>
      </c>
      <c r="E3142" s="8" t="s">
        <v>55</v>
      </c>
      <c r="F3142" s="8" t="s">
        <v>56</v>
      </c>
      <c r="G3142" s="8" t="s">
        <v>7</v>
      </c>
      <c r="H3142" s="8" t="s">
        <v>38</v>
      </c>
      <c r="I3142" s="9">
        <v>0.2189063</v>
      </c>
      <c r="J3142">
        <v>0.24518071691716001</v>
      </c>
      <c r="K3142">
        <v>0.24518071691716001</v>
      </c>
      <c r="L3142">
        <v>0.24518071691716001</v>
      </c>
    </row>
    <row r="3143" spans="1:12" x14ac:dyDescent="0.2">
      <c r="A3143" s="8" t="s">
        <v>32</v>
      </c>
      <c r="B3143" s="8" t="s">
        <v>303</v>
      </c>
      <c r="C3143" s="8" t="s">
        <v>498</v>
      </c>
      <c r="D3143" s="8" t="s">
        <v>499</v>
      </c>
      <c r="E3143" s="8" t="s">
        <v>57</v>
      </c>
      <c r="F3143" s="8" t="s">
        <v>58</v>
      </c>
      <c r="G3143" s="8" t="s">
        <v>7</v>
      </c>
      <c r="H3143" s="8" t="s">
        <v>38</v>
      </c>
      <c r="I3143" s="9"/>
    </row>
    <row r="3144" spans="1:12" x14ac:dyDescent="0.2">
      <c r="A3144" s="8" t="s">
        <v>32</v>
      </c>
      <c r="B3144" s="8" t="s">
        <v>303</v>
      </c>
      <c r="C3144" s="8" t="s">
        <v>498</v>
      </c>
      <c r="D3144" s="8" t="s">
        <v>499</v>
      </c>
      <c r="E3144" s="8" t="s">
        <v>72</v>
      </c>
      <c r="F3144" s="8" t="s">
        <v>73</v>
      </c>
      <c r="G3144" s="8" t="s">
        <v>7</v>
      </c>
      <c r="H3144" s="8" t="s">
        <v>38</v>
      </c>
      <c r="I3144" s="9">
        <v>1278.6895</v>
      </c>
      <c r="J3144">
        <v>761.27952700000003</v>
      </c>
      <c r="K3144">
        <v>1032.59288885</v>
      </c>
      <c r="L3144">
        <v>912.28955919999999</v>
      </c>
    </row>
    <row r="3145" spans="1:12" x14ac:dyDescent="0.2">
      <c r="A3145" s="8" t="s">
        <v>32</v>
      </c>
      <c r="B3145" s="8" t="s">
        <v>303</v>
      </c>
      <c r="C3145" s="8" t="s">
        <v>498</v>
      </c>
      <c r="D3145" s="8" t="s">
        <v>499</v>
      </c>
      <c r="E3145" s="8" t="s">
        <v>59</v>
      </c>
      <c r="F3145" s="8" t="s">
        <v>60</v>
      </c>
      <c r="G3145" s="8" t="s">
        <v>7</v>
      </c>
      <c r="H3145" s="8" t="s">
        <v>38</v>
      </c>
      <c r="I3145" s="9">
        <v>18.593136000000001</v>
      </c>
      <c r="J3145">
        <v>18.705451176779999</v>
      </c>
      <c r="K3145">
        <v>18.980315336143999</v>
      </c>
      <c r="L3145">
        <v>17.527735619331999</v>
      </c>
    </row>
    <row r="3146" spans="1:12" x14ac:dyDescent="0.2">
      <c r="A3146" s="8" t="s">
        <v>32</v>
      </c>
      <c r="B3146" s="8" t="s">
        <v>303</v>
      </c>
      <c r="C3146" s="8" t="s">
        <v>498</v>
      </c>
      <c r="D3146" s="8" t="s">
        <v>499</v>
      </c>
      <c r="E3146" s="8" t="s">
        <v>76</v>
      </c>
      <c r="F3146" s="8" t="s">
        <v>77</v>
      </c>
      <c r="G3146" s="8" t="s">
        <v>7</v>
      </c>
      <c r="H3146" s="8" t="s">
        <v>38</v>
      </c>
      <c r="I3146" s="9">
        <v>553.14286000000004</v>
      </c>
      <c r="J3146">
        <v>511.02857143878998</v>
      </c>
      <c r="K3146">
        <v>475.51428572380001</v>
      </c>
      <c r="L3146">
        <v>475.51428572380001</v>
      </c>
    </row>
    <row r="3147" spans="1:12" x14ac:dyDescent="0.2">
      <c r="A3147" s="8" t="s">
        <v>32</v>
      </c>
      <c r="B3147" s="8" t="s">
        <v>303</v>
      </c>
      <c r="C3147" s="8" t="s">
        <v>498</v>
      </c>
      <c r="D3147" s="8" t="s">
        <v>499</v>
      </c>
      <c r="E3147" s="8" t="s">
        <v>78</v>
      </c>
      <c r="F3147" s="8" t="s">
        <v>79</v>
      </c>
      <c r="G3147" s="8" t="s">
        <v>7</v>
      </c>
      <c r="H3147" s="8" t="s">
        <v>38</v>
      </c>
      <c r="I3147" s="9">
        <v>360.95708000000002</v>
      </c>
      <c r="J3147">
        <v>363.78564814286</v>
      </c>
      <c r="K3147">
        <v>370.69993260000001</v>
      </c>
      <c r="L3147">
        <v>367.14850467429</v>
      </c>
    </row>
    <row r="3148" spans="1:12" x14ac:dyDescent="0.2">
      <c r="A3148" s="8" t="s">
        <v>32</v>
      </c>
      <c r="B3148" s="8" t="s">
        <v>153</v>
      </c>
      <c r="C3148" s="8" t="s">
        <v>500</v>
      </c>
      <c r="D3148" s="8" t="s">
        <v>501</v>
      </c>
      <c r="E3148" s="8" t="s">
        <v>36</v>
      </c>
      <c r="F3148" s="8" t="s">
        <v>37</v>
      </c>
      <c r="G3148" s="8" t="s">
        <v>7</v>
      </c>
      <c r="H3148" s="8" t="s">
        <v>38</v>
      </c>
      <c r="I3148" s="9">
        <v>145.26201</v>
      </c>
      <c r="J3148">
        <v>152.38782031401001</v>
      </c>
      <c r="K3148">
        <v>145.83142228080999</v>
      </c>
      <c r="L3148">
        <v>145.14216510076</v>
      </c>
    </row>
    <row r="3149" spans="1:12" x14ac:dyDescent="0.2">
      <c r="A3149" s="8" t="s">
        <v>32</v>
      </c>
      <c r="B3149" s="8" t="s">
        <v>153</v>
      </c>
      <c r="C3149" s="8" t="s">
        <v>500</v>
      </c>
      <c r="D3149" s="8" t="s">
        <v>501</v>
      </c>
      <c r="E3149" s="8" t="s">
        <v>39</v>
      </c>
      <c r="F3149" s="8" t="s">
        <v>40</v>
      </c>
      <c r="G3149" s="8" t="s">
        <v>7</v>
      </c>
      <c r="H3149" s="8" t="s">
        <v>38</v>
      </c>
      <c r="I3149" s="9">
        <v>78.286192</v>
      </c>
      <c r="J3149">
        <v>80.827184515168</v>
      </c>
      <c r="K3149">
        <v>77.349619395923995</v>
      </c>
      <c r="L3149">
        <v>76.984034395726994</v>
      </c>
    </row>
    <row r="3150" spans="1:12" x14ac:dyDescent="0.2">
      <c r="A3150" s="8" t="s">
        <v>32</v>
      </c>
      <c r="B3150" s="8" t="s">
        <v>153</v>
      </c>
      <c r="C3150" s="8" t="s">
        <v>500</v>
      </c>
      <c r="D3150" s="8" t="s">
        <v>501</v>
      </c>
      <c r="E3150" s="8" t="s">
        <v>41</v>
      </c>
      <c r="F3150" s="8" t="s">
        <v>42</v>
      </c>
      <c r="G3150" s="8" t="s">
        <v>7</v>
      </c>
      <c r="H3150" s="8" t="s">
        <v>38</v>
      </c>
      <c r="I3150" s="9">
        <v>14.881859</v>
      </c>
      <c r="J3150">
        <v>16.613599904851</v>
      </c>
      <c r="K3150">
        <v>15.898797140994001</v>
      </c>
      <c r="L3150">
        <v>21.173654944883001</v>
      </c>
    </row>
    <row r="3151" spans="1:12" x14ac:dyDescent="0.2">
      <c r="A3151" s="8" t="s">
        <v>32</v>
      </c>
      <c r="B3151" s="8" t="s">
        <v>153</v>
      </c>
      <c r="C3151" s="8" t="s">
        <v>500</v>
      </c>
      <c r="D3151" s="8" t="s">
        <v>501</v>
      </c>
      <c r="E3151" s="8" t="s">
        <v>43</v>
      </c>
      <c r="F3151" s="8" t="s">
        <v>44</v>
      </c>
      <c r="G3151" s="8" t="s">
        <v>7</v>
      </c>
      <c r="H3151" s="8" t="s">
        <v>38</v>
      </c>
      <c r="I3151" s="9">
        <v>251.05183</v>
      </c>
      <c r="J3151">
        <v>272.81854548450002</v>
      </c>
      <c r="K3151">
        <v>261.08049697710999</v>
      </c>
      <c r="L3151">
        <v>259.84652692936999</v>
      </c>
    </row>
    <row r="3152" spans="1:12" x14ac:dyDescent="0.2">
      <c r="A3152" s="8" t="s">
        <v>32</v>
      </c>
      <c r="B3152" s="8" t="s">
        <v>153</v>
      </c>
      <c r="C3152" s="8" t="s">
        <v>500</v>
      </c>
      <c r="D3152" s="8" t="s">
        <v>501</v>
      </c>
      <c r="E3152" s="8" t="s">
        <v>66</v>
      </c>
      <c r="F3152" s="8" t="s">
        <v>67</v>
      </c>
      <c r="G3152" s="8" t="s">
        <v>7</v>
      </c>
      <c r="H3152" s="8" t="s">
        <v>38</v>
      </c>
      <c r="I3152" s="9"/>
    </row>
    <row r="3153" spans="1:12" x14ac:dyDescent="0.2">
      <c r="A3153" s="8" t="s">
        <v>32</v>
      </c>
      <c r="B3153" s="8" t="s">
        <v>153</v>
      </c>
      <c r="C3153" s="8" t="s">
        <v>500</v>
      </c>
      <c r="D3153" s="8" t="s">
        <v>501</v>
      </c>
      <c r="E3153" s="8" t="s">
        <v>45</v>
      </c>
      <c r="F3153" s="8" t="s">
        <v>46</v>
      </c>
      <c r="G3153" s="8" t="s">
        <v>7</v>
      </c>
      <c r="H3153" s="8" t="s">
        <v>38</v>
      </c>
      <c r="I3153" s="9">
        <v>17.282748999999999</v>
      </c>
      <c r="J3153">
        <v>22.509675219485</v>
      </c>
      <c r="K3153">
        <v>21.541195311728</v>
      </c>
      <c r="L3153">
        <v>20.790895135860001</v>
      </c>
    </row>
    <row r="3154" spans="1:12" x14ac:dyDescent="0.2">
      <c r="A3154" s="8" t="s">
        <v>32</v>
      </c>
      <c r="B3154" s="8" t="s">
        <v>153</v>
      </c>
      <c r="C3154" s="8" t="s">
        <v>500</v>
      </c>
      <c r="D3154" s="8" t="s">
        <v>501</v>
      </c>
      <c r="E3154" s="8" t="s">
        <v>47</v>
      </c>
      <c r="F3154" s="8" t="s">
        <v>48</v>
      </c>
      <c r="G3154" s="8" t="s">
        <v>7</v>
      </c>
      <c r="H3154" s="8" t="s">
        <v>38</v>
      </c>
      <c r="I3154" s="9">
        <v>18.126484000000001</v>
      </c>
      <c r="J3154">
        <v>19.219082863273002</v>
      </c>
      <c r="K3154">
        <v>18.392065618859</v>
      </c>
      <c r="L3154">
        <v>18.305137417202999</v>
      </c>
    </row>
    <row r="3155" spans="1:12" x14ac:dyDescent="0.2">
      <c r="A3155" s="8" t="s">
        <v>32</v>
      </c>
      <c r="B3155" s="8" t="s">
        <v>153</v>
      </c>
      <c r="C3155" s="8" t="s">
        <v>500</v>
      </c>
      <c r="D3155" s="8" t="s">
        <v>501</v>
      </c>
      <c r="E3155" s="8" t="s">
        <v>49</v>
      </c>
      <c r="F3155" s="8" t="s">
        <v>50</v>
      </c>
      <c r="G3155" s="8" t="s">
        <v>7</v>
      </c>
      <c r="H3155" s="8" t="s">
        <v>38</v>
      </c>
      <c r="I3155" s="9">
        <v>81.759074999999996</v>
      </c>
      <c r="J3155">
        <v>85.494931418066002</v>
      </c>
      <c r="K3155">
        <v>81.816537275276005</v>
      </c>
      <c r="L3155">
        <v>81.429839848328001</v>
      </c>
    </row>
    <row r="3156" spans="1:12" x14ac:dyDescent="0.2">
      <c r="A3156" s="8" t="s">
        <v>32</v>
      </c>
      <c r="B3156" s="8" t="s">
        <v>153</v>
      </c>
      <c r="C3156" s="8" t="s">
        <v>500</v>
      </c>
      <c r="D3156" s="8" t="s">
        <v>501</v>
      </c>
      <c r="E3156" s="8" t="s">
        <v>51</v>
      </c>
      <c r="F3156" s="8" t="s">
        <v>52</v>
      </c>
      <c r="G3156" s="8" t="s">
        <v>7</v>
      </c>
      <c r="H3156" s="8" t="s">
        <v>38</v>
      </c>
      <c r="I3156" s="9">
        <v>3.7799330000000002</v>
      </c>
      <c r="J3156">
        <v>4.3312939456904997</v>
      </c>
      <c r="K3156">
        <v>4.1448681035602997</v>
      </c>
      <c r="L3156">
        <v>4.1252778118653</v>
      </c>
    </row>
    <row r="3157" spans="1:12" x14ac:dyDescent="0.2">
      <c r="A3157" s="8" t="s">
        <v>32</v>
      </c>
      <c r="B3157" s="8" t="s">
        <v>153</v>
      </c>
      <c r="C3157" s="8" t="s">
        <v>500</v>
      </c>
      <c r="D3157" s="8" t="s">
        <v>501</v>
      </c>
      <c r="E3157" s="8" t="s">
        <v>53</v>
      </c>
      <c r="F3157" s="8" t="s">
        <v>54</v>
      </c>
      <c r="G3157" s="8" t="s">
        <v>7</v>
      </c>
      <c r="H3157" s="8" t="s">
        <v>38</v>
      </c>
      <c r="I3157" s="9">
        <v>65.229883999999998</v>
      </c>
      <c r="J3157">
        <v>52.656737894481999</v>
      </c>
      <c r="K3157">
        <v>64.717476480152996</v>
      </c>
      <c r="L3157">
        <v>32.722063841576002</v>
      </c>
    </row>
    <row r="3158" spans="1:12" x14ac:dyDescent="0.2">
      <c r="A3158" s="8" t="s">
        <v>32</v>
      </c>
      <c r="B3158" s="8" t="s">
        <v>153</v>
      </c>
      <c r="C3158" s="8" t="s">
        <v>500</v>
      </c>
      <c r="D3158" s="8" t="s">
        <v>501</v>
      </c>
      <c r="E3158" s="8" t="s">
        <v>55</v>
      </c>
      <c r="F3158" s="8" t="s">
        <v>56</v>
      </c>
      <c r="G3158" s="8" t="s">
        <v>7</v>
      </c>
      <c r="H3158" s="8" t="s">
        <v>38</v>
      </c>
      <c r="I3158" s="9">
        <v>6.3182799999999997E-2</v>
      </c>
      <c r="J3158">
        <v>6.4341488684581005E-2</v>
      </c>
      <c r="K3158">
        <v>6.5521435205353001E-2</v>
      </c>
      <c r="L3158">
        <v>6.6659756103609996E-2</v>
      </c>
    </row>
    <row r="3159" spans="1:12" x14ac:dyDescent="0.2">
      <c r="A3159" s="8" t="s">
        <v>32</v>
      </c>
      <c r="B3159" s="8" t="s">
        <v>153</v>
      </c>
      <c r="C3159" s="8" t="s">
        <v>500</v>
      </c>
      <c r="D3159" s="8" t="s">
        <v>501</v>
      </c>
      <c r="E3159" s="8" t="s">
        <v>59</v>
      </c>
      <c r="F3159" s="8" t="s">
        <v>60</v>
      </c>
      <c r="G3159" s="8" t="s">
        <v>7</v>
      </c>
      <c r="H3159" s="8" t="s">
        <v>38</v>
      </c>
      <c r="I3159" s="9">
        <v>3.5453266000000001</v>
      </c>
      <c r="J3159">
        <v>3.6447417639878998</v>
      </c>
      <c r="K3159">
        <v>3.6494097319505001</v>
      </c>
      <c r="L3159">
        <v>3.6777714733078</v>
      </c>
    </row>
    <row r="3160" spans="1:12" x14ac:dyDescent="0.2">
      <c r="A3160" s="8" t="s">
        <v>32</v>
      </c>
      <c r="B3160" s="8" t="s">
        <v>153</v>
      </c>
      <c r="C3160" s="8" t="s">
        <v>500</v>
      </c>
      <c r="D3160" s="8" t="s">
        <v>501</v>
      </c>
      <c r="E3160" s="8" t="s">
        <v>92</v>
      </c>
      <c r="F3160" s="8" t="s">
        <v>93</v>
      </c>
      <c r="G3160" s="8" t="s">
        <v>7</v>
      </c>
      <c r="H3160" s="8" t="s">
        <v>38</v>
      </c>
      <c r="I3160" s="9">
        <v>0.14929480000000001</v>
      </c>
      <c r="J3160">
        <v>0.15301286348000001</v>
      </c>
      <c r="K3160">
        <v>0.15682354891483999</v>
      </c>
      <c r="L3160">
        <v>0.16115052949580999</v>
      </c>
    </row>
    <row r="3161" spans="1:12" x14ac:dyDescent="0.2">
      <c r="A3161" s="8" t="s">
        <v>32</v>
      </c>
      <c r="B3161" s="8" t="s">
        <v>105</v>
      </c>
      <c r="C3161" s="8" t="s">
        <v>502</v>
      </c>
      <c r="D3161" s="8" t="s">
        <v>503</v>
      </c>
      <c r="E3161" s="8" t="s">
        <v>36</v>
      </c>
      <c r="F3161" s="8" t="s">
        <v>37</v>
      </c>
      <c r="G3161" s="8" t="s">
        <v>7</v>
      </c>
      <c r="H3161" s="8" t="s">
        <v>38</v>
      </c>
      <c r="I3161" s="9">
        <v>44.243079000000002</v>
      </c>
      <c r="J3161">
        <v>47.951852242527004</v>
      </c>
      <c r="K3161">
        <v>37.476370281077998</v>
      </c>
      <c r="L3161">
        <v>37.299242081305998</v>
      </c>
    </row>
    <row r="3162" spans="1:12" x14ac:dyDescent="0.2">
      <c r="A3162" s="8" t="s">
        <v>32</v>
      </c>
      <c r="B3162" s="8" t="s">
        <v>105</v>
      </c>
      <c r="C3162" s="8" t="s">
        <v>502</v>
      </c>
      <c r="D3162" s="8" t="s">
        <v>503</v>
      </c>
      <c r="E3162" s="8" t="s">
        <v>39</v>
      </c>
      <c r="F3162" s="8" t="s">
        <v>40</v>
      </c>
      <c r="G3162" s="8" t="s">
        <v>7</v>
      </c>
      <c r="H3162" s="8" t="s">
        <v>38</v>
      </c>
      <c r="I3162" s="9">
        <v>23.843964</v>
      </c>
      <c r="J3162">
        <v>25.433877858902001</v>
      </c>
      <c r="K3162">
        <v>19.877629472750002</v>
      </c>
      <c r="L3162">
        <v>19.783679906722</v>
      </c>
    </row>
    <row r="3163" spans="1:12" x14ac:dyDescent="0.2">
      <c r="A3163" s="8" t="s">
        <v>32</v>
      </c>
      <c r="B3163" s="8" t="s">
        <v>105</v>
      </c>
      <c r="C3163" s="8" t="s">
        <v>502</v>
      </c>
      <c r="D3163" s="8" t="s">
        <v>503</v>
      </c>
      <c r="E3163" s="8" t="s">
        <v>41</v>
      </c>
      <c r="F3163" s="8" t="s">
        <v>42</v>
      </c>
      <c r="G3163" s="8" t="s">
        <v>7</v>
      </c>
      <c r="H3163" s="8" t="s">
        <v>38</v>
      </c>
      <c r="I3163" s="9">
        <v>4.5326320999999998</v>
      </c>
      <c r="J3163">
        <v>5.2277989554040998</v>
      </c>
      <c r="K3163">
        <v>4.0857395433772998</v>
      </c>
      <c r="L3163">
        <v>5.4412946161236002</v>
      </c>
    </row>
    <row r="3164" spans="1:12" x14ac:dyDescent="0.2">
      <c r="A3164" s="8" t="s">
        <v>32</v>
      </c>
      <c r="B3164" s="8" t="s">
        <v>105</v>
      </c>
      <c r="C3164" s="8" t="s">
        <v>502</v>
      </c>
      <c r="D3164" s="8" t="s">
        <v>503</v>
      </c>
      <c r="E3164" s="8" t="s">
        <v>43</v>
      </c>
      <c r="F3164" s="8" t="s">
        <v>44</v>
      </c>
      <c r="G3164" s="8" t="s">
        <v>7</v>
      </c>
      <c r="H3164" s="8" t="s">
        <v>38</v>
      </c>
      <c r="I3164" s="9">
        <v>76.463943</v>
      </c>
      <c r="J3164">
        <v>85.847770216393002</v>
      </c>
      <c r="K3164">
        <v>67.093560666517007</v>
      </c>
      <c r="L3164">
        <v>66.776449870354995</v>
      </c>
    </row>
    <row r="3165" spans="1:12" x14ac:dyDescent="0.2">
      <c r="A3165" s="8" t="s">
        <v>32</v>
      </c>
      <c r="B3165" s="8" t="s">
        <v>105</v>
      </c>
      <c r="C3165" s="8" t="s">
        <v>502</v>
      </c>
      <c r="D3165" s="8" t="s">
        <v>503</v>
      </c>
      <c r="E3165" s="8" t="s">
        <v>66</v>
      </c>
      <c r="F3165" s="8" t="s">
        <v>67</v>
      </c>
      <c r="G3165" s="8" t="s">
        <v>7</v>
      </c>
      <c r="H3165" s="8" t="s">
        <v>38</v>
      </c>
      <c r="I3165" s="9"/>
    </row>
    <row r="3166" spans="1:12" x14ac:dyDescent="0.2">
      <c r="A3166" s="8" t="s">
        <v>32</v>
      </c>
      <c r="B3166" s="8" t="s">
        <v>105</v>
      </c>
      <c r="C3166" s="8" t="s">
        <v>502</v>
      </c>
      <c r="D3166" s="8" t="s">
        <v>503</v>
      </c>
      <c r="E3166" s="8" t="s">
        <v>45</v>
      </c>
      <c r="F3166" s="8" t="s">
        <v>46</v>
      </c>
      <c r="G3166" s="8" t="s">
        <v>7</v>
      </c>
      <c r="H3166" s="8" t="s">
        <v>38</v>
      </c>
      <c r="I3166" s="9">
        <v>5.2638816999999998</v>
      </c>
      <c r="J3166">
        <v>7.0831160779638003</v>
      </c>
      <c r="K3166">
        <v>5.5357466804708997</v>
      </c>
      <c r="L3166">
        <v>5.3429313957193001</v>
      </c>
    </row>
    <row r="3167" spans="1:12" x14ac:dyDescent="0.2">
      <c r="A3167" s="8" t="s">
        <v>32</v>
      </c>
      <c r="B3167" s="8" t="s">
        <v>105</v>
      </c>
      <c r="C3167" s="8" t="s">
        <v>502</v>
      </c>
      <c r="D3167" s="8" t="s">
        <v>503</v>
      </c>
      <c r="E3167" s="8" t="s">
        <v>47</v>
      </c>
      <c r="F3167" s="8" t="s">
        <v>48</v>
      </c>
      <c r="G3167" s="8" t="s">
        <v>7</v>
      </c>
      <c r="H3167" s="8" t="s">
        <v>38</v>
      </c>
      <c r="I3167" s="9">
        <v>5.5208615999999999</v>
      </c>
      <c r="J3167">
        <v>6.0476658816797002</v>
      </c>
      <c r="K3167">
        <v>4.7264701295925002</v>
      </c>
      <c r="L3167">
        <v>4.7041309558930999</v>
      </c>
    </row>
    <row r="3168" spans="1:12" x14ac:dyDescent="0.2">
      <c r="A3168" s="8" t="s">
        <v>32</v>
      </c>
      <c r="B3168" s="8" t="s">
        <v>105</v>
      </c>
      <c r="C3168" s="8" t="s">
        <v>502</v>
      </c>
      <c r="D3168" s="8" t="s">
        <v>503</v>
      </c>
      <c r="E3168" s="8" t="s">
        <v>49</v>
      </c>
      <c r="F3168" s="8" t="s">
        <v>50</v>
      </c>
      <c r="G3168" s="8" t="s">
        <v>7</v>
      </c>
      <c r="H3168" s="8" t="s">
        <v>38</v>
      </c>
      <c r="I3168" s="9">
        <v>24.901716</v>
      </c>
      <c r="J3168">
        <v>26.902677066951</v>
      </c>
      <c r="K3168">
        <v>21.025556756484001</v>
      </c>
      <c r="L3168">
        <v>20.926181630517</v>
      </c>
    </row>
    <row r="3169" spans="1:12" x14ac:dyDescent="0.2">
      <c r="A3169" s="8" t="s">
        <v>32</v>
      </c>
      <c r="B3169" s="8" t="s">
        <v>105</v>
      </c>
      <c r="C3169" s="8" t="s">
        <v>502</v>
      </c>
      <c r="D3169" s="8" t="s">
        <v>503</v>
      </c>
      <c r="E3169" s="8" t="s">
        <v>51</v>
      </c>
      <c r="F3169" s="8" t="s">
        <v>52</v>
      </c>
      <c r="G3169" s="8" t="s">
        <v>7</v>
      </c>
      <c r="H3169" s="8" t="s">
        <v>38</v>
      </c>
      <c r="I3169" s="9">
        <v>1.1512705999999999</v>
      </c>
      <c r="J3169">
        <v>1.3629276071719001</v>
      </c>
      <c r="K3169">
        <v>1.0651655821893999</v>
      </c>
      <c r="L3169">
        <v>1.0601311868993999</v>
      </c>
    </row>
    <row r="3170" spans="1:12" x14ac:dyDescent="0.2">
      <c r="A3170" s="8" t="s">
        <v>32</v>
      </c>
      <c r="B3170" s="8" t="s">
        <v>105</v>
      </c>
      <c r="C3170" s="8" t="s">
        <v>502</v>
      </c>
      <c r="D3170" s="8" t="s">
        <v>503</v>
      </c>
      <c r="E3170" s="8" t="s">
        <v>53</v>
      </c>
      <c r="F3170" s="8" t="s">
        <v>54</v>
      </c>
      <c r="G3170" s="8" t="s">
        <v>7</v>
      </c>
      <c r="H3170" s="8" t="s">
        <v>38</v>
      </c>
      <c r="I3170" s="9">
        <v>1.139E-6</v>
      </c>
      <c r="J3170">
        <v>3.7953746077989999E-7</v>
      </c>
      <c r="K3170">
        <v>2.7661440635052E-7</v>
      </c>
      <c r="L3170">
        <v>7.0337722328499006E-8</v>
      </c>
    </row>
    <row r="3171" spans="1:12" x14ac:dyDescent="0.2">
      <c r="A3171" s="8" t="s">
        <v>32</v>
      </c>
      <c r="B3171" s="8" t="s">
        <v>105</v>
      </c>
      <c r="C3171" s="8" t="s">
        <v>502</v>
      </c>
      <c r="D3171" s="8" t="s">
        <v>503</v>
      </c>
      <c r="E3171" s="8" t="s">
        <v>55</v>
      </c>
      <c r="F3171" s="8" t="s">
        <v>56</v>
      </c>
      <c r="G3171" s="8" t="s">
        <v>7</v>
      </c>
      <c r="H3171" s="8" t="s">
        <v>38</v>
      </c>
      <c r="I3171" s="9">
        <v>5.3487999999999999E-3</v>
      </c>
      <c r="J3171">
        <v>5.3640247647557997E-3</v>
      </c>
      <c r="K3171">
        <v>5.3793423302927997E-3</v>
      </c>
      <c r="L3171">
        <v>5.3945959944696996E-3</v>
      </c>
    </row>
    <row r="3172" spans="1:12" x14ac:dyDescent="0.2">
      <c r="A3172" s="8" t="s">
        <v>32</v>
      </c>
      <c r="B3172" s="8" t="s">
        <v>105</v>
      </c>
      <c r="C3172" s="8" t="s">
        <v>502</v>
      </c>
      <c r="D3172" s="8" t="s">
        <v>503</v>
      </c>
      <c r="E3172" s="8" t="s">
        <v>59</v>
      </c>
      <c r="F3172" s="8" t="s">
        <v>60</v>
      </c>
      <c r="G3172" s="8" t="s">
        <v>7</v>
      </c>
      <c r="H3172" s="8" t="s">
        <v>38</v>
      </c>
      <c r="I3172" s="9">
        <v>0.58580869999999996</v>
      </c>
      <c r="J3172">
        <v>0.61075244057339995</v>
      </c>
      <c r="K3172">
        <v>0.52526578313664996</v>
      </c>
      <c r="L3172">
        <v>0.49511872507242999</v>
      </c>
    </row>
    <row r="3173" spans="1:12" x14ac:dyDescent="0.2">
      <c r="A3173" s="8" t="s">
        <v>32</v>
      </c>
      <c r="B3173" s="8" t="s">
        <v>33</v>
      </c>
      <c r="C3173" s="8" t="s">
        <v>504</v>
      </c>
      <c r="D3173" s="8" t="s">
        <v>505</v>
      </c>
      <c r="E3173" s="8" t="s">
        <v>36</v>
      </c>
      <c r="F3173" s="8" t="s">
        <v>37</v>
      </c>
      <c r="G3173" s="8" t="s">
        <v>7</v>
      </c>
      <c r="H3173" s="8" t="s">
        <v>38</v>
      </c>
      <c r="I3173" s="9">
        <v>4852.6018999999997</v>
      </c>
      <c r="J3173">
        <v>5062.9219350000003</v>
      </c>
      <c r="K3173">
        <v>5347.394937</v>
      </c>
      <c r="L3173">
        <v>5020.8528862765997</v>
      </c>
    </row>
    <row r="3174" spans="1:12" x14ac:dyDescent="0.2">
      <c r="A3174" s="8" t="s">
        <v>32</v>
      </c>
      <c r="B3174" s="8" t="s">
        <v>33</v>
      </c>
      <c r="C3174" s="8" t="s">
        <v>504</v>
      </c>
      <c r="D3174" s="8" t="s">
        <v>505</v>
      </c>
      <c r="E3174" s="8" t="s">
        <v>64</v>
      </c>
      <c r="F3174" s="8" t="s">
        <v>65</v>
      </c>
      <c r="G3174" s="8" t="s">
        <v>7</v>
      </c>
      <c r="H3174" s="8" t="s">
        <v>38</v>
      </c>
      <c r="I3174" s="9">
        <v>5574.2155000000002</v>
      </c>
      <c r="J3174">
        <v>3471.5987129999999</v>
      </c>
      <c r="K3174">
        <v>3563.932581</v>
      </c>
      <c r="L3174">
        <v>3345.0104133709001</v>
      </c>
    </row>
    <row r="3175" spans="1:12" x14ac:dyDescent="0.2">
      <c r="A3175" s="8" t="s">
        <v>32</v>
      </c>
      <c r="B3175" s="8" t="s">
        <v>33</v>
      </c>
      <c r="C3175" s="8" t="s">
        <v>504</v>
      </c>
      <c r="D3175" s="8" t="s">
        <v>505</v>
      </c>
      <c r="E3175" s="8" t="s">
        <v>39</v>
      </c>
      <c r="F3175" s="8" t="s">
        <v>40</v>
      </c>
      <c r="G3175" s="8" t="s">
        <v>7</v>
      </c>
      <c r="H3175" s="8" t="s">
        <v>38</v>
      </c>
      <c r="I3175" s="9">
        <v>1719.1746000000001</v>
      </c>
      <c r="J3175">
        <v>1906.3054729999999</v>
      </c>
      <c r="K3175">
        <v>1848.2816760000001</v>
      </c>
      <c r="L3175">
        <v>1765.6472083023</v>
      </c>
    </row>
    <row r="3176" spans="1:12" x14ac:dyDescent="0.2">
      <c r="A3176" s="8" t="s">
        <v>32</v>
      </c>
      <c r="B3176" s="8" t="s">
        <v>33</v>
      </c>
      <c r="C3176" s="8" t="s">
        <v>504</v>
      </c>
      <c r="D3176" s="8" t="s">
        <v>505</v>
      </c>
      <c r="E3176" s="8" t="s">
        <v>41</v>
      </c>
      <c r="F3176" s="8" t="s">
        <v>42</v>
      </c>
      <c r="G3176" s="8" t="s">
        <v>7</v>
      </c>
      <c r="H3176" s="8" t="s">
        <v>38</v>
      </c>
      <c r="I3176" s="9">
        <v>139.89046999999999</v>
      </c>
      <c r="J3176">
        <v>122.95140000000001</v>
      </c>
      <c r="K3176">
        <v>148.68853999999999</v>
      </c>
      <c r="L3176">
        <v>167.51127609805999</v>
      </c>
    </row>
    <row r="3177" spans="1:12" x14ac:dyDescent="0.2">
      <c r="A3177" s="8" t="s">
        <v>32</v>
      </c>
      <c r="B3177" s="8" t="s">
        <v>33</v>
      </c>
      <c r="C3177" s="8" t="s">
        <v>504</v>
      </c>
      <c r="D3177" s="8" t="s">
        <v>505</v>
      </c>
      <c r="E3177" s="8" t="s">
        <v>43</v>
      </c>
      <c r="F3177" s="8" t="s">
        <v>44</v>
      </c>
      <c r="G3177" s="8" t="s">
        <v>7</v>
      </c>
      <c r="H3177" s="8" t="s">
        <v>38</v>
      </c>
      <c r="I3177" s="9">
        <v>2166.9913000000001</v>
      </c>
      <c r="J3177">
        <v>2098.6416239999999</v>
      </c>
      <c r="K3177">
        <v>2403.1828559999999</v>
      </c>
      <c r="L3177">
        <v>2451.5959610966001</v>
      </c>
    </row>
    <row r="3178" spans="1:12" x14ac:dyDescent="0.2">
      <c r="A3178" s="8" t="s">
        <v>32</v>
      </c>
      <c r="B3178" s="8" t="s">
        <v>33</v>
      </c>
      <c r="C3178" s="8" t="s">
        <v>504</v>
      </c>
      <c r="D3178" s="8" t="s">
        <v>505</v>
      </c>
      <c r="E3178" s="8" t="s">
        <v>47</v>
      </c>
      <c r="F3178" s="8" t="s">
        <v>48</v>
      </c>
      <c r="G3178" s="8" t="s">
        <v>7</v>
      </c>
      <c r="H3178" s="8" t="s">
        <v>38</v>
      </c>
      <c r="I3178" s="9"/>
    </row>
    <row r="3179" spans="1:12" x14ac:dyDescent="0.2">
      <c r="A3179" s="8" t="s">
        <v>32</v>
      </c>
      <c r="B3179" s="8" t="s">
        <v>33</v>
      </c>
      <c r="C3179" s="8" t="s">
        <v>504</v>
      </c>
      <c r="D3179" s="8" t="s">
        <v>505</v>
      </c>
      <c r="E3179" s="8" t="s">
        <v>49</v>
      </c>
      <c r="F3179" s="8" t="s">
        <v>50</v>
      </c>
      <c r="G3179" s="8" t="s">
        <v>7</v>
      </c>
      <c r="H3179" s="8" t="s">
        <v>38</v>
      </c>
      <c r="I3179" s="9">
        <v>423.1782</v>
      </c>
      <c r="J3179">
        <v>426.52975500000002</v>
      </c>
      <c r="K3179">
        <v>399.105391</v>
      </c>
      <c r="L3179">
        <v>391.4373381314</v>
      </c>
    </row>
    <row r="3180" spans="1:12" x14ac:dyDescent="0.2">
      <c r="A3180" s="8" t="s">
        <v>32</v>
      </c>
      <c r="B3180" s="8" t="s">
        <v>33</v>
      </c>
      <c r="C3180" s="8" t="s">
        <v>504</v>
      </c>
      <c r="D3180" s="8" t="s">
        <v>505</v>
      </c>
      <c r="E3180" s="8" t="s">
        <v>51</v>
      </c>
      <c r="F3180" s="8" t="s">
        <v>52</v>
      </c>
      <c r="G3180" s="8" t="s">
        <v>7</v>
      </c>
      <c r="H3180" s="8" t="s">
        <v>38</v>
      </c>
      <c r="I3180" s="9"/>
    </row>
    <row r="3181" spans="1:12" x14ac:dyDescent="0.2">
      <c r="A3181" s="8" t="s">
        <v>32</v>
      </c>
      <c r="B3181" s="8" t="s">
        <v>33</v>
      </c>
      <c r="C3181" s="8" t="s">
        <v>504</v>
      </c>
      <c r="D3181" s="8" t="s">
        <v>505</v>
      </c>
      <c r="E3181" s="8" t="s">
        <v>53</v>
      </c>
      <c r="F3181" s="8" t="s">
        <v>54</v>
      </c>
      <c r="G3181" s="8" t="s">
        <v>7</v>
      </c>
      <c r="H3181" s="8" t="s">
        <v>38</v>
      </c>
      <c r="I3181" s="9">
        <v>748.15449000000001</v>
      </c>
      <c r="J3181">
        <v>1736.7086981931</v>
      </c>
      <c r="K3181">
        <v>1769.3488655373001</v>
      </c>
      <c r="L3181">
        <v>1980.6154440068001</v>
      </c>
    </row>
    <row r="3182" spans="1:12" x14ac:dyDescent="0.2">
      <c r="A3182" s="8" t="s">
        <v>32</v>
      </c>
      <c r="B3182" s="8" t="s">
        <v>33</v>
      </c>
      <c r="C3182" s="8" t="s">
        <v>504</v>
      </c>
      <c r="D3182" s="8" t="s">
        <v>505</v>
      </c>
      <c r="E3182" s="8" t="s">
        <v>70</v>
      </c>
      <c r="F3182" s="8" t="s">
        <v>71</v>
      </c>
      <c r="G3182" s="8" t="s">
        <v>7</v>
      </c>
      <c r="H3182" s="8" t="s">
        <v>38</v>
      </c>
      <c r="I3182" s="9">
        <v>235.94427999999999</v>
      </c>
      <c r="J3182">
        <v>269.91726826500002</v>
      </c>
      <c r="K3182">
        <v>263.94399538499999</v>
      </c>
      <c r="L3182">
        <v>263.64623023086</v>
      </c>
    </row>
    <row r="3183" spans="1:12" x14ac:dyDescent="0.2">
      <c r="A3183" s="8" t="s">
        <v>32</v>
      </c>
      <c r="B3183" s="8" t="s">
        <v>33</v>
      </c>
      <c r="C3183" s="8" t="s">
        <v>504</v>
      </c>
      <c r="D3183" s="8" t="s">
        <v>505</v>
      </c>
      <c r="E3183" s="8" t="s">
        <v>83</v>
      </c>
      <c r="F3183" s="8" t="s">
        <v>84</v>
      </c>
      <c r="G3183" s="8" t="s">
        <v>7</v>
      </c>
      <c r="H3183" s="8" t="s">
        <v>38</v>
      </c>
      <c r="I3183" s="9">
        <v>45</v>
      </c>
      <c r="J3183">
        <v>45</v>
      </c>
      <c r="K3183">
        <v>45</v>
      </c>
      <c r="L3183">
        <v>45</v>
      </c>
    </row>
    <row r="3184" spans="1:12" x14ac:dyDescent="0.2">
      <c r="A3184" s="8" t="s">
        <v>32</v>
      </c>
      <c r="B3184" s="8" t="s">
        <v>33</v>
      </c>
      <c r="C3184" s="8" t="s">
        <v>504</v>
      </c>
      <c r="D3184" s="8" t="s">
        <v>505</v>
      </c>
      <c r="E3184" s="8" t="s">
        <v>55</v>
      </c>
      <c r="F3184" s="8" t="s">
        <v>56</v>
      </c>
      <c r="G3184" s="8" t="s">
        <v>7</v>
      </c>
      <c r="H3184" s="8" t="s">
        <v>38</v>
      </c>
      <c r="I3184" s="9">
        <v>6.4215099999999997E-2</v>
      </c>
      <c r="J3184">
        <v>7.1922554460627994E-2</v>
      </c>
      <c r="K3184">
        <v>7.1922554460627994E-2</v>
      </c>
      <c r="L3184">
        <v>7.1922554460627994E-2</v>
      </c>
    </row>
    <row r="3185" spans="1:12" x14ac:dyDescent="0.2">
      <c r="A3185" s="8" t="s">
        <v>32</v>
      </c>
      <c r="B3185" s="8" t="s">
        <v>33</v>
      </c>
      <c r="C3185" s="8" t="s">
        <v>504</v>
      </c>
      <c r="D3185" s="8" t="s">
        <v>505</v>
      </c>
      <c r="E3185" s="8" t="s">
        <v>57</v>
      </c>
      <c r="F3185" s="8" t="s">
        <v>58</v>
      </c>
      <c r="G3185" s="8" t="s">
        <v>7</v>
      </c>
      <c r="H3185" s="8" t="s">
        <v>38</v>
      </c>
      <c r="I3185" s="9">
        <v>3.2997019999999999</v>
      </c>
      <c r="J3185">
        <v>3.6957518416700998</v>
      </c>
      <c r="K3185">
        <v>3.6957518416700998</v>
      </c>
      <c r="L3185">
        <v>3.6957518416700998</v>
      </c>
    </row>
    <row r="3186" spans="1:12" x14ac:dyDescent="0.2">
      <c r="A3186" s="8" t="s">
        <v>32</v>
      </c>
      <c r="B3186" s="8" t="s">
        <v>33</v>
      </c>
      <c r="C3186" s="8" t="s">
        <v>504</v>
      </c>
      <c r="D3186" s="8" t="s">
        <v>505</v>
      </c>
      <c r="E3186" s="8" t="s">
        <v>72</v>
      </c>
      <c r="F3186" s="8" t="s">
        <v>73</v>
      </c>
      <c r="G3186" s="8" t="s">
        <v>7</v>
      </c>
      <c r="H3186" s="8" t="s">
        <v>38</v>
      </c>
      <c r="I3186" s="9">
        <v>13880.278</v>
      </c>
      <c r="J3186">
        <v>13526.973305099</v>
      </c>
      <c r="K3186">
        <v>12693.303893965</v>
      </c>
      <c r="L3186">
        <v>11501.481188596999</v>
      </c>
    </row>
    <row r="3187" spans="1:12" x14ac:dyDescent="0.2">
      <c r="A3187" s="8" t="s">
        <v>32</v>
      </c>
      <c r="B3187" s="8" t="s">
        <v>33</v>
      </c>
      <c r="C3187" s="8" t="s">
        <v>504</v>
      </c>
      <c r="D3187" s="8" t="s">
        <v>505</v>
      </c>
      <c r="E3187" s="8" t="s">
        <v>74</v>
      </c>
      <c r="F3187" s="8" t="s">
        <v>75</v>
      </c>
      <c r="G3187" s="8" t="s">
        <v>7</v>
      </c>
      <c r="H3187" s="8" t="s">
        <v>38</v>
      </c>
      <c r="I3187" s="9"/>
    </row>
    <row r="3188" spans="1:12" x14ac:dyDescent="0.2">
      <c r="A3188" s="8" t="s">
        <v>32</v>
      </c>
      <c r="B3188" s="8" t="s">
        <v>33</v>
      </c>
      <c r="C3188" s="8" t="s">
        <v>504</v>
      </c>
      <c r="D3188" s="8" t="s">
        <v>505</v>
      </c>
      <c r="E3188" s="8" t="s">
        <v>59</v>
      </c>
      <c r="F3188" s="8" t="s">
        <v>60</v>
      </c>
      <c r="G3188" s="8" t="s">
        <v>7</v>
      </c>
      <c r="H3188" s="8" t="s">
        <v>38</v>
      </c>
      <c r="I3188" s="9">
        <v>3.4747218000000002</v>
      </c>
      <c r="J3188">
        <v>3.4776691125329</v>
      </c>
      <c r="K3188">
        <v>3.4769983190919</v>
      </c>
      <c r="L3188">
        <v>3.4795490278034</v>
      </c>
    </row>
    <row r="3189" spans="1:12" x14ac:dyDescent="0.2">
      <c r="A3189" s="8" t="s">
        <v>32</v>
      </c>
      <c r="B3189" s="8" t="s">
        <v>33</v>
      </c>
      <c r="C3189" s="8" t="s">
        <v>504</v>
      </c>
      <c r="D3189" s="8" t="s">
        <v>505</v>
      </c>
      <c r="E3189" s="8" t="s">
        <v>76</v>
      </c>
      <c r="F3189" s="8" t="s">
        <v>77</v>
      </c>
      <c r="G3189" s="8" t="s">
        <v>7</v>
      </c>
      <c r="H3189" s="8" t="s">
        <v>38</v>
      </c>
      <c r="I3189" s="9"/>
    </row>
    <row r="3190" spans="1:12" x14ac:dyDescent="0.2">
      <c r="A3190" s="8" t="s">
        <v>32</v>
      </c>
      <c r="B3190" s="8" t="s">
        <v>33</v>
      </c>
      <c r="C3190" s="8" t="s">
        <v>504</v>
      </c>
      <c r="D3190" s="8" t="s">
        <v>505</v>
      </c>
      <c r="E3190" s="8" t="s">
        <v>78</v>
      </c>
      <c r="F3190" s="8" t="s">
        <v>79</v>
      </c>
      <c r="G3190" s="8" t="s">
        <v>7</v>
      </c>
      <c r="H3190" s="8" t="s">
        <v>38</v>
      </c>
      <c r="I3190" s="9">
        <v>9.4285697000000006</v>
      </c>
      <c r="J3190">
        <v>9.4285697142857003</v>
      </c>
      <c r="K3190">
        <v>9.4285697142857003</v>
      </c>
      <c r="L3190">
        <v>9.4285697142857003</v>
      </c>
    </row>
    <row r="3191" spans="1:12" x14ac:dyDescent="0.2">
      <c r="A3191" s="8" t="s">
        <v>32</v>
      </c>
      <c r="B3191" s="8" t="s">
        <v>207</v>
      </c>
      <c r="C3191" s="8" t="s">
        <v>506</v>
      </c>
      <c r="D3191" s="8" t="s">
        <v>507</v>
      </c>
      <c r="E3191" s="8" t="s">
        <v>36</v>
      </c>
      <c r="F3191" s="8" t="s">
        <v>37</v>
      </c>
      <c r="G3191" s="8" t="s">
        <v>7</v>
      </c>
      <c r="H3191" s="8" t="s">
        <v>38</v>
      </c>
      <c r="I3191" s="9">
        <v>9120.3868999999995</v>
      </c>
      <c r="J3191">
        <v>9330.1235460000007</v>
      </c>
      <c r="K3191">
        <v>8579.9546819999996</v>
      </c>
      <c r="L3191">
        <v>8634.3572828312008</v>
      </c>
    </row>
    <row r="3192" spans="1:12" x14ac:dyDescent="0.2">
      <c r="A3192" s="8" t="s">
        <v>32</v>
      </c>
      <c r="B3192" s="8" t="s">
        <v>207</v>
      </c>
      <c r="C3192" s="8" t="s">
        <v>506</v>
      </c>
      <c r="D3192" s="8" t="s">
        <v>507</v>
      </c>
      <c r="E3192" s="8" t="s">
        <v>64</v>
      </c>
      <c r="F3192" s="8" t="s">
        <v>65</v>
      </c>
      <c r="G3192" s="8" t="s">
        <v>7</v>
      </c>
      <c r="H3192" s="8" t="s">
        <v>38</v>
      </c>
      <c r="I3192" s="9">
        <v>539.13115000000005</v>
      </c>
      <c r="J3192">
        <v>536.81718899999998</v>
      </c>
      <c r="K3192">
        <v>586.83356400000002</v>
      </c>
      <c r="L3192">
        <v>582.78834383391995</v>
      </c>
    </row>
    <row r="3193" spans="1:12" x14ac:dyDescent="0.2">
      <c r="A3193" s="8" t="s">
        <v>32</v>
      </c>
      <c r="B3193" s="8" t="s">
        <v>207</v>
      </c>
      <c r="C3193" s="8" t="s">
        <v>506</v>
      </c>
      <c r="D3193" s="8" t="s">
        <v>507</v>
      </c>
      <c r="E3193" s="8" t="s">
        <v>39</v>
      </c>
      <c r="F3193" s="8" t="s">
        <v>40</v>
      </c>
      <c r="G3193" s="8" t="s">
        <v>7</v>
      </c>
      <c r="H3193" s="8" t="s">
        <v>38</v>
      </c>
      <c r="I3193" s="9">
        <v>4431.6983</v>
      </c>
      <c r="J3193">
        <v>4844.9635120000003</v>
      </c>
      <c r="K3193">
        <v>4822.9194649999999</v>
      </c>
      <c r="L3193">
        <v>5057.1913167844004</v>
      </c>
    </row>
    <row r="3194" spans="1:12" x14ac:dyDescent="0.2">
      <c r="A3194" s="8" t="s">
        <v>32</v>
      </c>
      <c r="B3194" s="8" t="s">
        <v>207</v>
      </c>
      <c r="C3194" s="8" t="s">
        <v>506</v>
      </c>
      <c r="D3194" s="8" t="s">
        <v>507</v>
      </c>
      <c r="E3194" s="8" t="s">
        <v>41</v>
      </c>
      <c r="F3194" s="8" t="s">
        <v>42</v>
      </c>
      <c r="G3194" s="8" t="s">
        <v>7</v>
      </c>
      <c r="H3194" s="8" t="s">
        <v>38</v>
      </c>
      <c r="I3194" s="9">
        <v>4.7654750000000003</v>
      </c>
      <c r="J3194">
        <v>6.0260199999999999</v>
      </c>
      <c r="K3194">
        <v>10.00714</v>
      </c>
      <c r="L3194">
        <v>11.278491855287999</v>
      </c>
    </row>
    <row r="3195" spans="1:12" x14ac:dyDescent="0.2">
      <c r="A3195" s="8" t="s">
        <v>32</v>
      </c>
      <c r="B3195" s="8" t="s">
        <v>207</v>
      </c>
      <c r="C3195" s="8" t="s">
        <v>506</v>
      </c>
      <c r="D3195" s="8" t="s">
        <v>507</v>
      </c>
      <c r="E3195" s="8" t="s">
        <v>43</v>
      </c>
      <c r="F3195" s="8" t="s">
        <v>44</v>
      </c>
      <c r="G3195" s="8" t="s">
        <v>7</v>
      </c>
      <c r="H3195" s="8" t="s">
        <v>38</v>
      </c>
      <c r="I3195" s="9">
        <v>6749.3540000000003</v>
      </c>
      <c r="J3195">
        <v>7308.0953879999997</v>
      </c>
      <c r="K3195">
        <v>7304.5446849999998</v>
      </c>
      <c r="L3195">
        <v>7878.7727036278002</v>
      </c>
    </row>
    <row r="3196" spans="1:12" x14ac:dyDescent="0.2">
      <c r="A3196" s="8" t="s">
        <v>32</v>
      </c>
      <c r="B3196" s="8" t="s">
        <v>207</v>
      </c>
      <c r="C3196" s="8" t="s">
        <v>506</v>
      </c>
      <c r="D3196" s="8" t="s">
        <v>507</v>
      </c>
      <c r="E3196" s="8" t="s">
        <v>66</v>
      </c>
      <c r="F3196" s="8" t="s">
        <v>67</v>
      </c>
      <c r="G3196" s="8" t="s">
        <v>7</v>
      </c>
      <c r="H3196" s="8" t="s">
        <v>38</v>
      </c>
      <c r="I3196" s="9">
        <v>28.318797</v>
      </c>
      <c r="J3196">
        <v>31.654038</v>
      </c>
      <c r="K3196">
        <v>32.957456999999998</v>
      </c>
      <c r="L3196">
        <v>35.548322830554</v>
      </c>
    </row>
    <row r="3197" spans="1:12" x14ac:dyDescent="0.2">
      <c r="A3197" s="8" t="s">
        <v>32</v>
      </c>
      <c r="B3197" s="8" t="s">
        <v>207</v>
      </c>
      <c r="C3197" s="8" t="s">
        <v>506</v>
      </c>
      <c r="D3197" s="8" t="s">
        <v>507</v>
      </c>
      <c r="E3197" s="8" t="s">
        <v>45</v>
      </c>
      <c r="F3197" s="8" t="s">
        <v>46</v>
      </c>
      <c r="G3197" s="8" t="s">
        <v>7</v>
      </c>
      <c r="H3197" s="8" t="s">
        <v>38</v>
      </c>
      <c r="I3197" s="9"/>
    </row>
    <row r="3198" spans="1:12" x14ac:dyDescent="0.2">
      <c r="A3198" s="8" t="s">
        <v>32</v>
      </c>
      <c r="B3198" s="8" t="s">
        <v>207</v>
      </c>
      <c r="C3198" s="8" t="s">
        <v>506</v>
      </c>
      <c r="D3198" s="8" t="s">
        <v>507</v>
      </c>
      <c r="E3198" s="8" t="s">
        <v>47</v>
      </c>
      <c r="F3198" s="8" t="s">
        <v>48</v>
      </c>
      <c r="G3198" s="8" t="s">
        <v>7</v>
      </c>
      <c r="H3198" s="8" t="s">
        <v>38</v>
      </c>
      <c r="I3198" s="9">
        <v>314.49266999999998</v>
      </c>
      <c r="J3198">
        <v>626.61175500000002</v>
      </c>
      <c r="K3198">
        <v>772.84425899999997</v>
      </c>
      <c r="L3198">
        <v>777.47083603119995</v>
      </c>
    </row>
    <row r="3199" spans="1:12" x14ac:dyDescent="0.2">
      <c r="A3199" s="8" t="s">
        <v>32</v>
      </c>
      <c r="B3199" s="8" t="s">
        <v>207</v>
      </c>
      <c r="C3199" s="8" t="s">
        <v>506</v>
      </c>
      <c r="D3199" s="8" t="s">
        <v>507</v>
      </c>
      <c r="E3199" s="8" t="s">
        <v>49</v>
      </c>
      <c r="F3199" s="8" t="s">
        <v>50</v>
      </c>
      <c r="G3199" s="8" t="s">
        <v>7</v>
      </c>
      <c r="H3199" s="8" t="s">
        <v>38</v>
      </c>
      <c r="I3199" s="9">
        <v>4014.6035000000002</v>
      </c>
      <c r="J3199">
        <v>4208.664925</v>
      </c>
      <c r="K3199">
        <v>4279.5652719999998</v>
      </c>
      <c r="L3199">
        <v>4528.8103569175</v>
      </c>
    </row>
    <row r="3200" spans="1:12" x14ac:dyDescent="0.2">
      <c r="A3200" s="8" t="s">
        <v>32</v>
      </c>
      <c r="B3200" s="8" t="s">
        <v>207</v>
      </c>
      <c r="C3200" s="8" t="s">
        <v>506</v>
      </c>
      <c r="D3200" s="8" t="s">
        <v>507</v>
      </c>
      <c r="E3200" s="8" t="s">
        <v>68</v>
      </c>
      <c r="F3200" s="8" t="s">
        <v>69</v>
      </c>
      <c r="G3200" s="8" t="s">
        <v>7</v>
      </c>
      <c r="H3200" s="8" t="s">
        <v>38</v>
      </c>
      <c r="I3200" s="9"/>
    </row>
    <row r="3201" spans="1:12" x14ac:dyDescent="0.2">
      <c r="A3201" s="8" t="s">
        <v>32</v>
      </c>
      <c r="B3201" s="8" t="s">
        <v>207</v>
      </c>
      <c r="C3201" s="8" t="s">
        <v>506</v>
      </c>
      <c r="D3201" s="8" t="s">
        <v>507</v>
      </c>
      <c r="E3201" s="8" t="s">
        <v>53</v>
      </c>
      <c r="F3201" s="8" t="s">
        <v>54</v>
      </c>
      <c r="G3201" s="8" t="s">
        <v>7</v>
      </c>
      <c r="H3201" s="8" t="s">
        <v>38</v>
      </c>
      <c r="I3201" s="9">
        <v>522.87504000000001</v>
      </c>
      <c r="J3201">
        <v>610.31214075312005</v>
      </c>
      <c r="K3201">
        <v>624.02989383400995</v>
      </c>
      <c r="L3201">
        <v>416.17089573020002</v>
      </c>
    </row>
    <row r="3202" spans="1:12" x14ac:dyDescent="0.2">
      <c r="A3202" s="8" t="s">
        <v>32</v>
      </c>
      <c r="B3202" s="8" t="s">
        <v>207</v>
      </c>
      <c r="C3202" s="8" t="s">
        <v>506</v>
      </c>
      <c r="D3202" s="8" t="s">
        <v>507</v>
      </c>
      <c r="E3202" s="8" t="s">
        <v>70</v>
      </c>
      <c r="F3202" s="8" t="s">
        <v>71</v>
      </c>
      <c r="G3202" s="8" t="s">
        <v>7</v>
      </c>
      <c r="H3202" s="8" t="s">
        <v>38</v>
      </c>
      <c r="I3202" s="9">
        <v>2681.0783999999999</v>
      </c>
      <c r="J3202">
        <v>3182.0255999999999</v>
      </c>
      <c r="K3202">
        <v>2953.6415999999999</v>
      </c>
      <c r="L3202">
        <v>2950.3094857573001</v>
      </c>
    </row>
    <row r="3203" spans="1:12" x14ac:dyDescent="0.2">
      <c r="A3203" s="8" t="s">
        <v>32</v>
      </c>
      <c r="B3203" s="8" t="s">
        <v>207</v>
      </c>
      <c r="C3203" s="8" t="s">
        <v>506</v>
      </c>
      <c r="D3203" s="8" t="s">
        <v>507</v>
      </c>
      <c r="E3203" s="8" t="s">
        <v>83</v>
      </c>
      <c r="F3203" s="8" t="s">
        <v>84</v>
      </c>
      <c r="G3203" s="8" t="s">
        <v>7</v>
      </c>
      <c r="H3203" s="8" t="s">
        <v>38</v>
      </c>
      <c r="I3203" s="9">
        <v>86.25</v>
      </c>
      <c r="J3203">
        <v>54</v>
      </c>
      <c r="K3203">
        <v>45</v>
      </c>
      <c r="L3203">
        <v>36.75</v>
      </c>
    </row>
    <row r="3204" spans="1:12" x14ac:dyDescent="0.2">
      <c r="A3204" s="8" t="s">
        <v>32</v>
      </c>
      <c r="B3204" s="8" t="s">
        <v>207</v>
      </c>
      <c r="C3204" s="8" t="s">
        <v>506</v>
      </c>
      <c r="D3204" s="8" t="s">
        <v>507</v>
      </c>
      <c r="E3204" s="8" t="s">
        <v>55</v>
      </c>
      <c r="F3204" s="8" t="s">
        <v>56</v>
      </c>
      <c r="G3204" s="8" t="s">
        <v>7</v>
      </c>
      <c r="H3204" s="8" t="s">
        <v>38</v>
      </c>
      <c r="I3204" s="9">
        <v>0.51042189999999998</v>
      </c>
      <c r="J3204">
        <v>0.57168572932345996</v>
      </c>
      <c r="K3204">
        <v>0.57168572932345996</v>
      </c>
      <c r="L3204">
        <v>0.57168572932345996</v>
      </c>
    </row>
    <row r="3205" spans="1:12" x14ac:dyDescent="0.2">
      <c r="A3205" s="8" t="s">
        <v>32</v>
      </c>
      <c r="B3205" s="8" t="s">
        <v>207</v>
      </c>
      <c r="C3205" s="8" t="s">
        <v>506</v>
      </c>
      <c r="D3205" s="8" t="s">
        <v>507</v>
      </c>
      <c r="E3205" s="8" t="s">
        <v>57</v>
      </c>
      <c r="F3205" s="8" t="s">
        <v>58</v>
      </c>
      <c r="G3205" s="8" t="s">
        <v>7</v>
      </c>
      <c r="H3205" s="8" t="s">
        <v>38</v>
      </c>
      <c r="I3205" s="9"/>
    </row>
    <row r="3206" spans="1:12" x14ac:dyDescent="0.2">
      <c r="A3206" s="8" t="s">
        <v>32</v>
      </c>
      <c r="B3206" s="8" t="s">
        <v>207</v>
      </c>
      <c r="C3206" s="8" t="s">
        <v>506</v>
      </c>
      <c r="D3206" s="8" t="s">
        <v>507</v>
      </c>
      <c r="E3206" s="8" t="s">
        <v>74</v>
      </c>
      <c r="F3206" s="8" t="s">
        <v>75</v>
      </c>
      <c r="G3206" s="8" t="s">
        <v>7</v>
      </c>
      <c r="H3206" s="8" t="s">
        <v>38</v>
      </c>
      <c r="I3206" s="9">
        <v>3.1040000000000001</v>
      </c>
      <c r="J3206">
        <v>3.4039999999999999</v>
      </c>
      <c r="K3206">
        <v>3.02</v>
      </c>
      <c r="L3206">
        <v>2.76</v>
      </c>
    </row>
    <row r="3207" spans="1:12" x14ac:dyDescent="0.2">
      <c r="A3207" s="8" t="s">
        <v>32</v>
      </c>
      <c r="B3207" s="8" t="s">
        <v>207</v>
      </c>
      <c r="C3207" s="8" t="s">
        <v>506</v>
      </c>
      <c r="D3207" s="8" t="s">
        <v>507</v>
      </c>
      <c r="E3207" s="8" t="s">
        <v>59</v>
      </c>
      <c r="F3207" s="8" t="s">
        <v>60</v>
      </c>
      <c r="G3207" s="8" t="s">
        <v>7</v>
      </c>
      <c r="H3207" s="8" t="s">
        <v>38</v>
      </c>
      <c r="I3207" s="9">
        <v>74.544511</v>
      </c>
      <c r="J3207">
        <v>76.596692603852006</v>
      </c>
      <c r="K3207">
        <v>78.162159082545998</v>
      </c>
      <c r="L3207">
        <v>80.124246759114996</v>
      </c>
    </row>
    <row r="3208" spans="1:12" x14ac:dyDescent="0.2">
      <c r="A3208" s="8" t="s">
        <v>32</v>
      </c>
      <c r="B3208" s="8" t="s">
        <v>207</v>
      </c>
      <c r="C3208" s="8" t="s">
        <v>506</v>
      </c>
      <c r="D3208" s="8" t="s">
        <v>507</v>
      </c>
      <c r="E3208" s="8" t="s">
        <v>76</v>
      </c>
      <c r="F3208" s="8" t="s">
        <v>77</v>
      </c>
      <c r="G3208" s="8" t="s">
        <v>7</v>
      </c>
      <c r="H3208" s="8" t="s">
        <v>38</v>
      </c>
      <c r="I3208" s="9">
        <v>147.08571000000001</v>
      </c>
      <c r="J3208">
        <v>197.26666667060999</v>
      </c>
      <c r="K3208">
        <v>264.41904762434001</v>
      </c>
      <c r="L3208">
        <v>215.94222222654</v>
      </c>
    </row>
    <row r="3209" spans="1:12" x14ac:dyDescent="0.2">
      <c r="A3209" s="8" t="s">
        <v>32</v>
      </c>
      <c r="B3209" s="8" t="s">
        <v>207</v>
      </c>
      <c r="C3209" s="8" t="s">
        <v>506</v>
      </c>
      <c r="D3209" s="8" t="s">
        <v>507</v>
      </c>
      <c r="E3209" s="8" t="s">
        <v>78</v>
      </c>
      <c r="F3209" s="8" t="s">
        <v>79</v>
      </c>
      <c r="G3209" s="8" t="s">
        <v>7</v>
      </c>
      <c r="H3209" s="8" t="s">
        <v>38</v>
      </c>
      <c r="I3209" s="9">
        <v>0.3142857</v>
      </c>
      <c r="J3209">
        <v>0.62857131428571</v>
      </c>
      <c r="K3209">
        <v>0.31428565714286</v>
      </c>
      <c r="L3209">
        <v>0.31428565714286</v>
      </c>
    </row>
    <row r="3210" spans="1:12" x14ac:dyDescent="0.2">
      <c r="A3210" s="8" t="s">
        <v>110</v>
      </c>
      <c r="B3210" s="8" t="s">
        <v>508</v>
      </c>
      <c r="C3210" s="8" t="s">
        <v>509</v>
      </c>
      <c r="D3210" s="8" t="s">
        <v>508</v>
      </c>
      <c r="E3210" s="8" t="s">
        <v>36</v>
      </c>
      <c r="F3210" s="8" t="s">
        <v>37</v>
      </c>
      <c r="G3210" s="8" t="s">
        <v>7</v>
      </c>
      <c r="H3210" s="8" t="s">
        <v>38</v>
      </c>
      <c r="I3210" s="9">
        <v>128821.71</v>
      </c>
      <c r="J3210">
        <v>143703.65298099999</v>
      </c>
      <c r="K3210">
        <v>140511.90770700001</v>
      </c>
      <c r="L3210">
        <v>138756.33574256001</v>
      </c>
    </row>
    <row r="3211" spans="1:12" x14ac:dyDescent="0.2">
      <c r="A3211" s="8" t="s">
        <v>110</v>
      </c>
      <c r="B3211" s="8" t="s">
        <v>508</v>
      </c>
      <c r="C3211" s="8" t="s">
        <v>509</v>
      </c>
      <c r="D3211" s="8" t="s">
        <v>508</v>
      </c>
      <c r="E3211" s="8" t="s">
        <v>64</v>
      </c>
      <c r="F3211" s="8" t="s">
        <v>65</v>
      </c>
      <c r="G3211" s="8" t="s">
        <v>7</v>
      </c>
      <c r="H3211" s="8" t="s">
        <v>38</v>
      </c>
      <c r="I3211" s="9">
        <v>13765.025</v>
      </c>
      <c r="J3211">
        <v>14556.947808999999</v>
      </c>
      <c r="K3211">
        <v>13879.881616999999</v>
      </c>
      <c r="L3211">
        <v>13085.766233442</v>
      </c>
    </row>
    <row r="3212" spans="1:12" x14ac:dyDescent="0.2">
      <c r="A3212" s="8" t="s">
        <v>110</v>
      </c>
      <c r="B3212" s="8" t="s">
        <v>508</v>
      </c>
      <c r="C3212" s="8" t="s">
        <v>509</v>
      </c>
      <c r="D3212" s="8" t="s">
        <v>508</v>
      </c>
      <c r="E3212" s="8" t="s">
        <v>39</v>
      </c>
      <c r="F3212" s="8" t="s">
        <v>40</v>
      </c>
      <c r="G3212" s="8" t="s">
        <v>7</v>
      </c>
      <c r="H3212" s="8" t="s">
        <v>38</v>
      </c>
      <c r="I3212" s="9">
        <v>73284.789000000004</v>
      </c>
      <c r="J3212">
        <v>81359.377527999997</v>
      </c>
      <c r="K3212">
        <v>73867.011790999997</v>
      </c>
      <c r="L3212">
        <v>70738.490764553993</v>
      </c>
    </row>
    <row r="3213" spans="1:12" x14ac:dyDescent="0.2">
      <c r="A3213" s="8" t="s">
        <v>110</v>
      </c>
      <c r="B3213" s="8" t="s">
        <v>508</v>
      </c>
      <c r="C3213" s="8" t="s">
        <v>509</v>
      </c>
      <c r="D3213" s="8" t="s">
        <v>508</v>
      </c>
      <c r="E3213" s="8" t="s">
        <v>41</v>
      </c>
      <c r="F3213" s="8" t="s">
        <v>42</v>
      </c>
      <c r="G3213" s="8" t="s">
        <v>7</v>
      </c>
      <c r="H3213" s="8" t="s">
        <v>38</v>
      </c>
      <c r="I3213" s="9">
        <v>2085.3746999999998</v>
      </c>
      <c r="J3213">
        <v>2752.92589</v>
      </c>
      <c r="K3213">
        <v>3286.9265</v>
      </c>
      <c r="L3213">
        <v>3830.5813614781</v>
      </c>
    </row>
    <row r="3214" spans="1:12" x14ac:dyDescent="0.2">
      <c r="A3214" s="8" t="s">
        <v>110</v>
      </c>
      <c r="B3214" s="8" t="s">
        <v>508</v>
      </c>
      <c r="C3214" s="8" t="s">
        <v>509</v>
      </c>
      <c r="D3214" s="8" t="s">
        <v>508</v>
      </c>
      <c r="E3214" s="8" t="s">
        <v>43</v>
      </c>
      <c r="F3214" s="8" t="s">
        <v>44</v>
      </c>
      <c r="G3214" s="8" t="s">
        <v>7</v>
      </c>
      <c r="H3214" s="8" t="s">
        <v>38</v>
      </c>
      <c r="I3214" s="9">
        <v>74881.285000000003</v>
      </c>
      <c r="J3214">
        <v>84811.110120999001</v>
      </c>
      <c r="K3214">
        <v>84792.186602001006</v>
      </c>
      <c r="L3214">
        <v>91835.844834200005</v>
      </c>
    </row>
    <row r="3215" spans="1:12" x14ac:dyDescent="0.2">
      <c r="A3215" s="8" t="s">
        <v>110</v>
      </c>
      <c r="B3215" s="8" t="s">
        <v>508</v>
      </c>
      <c r="C3215" s="8" t="s">
        <v>509</v>
      </c>
      <c r="D3215" s="8" t="s">
        <v>508</v>
      </c>
      <c r="E3215" s="8" t="s">
        <v>66</v>
      </c>
      <c r="F3215" s="8" t="s">
        <v>67</v>
      </c>
      <c r="G3215" s="8" t="s">
        <v>7</v>
      </c>
      <c r="H3215" s="8" t="s">
        <v>38</v>
      </c>
      <c r="I3215" s="9">
        <v>291.02553</v>
      </c>
      <c r="J3215">
        <v>320.80779899999999</v>
      </c>
      <c r="K3215">
        <v>460.304013</v>
      </c>
      <c r="L3215">
        <v>316.51837230000001</v>
      </c>
    </row>
    <row r="3216" spans="1:12" x14ac:dyDescent="0.2">
      <c r="A3216" s="8" t="s">
        <v>110</v>
      </c>
      <c r="B3216" s="8" t="s">
        <v>508</v>
      </c>
      <c r="C3216" s="8" t="s">
        <v>509</v>
      </c>
      <c r="D3216" s="8" t="s">
        <v>508</v>
      </c>
      <c r="E3216" s="8" t="s">
        <v>45</v>
      </c>
      <c r="F3216" s="8" t="s">
        <v>46</v>
      </c>
      <c r="G3216" s="8" t="s">
        <v>7</v>
      </c>
      <c r="H3216" s="8" t="s">
        <v>38</v>
      </c>
      <c r="I3216" s="9">
        <v>1255.8915</v>
      </c>
      <c r="J3216">
        <v>1124.149302</v>
      </c>
      <c r="K3216">
        <v>1136.2547790000001</v>
      </c>
      <c r="L3216">
        <v>917.39502773453</v>
      </c>
    </row>
    <row r="3217" spans="1:12" x14ac:dyDescent="0.2">
      <c r="A3217" s="8" t="s">
        <v>110</v>
      </c>
      <c r="B3217" s="8" t="s">
        <v>508</v>
      </c>
      <c r="C3217" s="8" t="s">
        <v>509</v>
      </c>
      <c r="D3217" s="8" t="s">
        <v>508</v>
      </c>
      <c r="E3217" s="8" t="s">
        <v>47</v>
      </c>
      <c r="F3217" s="8" t="s">
        <v>48</v>
      </c>
      <c r="G3217" s="8" t="s">
        <v>7</v>
      </c>
      <c r="H3217" s="8" t="s">
        <v>38</v>
      </c>
      <c r="I3217" s="9">
        <v>343.03859999999997</v>
      </c>
      <c r="J3217">
        <v>450.58341899999999</v>
      </c>
      <c r="K3217">
        <v>439.04925900000001</v>
      </c>
      <c r="L3217">
        <v>316.72577316004998</v>
      </c>
    </row>
    <row r="3218" spans="1:12" x14ac:dyDescent="0.2">
      <c r="A3218" s="8" t="s">
        <v>110</v>
      </c>
      <c r="B3218" s="8" t="s">
        <v>508</v>
      </c>
      <c r="C3218" s="8" t="s">
        <v>509</v>
      </c>
      <c r="D3218" s="8" t="s">
        <v>508</v>
      </c>
      <c r="E3218" s="8" t="s">
        <v>49</v>
      </c>
      <c r="F3218" s="8" t="s">
        <v>50</v>
      </c>
      <c r="G3218" s="8" t="s">
        <v>7</v>
      </c>
      <c r="H3218" s="8" t="s">
        <v>38</v>
      </c>
      <c r="I3218" s="9">
        <v>71463.066000000006</v>
      </c>
      <c r="J3218">
        <v>71708.832939</v>
      </c>
      <c r="K3218">
        <v>71605.396120999998</v>
      </c>
      <c r="L3218">
        <v>68879.725019190999</v>
      </c>
    </row>
    <row r="3219" spans="1:12" x14ac:dyDescent="0.2">
      <c r="A3219" s="8" t="s">
        <v>110</v>
      </c>
      <c r="B3219" s="8" t="s">
        <v>508</v>
      </c>
      <c r="C3219" s="8" t="s">
        <v>509</v>
      </c>
      <c r="D3219" s="8" t="s">
        <v>508</v>
      </c>
      <c r="E3219" s="8" t="s">
        <v>68</v>
      </c>
      <c r="F3219" s="8" t="s">
        <v>69</v>
      </c>
      <c r="G3219" s="8" t="s">
        <v>7</v>
      </c>
      <c r="H3219" s="8" t="s">
        <v>38</v>
      </c>
      <c r="I3219" s="9">
        <v>2433.5165000000002</v>
      </c>
      <c r="J3219">
        <v>3052.9223040654001</v>
      </c>
      <c r="K3219">
        <v>2409.1809550168</v>
      </c>
      <c r="L3219">
        <v>1845.8751008798999</v>
      </c>
    </row>
    <row r="3220" spans="1:12" x14ac:dyDescent="0.2">
      <c r="A3220" s="8" t="s">
        <v>110</v>
      </c>
      <c r="B3220" s="8" t="s">
        <v>508</v>
      </c>
      <c r="C3220" s="8" t="s">
        <v>509</v>
      </c>
      <c r="D3220" s="8" t="s">
        <v>508</v>
      </c>
      <c r="E3220" s="8" t="s">
        <v>53</v>
      </c>
      <c r="F3220" s="8" t="s">
        <v>54</v>
      </c>
      <c r="G3220" s="8" t="s">
        <v>7</v>
      </c>
      <c r="H3220" s="8" t="s">
        <v>38</v>
      </c>
      <c r="I3220" s="9">
        <v>146.49063000000001</v>
      </c>
      <c r="J3220">
        <v>282.06923435855998</v>
      </c>
      <c r="K3220">
        <v>242.15200194021</v>
      </c>
      <c r="L3220">
        <v>265.66598331657002</v>
      </c>
    </row>
    <row r="3221" spans="1:12" x14ac:dyDescent="0.2">
      <c r="A3221" s="8" t="s">
        <v>110</v>
      </c>
      <c r="B3221" s="8" t="s">
        <v>508</v>
      </c>
      <c r="C3221" s="8" t="s">
        <v>509</v>
      </c>
      <c r="D3221" s="8" t="s">
        <v>508</v>
      </c>
      <c r="E3221" s="8" t="s">
        <v>70</v>
      </c>
      <c r="F3221" s="8" t="s">
        <v>71</v>
      </c>
      <c r="G3221" s="8" t="s">
        <v>7</v>
      </c>
      <c r="H3221" s="8" t="s">
        <v>38</v>
      </c>
      <c r="I3221" s="9">
        <v>40320.108</v>
      </c>
      <c r="J3221">
        <v>41825.329444632</v>
      </c>
      <c r="K3221">
        <v>39274.621093125999</v>
      </c>
      <c r="L3221">
        <v>43160.095356585</v>
      </c>
    </row>
    <row r="3222" spans="1:12" x14ac:dyDescent="0.2">
      <c r="A3222" s="8" t="s">
        <v>110</v>
      </c>
      <c r="B3222" s="8" t="s">
        <v>508</v>
      </c>
      <c r="C3222" s="8" t="s">
        <v>509</v>
      </c>
      <c r="D3222" s="8" t="s">
        <v>508</v>
      </c>
      <c r="E3222" s="8" t="s">
        <v>83</v>
      </c>
      <c r="F3222" s="8" t="s">
        <v>84</v>
      </c>
      <c r="G3222" s="8" t="s">
        <v>7</v>
      </c>
      <c r="H3222" s="8" t="s">
        <v>38</v>
      </c>
      <c r="I3222" s="9">
        <v>3906.75</v>
      </c>
      <c r="J3222">
        <v>3987.75</v>
      </c>
      <c r="K3222">
        <v>2771.25</v>
      </c>
      <c r="L3222">
        <v>3047.25</v>
      </c>
    </row>
    <row r="3223" spans="1:12" x14ac:dyDescent="0.2">
      <c r="A3223" s="8" t="s">
        <v>110</v>
      </c>
      <c r="B3223" s="8" t="s">
        <v>508</v>
      </c>
      <c r="C3223" s="8" t="s">
        <v>509</v>
      </c>
      <c r="D3223" s="8" t="s">
        <v>508</v>
      </c>
      <c r="E3223" s="8" t="s">
        <v>55</v>
      </c>
      <c r="F3223" s="8" t="s">
        <v>56</v>
      </c>
      <c r="G3223" s="8" t="s">
        <v>7</v>
      </c>
      <c r="H3223" s="8" t="s">
        <v>38</v>
      </c>
      <c r="I3223" s="9">
        <v>425.46118000000001</v>
      </c>
      <c r="J3223">
        <v>482.54909368041001</v>
      </c>
      <c r="K3223">
        <v>500.20332881505999</v>
      </c>
      <c r="L3223">
        <v>536.11614800794996</v>
      </c>
    </row>
    <row r="3224" spans="1:12" x14ac:dyDescent="0.2">
      <c r="A3224" s="8" t="s">
        <v>110</v>
      </c>
      <c r="B3224" s="8" t="s">
        <v>508</v>
      </c>
      <c r="C3224" s="8" t="s">
        <v>509</v>
      </c>
      <c r="D3224" s="8" t="s">
        <v>508</v>
      </c>
      <c r="E3224" s="8" t="s">
        <v>57</v>
      </c>
      <c r="F3224" s="8" t="s">
        <v>58</v>
      </c>
      <c r="G3224" s="8" t="s">
        <v>7</v>
      </c>
      <c r="H3224" s="8" t="s">
        <v>38</v>
      </c>
      <c r="I3224" s="9">
        <v>1212.3579</v>
      </c>
      <c r="J3224">
        <v>1234.1429481079999</v>
      </c>
      <c r="K3224">
        <v>1290.8798852339</v>
      </c>
      <c r="L3224">
        <v>1383.5604678041</v>
      </c>
    </row>
    <row r="3225" spans="1:12" x14ac:dyDescent="0.2">
      <c r="A3225" s="8" t="s">
        <v>110</v>
      </c>
      <c r="B3225" s="8" t="s">
        <v>508</v>
      </c>
      <c r="C3225" s="8" t="s">
        <v>509</v>
      </c>
      <c r="D3225" s="8" t="s">
        <v>508</v>
      </c>
      <c r="E3225" s="8" t="s">
        <v>72</v>
      </c>
      <c r="F3225" s="8" t="s">
        <v>73</v>
      </c>
      <c r="G3225" s="8" t="s">
        <v>7</v>
      </c>
      <c r="H3225" s="8" t="s">
        <v>38</v>
      </c>
      <c r="I3225" s="9">
        <v>2614.6498999999999</v>
      </c>
      <c r="J3225">
        <v>3597.4457049732</v>
      </c>
      <c r="K3225">
        <v>3029.6272988129999</v>
      </c>
      <c r="L3225">
        <v>2549.8513112008</v>
      </c>
    </row>
    <row r="3226" spans="1:12" x14ac:dyDescent="0.2">
      <c r="A3226" s="8" t="s">
        <v>110</v>
      </c>
      <c r="B3226" s="8" t="s">
        <v>508</v>
      </c>
      <c r="C3226" s="8" t="s">
        <v>509</v>
      </c>
      <c r="D3226" s="8" t="s">
        <v>508</v>
      </c>
      <c r="E3226" s="8" t="s">
        <v>74</v>
      </c>
      <c r="F3226" s="8" t="s">
        <v>75</v>
      </c>
      <c r="G3226" s="8" t="s">
        <v>7</v>
      </c>
      <c r="H3226" s="8" t="s">
        <v>38</v>
      </c>
      <c r="I3226" s="9">
        <v>2425.2595999999999</v>
      </c>
      <c r="J3226">
        <v>2656.0035180999998</v>
      </c>
      <c r="K3226">
        <v>2327.6510505800002</v>
      </c>
      <c r="L3226">
        <v>2329.9099261343999</v>
      </c>
    </row>
    <row r="3227" spans="1:12" x14ac:dyDescent="0.2">
      <c r="A3227" s="8" t="s">
        <v>110</v>
      </c>
      <c r="B3227" s="8" t="s">
        <v>508</v>
      </c>
      <c r="C3227" s="8" t="s">
        <v>509</v>
      </c>
      <c r="D3227" s="8" t="s">
        <v>508</v>
      </c>
      <c r="E3227" s="8" t="s">
        <v>59</v>
      </c>
      <c r="F3227" s="8" t="s">
        <v>60</v>
      </c>
      <c r="G3227" s="8" t="s">
        <v>7</v>
      </c>
      <c r="H3227" s="8" t="s">
        <v>38</v>
      </c>
      <c r="I3227" s="9">
        <v>427.17448999999999</v>
      </c>
      <c r="J3227">
        <v>487.67507478341997</v>
      </c>
      <c r="K3227">
        <v>450.27358716897999</v>
      </c>
      <c r="L3227">
        <v>470.50727689006999</v>
      </c>
    </row>
    <row r="3228" spans="1:12" x14ac:dyDescent="0.2">
      <c r="A3228" s="8" t="s">
        <v>110</v>
      </c>
      <c r="B3228" s="8" t="s">
        <v>508</v>
      </c>
      <c r="C3228" s="8" t="s">
        <v>509</v>
      </c>
      <c r="D3228" s="8" t="s">
        <v>508</v>
      </c>
      <c r="E3228" s="8" t="s">
        <v>76</v>
      </c>
      <c r="F3228" s="8" t="s">
        <v>77</v>
      </c>
      <c r="G3228" s="8" t="s">
        <v>7</v>
      </c>
      <c r="H3228" s="8" t="s">
        <v>38</v>
      </c>
      <c r="I3228" s="9">
        <v>1352.4762000000001</v>
      </c>
      <c r="J3228">
        <v>1027.5047621696001</v>
      </c>
      <c r="K3228">
        <v>1008.2285716812</v>
      </c>
      <c r="L3228">
        <v>1108.6421344360001</v>
      </c>
    </row>
    <row r="3229" spans="1:12" x14ac:dyDescent="0.2">
      <c r="A3229" s="8" t="s">
        <v>110</v>
      </c>
      <c r="B3229" s="8" t="s">
        <v>508</v>
      </c>
      <c r="C3229" s="8" t="s">
        <v>509</v>
      </c>
      <c r="D3229" s="8" t="s">
        <v>508</v>
      </c>
      <c r="E3229" s="8" t="s">
        <v>78</v>
      </c>
      <c r="F3229" s="8" t="s">
        <v>79</v>
      </c>
      <c r="G3229" s="8" t="s">
        <v>7</v>
      </c>
      <c r="H3229" s="8" t="s">
        <v>38</v>
      </c>
      <c r="I3229" s="9">
        <v>1633.3425999999999</v>
      </c>
      <c r="J3229">
        <v>1283.0711952857</v>
      </c>
      <c r="K3229">
        <v>1121.8426531713999</v>
      </c>
      <c r="L3229">
        <v>1060.4312357657</v>
      </c>
    </row>
    <row r="3230" spans="1:12" x14ac:dyDescent="0.2">
      <c r="A3230" s="8" t="s">
        <v>110</v>
      </c>
      <c r="B3230" s="8" t="s">
        <v>508</v>
      </c>
      <c r="C3230" s="8" t="s">
        <v>509</v>
      </c>
      <c r="D3230" s="8" t="s">
        <v>508</v>
      </c>
      <c r="E3230" s="8" t="s">
        <v>92</v>
      </c>
      <c r="F3230" s="8" t="s">
        <v>93</v>
      </c>
      <c r="G3230" s="8" t="s">
        <v>7</v>
      </c>
      <c r="H3230" s="8" t="s">
        <v>38</v>
      </c>
      <c r="I3230" s="9">
        <v>1.7250391</v>
      </c>
      <c r="J3230">
        <v>2.2247401037105998</v>
      </c>
      <c r="K3230">
        <v>2.8348327529505002</v>
      </c>
      <c r="L3230">
        <v>3.2695592051721998</v>
      </c>
    </row>
    <row r="3231" spans="1:12" x14ac:dyDescent="0.2">
      <c r="A3231" s="8" t="s">
        <v>32</v>
      </c>
      <c r="B3231" s="8" t="s">
        <v>105</v>
      </c>
      <c r="C3231" s="8" t="s">
        <v>510</v>
      </c>
      <c r="D3231" s="8" t="s">
        <v>511</v>
      </c>
      <c r="E3231" s="8" t="s">
        <v>59</v>
      </c>
      <c r="F3231" s="8" t="s">
        <v>60</v>
      </c>
      <c r="G3231" s="8" t="s">
        <v>7</v>
      </c>
      <c r="H3231" s="8" t="s">
        <v>38</v>
      </c>
      <c r="I3231" s="9">
        <v>1.9847199999999999E-2</v>
      </c>
      <c r="J3231">
        <v>2.0607975426673999E-2</v>
      </c>
      <c r="K3231">
        <v>2.0607975426673999E-2</v>
      </c>
      <c r="L3231">
        <v>2.0607975426673999E-2</v>
      </c>
    </row>
    <row r="3232" spans="1:12" x14ac:dyDescent="0.2">
      <c r="A3232" s="8" t="s">
        <v>32</v>
      </c>
      <c r="B3232" s="8" t="s">
        <v>168</v>
      </c>
      <c r="C3232" s="8" t="s">
        <v>512</v>
      </c>
      <c r="D3232" s="8" t="s">
        <v>513</v>
      </c>
      <c r="E3232" s="8" t="s">
        <v>36</v>
      </c>
      <c r="F3232" s="8" t="s">
        <v>37</v>
      </c>
      <c r="G3232" s="8" t="s">
        <v>7</v>
      </c>
      <c r="H3232" s="8" t="s">
        <v>38</v>
      </c>
      <c r="I3232" s="9">
        <v>165500.84</v>
      </c>
      <c r="J3232">
        <v>172802.645796</v>
      </c>
      <c r="K3232">
        <v>166538.96678300001</v>
      </c>
      <c r="L3232">
        <v>164071.19795668</v>
      </c>
    </row>
    <row r="3233" spans="1:12" x14ac:dyDescent="0.2">
      <c r="A3233" s="8" t="s">
        <v>32</v>
      </c>
      <c r="B3233" s="8" t="s">
        <v>168</v>
      </c>
      <c r="C3233" s="8" t="s">
        <v>512</v>
      </c>
      <c r="D3233" s="8" t="s">
        <v>513</v>
      </c>
      <c r="E3233" s="8" t="s">
        <v>64</v>
      </c>
      <c r="F3233" s="8" t="s">
        <v>65</v>
      </c>
      <c r="G3233" s="8" t="s">
        <v>7</v>
      </c>
      <c r="H3233" s="8" t="s">
        <v>38</v>
      </c>
      <c r="I3233" s="9">
        <v>19848.849999999999</v>
      </c>
      <c r="J3233">
        <v>21229.222823</v>
      </c>
      <c r="K3233">
        <v>20598.276052000001</v>
      </c>
      <c r="L3233">
        <v>19879.219669982002</v>
      </c>
    </row>
    <row r="3234" spans="1:12" x14ac:dyDescent="0.2">
      <c r="A3234" s="8" t="s">
        <v>32</v>
      </c>
      <c r="B3234" s="8" t="s">
        <v>168</v>
      </c>
      <c r="C3234" s="8" t="s">
        <v>512</v>
      </c>
      <c r="D3234" s="8" t="s">
        <v>513</v>
      </c>
      <c r="E3234" s="8" t="s">
        <v>39</v>
      </c>
      <c r="F3234" s="8" t="s">
        <v>40</v>
      </c>
      <c r="G3234" s="8" t="s">
        <v>7</v>
      </c>
      <c r="H3234" s="8" t="s">
        <v>38</v>
      </c>
      <c r="I3234" s="9">
        <v>33455.737999999998</v>
      </c>
      <c r="J3234">
        <v>36189.006686000001</v>
      </c>
      <c r="K3234">
        <v>32873.758152000002</v>
      </c>
      <c r="L3234">
        <v>31502.000371591999</v>
      </c>
    </row>
    <row r="3235" spans="1:12" x14ac:dyDescent="0.2">
      <c r="A3235" s="8" t="s">
        <v>32</v>
      </c>
      <c r="B3235" s="8" t="s">
        <v>168</v>
      </c>
      <c r="C3235" s="8" t="s">
        <v>512</v>
      </c>
      <c r="D3235" s="8" t="s">
        <v>513</v>
      </c>
      <c r="E3235" s="8" t="s">
        <v>41</v>
      </c>
      <c r="F3235" s="8" t="s">
        <v>42</v>
      </c>
      <c r="G3235" s="8" t="s">
        <v>7</v>
      </c>
      <c r="H3235" s="8" t="s">
        <v>38</v>
      </c>
      <c r="I3235" s="9">
        <v>227.00534999999999</v>
      </c>
      <c r="J3235">
        <v>159.54223999999999</v>
      </c>
      <c r="K3235">
        <v>228.62625499999999</v>
      </c>
      <c r="L3235">
        <v>304.47922517541002</v>
      </c>
    </row>
    <row r="3236" spans="1:12" x14ac:dyDescent="0.2">
      <c r="A3236" s="8" t="s">
        <v>32</v>
      </c>
      <c r="B3236" s="8" t="s">
        <v>168</v>
      </c>
      <c r="C3236" s="8" t="s">
        <v>512</v>
      </c>
      <c r="D3236" s="8" t="s">
        <v>513</v>
      </c>
      <c r="E3236" s="8" t="s">
        <v>43</v>
      </c>
      <c r="F3236" s="8" t="s">
        <v>44</v>
      </c>
      <c r="G3236" s="8" t="s">
        <v>7</v>
      </c>
      <c r="H3236" s="8" t="s">
        <v>38</v>
      </c>
      <c r="I3236" s="9">
        <v>39189.436999999998</v>
      </c>
      <c r="J3236">
        <v>37126.688372999997</v>
      </c>
      <c r="K3236">
        <v>37908.270929999999</v>
      </c>
      <c r="L3236">
        <v>35809.856703217003</v>
      </c>
    </row>
    <row r="3237" spans="1:12" x14ac:dyDescent="0.2">
      <c r="A3237" s="8" t="s">
        <v>32</v>
      </c>
      <c r="B3237" s="8" t="s">
        <v>168</v>
      </c>
      <c r="C3237" s="8" t="s">
        <v>512</v>
      </c>
      <c r="D3237" s="8" t="s">
        <v>513</v>
      </c>
      <c r="E3237" s="8" t="s">
        <v>66</v>
      </c>
      <c r="F3237" s="8" t="s">
        <v>67</v>
      </c>
      <c r="G3237" s="8" t="s">
        <v>7</v>
      </c>
      <c r="H3237" s="8" t="s">
        <v>38</v>
      </c>
      <c r="I3237" s="9">
        <v>60.822761999999997</v>
      </c>
      <c r="J3237">
        <v>46.271745000000003</v>
      </c>
      <c r="K3237">
        <v>40.738697999999999</v>
      </c>
      <c r="L3237">
        <v>38.483605341680999</v>
      </c>
    </row>
    <row r="3238" spans="1:12" x14ac:dyDescent="0.2">
      <c r="A3238" s="8" t="s">
        <v>32</v>
      </c>
      <c r="B3238" s="8" t="s">
        <v>168</v>
      </c>
      <c r="C3238" s="8" t="s">
        <v>512</v>
      </c>
      <c r="D3238" s="8" t="s">
        <v>513</v>
      </c>
      <c r="E3238" s="8" t="s">
        <v>45</v>
      </c>
      <c r="F3238" s="8" t="s">
        <v>46</v>
      </c>
      <c r="G3238" s="8" t="s">
        <v>7</v>
      </c>
      <c r="H3238" s="8" t="s">
        <v>38</v>
      </c>
      <c r="I3238" s="9">
        <v>205.83291</v>
      </c>
      <c r="J3238">
        <v>339.57177899999999</v>
      </c>
      <c r="K3238">
        <v>373.13062200000002</v>
      </c>
      <c r="L3238">
        <v>360.13413005714</v>
      </c>
    </row>
    <row r="3239" spans="1:12" x14ac:dyDescent="0.2">
      <c r="A3239" s="8" t="s">
        <v>32</v>
      </c>
      <c r="B3239" s="8" t="s">
        <v>168</v>
      </c>
      <c r="C3239" s="8" t="s">
        <v>512</v>
      </c>
      <c r="D3239" s="8" t="s">
        <v>513</v>
      </c>
      <c r="E3239" s="8" t="s">
        <v>49</v>
      </c>
      <c r="F3239" s="8" t="s">
        <v>50</v>
      </c>
      <c r="G3239" s="8" t="s">
        <v>7</v>
      </c>
      <c r="H3239" s="8" t="s">
        <v>38</v>
      </c>
      <c r="I3239" s="9">
        <v>10492.558000000001</v>
      </c>
      <c r="J3239">
        <v>10278.892524999999</v>
      </c>
      <c r="K3239">
        <v>10466.253097999999</v>
      </c>
      <c r="L3239">
        <v>10064.409449324001</v>
      </c>
    </row>
    <row r="3240" spans="1:12" x14ac:dyDescent="0.2">
      <c r="A3240" s="8" t="s">
        <v>32</v>
      </c>
      <c r="B3240" s="8" t="s">
        <v>168</v>
      </c>
      <c r="C3240" s="8" t="s">
        <v>512</v>
      </c>
      <c r="D3240" s="8" t="s">
        <v>513</v>
      </c>
      <c r="E3240" s="8" t="s">
        <v>51</v>
      </c>
      <c r="F3240" s="8" t="s">
        <v>52</v>
      </c>
      <c r="G3240" s="8" t="s">
        <v>7</v>
      </c>
      <c r="H3240" s="8" t="s">
        <v>38</v>
      </c>
      <c r="I3240" s="9">
        <v>486.16165999999998</v>
      </c>
      <c r="J3240">
        <v>517.04987700000004</v>
      </c>
      <c r="K3240">
        <v>481.86694299999999</v>
      </c>
      <c r="L3240">
        <v>462.40227330838002</v>
      </c>
    </row>
    <row r="3241" spans="1:12" x14ac:dyDescent="0.2">
      <c r="A3241" s="8" t="s">
        <v>32</v>
      </c>
      <c r="B3241" s="8" t="s">
        <v>168</v>
      </c>
      <c r="C3241" s="8" t="s">
        <v>512</v>
      </c>
      <c r="D3241" s="8" t="s">
        <v>513</v>
      </c>
      <c r="E3241" s="8" t="s">
        <v>68</v>
      </c>
      <c r="F3241" s="8" t="s">
        <v>69</v>
      </c>
      <c r="G3241" s="8" t="s">
        <v>7</v>
      </c>
      <c r="H3241" s="8" t="s">
        <v>38</v>
      </c>
      <c r="I3241" s="9">
        <v>762.93016</v>
      </c>
      <c r="J3241">
        <v>633.16740400000003</v>
      </c>
      <c r="K3241">
        <v>920.42811200000006</v>
      </c>
      <c r="L3241">
        <v>591.79990080000005</v>
      </c>
    </row>
    <row r="3242" spans="1:12" x14ac:dyDescent="0.2">
      <c r="A3242" s="8" t="s">
        <v>32</v>
      </c>
      <c r="B3242" s="8" t="s">
        <v>168</v>
      </c>
      <c r="C3242" s="8" t="s">
        <v>512</v>
      </c>
      <c r="D3242" s="8" t="s">
        <v>513</v>
      </c>
      <c r="E3242" s="8" t="s">
        <v>53</v>
      </c>
      <c r="F3242" s="8" t="s">
        <v>54</v>
      </c>
      <c r="G3242" s="8" t="s">
        <v>7</v>
      </c>
      <c r="H3242" s="8" t="s">
        <v>38</v>
      </c>
      <c r="I3242" s="9">
        <v>491.20898</v>
      </c>
      <c r="J3242">
        <v>569.27012530723005</v>
      </c>
      <c r="K3242">
        <v>504.12197559356002</v>
      </c>
      <c r="L3242">
        <v>510.46718880863</v>
      </c>
    </row>
    <row r="3243" spans="1:12" x14ac:dyDescent="0.2">
      <c r="A3243" s="8" t="s">
        <v>32</v>
      </c>
      <c r="B3243" s="8" t="s">
        <v>168</v>
      </c>
      <c r="C3243" s="8" t="s">
        <v>512</v>
      </c>
      <c r="D3243" s="8" t="s">
        <v>513</v>
      </c>
      <c r="E3243" s="8" t="s">
        <v>70</v>
      </c>
      <c r="F3243" s="8" t="s">
        <v>71</v>
      </c>
      <c r="G3243" s="8" t="s">
        <v>7</v>
      </c>
      <c r="H3243" s="8" t="s">
        <v>38</v>
      </c>
      <c r="I3243" s="9">
        <v>4400.0621000000001</v>
      </c>
      <c r="J3243">
        <v>4468.7547733499996</v>
      </c>
      <c r="K3243">
        <v>4189.8775957649996</v>
      </c>
      <c r="L3243">
        <v>4185.1508371724003</v>
      </c>
    </row>
    <row r="3244" spans="1:12" x14ac:dyDescent="0.2">
      <c r="A3244" s="8" t="s">
        <v>32</v>
      </c>
      <c r="B3244" s="8" t="s">
        <v>168</v>
      </c>
      <c r="C3244" s="8" t="s">
        <v>512</v>
      </c>
      <c r="D3244" s="8" t="s">
        <v>513</v>
      </c>
      <c r="E3244" s="8" t="s">
        <v>83</v>
      </c>
      <c r="F3244" s="8" t="s">
        <v>84</v>
      </c>
      <c r="G3244" s="8" t="s">
        <v>7</v>
      </c>
      <c r="H3244" s="8" t="s">
        <v>38</v>
      </c>
      <c r="I3244" s="9">
        <v>235.5</v>
      </c>
      <c r="J3244">
        <v>273.75</v>
      </c>
      <c r="K3244">
        <v>291</v>
      </c>
      <c r="L3244">
        <v>237</v>
      </c>
    </row>
    <row r="3245" spans="1:12" x14ac:dyDescent="0.2">
      <c r="A3245" s="8" t="s">
        <v>32</v>
      </c>
      <c r="B3245" s="8" t="s">
        <v>168</v>
      </c>
      <c r="C3245" s="8" t="s">
        <v>512</v>
      </c>
      <c r="D3245" s="8" t="s">
        <v>513</v>
      </c>
      <c r="E3245" s="8" t="s">
        <v>55</v>
      </c>
      <c r="F3245" s="8" t="s">
        <v>56</v>
      </c>
      <c r="G3245" s="8" t="s">
        <v>7</v>
      </c>
      <c r="H3245" s="8" t="s">
        <v>38</v>
      </c>
      <c r="I3245" s="9">
        <v>1.229727</v>
      </c>
      <c r="J3245">
        <v>1.3773261087115001</v>
      </c>
      <c r="K3245">
        <v>1.3773261087115001</v>
      </c>
      <c r="L3245">
        <v>1.3773261087115001</v>
      </c>
    </row>
    <row r="3246" spans="1:12" x14ac:dyDescent="0.2">
      <c r="A3246" s="8" t="s">
        <v>32</v>
      </c>
      <c r="B3246" s="8" t="s">
        <v>168</v>
      </c>
      <c r="C3246" s="8" t="s">
        <v>512</v>
      </c>
      <c r="D3246" s="8" t="s">
        <v>513</v>
      </c>
      <c r="E3246" s="8" t="s">
        <v>57</v>
      </c>
      <c r="F3246" s="8" t="s">
        <v>58</v>
      </c>
      <c r="G3246" s="8" t="s">
        <v>7</v>
      </c>
      <c r="H3246" s="8" t="s">
        <v>38</v>
      </c>
      <c r="I3246" s="9">
        <v>97.353970000000004</v>
      </c>
      <c r="J3246">
        <v>109.03897138329</v>
      </c>
      <c r="K3246">
        <v>109.03897138329</v>
      </c>
      <c r="L3246">
        <v>109.03897138329</v>
      </c>
    </row>
    <row r="3247" spans="1:12" x14ac:dyDescent="0.2">
      <c r="A3247" s="8" t="s">
        <v>32</v>
      </c>
      <c r="B3247" s="8" t="s">
        <v>168</v>
      </c>
      <c r="C3247" s="8" t="s">
        <v>512</v>
      </c>
      <c r="D3247" s="8" t="s">
        <v>513</v>
      </c>
      <c r="E3247" s="8" t="s">
        <v>72</v>
      </c>
      <c r="F3247" s="8" t="s">
        <v>73</v>
      </c>
      <c r="G3247" s="8" t="s">
        <v>7</v>
      </c>
      <c r="H3247" s="8" t="s">
        <v>38</v>
      </c>
      <c r="I3247" s="9">
        <v>11058.641</v>
      </c>
      <c r="J3247">
        <v>11898.553113722</v>
      </c>
      <c r="K3247">
        <v>11508.567965443999</v>
      </c>
      <c r="L3247">
        <v>11121.117663663001</v>
      </c>
    </row>
    <row r="3248" spans="1:12" x14ac:dyDescent="0.2">
      <c r="A3248" s="8" t="s">
        <v>32</v>
      </c>
      <c r="B3248" s="8" t="s">
        <v>168</v>
      </c>
      <c r="C3248" s="8" t="s">
        <v>512</v>
      </c>
      <c r="D3248" s="8" t="s">
        <v>513</v>
      </c>
      <c r="E3248" s="8" t="s">
        <v>74</v>
      </c>
      <c r="F3248" s="8" t="s">
        <v>75</v>
      </c>
      <c r="G3248" s="8" t="s">
        <v>7</v>
      </c>
      <c r="H3248" s="8" t="s">
        <v>38</v>
      </c>
      <c r="I3248" s="9">
        <v>1749.6079999999999</v>
      </c>
      <c r="J3248">
        <v>1929.6259239333999</v>
      </c>
      <c r="K3248">
        <v>1715.1213094793</v>
      </c>
      <c r="L3248">
        <v>1577.3442151347999</v>
      </c>
    </row>
    <row r="3249" spans="1:12" x14ac:dyDescent="0.2">
      <c r="A3249" s="8" t="s">
        <v>32</v>
      </c>
      <c r="B3249" s="8" t="s">
        <v>168</v>
      </c>
      <c r="C3249" s="8" t="s">
        <v>512</v>
      </c>
      <c r="D3249" s="8" t="s">
        <v>513</v>
      </c>
      <c r="E3249" s="8" t="s">
        <v>59</v>
      </c>
      <c r="F3249" s="8" t="s">
        <v>60</v>
      </c>
      <c r="G3249" s="8" t="s">
        <v>7</v>
      </c>
      <c r="H3249" s="8" t="s">
        <v>38</v>
      </c>
      <c r="I3249" s="9">
        <v>872.69578999999999</v>
      </c>
      <c r="J3249">
        <v>911.10361366003997</v>
      </c>
      <c r="K3249">
        <v>878.04384837940995</v>
      </c>
      <c r="L3249">
        <v>858.37795848652001</v>
      </c>
    </row>
    <row r="3250" spans="1:12" x14ac:dyDescent="0.2">
      <c r="A3250" s="8" t="s">
        <v>32</v>
      </c>
      <c r="B3250" s="8" t="s">
        <v>168</v>
      </c>
      <c r="C3250" s="8" t="s">
        <v>512</v>
      </c>
      <c r="D3250" s="8" t="s">
        <v>513</v>
      </c>
      <c r="E3250" s="8" t="s">
        <v>76</v>
      </c>
      <c r="F3250" s="8" t="s">
        <v>77</v>
      </c>
      <c r="G3250" s="8" t="s">
        <v>7</v>
      </c>
      <c r="H3250" s="8" t="s">
        <v>38</v>
      </c>
      <c r="I3250" s="9">
        <v>64.114286000000007</v>
      </c>
      <c r="J3250">
        <v>116.91428574813</v>
      </c>
      <c r="K3250">
        <v>110.20952384042</v>
      </c>
      <c r="L3250">
        <v>89.758271993741005</v>
      </c>
    </row>
    <row r="3251" spans="1:12" x14ac:dyDescent="0.2">
      <c r="A3251" s="8" t="s">
        <v>32</v>
      </c>
      <c r="B3251" s="8" t="s">
        <v>168</v>
      </c>
      <c r="C3251" s="8" t="s">
        <v>512</v>
      </c>
      <c r="D3251" s="8" t="s">
        <v>513</v>
      </c>
      <c r="E3251" s="8" t="s">
        <v>78</v>
      </c>
      <c r="F3251" s="8" t="s">
        <v>79</v>
      </c>
      <c r="G3251" s="8" t="s">
        <v>7</v>
      </c>
      <c r="H3251" s="8" t="s">
        <v>38</v>
      </c>
      <c r="I3251" s="9">
        <v>5.0285704999999998</v>
      </c>
      <c r="J3251">
        <v>2.0428567714286001</v>
      </c>
      <c r="K3251">
        <v>22.157138828571</v>
      </c>
      <c r="L3251">
        <v>26.117138108571002</v>
      </c>
    </row>
    <row r="3252" spans="1:12" x14ac:dyDescent="0.2">
      <c r="A3252" s="8" t="s">
        <v>32</v>
      </c>
      <c r="B3252" s="8" t="s">
        <v>168</v>
      </c>
      <c r="C3252" s="8" t="s">
        <v>512</v>
      </c>
      <c r="D3252" s="8" t="s">
        <v>513</v>
      </c>
      <c r="E3252" s="8" t="s">
        <v>92</v>
      </c>
      <c r="F3252" s="8" t="s">
        <v>93</v>
      </c>
      <c r="G3252" s="8" t="s">
        <v>7</v>
      </c>
      <c r="H3252" s="8" t="s">
        <v>38</v>
      </c>
      <c r="I3252" s="9">
        <v>37.955952000000003</v>
      </c>
      <c r="J3252">
        <v>38.227841110192003</v>
      </c>
      <c r="K3252">
        <v>38.488251497435002</v>
      </c>
      <c r="L3252">
        <v>40.544985766387001</v>
      </c>
    </row>
    <row r="3253" spans="1:12" x14ac:dyDescent="0.2">
      <c r="A3253" s="8" t="s">
        <v>32</v>
      </c>
      <c r="B3253" s="8" t="s">
        <v>80</v>
      </c>
      <c r="C3253" s="8" t="s">
        <v>514</v>
      </c>
      <c r="D3253" s="8" t="s">
        <v>515</v>
      </c>
      <c r="E3253" s="8" t="s">
        <v>36</v>
      </c>
      <c r="F3253" s="8" t="s">
        <v>37</v>
      </c>
      <c r="G3253" s="8" t="s">
        <v>7</v>
      </c>
      <c r="H3253" s="8" t="s">
        <v>38</v>
      </c>
      <c r="I3253" s="9">
        <v>2332.3964999999998</v>
      </c>
      <c r="J3253">
        <v>2779.524891</v>
      </c>
      <c r="K3253">
        <v>3387.732141</v>
      </c>
      <c r="L3253">
        <v>3489.6385527124999</v>
      </c>
    </row>
    <row r="3254" spans="1:12" x14ac:dyDescent="0.2">
      <c r="A3254" s="8" t="s">
        <v>32</v>
      </c>
      <c r="B3254" s="8" t="s">
        <v>80</v>
      </c>
      <c r="C3254" s="8" t="s">
        <v>514</v>
      </c>
      <c r="D3254" s="8" t="s">
        <v>515</v>
      </c>
      <c r="E3254" s="8" t="s">
        <v>64</v>
      </c>
      <c r="F3254" s="8" t="s">
        <v>65</v>
      </c>
      <c r="G3254" s="8" t="s">
        <v>7</v>
      </c>
      <c r="H3254" s="8" t="s">
        <v>38</v>
      </c>
      <c r="I3254" s="9"/>
    </row>
    <row r="3255" spans="1:12" x14ac:dyDescent="0.2">
      <c r="A3255" s="8" t="s">
        <v>32</v>
      </c>
      <c r="B3255" s="8" t="s">
        <v>80</v>
      </c>
      <c r="C3255" s="8" t="s">
        <v>514</v>
      </c>
      <c r="D3255" s="8" t="s">
        <v>515</v>
      </c>
      <c r="E3255" s="8" t="s">
        <v>39</v>
      </c>
      <c r="F3255" s="8" t="s">
        <v>40</v>
      </c>
      <c r="G3255" s="8" t="s">
        <v>7</v>
      </c>
      <c r="H3255" s="8" t="s">
        <v>38</v>
      </c>
      <c r="I3255" s="9">
        <v>2569.9274</v>
      </c>
      <c r="J3255">
        <v>2905.6633630000001</v>
      </c>
      <c r="K3255">
        <v>3271.8738400000002</v>
      </c>
      <c r="L3255">
        <v>3590.2009104599001</v>
      </c>
    </row>
    <row r="3256" spans="1:12" x14ac:dyDescent="0.2">
      <c r="A3256" s="8" t="s">
        <v>32</v>
      </c>
      <c r="B3256" s="8" t="s">
        <v>80</v>
      </c>
      <c r="C3256" s="8" t="s">
        <v>514</v>
      </c>
      <c r="D3256" s="8" t="s">
        <v>515</v>
      </c>
      <c r="E3256" s="8" t="s">
        <v>41</v>
      </c>
      <c r="F3256" s="8" t="s">
        <v>42</v>
      </c>
      <c r="G3256" s="8" t="s">
        <v>7</v>
      </c>
      <c r="H3256" s="8" t="s">
        <v>38</v>
      </c>
      <c r="I3256" s="9">
        <v>110.41888</v>
      </c>
      <c r="J3256">
        <v>155.42384000000001</v>
      </c>
      <c r="K3256">
        <v>137.00186500000001</v>
      </c>
      <c r="L3256">
        <v>154.40719511885999</v>
      </c>
    </row>
    <row r="3257" spans="1:12" x14ac:dyDescent="0.2">
      <c r="A3257" s="8" t="s">
        <v>32</v>
      </c>
      <c r="B3257" s="8" t="s">
        <v>80</v>
      </c>
      <c r="C3257" s="8" t="s">
        <v>514</v>
      </c>
      <c r="D3257" s="8" t="s">
        <v>515</v>
      </c>
      <c r="E3257" s="8" t="s">
        <v>43</v>
      </c>
      <c r="F3257" s="8" t="s">
        <v>44</v>
      </c>
      <c r="G3257" s="8" t="s">
        <v>7</v>
      </c>
      <c r="H3257" s="8" t="s">
        <v>38</v>
      </c>
      <c r="I3257" s="9">
        <v>7941.0944</v>
      </c>
      <c r="J3257">
        <v>9368.6439509999</v>
      </c>
      <c r="K3257">
        <v>9834.8329109999995</v>
      </c>
      <c r="L3257">
        <v>10028.301200395001</v>
      </c>
    </row>
    <row r="3258" spans="1:12" x14ac:dyDescent="0.2">
      <c r="A3258" s="8" t="s">
        <v>32</v>
      </c>
      <c r="B3258" s="8" t="s">
        <v>80</v>
      </c>
      <c r="C3258" s="8" t="s">
        <v>514</v>
      </c>
      <c r="D3258" s="8" t="s">
        <v>515</v>
      </c>
      <c r="E3258" s="8" t="s">
        <v>45</v>
      </c>
      <c r="F3258" s="8" t="s">
        <v>46</v>
      </c>
      <c r="G3258" s="8" t="s">
        <v>7</v>
      </c>
      <c r="H3258" s="8" t="s">
        <v>38</v>
      </c>
      <c r="I3258" s="9"/>
    </row>
    <row r="3259" spans="1:12" x14ac:dyDescent="0.2">
      <c r="A3259" s="8" t="s">
        <v>32</v>
      </c>
      <c r="B3259" s="8" t="s">
        <v>80</v>
      </c>
      <c r="C3259" s="8" t="s">
        <v>514</v>
      </c>
      <c r="D3259" s="8" t="s">
        <v>515</v>
      </c>
      <c r="E3259" s="8" t="s">
        <v>49</v>
      </c>
      <c r="F3259" s="8" t="s">
        <v>50</v>
      </c>
      <c r="G3259" s="8" t="s">
        <v>7</v>
      </c>
      <c r="H3259" s="8" t="s">
        <v>38</v>
      </c>
      <c r="I3259" s="9">
        <v>760.47172</v>
      </c>
      <c r="J3259">
        <v>887.10762599999998</v>
      </c>
      <c r="K3259">
        <v>884.29575699999998</v>
      </c>
      <c r="L3259">
        <v>901.69681674353001</v>
      </c>
    </row>
    <row r="3260" spans="1:12" x14ac:dyDescent="0.2">
      <c r="A3260" s="8" t="s">
        <v>32</v>
      </c>
      <c r="B3260" s="8" t="s">
        <v>80</v>
      </c>
      <c r="C3260" s="8" t="s">
        <v>514</v>
      </c>
      <c r="D3260" s="8" t="s">
        <v>515</v>
      </c>
      <c r="E3260" s="8" t="s">
        <v>68</v>
      </c>
      <c r="F3260" s="8" t="s">
        <v>69</v>
      </c>
      <c r="G3260" s="8" t="s">
        <v>7</v>
      </c>
      <c r="H3260" s="8" t="s">
        <v>38</v>
      </c>
      <c r="I3260" s="9">
        <v>6.6636898000000002</v>
      </c>
      <c r="J3260">
        <v>9.4293830924138007</v>
      </c>
      <c r="K3260">
        <v>15.267762353103</v>
      </c>
      <c r="L3260">
        <v>22.614144830345001</v>
      </c>
    </row>
    <row r="3261" spans="1:12" x14ac:dyDescent="0.2">
      <c r="A3261" s="8" t="s">
        <v>32</v>
      </c>
      <c r="B3261" s="8" t="s">
        <v>80</v>
      </c>
      <c r="C3261" s="8" t="s">
        <v>514</v>
      </c>
      <c r="D3261" s="8" t="s">
        <v>515</v>
      </c>
      <c r="E3261" s="8" t="s">
        <v>53</v>
      </c>
      <c r="F3261" s="8" t="s">
        <v>54</v>
      </c>
      <c r="G3261" s="8" t="s">
        <v>7</v>
      </c>
      <c r="H3261" s="8" t="s">
        <v>38</v>
      </c>
      <c r="I3261" s="9">
        <v>4.4387700000000002E-2</v>
      </c>
      <c r="J3261">
        <v>5.0483896E-2</v>
      </c>
      <c r="K3261">
        <v>6.1475663999999999E-2</v>
      </c>
      <c r="L3261">
        <v>6.7175648000000004E-2</v>
      </c>
    </row>
    <row r="3262" spans="1:12" x14ac:dyDescent="0.2">
      <c r="A3262" s="8" t="s">
        <v>32</v>
      </c>
      <c r="B3262" s="8" t="s">
        <v>80</v>
      </c>
      <c r="C3262" s="8" t="s">
        <v>514</v>
      </c>
      <c r="D3262" s="8" t="s">
        <v>515</v>
      </c>
      <c r="E3262" s="8" t="s">
        <v>70</v>
      </c>
      <c r="F3262" s="8" t="s">
        <v>71</v>
      </c>
      <c r="G3262" s="8" t="s">
        <v>7</v>
      </c>
      <c r="H3262" s="8" t="s">
        <v>38</v>
      </c>
      <c r="I3262" s="9">
        <v>2537.4789000000001</v>
      </c>
      <c r="J3262">
        <v>2551.1506949670002</v>
      </c>
      <c r="K3262">
        <v>2967.944109686</v>
      </c>
      <c r="L3262">
        <v>2964.5958602438</v>
      </c>
    </row>
    <row r="3263" spans="1:12" x14ac:dyDescent="0.2">
      <c r="A3263" s="8" t="s">
        <v>32</v>
      </c>
      <c r="B3263" s="8" t="s">
        <v>80</v>
      </c>
      <c r="C3263" s="8" t="s">
        <v>514</v>
      </c>
      <c r="D3263" s="8" t="s">
        <v>515</v>
      </c>
      <c r="E3263" s="8" t="s">
        <v>83</v>
      </c>
      <c r="F3263" s="8" t="s">
        <v>84</v>
      </c>
      <c r="G3263" s="8" t="s">
        <v>7</v>
      </c>
      <c r="H3263" s="8" t="s">
        <v>38</v>
      </c>
      <c r="I3263" s="9"/>
    </row>
    <row r="3264" spans="1:12" x14ac:dyDescent="0.2">
      <c r="A3264" s="8" t="s">
        <v>32</v>
      </c>
      <c r="B3264" s="8" t="s">
        <v>80</v>
      </c>
      <c r="C3264" s="8" t="s">
        <v>514</v>
      </c>
      <c r="D3264" s="8" t="s">
        <v>515</v>
      </c>
      <c r="E3264" s="8" t="s">
        <v>55</v>
      </c>
      <c r="F3264" s="8" t="s">
        <v>56</v>
      </c>
      <c r="G3264" s="8" t="s">
        <v>7</v>
      </c>
      <c r="H3264" s="8" t="s">
        <v>38</v>
      </c>
      <c r="I3264" s="9">
        <v>2.8444164999999999</v>
      </c>
      <c r="J3264">
        <v>3.1858202520430998</v>
      </c>
      <c r="K3264">
        <v>3.1858202520430998</v>
      </c>
      <c r="L3264">
        <v>3.1858202520430998</v>
      </c>
    </row>
    <row r="3265" spans="1:12" x14ac:dyDescent="0.2">
      <c r="A3265" s="8" t="s">
        <v>32</v>
      </c>
      <c r="B3265" s="8" t="s">
        <v>80</v>
      </c>
      <c r="C3265" s="8" t="s">
        <v>514</v>
      </c>
      <c r="D3265" s="8" t="s">
        <v>515</v>
      </c>
      <c r="E3265" s="8" t="s">
        <v>57</v>
      </c>
      <c r="F3265" s="8" t="s">
        <v>58</v>
      </c>
      <c r="G3265" s="8" t="s">
        <v>7</v>
      </c>
      <c r="H3265" s="8" t="s">
        <v>38</v>
      </c>
      <c r="I3265" s="9">
        <v>20.242626000000001</v>
      </c>
      <c r="J3265">
        <v>22.672266451380001</v>
      </c>
      <c r="K3265">
        <v>22.672266451380001</v>
      </c>
      <c r="L3265">
        <v>22.672266451380001</v>
      </c>
    </row>
    <row r="3266" spans="1:12" x14ac:dyDescent="0.2">
      <c r="A3266" s="8" t="s">
        <v>32</v>
      </c>
      <c r="B3266" s="8" t="s">
        <v>80</v>
      </c>
      <c r="C3266" s="8" t="s">
        <v>514</v>
      </c>
      <c r="D3266" s="8" t="s">
        <v>515</v>
      </c>
      <c r="E3266" s="8" t="s">
        <v>74</v>
      </c>
      <c r="F3266" s="8" t="s">
        <v>75</v>
      </c>
      <c r="G3266" s="8" t="s">
        <v>7</v>
      </c>
      <c r="H3266" s="8" t="s">
        <v>38</v>
      </c>
      <c r="I3266" s="9">
        <v>2.5400800000000001</v>
      </c>
      <c r="J3266">
        <v>4.0635000000000003</v>
      </c>
      <c r="K3266">
        <v>4.3542500000000004</v>
      </c>
      <c r="L3266">
        <v>4.4854531006998002</v>
      </c>
    </row>
    <row r="3267" spans="1:12" x14ac:dyDescent="0.2">
      <c r="A3267" s="8" t="s">
        <v>32</v>
      </c>
      <c r="B3267" s="8" t="s">
        <v>80</v>
      </c>
      <c r="C3267" s="8" t="s">
        <v>514</v>
      </c>
      <c r="D3267" s="8" t="s">
        <v>515</v>
      </c>
      <c r="E3267" s="8" t="s">
        <v>59</v>
      </c>
      <c r="F3267" s="8" t="s">
        <v>60</v>
      </c>
      <c r="G3267" s="8" t="s">
        <v>7</v>
      </c>
      <c r="H3267" s="8" t="s">
        <v>38</v>
      </c>
      <c r="I3267" s="9">
        <v>109.70928000000001</v>
      </c>
      <c r="J3267">
        <v>116.89880359909</v>
      </c>
      <c r="K3267">
        <v>121.01893057152</v>
      </c>
      <c r="L3267">
        <v>125.10967754108</v>
      </c>
    </row>
    <row r="3268" spans="1:12" x14ac:dyDescent="0.2">
      <c r="A3268" s="8" t="s">
        <v>32</v>
      </c>
      <c r="B3268" s="8" t="s">
        <v>80</v>
      </c>
      <c r="C3268" s="8" t="s">
        <v>514</v>
      </c>
      <c r="D3268" s="8" t="s">
        <v>515</v>
      </c>
      <c r="E3268" s="8" t="s">
        <v>76</v>
      </c>
      <c r="F3268" s="8" t="s">
        <v>77</v>
      </c>
      <c r="G3268" s="8" t="s">
        <v>7</v>
      </c>
      <c r="H3268" s="8" t="s">
        <v>38</v>
      </c>
      <c r="I3268" s="9">
        <v>129.90476000000001</v>
      </c>
      <c r="J3268">
        <v>83.600000020503998</v>
      </c>
      <c r="K3268">
        <v>153.37142860247999</v>
      </c>
      <c r="L3268">
        <v>153.37142860247999</v>
      </c>
    </row>
    <row r="3269" spans="1:12" x14ac:dyDescent="0.2">
      <c r="A3269" s="8" t="s">
        <v>32</v>
      </c>
      <c r="B3269" s="8" t="s">
        <v>80</v>
      </c>
      <c r="C3269" s="8" t="s">
        <v>514</v>
      </c>
      <c r="D3269" s="8" t="s">
        <v>515</v>
      </c>
      <c r="E3269" s="8" t="s">
        <v>78</v>
      </c>
      <c r="F3269" s="8" t="s">
        <v>79</v>
      </c>
      <c r="G3269" s="8" t="s">
        <v>7</v>
      </c>
      <c r="H3269" s="8" t="s">
        <v>38</v>
      </c>
      <c r="I3269" s="9">
        <v>153.21426</v>
      </c>
      <c r="J3269">
        <v>54.371418685713998</v>
      </c>
      <c r="K3269">
        <v>108.74283737143</v>
      </c>
      <c r="L3269">
        <v>113.04855087429</v>
      </c>
    </row>
    <row r="3270" spans="1:12" x14ac:dyDescent="0.2">
      <c r="A3270" s="8" t="s">
        <v>32</v>
      </c>
      <c r="B3270" s="8" t="s">
        <v>120</v>
      </c>
      <c r="C3270" s="8" t="s">
        <v>516</v>
      </c>
      <c r="D3270" s="8" t="s">
        <v>517</v>
      </c>
      <c r="E3270" s="8" t="s">
        <v>36</v>
      </c>
      <c r="F3270" s="8" t="s">
        <v>37</v>
      </c>
      <c r="G3270" s="8" t="s">
        <v>7</v>
      </c>
      <c r="H3270" s="8" t="s">
        <v>38</v>
      </c>
      <c r="I3270" s="9">
        <v>97.098177000000007</v>
      </c>
      <c r="J3270">
        <v>102.71181</v>
      </c>
      <c r="K3270">
        <v>122.97764100000001</v>
      </c>
      <c r="L3270">
        <v>125.39682534745999</v>
      </c>
    </row>
    <row r="3271" spans="1:12" x14ac:dyDescent="0.2">
      <c r="A3271" s="8" t="s">
        <v>32</v>
      </c>
      <c r="B3271" s="8" t="s">
        <v>120</v>
      </c>
      <c r="C3271" s="8" t="s">
        <v>516</v>
      </c>
      <c r="D3271" s="8" t="s">
        <v>517</v>
      </c>
      <c r="E3271" s="8" t="s">
        <v>39</v>
      </c>
      <c r="F3271" s="8" t="s">
        <v>40</v>
      </c>
      <c r="G3271" s="8" t="s">
        <v>7</v>
      </c>
      <c r="H3271" s="8" t="s">
        <v>38</v>
      </c>
      <c r="I3271" s="9">
        <v>1416.2265</v>
      </c>
      <c r="J3271">
        <v>1566.2350220000001</v>
      </c>
      <c r="K3271">
        <v>1524.158858</v>
      </c>
      <c r="L3271">
        <v>1607.7837151451999</v>
      </c>
    </row>
    <row r="3272" spans="1:12" x14ac:dyDescent="0.2">
      <c r="A3272" s="8" t="s">
        <v>32</v>
      </c>
      <c r="B3272" s="8" t="s">
        <v>120</v>
      </c>
      <c r="C3272" s="8" t="s">
        <v>516</v>
      </c>
      <c r="D3272" s="8" t="s">
        <v>517</v>
      </c>
      <c r="E3272" s="8" t="s">
        <v>41</v>
      </c>
      <c r="F3272" s="8" t="s">
        <v>42</v>
      </c>
      <c r="G3272" s="8" t="s">
        <v>7</v>
      </c>
      <c r="H3272" s="8" t="s">
        <v>38</v>
      </c>
      <c r="I3272" s="9">
        <v>1.2719849999999999</v>
      </c>
      <c r="J3272">
        <v>1.84327</v>
      </c>
      <c r="K3272">
        <v>2.2894299999999999</v>
      </c>
      <c r="L3272">
        <v>2.5802894341690998</v>
      </c>
    </row>
    <row r="3273" spans="1:12" x14ac:dyDescent="0.2">
      <c r="A3273" s="8" t="s">
        <v>32</v>
      </c>
      <c r="B3273" s="8" t="s">
        <v>120</v>
      </c>
      <c r="C3273" s="8" t="s">
        <v>516</v>
      </c>
      <c r="D3273" s="8" t="s">
        <v>517</v>
      </c>
      <c r="E3273" s="8" t="s">
        <v>43</v>
      </c>
      <c r="F3273" s="8" t="s">
        <v>44</v>
      </c>
      <c r="G3273" s="8" t="s">
        <v>7</v>
      </c>
      <c r="H3273" s="8" t="s">
        <v>38</v>
      </c>
      <c r="I3273" s="9">
        <v>3171.1752999999999</v>
      </c>
      <c r="J3273">
        <v>3521.7779620000001</v>
      </c>
      <c r="K3273">
        <v>3466.971888</v>
      </c>
      <c r="L3273">
        <v>3535.1732623011999</v>
      </c>
    </row>
    <row r="3274" spans="1:12" x14ac:dyDescent="0.2">
      <c r="A3274" s="8" t="s">
        <v>32</v>
      </c>
      <c r="B3274" s="8" t="s">
        <v>120</v>
      </c>
      <c r="C3274" s="8" t="s">
        <v>516</v>
      </c>
      <c r="D3274" s="8" t="s">
        <v>517</v>
      </c>
      <c r="E3274" s="8" t="s">
        <v>66</v>
      </c>
      <c r="F3274" s="8" t="s">
        <v>67</v>
      </c>
      <c r="G3274" s="8" t="s">
        <v>7</v>
      </c>
      <c r="H3274" s="8" t="s">
        <v>38</v>
      </c>
      <c r="I3274" s="9">
        <v>112.6194</v>
      </c>
      <c r="J3274">
        <v>120.993444</v>
      </c>
      <c r="K3274">
        <v>111.685743</v>
      </c>
      <c r="L3274">
        <v>113.88279605048</v>
      </c>
    </row>
    <row r="3275" spans="1:12" x14ac:dyDescent="0.2">
      <c r="A3275" s="8" t="s">
        <v>32</v>
      </c>
      <c r="B3275" s="8" t="s">
        <v>120</v>
      </c>
      <c r="C3275" s="8" t="s">
        <v>516</v>
      </c>
      <c r="D3275" s="8" t="s">
        <v>517</v>
      </c>
      <c r="E3275" s="8" t="s">
        <v>45</v>
      </c>
      <c r="F3275" s="8" t="s">
        <v>46</v>
      </c>
      <c r="G3275" s="8" t="s">
        <v>7</v>
      </c>
      <c r="H3275" s="8" t="s">
        <v>38</v>
      </c>
      <c r="I3275" s="9">
        <v>106.19463</v>
      </c>
      <c r="J3275">
        <v>121.859892</v>
      </c>
      <c r="K3275">
        <v>127.66307399999999</v>
      </c>
      <c r="L3275">
        <v>119.59704022981001</v>
      </c>
    </row>
    <row r="3276" spans="1:12" x14ac:dyDescent="0.2">
      <c r="A3276" s="8" t="s">
        <v>32</v>
      </c>
      <c r="B3276" s="8" t="s">
        <v>120</v>
      </c>
      <c r="C3276" s="8" t="s">
        <v>516</v>
      </c>
      <c r="D3276" s="8" t="s">
        <v>517</v>
      </c>
      <c r="E3276" s="8" t="s">
        <v>49</v>
      </c>
      <c r="F3276" s="8" t="s">
        <v>50</v>
      </c>
      <c r="G3276" s="8" t="s">
        <v>7</v>
      </c>
      <c r="H3276" s="8" t="s">
        <v>38</v>
      </c>
      <c r="I3276" s="9">
        <v>548.98343999999997</v>
      </c>
      <c r="J3276">
        <v>648.82319199999995</v>
      </c>
      <c r="K3276">
        <v>650.50865599999997</v>
      </c>
      <c r="L3276">
        <v>663.30529403666003</v>
      </c>
    </row>
    <row r="3277" spans="1:12" x14ac:dyDescent="0.2">
      <c r="A3277" s="8" t="s">
        <v>32</v>
      </c>
      <c r="B3277" s="8" t="s">
        <v>120</v>
      </c>
      <c r="C3277" s="8" t="s">
        <v>516</v>
      </c>
      <c r="D3277" s="8" t="s">
        <v>517</v>
      </c>
      <c r="E3277" s="8" t="s">
        <v>51</v>
      </c>
      <c r="F3277" s="8" t="s">
        <v>52</v>
      </c>
      <c r="G3277" s="8" t="s">
        <v>7</v>
      </c>
      <c r="H3277" s="8" t="s">
        <v>38</v>
      </c>
      <c r="I3277" s="9"/>
      <c r="J3277">
        <v>6.0055440000000004</v>
      </c>
    </row>
    <row r="3278" spans="1:12" x14ac:dyDescent="0.2">
      <c r="A3278" s="8" t="s">
        <v>32</v>
      </c>
      <c r="B3278" s="8" t="s">
        <v>120</v>
      </c>
      <c r="C3278" s="8" t="s">
        <v>516</v>
      </c>
      <c r="D3278" s="8" t="s">
        <v>517</v>
      </c>
      <c r="E3278" s="8" t="s">
        <v>70</v>
      </c>
      <c r="F3278" s="8" t="s">
        <v>71</v>
      </c>
      <c r="G3278" s="8" t="s">
        <v>7</v>
      </c>
      <c r="H3278" s="8" t="s">
        <v>38</v>
      </c>
      <c r="I3278" s="9">
        <v>1460.1441</v>
      </c>
      <c r="J3278">
        <v>1798.8131909849999</v>
      </c>
      <c r="K3278">
        <v>1718.7357308000001</v>
      </c>
      <c r="L3278">
        <v>1716.7967603412999</v>
      </c>
    </row>
    <row r="3279" spans="1:12" x14ac:dyDescent="0.2">
      <c r="A3279" s="8" t="s">
        <v>32</v>
      </c>
      <c r="B3279" s="8" t="s">
        <v>120</v>
      </c>
      <c r="C3279" s="8" t="s">
        <v>516</v>
      </c>
      <c r="D3279" s="8" t="s">
        <v>517</v>
      </c>
      <c r="E3279" s="8" t="s">
        <v>83</v>
      </c>
      <c r="F3279" s="8" t="s">
        <v>84</v>
      </c>
      <c r="G3279" s="8" t="s">
        <v>7</v>
      </c>
      <c r="H3279" s="8" t="s">
        <v>38</v>
      </c>
      <c r="I3279" s="9">
        <v>7.5</v>
      </c>
      <c r="J3279">
        <v>7.5</v>
      </c>
      <c r="K3279">
        <v>7.5</v>
      </c>
      <c r="L3279">
        <v>7.5</v>
      </c>
    </row>
    <row r="3280" spans="1:12" x14ac:dyDescent="0.2">
      <c r="A3280" s="8" t="s">
        <v>32</v>
      </c>
      <c r="B3280" s="8" t="s">
        <v>120</v>
      </c>
      <c r="C3280" s="8" t="s">
        <v>516</v>
      </c>
      <c r="D3280" s="8" t="s">
        <v>517</v>
      </c>
      <c r="E3280" s="8" t="s">
        <v>55</v>
      </c>
      <c r="F3280" s="8" t="s">
        <v>56</v>
      </c>
      <c r="G3280" s="8" t="s">
        <v>7</v>
      </c>
      <c r="H3280" s="8" t="s">
        <v>38</v>
      </c>
      <c r="I3280" s="9">
        <v>2.4154173999999999</v>
      </c>
      <c r="J3280">
        <v>2.7053301535559</v>
      </c>
      <c r="K3280">
        <v>2.7053301535559</v>
      </c>
      <c r="L3280">
        <v>2.7053301535559</v>
      </c>
    </row>
    <row r="3281" spans="1:12" x14ac:dyDescent="0.2">
      <c r="A3281" s="8" t="s">
        <v>32</v>
      </c>
      <c r="B3281" s="8" t="s">
        <v>120</v>
      </c>
      <c r="C3281" s="8" t="s">
        <v>516</v>
      </c>
      <c r="D3281" s="8" t="s">
        <v>517</v>
      </c>
      <c r="E3281" s="8" t="s">
        <v>57</v>
      </c>
      <c r="F3281" s="8" t="s">
        <v>58</v>
      </c>
      <c r="G3281" s="8" t="s">
        <v>7</v>
      </c>
      <c r="H3281" s="8" t="s">
        <v>38</v>
      </c>
      <c r="I3281" s="9">
        <v>6.9587363</v>
      </c>
      <c r="J3281">
        <v>7.7939650760378001</v>
      </c>
      <c r="K3281">
        <v>7.7939650760378001</v>
      </c>
      <c r="L3281">
        <v>7.7939650760378001</v>
      </c>
    </row>
    <row r="3282" spans="1:12" x14ac:dyDescent="0.2">
      <c r="A3282" s="8" t="s">
        <v>32</v>
      </c>
      <c r="B3282" s="8" t="s">
        <v>120</v>
      </c>
      <c r="C3282" s="8" t="s">
        <v>516</v>
      </c>
      <c r="D3282" s="8" t="s">
        <v>517</v>
      </c>
      <c r="E3282" s="8" t="s">
        <v>74</v>
      </c>
      <c r="F3282" s="8" t="s">
        <v>75</v>
      </c>
      <c r="G3282" s="8" t="s">
        <v>7</v>
      </c>
      <c r="H3282" s="8" t="s">
        <v>38</v>
      </c>
      <c r="I3282" s="9">
        <v>8.8160000000000007</v>
      </c>
      <c r="J3282">
        <v>10.416</v>
      </c>
      <c r="K3282">
        <v>14.816000000000001</v>
      </c>
      <c r="L3282">
        <v>14.816000000000001</v>
      </c>
    </row>
    <row r="3283" spans="1:12" x14ac:dyDescent="0.2">
      <c r="A3283" s="8" t="s">
        <v>32</v>
      </c>
      <c r="B3283" s="8" t="s">
        <v>120</v>
      </c>
      <c r="C3283" s="8" t="s">
        <v>516</v>
      </c>
      <c r="D3283" s="8" t="s">
        <v>517</v>
      </c>
      <c r="E3283" s="8" t="s">
        <v>59</v>
      </c>
      <c r="F3283" s="8" t="s">
        <v>60</v>
      </c>
      <c r="G3283" s="8" t="s">
        <v>7</v>
      </c>
      <c r="H3283" s="8" t="s">
        <v>38</v>
      </c>
      <c r="I3283" s="9">
        <v>180.42599999999999</v>
      </c>
      <c r="J3283">
        <v>193.01360594810001</v>
      </c>
      <c r="K3283">
        <v>196.32350470109</v>
      </c>
      <c r="L3283">
        <v>199.28191348378999</v>
      </c>
    </row>
    <row r="3284" spans="1:12" x14ac:dyDescent="0.2">
      <c r="A3284" s="8" t="s">
        <v>110</v>
      </c>
      <c r="B3284" s="8" t="s">
        <v>140</v>
      </c>
      <c r="C3284" s="8" t="s">
        <v>518</v>
      </c>
      <c r="D3284" s="8" t="s">
        <v>519</v>
      </c>
      <c r="E3284" s="8" t="s">
        <v>36</v>
      </c>
      <c r="F3284" s="8" t="s">
        <v>37</v>
      </c>
      <c r="G3284" s="8" t="s">
        <v>7</v>
      </c>
      <c r="H3284" s="8" t="s">
        <v>38</v>
      </c>
      <c r="I3284" s="9">
        <v>78003.391000000003</v>
      </c>
      <c r="J3284">
        <v>74235.910470999996</v>
      </c>
      <c r="K3284">
        <v>49263.637786999003</v>
      </c>
      <c r="L3284">
        <v>50263.043083554003</v>
      </c>
    </row>
    <row r="3285" spans="1:12" x14ac:dyDescent="0.2">
      <c r="A3285" s="8" t="s">
        <v>110</v>
      </c>
      <c r="B3285" s="8" t="s">
        <v>140</v>
      </c>
      <c r="C3285" s="8" t="s">
        <v>518</v>
      </c>
      <c r="D3285" s="8" t="s">
        <v>519</v>
      </c>
      <c r="E3285" s="8" t="s">
        <v>64</v>
      </c>
      <c r="F3285" s="8" t="s">
        <v>65</v>
      </c>
      <c r="G3285" s="8" t="s">
        <v>7</v>
      </c>
      <c r="H3285" s="8" t="s">
        <v>38</v>
      </c>
      <c r="I3285" s="9">
        <v>2676.7811000000002</v>
      </c>
      <c r="J3285">
        <v>2860.3381669999999</v>
      </c>
      <c r="K3285">
        <v>1856.7306699999999</v>
      </c>
      <c r="L3285">
        <v>1916.1388720124</v>
      </c>
    </row>
    <row r="3286" spans="1:12" x14ac:dyDescent="0.2">
      <c r="A3286" s="8" t="s">
        <v>110</v>
      </c>
      <c r="B3286" s="8" t="s">
        <v>140</v>
      </c>
      <c r="C3286" s="8" t="s">
        <v>518</v>
      </c>
      <c r="D3286" s="8" t="s">
        <v>519</v>
      </c>
      <c r="E3286" s="8" t="s">
        <v>39</v>
      </c>
      <c r="F3286" s="8" t="s">
        <v>40</v>
      </c>
      <c r="G3286" s="8" t="s">
        <v>7</v>
      </c>
      <c r="H3286" s="8" t="s">
        <v>38</v>
      </c>
      <c r="I3286" s="9">
        <v>35162.544000000002</v>
      </c>
      <c r="J3286">
        <v>33763.703498000003</v>
      </c>
      <c r="K3286">
        <v>11476.880267</v>
      </c>
      <c r="L3286">
        <v>11960.880105464999</v>
      </c>
    </row>
    <row r="3287" spans="1:12" x14ac:dyDescent="0.2">
      <c r="A3287" s="8" t="s">
        <v>110</v>
      </c>
      <c r="B3287" s="8" t="s">
        <v>140</v>
      </c>
      <c r="C3287" s="8" t="s">
        <v>518</v>
      </c>
      <c r="D3287" s="8" t="s">
        <v>519</v>
      </c>
      <c r="E3287" s="8" t="s">
        <v>41</v>
      </c>
      <c r="F3287" s="8" t="s">
        <v>42</v>
      </c>
      <c r="G3287" s="8" t="s">
        <v>7</v>
      </c>
      <c r="H3287" s="8" t="s">
        <v>38</v>
      </c>
      <c r="I3287" s="9">
        <v>272.67599999999999</v>
      </c>
      <c r="J3287">
        <v>387.19992000000002</v>
      </c>
    </row>
    <row r="3288" spans="1:12" x14ac:dyDescent="0.2">
      <c r="A3288" s="8" t="s">
        <v>110</v>
      </c>
      <c r="B3288" s="8" t="s">
        <v>140</v>
      </c>
      <c r="C3288" s="8" t="s">
        <v>518</v>
      </c>
      <c r="D3288" s="8" t="s">
        <v>519</v>
      </c>
      <c r="E3288" s="8" t="s">
        <v>43</v>
      </c>
      <c r="F3288" s="8" t="s">
        <v>44</v>
      </c>
      <c r="G3288" s="8" t="s">
        <v>7</v>
      </c>
      <c r="H3288" s="8" t="s">
        <v>38</v>
      </c>
      <c r="I3288" s="9">
        <v>19841.456999999999</v>
      </c>
      <c r="J3288">
        <v>21730.986367000001</v>
      </c>
      <c r="K3288">
        <v>19466.074789999999</v>
      </c>
      <c r="L3288">
        <v>20505.388965000999</v>
      </c>
    </row>
    <row r="3289" spans="1:12" x14ac:dyDescent="0.2">
      <c r="A3289" s="8" t="s">
        <v>110</v>
      </c>
      <c r="B3289" s="8" t="s">
        <v>140</v>
      </c>
      <c r="C3289" s="8" t="s">
        <v>518</v>
      </c>
      <c r="D3289" s="8" t="s">
        <v>519</v>
      </c>
      <c r="E3289" s="8" t="s">
        <v>66</v>
      </c>
      <c r="F3289" s="8" t="s">
        <v>67</v>
      </c>
      <c r="G3289" s="8" t="s">
        <v>7</v>
      </c>
      <c r="H3289" s="8" t="s">
        <v>38</v>
      </c>
      <c r="I3289" s="9">
        <v>76.378553999999994</v>
      </c>
      <c r="J3289">
        <v>88.586651000000003</v>
      </c>
      <c r="K3289">
        <v>7.6238140000000003</v>
      </c>
      <c r="L3289">
        <v>8.0289757451112003</v>
      </c>
    </row>
    <row r="3290" spans="1:12" x14ac:dyDescent="0.2">
      <c r="A3290" s="8" t="s">
        <v>110</v>
      </c>
      <c r="B3290" s="8" t="s">
        <v>140</v>
      </c>
      <c r="C3290" s="8" t="s">
        <v>518</v>
      </c>
      <c r="D3290" s="8" t="s">
        <v>519</v>
      </c>
      <c r="E3290" s="8" t="s">
        <v>45</v>
      </c>
      <c r="F3290" s="8" t="s">
        <v>46</v>
      </c>
      <c r="G3290" s="8" t="s">
        <v>7</v>
      </c>
      <c r="H3290" s="8" t="s">
        <v>38</v>
      </c>
      <c r="I3290" s="9">
        <v>5.0032319999999997</v>
      </c>
      <c r="J3290">
        <v>5.5100759999999998</v>
      </c>
    </row>
    <row r="3291" spans="1:12" x14ac:dyDescent="0.2">
      <c r="A3291" s="8" t="s">
        <v>110</v>
      </c>
      <c r="B3291" s="8" t="s">
        <v>140</v>
      </c>
      <c r="C3291" s="8" t="s">
        <v>518</v>
      </c>
      <c r="D3291" s="8" t="s">
        <v>519</v>
      </c>
      <c r="E3291" s="8" t="s">
        <v>47</v>
      </c>
      <c r="F3291" s="8" t="s">
        <v>48</v>
      </c>
      <c r="G3291" s="8" t="s">
        <v>7</v>
      </c>
      <c r="H3291" s="8" t="s">
        <v>38</v>
      </c>
      <c r="I3291" s="9">
        <v>1505.4097999999999</v>
      </c>
      <c r="J3291">
        <v>3273.6565949999999</v>
      </c>
      <c r="K3291">
        <v>1602.3646650000001</v>
      </c>
      <c r="L3291">
        <v>1788.3189618419001</v>
      </c>
    </row>
    <row r="3292" spans="1:12" x14ac:dyDescent="0.2">
      <c r="A3292" s="8" t="s">
        <v>110</v>
      </c>
      <c r="B3292" s="8" t="s">
        <v>140</v>
      </c>
      <c r="C3292" s="8" t="s">
        <v>518</v>
      </c>
      <c r="D3292" s="8" t="s">
        <v>519</v>
      </c>
      <c r="E3292" s="8" t="s">
        <v>49</v>
      </c>
      <c r="F3292" s="8" t="s">
        <v>50</v>
      </c>
      <c r="G3292" s="8" t="s">
        <v>7</v>
      </c>
      <c r="H3292" s="8" t="s">
        <v>38</v>
      </c>
      <c r="I3292" s="9">
        <v>23843.883999999998</v>
      </c>
      <c r="J3292">
        <v>23220.926135999998</v>
      </c>
      <c r="K3292">
        <v>17615.648897999999</v>
      </c>
      <c r="L3292">
        <v>17357.294551338</v>
      </c>
    </row>
    <row r="3293" spans="1:12" x14ac:dyDescent="0.2">
      <c r="A3293" s="8" t="s">
        <v>110</v>
      </c>
      <c r="B3293" s="8" t="s">
        <v>140</v>
      </c>
      <c r="C3293" s="8" t="s">
        <v>518</v>
      </c>
      <c r="D3293" s="8" t="s">
        <v>519</v>
      </c>
      <c r="E3293" s="8" t="s">
        <v>51</v>
      </c>
      <c r="F3293" s="8" t="s">
        <v>52</v>
      </c>
      <c r="G3293" s="8" t="s">
        <v>7</v>
      </c>
      <c r="H3293" s="8" t="s">
        <v>38</v>
      </c>
      <c r="I3293" s="9">
        <v>5.941338</v>
      </c>
      <c r="J3293">
        <v>6.5445120000000001</v>
      </c>
    </row>
    <row r="3294" spans="1:12" x14ac:dyDescent="0.2">
      <c r="A3294" s="8" t="s">
        <v>110</v>
      </c>
      <c r="B3294" s="8" t="s">
        <v>140</v>
      </c>
      <c r="C3294" s="8" t="s">
        <v>518</v>
      </c>
      <c r="D3294" s="8" t="s">
        <v>519</v>
      </c>
      <c r="E3294" s="8" t="s">
        <v>68</v>
      </c>
      <c r="F3294" s="8" t="s">
        <v>69</v>
      </c>
      <c r="G3294" s="8" t="s">
        <v>7</v>
      </c>
      <c r="H3294" s="8" t="s">
        <v>38</v>
      </c>
      <c r="I3294" s="9">
        <v>6491.4983000000002</v>
      </c>
      <c r="J3294">
        <v>2566.0136975035002</v>
      </c>
      <c r="K3294">
        <v>1145.7951348621</v>
      </c>
      <c r="L3294">
        <v>1079.4985721771</v>
      </c>
    </row>
    <row r="3295" spans="1:12" x14ac:dyDescent="0.2">
      <c r="A3295" s="8" t="s">
        <v>110</v>
      </c>
      <c r="B3295" s="8" t="s">
        <v>140</v>
      </c>
      <c r="C3295" s="8" t="s">
        <v>518</v>
      </c>
      <c r="D3295" s="8" t="s">
        <v>519</v>
      </c>
      <c r="E3295" s="8" t="s">
        <v>53</v>
      </c>
      <c r="F3295" s="8" t="s">
        <v>54</v>
      </c>
      <c r="G3295" s="8" t="s">
        <v>7</v>
      </c>
      <c r="H3295" s="8" t="s">
        <v>38</v>
      </c>
      <c r="I3295" s="9">
        <v>7142.5280000000002</v>
      </c>
      <c r="J3295">
        <v>6896.0192286851998</v>
      </c>
      <c r="K3295">
        <v>3294.2941909889</v>
      </c>
      <c r="L3295">
        <v>3066.9260435287001</v>
      </c>
    </row>
    <row r="3296" spans="1:12" x14ac:dyDescent="0.2">
      <c r="A3296" s="8" t="s">
        <v>110</v>
      </c>
      <c r="B3296" s="8" t="s">
        <v>140</v>
      </c>
      <c r="C3296" s="8" t="s">
        <v>518</v>
      </c>
      <c r="D3296" s="8" t="s">
        <v>519</v>
      </c>
      <c r="E3296" s="8" t="s">
        <v>70</v>
      </c>
      <c r="F3296" s="8" t="s">
        <v>71</v>
      </c>
      <c r="G3296" s="8" t="s">
        <v>7</v>
      </c>
      <c r="H3296" s="8" t="s">
        <v>38</v>
      </c>
      <c r="I3296" s="9">
        <v>4012.5479999999998</v>
      </c>
      <c r="J3296">
        <v>4521.2457864807002</v>
      </c>
      <c r="K3296">
        <v>2264.6069239398998</v>
      </c>
      <c r="L3296">
        <v>2262.0521356455001</v>
      </c>
    </row>
    <row r="3297" spans="1:12" x14ac:dyDescent="0.2">
      <c r="A3297" s="8" t="s">
        <v>110</v>
      </c>
      <c r="B3297" s="8" t="s">
        <v>140</v>
      </c>
      <c r="C3297" s="8" t="s">
        <v>518</v>
      </c>
      <c r="D3297" s="8" t="s">
        <v>519</v>
      </c>
      <c r="E3297" s="8" t="s">
        <v>83</v>
      </c>
      <c r="F3297" s="8" t="s">
        <v>84</v>
      </c>
      <c r="G3297" s="8" t="s">
        <v>7</v>
      </c>
      <c r="H3297" s="8" t="s">
        <v>38</v>
      </c>
      <c r="I3297" s="9">
        <v>1755.75</v>
      </c>
      <c r="J3297">
        <v>1966.5</v>
      </c>
      <c r="K3297">
        <v>767.25</v>
      </c>
      <c r="L3297">
        <v>750</v>
      </c>
    </row>
    <row r="3298" spans="1:12" x14ac:dyDescent="0.2">
      <c r="A3298" s="8" t="s">
        <v>110</v>
      </c>
      <c r="B3298" s="8" t="s">
        <v>140</v>
      </c>
      <c r="C3298" s="8" t="s">
        <v>518</v>
      </c>
      <c r="D3298" s="8" t="s">
        <v>519</v>
      </c>
      <c r="E3298" s="8" t="s">
        <v>55</v>
      </c>
      <c r="F3298" s="8" t="s">
        <v>56</v>
      </c>
      <c r="G3298" s="8" t="s">
        <v>7</v>
      </c>
      <c r="H3298" s="8" t="s">
        <v>38</v>
      </c>
      <c r="I3298" s="9">
        <v>202.01607000000001</v>
      </c>
      <c r="J3298">
        <v>226.26323776951</v>
      </c>
      <c r="K3298">
        <v>226.26323776951</v>
      </c>
      <c r="L3298">
        <v>226.26323776951</v>
      </c>
    </row>
    <row r="3299" spans="1:12" x14ac:dyDescent="0.2">
      <c r="A3299" s="8" t="s">
        <v>110</v>
      </c>
      <c r="B3299" s="8" t="s">
        <v>140</v>
      </c>
      <c r="C3299" s="8" t="s">
        <v>518</v>
      </c>
      <c r="D3299" s="8" t="s">
        <v>519</v>
      </c>
      <c r="E3299" s="8" t="s">
        <v>57</v>
      </c>
      <c r="F3299" s="8" t="s">
        <v>58</v>
      </c>
      <c r="G3299" s="8" t="s">
        <v>7</v>
      </c>
      <c r="H3299" s="8" t="s">
        <v>38</v>
      </c>
      <c r="I3299" s="9">
        <v>4272.4997000000003</v>
      </c>
      <c r="J3299">
        <v>4785.3104770886002</v>
      </c>
      <c r="K3299">
        <v>4785.3104770886002</v>
      </c>
      <c r="L3299">
        <v>4785.3104770886002</v>
      </c>
    </row>
    <row r="3300" spans="1:12" x14ac:dyDescent="0.2">
      <c r="A3300" s="8" t="s">
        <v>110</v>
      </c>
      <c r="B3300" s="8" t="s">
        <v>140</v>
      </c>
      <c r="C3300" s="8" t="s">
        <v>518</v>
      </c>
      <c r="D3300" s="8" t="s">
        <v>519</v>
      </c>
      <c r="E3300" s="8" t="s">
        <v>72</v>
      </c>
      <c r="F3300" s="8" t="s">
        <v>73</v>
      </c>
      <c r="G3300" s="8" t="s">
        <v>7</v>
      </c>
      <c r="H3300" s="8" t="s">
        <v>38</v>
      </c>
      <c r="I3300" s="9">
        <v>5916.4236000000001</v>
      </c>
      <c r="J3300">
        <v>5692.9957902788001</v>
      </c>
      <c r="K3300">
        <v>2331.5970040246002</v>
      </c>
      <c r="L3300">
        <v>2610.0994354313998</v>
      </c>
    </row>
    <row r="3301" spans="1:12" x14ac:dyDescent="0.2">
      <c r="A3301" s="8" t="s">
        <v>110</v>
      </c>
      <c r="B3301" s="8" t="s">
        <v>140</v>
      </c>
      <c r="C3301" s="8" t="s">
        <v>518</v>
      </c>
      <c r="D3301" s="8" t="s">
        <v>519</v>
      </c>
      <c r="E3301" s="8" t="s">
        <v>74</v>
      </c>
      <c r="F3301" s="8" t="s">
        <v>75</v>
      </c>
      <c r="G3301" s="8" t="s">
        <v>7</v>
      </c>
      <c r="H3301" s="8" t="s">
        <v>38</v>
      </c>
      <c r="I3301" s="9">
        <v>4023.4848999999999</v>
      </c>
      <c r="J3301">
        <v>4316.8531604276004</v>
      </c>
      <c r="K3301">
        <v>1825.9991852840999</v>
      </c>
      <c r="L3301">
        <v>1777.9241779944</v>
      </c>
    </row>
    <row r="3302" spans="1:12" x14ac:dyDescent="0.2">
      <c r="A3302" s="8" t="s">
        <v>110</v>
      </c>
      <c r="B3302" s="8" t="s">
        <v>140</v>
      </c>
      <c r="C3302" s="8" t="s">
        <v>518</v>
      </c>
      <c r="D3302" s="8" t="s">
        <v>519</v>
      </c>
      <c r="E3302" s="8" t="s">
        <v>59</v>
      </c>
      <c r="F3302" s="8" t="s">
        <v>60</v>
      </c>
      <c r="G3302" s="8" t="s">
        <v>7</v>
      </c>
      <c r="H3302" s="8" t="s">
        <v>38</v>
      </c>
      <c r="I3302" s="9">
        <v>647.68161999999995</v>
      </c>
      <c r="J3302">
        <v>719.31741983881</v>
      </c>
      <c r="K3302">
        <v>467.30997652526997</v>
      </c>
      <c r="L3302">
        <v>492.70248881193999</v>
      </c>
    </row>
    <row r="3303" spans="1:12" x14ac:dyDescent="0.2">
      <c r="A3303" s="8" t="s">
        <v>110</v>
      </c>
      <c r="B3303" s="8" t="s">
        <v>140</v>
      </c>
      <c r="C3303" s="8" t="s">
        <v>518</v>
      </c>
      <c r="D3303" s="8" t="s">
        <v>519</v>
      </c>
      <c r="E3303" s="8" t="s">
        <v>76</v>
      </c>
      <c r="F3303" s="8" t="s">
        <v>77</v>
      </c>
      <c r="G3303" s="8" t="s">
        <v>7</v>
      </c>
      <c r="H3303" s="8" t="s">
        <v>38</v>
      </c>
      <c r="I3303" s="9">
        <v>2039.1904999999999</v>
      </c>
      <c r="J3303">
        <v>1925.0000001144999</v>
      </c>
      <c r="K3303">
        <v>593.68571433437</v>
      </c>
      <c r="L3303">
        <v>580.33794167583005</v>
      </c>
    </row>
    <row r="3304" spans="1:12" x14ac:dyDescent="0.2">
      <c r="A3304" s="8" t="s">
        <v>110</v>
      </c>
      <c r="B3304" s="8" t="s">
        <v>140</v>
      </c>
      <c r="C3304" s="8" t="s">
        <v>518</v>
      </c>
      <c r="D3304" s="8" t="s">
        <v>519</v>
      </c>
      <c r="E3304" s="8" t="s">
        <v>78</v>
      </c>
      <c r="F3304" s="8" t="s">
        <v>79</v>
      </c>
      <c r="G3304" s="8" t="s">
        <v>7</v>
      </c>
      <c r="H3304" s="8" t="s">
        <v>38</v>
      </c>
      <c r="I3304" s="9">
        <v>989.99982</v>
      </c>
      <c r="J3304">
        <v>935.47125848571</v>
      </c>
      <c r="K3304">
        <v>346.65707982856998</v>
      </c>
      <c r="L3304">
        <v>257.77709598857001</v>
      </c>
    </row>
    <row r="3305" spans="1:12" x14ac:dyDescent="0.2">
      <c r="A3305" s="8" t="s">
        <v>110</v>
      </c>
      <c r="B3305" s="8" t="s">
        <v>140</v>
      </c>
      <c r="C3305" s="8" t="s">
        <v>518</v>
      </c>
      <c r="D3305" s="8" t="s">
        <v>519</v>
      </c>
      <c r="E3305" s="8" t="s">
        <v>92</v>
      </c>
      <c r="F3305" s="8" t="s">
        <v>93</v>
      </c>
      <c r="G3305" s="8" t="s">
        <v>7</v>
      </c>
      <c r="H3305" s="8" t="s">
        <v>38</v>
      </c>
      <c r="I3305" s="9">
        <v>10.138728</v>
      </c>
      <c r="J3305">
        <v>11.897556108750001</v>
      </c>
      <c r="K3305">
        <v>7.2542650868300003</v>
      </c>
      <c r="L3305">
        <v>7.2103690970679999</v>
      </c>
    </row>
    <row r="3306" spans="1:12" x14ac:dyDescent="0.2">
      <c r="A3306" s="8" t="s">
        <v>32</v>
      </c>
      <c r="B3306" s="8" t="s">
        <v>99</v>
      </c>
      <c r="C3306" s="8" t="s">
        <v>520</v>
      </c>
      <c r="D3306" s="8" t="s">
        <v>521</v>
      </c>
      <c r="E3306" s="8" t="s">
        <v>36</v>
      </c>
      <c r="F3306" s="8" t="s">
        <v>37</v>
      </c>
      <c r="G3306" s="8" t="s">
        <v>7</v>
      </c>
      <c r="H3306" s="8" t="s">
        <v>38</v>
      </c>
      <c r="I3306" s="9">
        <v>534.83600000000001</v>
      </c>
      <c r="J3306">
        <v>1436.6531910000001</v>
      </c>
      <c r="K3306">
        <v>794.40287999999998</v>
      </c>
      <c r="L3306">
        <v>806.81341812127005</v>
      </c>
    </row>
    <row r="3307" spans="1:12" x14ac:dyDescent="0.2">
      <c r="A3307" s="8" t="s">
        <v>32</v>
      </c>
      <c r="B3307" s="8" t="s">
        <v>99</v>
      </c>
      <c r="C3307" s="8" t="s">
        <v>520</v>
      </c>
      <c r="D3307" s="8" t="s">
        <v>521</v>
      </c>
      <c r="E3307" s="8" t="s">
        <v>64</v>
      </c>
      <c r="F3307" s="8" t="s">
        <v>65</v>
      </c>
      <c r="G3307" s="8" t="s">
        <v>7</v>
      </c>
      <c r="H3307" s="8" t="s">
        <v>38</v>
      </c>
      <c r="I3307" s="9">
        <v>394.62371000000002</v>
      </c>
      <c r="J3307">
        <v>402.49030800000003</v>
      </c>
      <c r="K3307">
        <v>385.953575</v>
      </c>
      <c r="L3307">
        <v>328.33351158661998</v>
      </c>
    </row>
    <row r="3308" spans="1:12" x14ac:dyDescent="0.2">
      <c r="A3308" s="8" t="s">
        <v>32</v>
      </c>
      <c r="B3308" s="8" t="s">
        <v>99</v>
      </c>
      <c r="C3308" s="8" t="s">
        <v>520</v>
      </c>
      <c r="D3308" s="8" t="s">
        <v>521</v>
      </c>
      <c r="E3308" s="8" t="s">
        <v>39</v>
      </c>
      <c r="F3308" s="8" t="s">
        <v>40</v>
      </c>
      <c r="G3308" s="8" t="s">
        <v>7</v>
      </c>
      <c r="H3308" s="8" t="s">
        <v>38</v>
      </c>
      <c r="I3308" s="9">
        <v>826.09541000000002</v>
      </c>
      <c r="J3308">
        <v>929.47801000000004</v>
      </c>
      <c r="K3308">
        <v>963.598657</v>
      </c>
      <c r="L3308">
        <v>981.89540150219</v>
      </c>
    </row>
    <row r="3309" spans="1:12" x14ac:dyDescent="0.2">
      <c r="A3309" s="8" t="s">
        <v>32</v>
      </c>
      <c r="B3309" s="8" t="s">
        <v>99</v>
      </c>
      <c r="C3309" s="8" t="s">
        <v>520</v>
      </c>
      <c r="D3309" s="8" t="s">
        <v>521</v>
      </c>
      <c r="E3309" s="8" t="s">
        <v>41</v>
      </c>
      <c r="F3309" s="8" t="s">
        <v>42</v>
      </c>
      <c r="G3309" s="8" t="s">
        <v>7</v>
      </c>
      <c r="H3309" s="8" t="s">
        <v>38</v>
      </c>
      <c r="I3309" s="9">
        <v>8.9168950000000002</v>
      </c>
      <c r="J3309">
        <v>9.5203550000000003</v>
      </c>
      <c r="K3309">
        <v>13.942045</v>
      </c>
      <c r="L3309">
        <v>15.918600765673</v>
      </c>
    </row>
    <row r="3310" spans="1:12" x14ac:dyDescent="0.2">
      <c r="A3310" s="8" t="s">
        <v>32</v>
      </c>
      <c r="B3310" s="8" t="s">
        <v>99</v>
      </c>
      <c r="C3310" s="8" t="s">
        <v>520</v>
      </c>
      <c r="D3310" s="8" t="s">
        <v>521</v>
      </c>
      <c r="E3310" s="8" t="s">
        <v>43</v>
      </c>
      <c r="F3310" s="8" t="s">
        <v>44</v>
      </c>
      <c r="G3310" s="8" t="s">
        <v>7</v>
      </c>
      <c r="H3310" s="8" t="s">
        <v>38</v>
      </c>
      <c r="I3310" s="9">
        <v>3471.9016000000001</v>
      </c>
      <c r="J3310">
        <v>3841.421781</v>
      </c>
      <c r="K3310">
        <v>4079.100876</v>
      </c>
      <c r="L3310">
        <v>4142.8265222641003</v>
      </c>
    </row>
    <row r="3311" spans="1:12" x14ac:dyDescent="0.2">
      <c r="A3311" s="8" t="s">
        <v>32</v>
      </c>
      <c r="B3311" s="8" t="s">
        <v>99</v>
      </c>
      <c r="C3311" s="8" t="s">
        <v>520</v>
      </c>
      <c r="D3311" s="8" t="s">
        <v>521</v>
      </c>
      <c r="E3311" s="8" t="s">
        <v>66</v>
      </c>
      <c r="F3311" s="8" t="s">
        <v>67</v>
      </c>
      <c r="G3311" s="8" t="s">
        <v>7</v>
      </c>
      <c r="H3311" s="8" t="s">
        <v>38</v>
      </c>
      <c r="I3311" s="9">
        <v>0.62021700000000002</v>
      </c>
      <c r="J3311">
        <v>0.62021700000000002</v>
      </c>
      <c r="K3311">
        <v>0.62021700000000002</v>
      </c>
      <c r="L3311">
        <v>0.62990632378738998</v>
      </c>
    </row>
    <row r="3312" spans="1:12" x14ac:dyDescent="0.2">
      <c r="A3312" s="8" t="s">
        <v>32</v>
      </c>
      <c r="B3312" s="8" t="s">
        <v>99</v>
      </c>
      <c r="C3312" s="8" t="s">
        <v>520</v>
      </c>
      <c r="D3312" s="8" t="s">
        <v>521</v>
      </c>
      <c r="E3312" s="8" t="s">
        <v>45</v>
      </c>
      <c r="F3312" s="8" t="s">
        <v>46</v>
      </c>
      <c r="G3312" s="8" t="s">
        <v>7</v>
      </c>
      <c r="H3312" s="8" t="s">
        <v>38</v>
      </c>
      <c r="I3312" s="9">
        <v>32.277642</v>
      </c>
      <c r="J3312">
        <v>35.402439000000001</v>
      </c>
      <c r="K3312">
        <v>34.130141999999999</v>
      </c>
      <c r="L3312">
        <v>36.369828486746997</v>
      </c>
    </row>
    <row r="3313" spans="1:12" x14ac:dyDescent="0.2">
      <c r="A3313" s="8" t="s">
        <v>32</v>
      </c>
      <c r="B3313" s="8" t="s">
        <v>99</v>
      </c>
      <c r="C3313" s="8" t="s">
        <v>520</v>
      </c>
      <c r="D3313" s="8" t="s">
        <v>521</v>
      </c>
      <c r="E3313" s="8" t="s">
        <v>47</v>
      </c>
      <c r="F3313" s="8" t="s">
        <v>48</v>
      </c>
      <c r="G3313" s="8" t="s">
        <v>7</v>
      </c>
      <c r="H3313" s="8" t="s">
        <v>38</v>
      </c>
      <c r="I3313" s="9"/>
    </row>
    <row r="3314" spans="1:12" x14ac:dyDescent="0.2">
      <c r="A3314" s="8" t="s">
        <v>32</v>
      </c>
      <c r="B3314" s="8" t="s">
        <v>99</v>
      </c>
      <c r="C3314" s="8" t="s">
        <v>520</v>
      </c>
      <c r="D3314" s="8" t="s">
        <v>521</v>
      </c>
      <c r="E3314" s="8" t="s">
        <v>49</v>
      </c>
      <c r="F3314" s="8" t="s">
        <v>50</v>
      </c>
      <c r="G3314" s="8" t="s">
        <v>7</v>
      </c>
      <c r="H3314" s="8" t="s">
        <v>38</v>
      </c>
      <c r="I3314" s="9">
        <v>892.13211999999999</v>
      </c>
      <c r="J3314">
        <v>890.41509900000005</v>
      </c>
      <c r="K3314">
        <v>906.28464499999995</v>
      </c>
      <c r="L3314">
        <v>928.73042582668995</v>
      </c>
    </row>
    <row r="3315" spans="1:12" x14ac:dyDescent="0.2">
      <c r="A3315" s="8" t="s">
        <v>32</v>
      </c>
      <c r="B3315" s="8" t="s">
        <v>99</v>
      </c>
      <c r="C3315" s="8" t="s">
        <v>520</v>
      </c>
      <c r="D3315" s="8" t="s">
        <v>521</v>
      </c>
      <c r="E3315" s="8" t="s">
        <v>51</v>
      </c>
      <c r="F3315" s="8" t="s">
        <v>52</v>
      </c>
      <c r="G3315" s="8" t="s">
        <v>7</v>
      </c>
      <c r="H3315" s="8" t="s">
        <v>38</v>
      </c>
      <c r="I3315" s="9"/>
    </row>
    <row r="3316" spans="1:12" x14ac:dyDescent="0.2">
      <c r="A3316" s="8" t="s">
        <v>32</v>
      </c>
      <c r="B3316" s="8" t="s">
        <v>99</v>
      </c>
      <c r="C3316" s="8" t="s">
        <v>520</v>
      </c>
      <c r="D3316" s="8" t="s">
        <v>521</v>
      </c>
      <c r="E3316" s="8" t="s">
        <v>68</v>
      </c>
      <c r="F3316" s="8" t="s">
        <v>69</v>
      </c>
      <c r="G3316" s="8" t="s">
        <v>7</v>
      </c>
      <c r="H3316" s="8" t="s">
        <v>38</v>
      </c>
      <c r="I3316" s="9"/>
    </row>
    <row r="3317" spans="1:12" x14ac:dyDescent="0.2">
      <c r="A3317" s="8" t="s">
        <v>32</v>
      </c>
      <c r="B3317" s="8" t="s">
        <v>99</v>
      </c>
      <c r="C3317" s="8" t="s">
        <v>520</v>
      </c>
      <c r="D3317" s="8" t="s">
        <v>521</v>
      </c>
      <c r="E3317" s="8" t="s">
        <v>53</v>
      </c>
      <c r="F3317" s="8" t="s">
        <v>54</v>
      </c>
      <c r="G3317" s="8" t="s">
        <v>7</v>
      </c>
      <c r="H3317" s="8" t="s">
        <v>38</v>
      </c>
      <c r="I3317" s="9">
        <v>24.768101000000001</v>
      </c>
      <c r="J3317">
        <v>5.8875678482599998</v>
      </c>
      <c r="K3317">
        <v>7.1840911589500003</v>
      </c>
      <c r="L3317">
        <v>5.8324565392428998</v>
      </c>
    </row>
    <row r="3318" spans="1:12" x14ac:dyDescent="0.2">
      <c r="A3318" s="8" t="s">
        <v>32</v>
      </c>
      <c r="B3318" s="8" t="s">
        <v>99</v>
      </c>
      <c r="C3318" s="8" t="s">
        <v>520</v>
      </c>
      <c r="D3318" s="8" t="s">
        <v>521</v>
      </c>
      <c r="E3318" s="8" t="s">
        <v>70</v>
      </c>
      <c r="F3318" s="8" t="s">
        <v>71</v>
      </c>
      <c r="G3318" s="8" t="s">
        <v>7</v>
      </c>
      <c r="H3318" s="8" t="s">
        <v>38</v>
      </c>
      <c r="I3318" s="9">
        <v>316.10480000000001</v>
      </c>
      <c r="J3318">
        <v>344.84159790000001</v>
      </c>
      <c r="K3318">
        <v>344.84159790000001</v>
      </c>
      <c r="L3318">
        <v>344.45256911605998</v>
      </c>
    </row>
    <row r="3319" spans="1:12" x14ac:dyDescent="0.2">
      <c r="A3319" s="8" t="s">
        <v>32</v>
      </c>
      <c r="B3319" s="8" t="s">
        <v>99</v>
      </c>
      <c r="C3319" s="8" t="s">
        <v>520</v>
      </c>
      <c r="D3319" s="8" t="s">
        <v>521</v>
      </c>
      <c r="E3319" s="8" t="s">
        <v>83</v>
      </c>
      <c r="F3319" s="8" t="s">
        <v>84</v>
      </c>
      <c r="G3319" s="8" t="s">
        <v>7</v>
      </c>
      <c r="H3319" s="8" t="s">
        <v>38</v>
      </c>
      <c r="I3319" s="9">
        <v>7.5</v>
      </c>
      <c r="J3319">
        <v>7.5</v>
      </c>
      <c r="K3319">
        <v>7.5</v>
      </c>
      <c r="L3319">
        <v>7.5</v>
      </c>
    </row>
    <row r="3320" spans="1:12" x14ac:dyDescent="0.2">
      <c r="A3320" s="8" t="s">
        <v>32</v>
      </c>
      <c r="B3320" s="8" t="s">
        <v>99</v>
      </c>
      <c r="C3320" s="8" t="s">
        <v>520</v>
      </c>
      <c r="D3320" s="8" t="s">
        <v>521</v>
      </c>
      <c r="E3320" s="8" t="s">
        <v>55</v>
      </c>
      <c r="F3320" s="8" t="s">
        <v>56</v>
      </c>
      <c r="G3320" s="8" t="s">
        <v>7</v>
      </c>
      <c r="H3320" s="8" t="s">
        <v>38</v>
      </c>
      <c r="I3320" s="9">
        <v>0.19341610000000001</v>
      </c>
      <c r="J3320">
        <v>0.21663101733973</v>
      </c>
      <c r="K3320">
        <v>0.21663101733973</v>
      </c>
      <c r="L3320">
        <v>0.21663101733973</v>
      </c>
    </row>
    <row r="3321" spans="1:12" x14ac:dyDescent="0.2">
      <c r="A3321" s="8" t="s">
        <v>32</v>
      </c>
      <c r="B3321" s="8" t="s">
        <v>99</v>
      </c>
      <c r="C3321" s="8" t="s">
        <v>520</v>
      </c>
      <c r="D3321" s="8" t="s">
        <v>521</v>
      </c>
      <c r="E3321" s="8" t="s">
        <v>57</v>
      </c>
      <c r="F3321" s="8" t="s">
        <v>58</v>
      </c>
      <c r="G3321" s="8" t="s">
        <v>7</v>
      </c>
      <c r="H3321" s="8" t="s">
        <v>38</v>
      </c>
      <c r="I3321" s="9"/>
    </row>
    <row r="3322" spans="1:12" x14ac:dyDescent="0.2">
      <c r="A3322" s="8" t="s">
        <v>32</v>
      </c>
      <c r="B3322" s="8" t="s">
        <v>99</v>
      </c>
      <c r="C3322" s="8" t="s">
        <v>520</v>
      </c>
      <c r="D3322" s="8" t="s">
        <v>521</v>
      </c>
      <c r="E3322" s="8" t="s">
        <v>74</v>
      </c>
      <c r="F3322" s="8" t="s">
        <v>75</v>
      </c>
      <c r="G3322" s="8" t="s">
        <v>7</v>
      </c>
      <c r="H3322" s="8" t="s">
        <v>38</v>
      </c>
      <c r="I3322" s="9">
        <v>1.96356</v>
      </c>
      <c r="J3322">
        <v>2.5099999999999998</v>
      </c>
      <c r="K3322">
        <v>2.19476</v>
      </c>
      <c r="L3322">
        <v>1.9332400000000001</v>
      </c>
    </row>
    <row r="3323" spans="1:12" x14ac:dyDescent="0.2">
      <c r="A3323" s="8" t="s">
        <v>32</v>
      </c>
      <c r="B3323" s="8" t="s">
        <v>99</v>
      </c>
      <c r="C3323" s="8" t="s">
        <v>520</v>
      </c>
      <c r="D3323" s="8" t="s">
        <v>521</v>
      </c>
      <c r="E3323" s="8" t="s">
        <v>59</v>
      </c>
      <c r="F3323" s="8" t="s">
        <v>60</v>
      </c>
      <c r="G3323" s="8" t="s">
        <v>7</v>
      </c>
      <c r="H3323" s="8" t="s">
        <v>38</v>
      </c>
      <c r="I3323" s="9">
        <v>41.700581999999997</v>
      </c>
      <c r="J3323">
        <v>41.436249839807999</v>
      </c>
      <c r="K3323">
        <v>45.943771919230002</v>
      </c>
      <c r="L3323">
        <v>39.669781717919001</v>
      </c>
    </row>
    <row r="3324" spans="1:12" x14ac:dyDescent="0.2">
      <c r="A3324" s="8" t="s">
        <v>32</v>
      </c>
      <c r="B3324" s="8" t="s">
        <v>99</v>
      </c>
      <c r="C3324" s="8" t="s">
        <v>520</v>
      </c>
      <c r="D3324" s="8" t="s">
        <v>521</v>
      </c>
      <c r="E3324" s="8" t="s">
        <v>76</v>
      </c>
      <c r="F3324" s="8" t="s">
        <v>77</v>
      </c>
      <c r="G3324" s="8" t="s">
        <v>7</v>
      </c>
      <c r="H3324" s="8" t="s">
        <v>38</v>
      </c>
      <c r="I3324" s="9">
        <v>226.07619</v>
      </c>
      <c r="J3324">
        <v>373.26666675455999</v>
      </c>
      <c r="K3324">
        <v>223.14285720382</v>
      </c>
      <c r="L3324">
        <v>223.14285720382</v>
      </c>
    </row>
    <row r="3325" spans="1:12" x14ac:dyDescent="0.2">
      <c r="A3325" s="8" t="s">
        <v>32</v>
      </c>
      <c r="B3325" s="8" t="s">
        <v>99</v>
      </c>
      <c r="C3325" s="8" t="s">
        <v>520</v>
      </c>
      <c r="D3325" s="8" t="s">
        <v>521</v>
      </c>
      <c r="E3325" s="8" t="s">
        <v>78</v>
      </c>
      <c r="F3325" s="8" t="s">
        <v>79</v>
      </c>
      <c r="G3325" s="8" t="s">
        <v>7</v>
      </c>
      <c r="H3325" s="8" t="s">
        <v>38</v>
      </c>
      <c r="I3325" s="9">
        <v>132.47139999999999</v>
      </c>
      <c r="J3325">
        <v>228.79995840000001</v>
      </c>
      <c r="K3325">
        <v>282.54280577142998</v>
      </c>
      <c r="L3325">
        <v>325.12851231428999</v>
      </c>
    </row>
    <row r="3326" spans="1:12" x14ac:dyDescent="0.2">
      <c r="A3326" s="8" t="s">
        <v>32</v>
      </c>
      <c r="B3326" s="8" t="s">
        <v>99</v>
      </c>
      <c r="C3326" s="8" t="s">
        <v>520</v>
      </c>
      <c r="D3326" s="8" t="s">
        <v>521</v>
      </c>
      <c r="E3326" s="8" t="s">
        <v>92</v>
      </c>
      <c r="F3326" s="8" t="s">
        <v>93</v>
      </c>
      <c r="G3326" s="8" t="s">
        <v>7</v>
      </c>
      <c r="H3326" s="8" t="s">
        <v>38</v>
      </c>
      <c r="I3326" s="9">
        <v>1.347234</v>
      </c>
      <c r="J3326">
        <v>1.3530178361048</v>
      </c>
      <c r="K3326">
        <v>1.3586688652532</v>
      </c>
      <c r="L3326">
        <v>1.3646445618954</v>
      </c>
    </row>
    <row r="3327" spans="1:12" x14ac:dyDescent="0.2">
      <c r="A3327" s="8" t="s">
        <v>110</v>
      </c>
      <c r="B3327" s="8" t="s">
        <v>467</v>
      </c>
      <c r="C3327" s="8" t="s">
        <v>467</v>
      </c>
      <c r="D3327" s="8" t="s">
        <v>522</v>
      </c>
      <c r="E3327" s="8" t="s">
        <v>36</v>
      </c>
      <c r="F3327" s="8" t="s">
        <v>37</v>
      </c>
      <c r="G3327" s="8" t="s">
        <v>7</v>
      </c>
      <c r="H3327" s="8" t="s">
        <v>38</v>
      </c>
      <c r="I3327" s="9">
        <v>1524902.3</v>
      </c>
      <c r="J3327">
        <v>1627203.1033079999</v>
      </c>
      <c r="K3327">
        <v>1609773.7987879999</v>
      </c>
      <c r="L3327">
        <v>1490541.9665645</v>
      </c>
    </row>
    <row r="3328" spans="1:12" x14ac:dyDescent="0.2">
      <c r="A3328" s="8" t="s">
        <v>110</v>
      </c>
      <c r="B3328" s="8" t="s">
        <v>467</v>
      </c>
      <c r="C3328" s="8" t="s">
        <v>467</v>
      </c>
      <c r="D3328" s="8" t="s">
        <v>522</v>
      </c>
      <c r="E3328" s="8" t="s">
        <v>64</v>
      </c>
      <c r="F3328" s="8" t="s">
        <v>65</v>
      </c>
      <c r="G3328" s="8" t="s">
        <v>7</v>
      </c>
      <c r="H3328" s="8" t="s">
        <v>38</v>
      </c>
      <c r="I3328" s="9">
        <v>238736.74</v>
      </c>
      <c r="J3328">
        <v>249374.84529900001</v>
      </c>
      <c r="K3328">
        <v>251234.186636</v>
      </c>
      <c r="L3328">
        <v>255498.48039293999</v>
      </c>
    </row>
    <row r="3329" spans="1:12" x14ac:dyDescent="0.2">
      <c r="A3329" s="8" t="s">
        <v>110</v>
      </c>
      <c r="B3329" s="8" t="s">
        <v>467</v>
      </c>
      <c r="C3329" s="8" t="s">
        <v>467</v>
      </c>
      <c r="D3329" s="8" t="s">
        <v>522</v>
      </c>
      <c r="E3329" s="8" t="s">
        <v>39</v>
      </c>
      <c r="F3329" s="8" t="s">
        <v>40</v>
      </c>
      <c r="G3329" s="8" t="s">
        <v>7</v>
      </c>
      <c r="H3329" s="8" t="s">
        <v>38</v>
      </c>
      <c r="I3329" s="9">
        <v>437455.65</v>
      </c>
      <c r="J3329">
        <v>445756.37524099997</v>
      </c>
      <c r="K3329">
        <v>455567.92088200001</v>
      </c>
      <c r="L3329">
        <v>440942.93331882998</v>
      </c>
    </row>
    <row r="3330" spans="1:12" x14ac:dyDescent="0.2">
      <c r="A3330" s="8" t="s">
        <v>110</v>
      </c>
      <c r="B3330" s="8" t="s">
        <v>467</v>
      </c>
      <c r="C3330" s="8" t="s">
        <v>467</v>
      </c>
      <c r="D3330" s="8" t="s">
        <v>522</v>
      </c>
      <c r="E3330" s="8" t="s">
        <v>41</v>
      </c>
      <c r="F3330" s="8" t="s">
        <v>42</v>
      </c>
      <c r="G3330" s="8" t="s">
        <v>7</v>
      </c>
      <c r="H3330" s="8" t="s">
        <v>38</v>
      </c>
      <c r="I3330" s="9">
        <v>112042.64</v>
      </c>
      <c r="J3330">
        <v>142078.00639</v>
      </c>
      <c r="K3330">
        <v>161598.516065</v>
      </c>
      <c r="L3330">
        <v>172327.63110331999</v>
      </c>
    </row>
    <row r="3331" spans="1:12" x14ac:dyDescent="0.2">
      <c r="A3331" s="8" t="s">
        <v>110</v>
      </c>
      <c r="B3331" s="8" t="s">
        <v>467</v>
      </c>
      <c r="C3331" s="8" t="s">
        <v>467</v>
      </c>
      <c r="D3331" s="8" t="s">
        <v>522</v>
      </c>
      <c r="E3331" s="8" t="s">
        <v>43</v>
      </c>
      <c r="F3331" s="8" t="s">
        <v>44</v>
      </c>
      <c r="G3331" s="8" t="s">
        <v>7</v>
      </c>
      <c r="H3331" s="8" t="s">
        <v>38</v>
      </c>
      <c r="I3331" s="9">
        <v>1288240.6000000001</v>
      </c>
      <c r="J3331">
        <v>1402082.92854</v>
      </c>
      <c r="K3331">
        <v>1413469.931506</v>
      </c>
      <c r="L3331">
        <v>1384956.5563558999</v>
      </c>
    </row>
    <row r="3332" spans="1:12" x14ac:dyDescent="0.2">
      <c r="A3332" s="8" t="s">
        <v>110</v>
      </c>
      <c r="B3332" s="8" t="s">
        <v>467</v>
      </c>
      <c r="C3332" s="8" t="s">
        <v>467</v>
      </c>
      <c r="D3332" s="8" t="s">
        <v>522</v>
      </c>
      <c r="E3332" s="8" t="s">
        <v>66</v>
      </c>
      <c r="F3332" s="8" t="s">
        <v>67</v>
      </c>
      <c r="G3332" s="8" t="s">
        <v>7</v>
      </c>
      <c r="H3332" s="8" t="s">
        <v>38</v>
      </c>
      <c r="I3332" s="9">
        <v>32555.284</v>
      </c>
      <c r="J3332">
        <v>34240.256193000001</v>
      </c>
      <c r="K3332">
        <v>34318.159745999998</v>
      </c>
      <c r="L3332">
        <v>28430.430229349</v>
      </c>
    </row>
    <row r="3333" spans="1:12" x14ac:dyDescent="0.2">
      <c r="A3333" s="8" t="s">
        <v>110</v>
      </c>
      <c r="B3333" s="8" t="s">
        <v>467</v>
      </c>
      <c r="C3333" s="8" t="s">
        <v>467</v>
      </c>
      <c r="D3333" s="8" t="s">
        <v>522</v>
      </c>
      <c r="E3333" s="8" t="s">
        <v>45</v>
      </c>
      <c r="F3333" s="8" t="s">
        <v>46</v>
      </c>
      <c r="G3333" s="8" t="s">
        <v>7</v>
      </c>
      <c r="H3333" s="8" t="s">
        <v>38</v>
      </c>
      <c r="I3333" s="9">
        <v>19441.001</v>
      </c>
      <c r="J3333">
        <v>22876.604459999999</v>
      </c>
      <c r="K3333">
        <v>23132.721152999999</v>
      </c>
      <c r="L3333">
        <v>20601.658981156001</v>
      </c>
    </row>
    <row r="3334" spans="1:12" x14ac:dyDescent="0.2">
      <c r="A3334" s="8" t="s">
        <v>110</v>
      </c>
      <c r="B3334" s="8" t="s">
        <v>467</v>
      </c>
      <c r="C3334" s="8" t="s">
        <v>467</v>
      </c>
      <c r="D3334" s="8" t="s">
        <v>522</v>
      </c>
      <c r="E3334" s="8" t="s">
        <v>47</v>
      </c>
      <c r="F3334" s="8" t="s">
        <v>48</v>
      </c>
      <c r="G3334" s="8" t="s">
        <v>7</v>
      </c>
      <c r="H3334" s="8" t="s">
        <v>38</v>
      </c>
      <c r="I3334" s="9">
        <v>55635.675000000003</v>
      </c>
      <c r="J3334">
        <v>62400.464775</v>
      </c>
      <c r="K3334">
        <v>66908.680970999994</v>
      </c>
      <c r="L3334">
        <v>68648.097662792003</v>
      </c>
    </row>
    <row r="3335" spans="1:12" x14ac:dyDescent="0.2">
      <c r="A3335" s="8" t="s">
        <v>110</v>
      </c>
      <c r="B3335" s="8" t="s">
        <v>467</v>
      </c>
      <c r="C3335" s="8" t="s">
        <v>467</v>
      </c>
      <c r="D3335" s="8" t="s">
        <v>522</v>
      </c>
      <c r="E3335" s="8" t="s">
        <v>49</v>
      </c>
      <c r="F3335" s="8" t="s">
        <v>50</v>
      </c>
      <c r="G3335" s="8" t="s">
        <v>7</v>
      </c>
      <c r="H3335" s="8" t="s">
        <v>38</v>
      </c>
      <c r="I3335" s="9">
        <v>547222.38</v>
      </c>
      <c r="J3335">
        <v>561826.37662999996</v>
      </c>
      <c r="K3335">
        <v>590276.12412699999</v>
      </c>
      <c r="L3335">
        <v>549980.28001333994</v>
      </c>
    </row>
    <row r="3336" spans="1:12" x14ac:dyDescent="0.2">
      <c r="A3336" s="8" t="s">
        <v>110</v>
      </c>
      <c r="B3336" s="8" t="s">
        <v>467</v>
      </c>
      <c r="C3336" s="8" t="s">
        <v>467</v>
      </c>
      <c r="D3336" s="8" t="s">
        <v>522</v>
      </c>
      <c r="E3336" s="8" t="s">
        <v>51</v>
      </c>
      <c r="F3336" s="8" t="s">
        <v>52</v>
      </c>
      <c r="G3336" s="8" t="s">
        <v>7</v>
      </c>
      <c r="H3336" s="8" t="s">
        <v>38</v>
      </c>
      <c r="I3336" s="9">
        <v>1395.2941000000001</v>
      </c>
      <c r="J3336">
        <v>1420.4970000000001</v>
      </c>
      <c r="K3336">
        <v>1461.8210879999999</v>
      </c>
      <c r="L3336">
        <v>1297.3873174296</v>
      </c>
    </row>
    <row r="3337" spans="1:12" x14ac:dyDescent="0.2">
      <c r="A3337" s="8" t="s">
        <v>110</v>
      </c>
      <c r="B3337" s="8" t="s">
        <v>467</v>
      </c>
      <c r="C3337" s="8" t="s">
        <v>467</v>
      </c>
      <c r="D3337" s="8" t="s">
        <v>522</v>
      </c>
      <c r="E3337" s="8" t="s">
        <v>68</v>
      </c>
      <c r="F3337" s="8" t="s">
        <v>69</v>
      </c>
      <c r="G3337" s="8" t="s">
        <v>7</v>
      </c>
      <c r="H3337" s="8" t="s">
        <v>38</v>
      </c>
      <c r="I3337" s="9">
        <v>16254.314</v>
      </c>
      <c r="J3337">
        <v>18590.225854382999</v>
      </c>
      <c r="K3337">
        <v>17567.785171898999</v>
      </c>
      <c r="L3337">
        <v>16743.005587346001</v>
      </c>
    </row>
    <row r="3338" spans="1:12" x14ac:dyDescent="0.2">
      <c r="A3338" s="8" t="s">
        <v>110</v>
      </c>
      <c r="B3338" s="8" t="s">
        <v>467</v>
      </c>
      <c r="C3338" s="8" t="s">
        <v>467</v>
      </c>
      <c r="D3338" s="8" t="s">
        <v>522</v>
      </c>
      <c r="E3338" s="8" t="s">
        <v>53</v>
      </c>
      <c r="F3338" s="8" t="s">
        <v>54</v>
      </c>
      <c r="G3338" s="8" t="s">
        <v>7</v>
      </c>
      <c r="H3338" s="8" t="s">
        <v>38</v>
      </c>
      <c r="I3338" s="9">
        <v>23396.031999999999</v>
      </c>
      <c r="J3338">
        <v>17558.364122399002</v>
      </c>
      <c r="K3338">
        <v>16067.076734523</v>
      </c>
      <c r="L3338">
        <v>19338.916281192</v>
      </c>
    </row>
    <row r="3339" spans="1:12" x14ac:dyDescent="0.2">
      <c r="A3339" s="8" t="s">
        <v>110</v>
      </c>
      <c r="B3339" s="8" t="s">
        <v>467</v>
      </c>
      <c r="C3339" s="8" t="s">
        <v>467</v>
      </c>
      <c r="D3339" s="8" t="s">
        <v>522</v>
      </c>
      <c r="E3339" s="8" t="s">
        <v>70</v>
      </c>
      <c r="F3339" s="8" t="s">
        <v>71</v>
      </c>
      <c r="G3339" s="8" t="s">
        <v>7</v>
      </c>
      <c r="H3339" s="8" t="s">
        <v>38</v>
      </c>
      <c r="I3339" s="9">
        <v>41786.629999999997</v>
      </c>
      <c r="J3339">
        <v>40530.618210070003</v>
      </c>
      <c r="K3339">
        <v>40672.293156656997</v>
      </c>
      <c r="L3339">
        <v>39943.424563524</v>
      </c>
    </row>
    <row r="3340" spans="1:12" x14ac:dyDescent="0.2">
      <c r="A3340" s="8" t="s">
        <v>110</v>
      </c>
      <c r="B3340" s="8" t="s">
        <v>467</v>
      </c>
      <c r="C3340" s="8" t="s">
        <v>467</v>
      </c>
      <c r="D3340" s="8" t="s">
        <v>522</v>
      </c>
      <c r="E3340" s="8" t="s">
        <v>83</v>
      </c>
      <c r="F3340" s="8" t="s">
        <v>84</v>
      </c>
      <c r="G3340" s="8" t="s">
        <v>7</v>
      </c>
      <c r="H3340" s="8" t="s">
        <v>38</v>
      </c>
      <c r="I3340" s="9">
        <v>11850</v>
      </c>
      <c r="J3340">
        <v>12600</v>
      </c>
      <c r="K3340">
        <v>12750</v>
      </c>
      <c r="L3340">
        <v>12000</v>
      </c>
    </row>
    <row r="3341" spans="1:12" x14ac:dyDescent="0.2">
      <c r="A3341" s="8" t="s">
        <v>110</v>
      </c>
      <c r="B3341" s="8" t="s">
        <v>467</v>
      </c>
      <c r="C3341" s="8" t="s">
        <v>467</v>
      </c>
      <c r="D3341" s="8" t="s">
        <v>522</v>
      </c>
      <c r="E3341" s="8" t="s">
        <v>55</v>
      </c>
      <c r="F3341" s="8" t="s">
        <v>56</v>
      </c>
      <c r="G3341" s="8" t="s">
        <v>7</v>
      </c>
      <c r="H3341" s="8" t="s">
        <v>38</v>
      </c>
      <c r="I3341" s="9">
        <v>1800.6750999999999</v>
      </c>
      <c r="J3341">
        <v>1919.5905078915</v>
      </c>
      <c r="K3341">
        <v>1960.4372662224</v>
      </c>
      <c r="L3341">
        <v>1919.0253001993999</v>
      </c>
    </row>
    <row r="3342" spans="1:12" x14ac:dyDescent="0.2">
      <c r="A3342" s="8" t="s">
        <v>110</v>
      </c>
      <c r="B3342" s="8" t="s">
        <v>467</v>
      </c>
      <c r="C3342" s="8" t="s">
        <v>467</v>
      </c>
      <c r="D3342" s="8" t="s">
        <v>522</v>
      </c>
      <c r="E3342" s="8" t="s">
        <v>57</v>
      </c>
      <c r="F3342" s="8" t="s">
        <v>58</v>
      </c>
      <c r="G3342" s="8" t="s">
        <v>7</v>
      </c>
      <c r="H3342" s="8" t="s">
        <v>38</v>
      </c>
      <c r="I3342" s="9">
        <v>12172.763000000001</v>
      </c>
      <c r="J3342">
        <v>13066.381270124</v>
      </c>
      <c r="K3342">
        <v>13269.837077197</v>
      </c>
      <c r="L3342">
        <v>12989.527142449</v>
      </c>
    </row>
    <row r="3343" spans="1:12" x14ac:dyDescent="0.2">
      <c r="A3343" s="8" t="s">
        <v>110</v>
      </c>
      <c r="B3343" s="8" t="s">
        <v>467</v>
      </c>
      <c r="C3343" s="8" t="s">
        <v>467</v>
      </c>
      <c r="D3343" s="8" t="s">
        <v>522</v>
      </c>
      <c r="E3343" s="8" t="s">
        <v>72</v>
      </c>
      <c r="F3343" s="8" t="s">
        <v>73</v>
      </c>
      <c r="G3343" s="8" t="s">
        <v>7</v>
      </c>
      <c r="H3343" s="8" t="s">
        <v>38</v>
      </c>
      <c r="I3343" s="9">
        <v>72302.332999999999</v>
      </c>
      <c r="J3343">
        <v>70542.300058616995</v>
      </c>
      <c r="K3343">
        <v>74956.976146175002</v>
      </c>
      <c r="L3343">
        <v>72380.955197043993</v>
      </c>
    </row>
    <row r="3344" spans="1:12" x14ac:dyDescent="0.2">
      <c r="A3344" s="8" t="s">
        <v>110</v>
      </c>
      <c r="B3344" s="8" t="s">
        <v>467</v>
      </c>
      <c r="C3344" s="8" t="s">
        <v>467</v>
      </c>
      <c r="D3344" s="8" t="s">
        <v>522</v>
      </c>
      <c r="E3344" s="8" t="s">
        <v>74</v>
      </c>
      <c r="F3344" s="8" t="s">
        <v>75</v>
      </c>
      <c r="G3344" s="8" t="s">
        <v>7</v>
      </c>
      <c r="H3344" s="8" t="s">
        <v>38</v>
      </c>
      <c r="I3344" s="9">
        <v>8532.0159000000003</v>
      </c>
      <c r="J3344">
        <v>9635.0852721870997</v>
      </c>
      <c r="K3344">
        <v>9064.2450830087</v>
      </c>
      <c r="L3344">
        <v>9053.1979858366994</v>
      </c>
    </row>
    <row r="3345" spans="1:12" x14ac:dyDescent="0.2">
      <c r="A3345" s="8" t="s">
        <v>110</v>
      </c>
      <c r="B3345" s="8" t="s">
        <v>467</v>
      </c>
      <c r="C3345" s="8" t="s">
        <v>467</v>
      </c>
      <c r="D3345" s="8" t="s">
        <v>522</v>
      </c>
      <c r="E3345" s="8" t="s">
        <v>59</v>
      </c>
      <c r="F3345" s="8" t="s">
        <v>60</v>
      </c>
      <c r="G3345" s="8" t="s">
        <v>7</v>
      </c>
      <c r="H3345" s="8" t="s">
        <v>38</v>
      </c>
      <c r="I3345" s="9">
        <v>9622.1512000000002</v>
      </c>
      <c r="J3345">
        <v>9526.4870884420998</v>
      </c>
      <c r="K3345">
        <v>10088.706553096999</v>
      </c>
      <c r="L3345">
        <v>9140.0183232457002</v>
      </c>
    </row>
    <row r="3346" spans="1:12" x14ac:dyDescent="0.2">
      <c r="A3346" s="8" t="s">
        <v>110</v>
      </c>
      <c r="B3346" s="8" t="s">
        <v>467</v>
      </c>
      <c r="C3346" s="8" t="s">
        <v>467</v>
      </c>
      <c r="D3346" s="8" t="s">
        <v>522</v>
      </c>
      <c r="E3346" s="8" t="s">
        <v>76</v>
      </c>
      <c r="F3346" s="8" t="s">
        <v>77</v>
      </c>
      <c r="G3346" s="8" t="s">
        <v>7</v>
      </c>
      <c r="H3346" s="8" t="s">
        <v>38</v>
      </c>
      <c r="I3346" s="9">
        <v>2124.1</v>
      </c>
      <c r="J3346">
        <v>1975.495238427</v>
      </c>
      <c r="K3346">
        <v>2136.6714289271999</v>
      </c>
      <c r="L3346">
        <v>2010.9848742843999</v>
      </c>
    </row>
    <row r="3347" spans="1:12" x14ac:dyDescent="0.2">
      <c r="A3347" s="8" t="s">
        <v>110</v>
      </c>
      <c r="B3347" s="8" t="s">
        <v>467</v>
      </c>
      <c r="C3347" s="8" t="s">
        <v>467</v>
      </c>
      <c r="D3347" s="8" t="s">
        <v>522</v>
      </c>
      <c r="E3347" s="8" t="s">
        <v>78</v>
      </c>
      <c r="F3347" s="8" t="s">
        <v>79</v>
      </c>
      <c r="G3347" s="8" t="s">
        <v>7</v>
      </c>
      <c r="H3347" s="8" t="s">
        <v>38</v>
      </c>
      <c r="I3347" s="9">
        <v>4677.8276999999998</v>
      </c>
      <c r="J3347">
        <v>4444.4706204857002</v>
      </c>
      <c r="K3347">
        <v>4760.6419915713996</v>
      </c>
      <c r="L3347">
        <v>4793.0448428229001</v>
      </c>
    </row>
    <row r="3348" spans="1:12" x14ac:dyDescent="0.2">
      <c r="A3348" s="8" t="s">
        <v>110</v>
      </c>
      <c r="B3348" s="8" t="s">
        <v>467</v>
      </c>
      <c r="C3348" s="8" t="s">
        <v>467</v>
      </c>
      <c r="D3348" s="8" t="s">
        <v>522</v>
      </c>
      <c r="E3348" s="8" t="s">
        <v>113</v>
      </c>
      <c r="F3348" s="8" t="s">
        <v>114</v>
      </c>
      <c r="G3348" s="8" t="s">
        <v>7</v>
      </c>
      <c r="H3348" s="8" t="s">
        <v>38</v>
      </c>
      <c r="I3348" s="9">
        <v>4730</v>
      </c>
      <c r="J3348">
        <v>4730</v>
      </c>
      <c r="K3348">
        <v>4730</v>
      </c>
      <c r="L3348">
        <v>4730</v>
      </c>
    </row>
    <row r="3349" spans="1:12" x14ac:dyDescent="0.2">
      <c r="A3349" s="8" t="s">
        <v>32</v>
      </c>
      <c r="B3349" s="8" t="s">
        <v>303</v>
      </c>
      <c r="C3349" s="8" t="s">
        <v>523</v>
      </c>
      <c r="D3349" s="8" t="s">
        <v>524</v>
      </c>
      <c r="E3349" s="8" t="s">
        <v>36</v>
      </c>
      <c r="F3349" s="8" t="s">
        <v>37</v>
      </c>
      <c r="G3349" s="8" t="s">
        <v>7</v>
      </c>
      <c r="H3349" s="8" t="s">
        <v>38</v>
      </c>
      <c r="I3349" s="9">
        <v>39403.563000000002</v>
      </c>
      <c r="J3349">
        <v>48472.846684999</v>
      </c>
      <c r="K3349">
        <v>44083.293250000002</v>
      </c>
      <c r="L3349">
        <v>47697.858735991002</v>
      </c>
    </row>
    <row r="3350" spans="1:12" x14ac:dyDescent="0.2">
      <c r="A3350" s="8" t="s">
        <v>32</v>
      </c>
      <c r="B3350" s="8" t="s">
        <v>303</v>
      </c>
      <c r="C3350" s="8" t="s">
        <v>523</v>
      </c>
      <c r="D3350" s="8" t="s">
        <v>524</v>
      </c>
      <c r="E3350" s="8" t="s">
        <v>64</v>
      </c>
      <c r="F3350" s="8" t="s">
        <v>65</v>
      </c>
      <c r="G3350" s="8" t="s">
        <v>7</v>
      </c>
      <c r="H3350" s="8" t="s">
        <v>38</v>
      </c>
      <c r="I3350" s="9">
        <v>5922.9623000000001</v>
      </c>
      <c r="J3350">
        <v>5648.272567</v>
      </c>
      <c r="K3350">
        <v>5481.0141100000001</v>
      </c>
      <c r="L3350">
        <v>5404.9323027526998</v>
      </c>
    </row>
    <row r="3351" spans="1:12" x14ac:dyDescent="0.2">
      <c r="A3351" s="8" t="s">
        <v>32</v>
      </c>
      <c r="B3351" s="8" t="s">
        <v>303</v>
      </c>
      <c r="C3351" s="8" t="s">
        <v>523</v>
      </c>
      <c r="D3351" s="8" t="s">
        <v>524</v>
      </c>
      <c r="E3351" s="8" t="s">
        <v>39</v>
      </c>
      <c r="F3351" s="8" t="s">
        <v>40</v>
      </c>
      <c r="G3351" s="8" t="s">
        <v>7</v>
      </c>
      <c r="H3351" s="8" t="s">
        <v>38</v>
      </c>
      <c r="I3351" s="9">
        <v>11894.047</v>
      </c>
      <c r="J3351">
        <v>13096.108243999999</v>
      </c>
      <c r="K3351">
        <v>14799.205250000001</v>
      </c>
      <c r="L3351">
        <v>14901.787789763001</v>
      </c>
    </row>
    <row r="3352" spans="1:12" x14ac:dyDescent="0.2">
      <c r="A3352" s="8" t="s">
        <v>32</v>
      </c>
      <c r="B3352" s="8" t="s">
        <v>303</v>
      </c>
      <c r="C3352" s="8" t="s">
        <v>523</v>
      </c>
      <c r="D3352" s="8" t="s">
        <v>524</v>
      </c>
      <c r="E3352" s="8" t="s">
        <v>41</v>
      </c>
      <c r="F3352" s="8" t="s">
        <v>42</v>
      </c>
      <c r="G3352" s="8" t="s">
        <v>7</v>
      </c>
      <c r="H3352" s="8" t="s">
        <v>38</v>
      </c>
      <c r="I3352" s="9">
        <v>20.851545000000002</v>
      </c>
      <c r="J3352">
        <v>20.594915</v>
      </c>
      <c r="K3352">
        <v>37.201560000000001</v>
      </c>
      <c r="L3352">
        <v>40.076070472364002</v>
      </c>
    </row>
    <row r="3353" spans="1:12" x14ac:dyDescent="0.2">
      <c r="A3353" s="8" t="s">
        <v>32</v>
      </c>
      <c r="B3353" s="8" t="s">
        <v>303</v>
      </c>
      <c r="C3353" s="8" t="s">
        <v>523</v>
      </c>
      <c r="D3353" s="8" t="s">
        <v>524</v>
      </c>
      <c r="E3353" s="8" t="s">
        <v>43</v>
      </c>
      <c r="F3353" s="8" t="s">
        <v>44</v>
      </c>
      <c r="G3353" s="8" t="s">
        <v>7</v>
      </c>
      <c r="H3353" s="8" t="s">
        <v>38</v>
      </c>
      <c r="I3353" s="9">
        <v>14283.634</v>
      </c>
      <c r="J3353">
        <v>14993.550083</v>
      </c>
      <c r="K3353">
        <v>16439.909448999999</v>
      </c>
      <c r="L3353">
        <v>16269.063834676999</v>
      </c>
    </row>
    <row r="3354" spans="1:12" x14ac:dyDescent="0.2">
      <c r="A3354" s="8" t="s">
        <v>32</v>
      </c>
      <c r="B3354" s="8" t="s">
        <v>303</v>
      </c>
      <c r="C3354" s="8" t="s">
        <v>523</v>
      </c>
      <c r="D3354" s="8" t="s">
        <v>524</v>
      </c>
      <c r="E3354" s="8" t="s">
        <v>66</v>
      </c>
      <c r="F3354" s="8" t="s">
        <v>67</v>
      </c>
      <c r="G3354" s="8" t="s">
        <v>7</v>
      </c>
      <c r="H3354" s="8" t="s">
        <v>38</v>
      </c>
      <c r="I3354" s="9">
        <v>293.84296000000001</v>
      </c>
      <c r="J3354">
        <v>234.12876299999999</v>
      </c>
      <c r="K3354">
        <v>308.12394399999999</v>
      </c>
      <c r="L3354">
        <v>319.05354509298002</v>
      </c>
    </row>
    <row r="3355" spans="1:12" x14ac:dyDescent="0.2">
      <c r="A3355" s="8" t="s">
        <v>32</v>
      </c>
      <c r="B3355" s="8" t="s">
        <v>303</v>
      </c>
      <c r="C3355" s="8" t="s">
        <v>523</v>
      </c>
      <c r="D3355" s="8" t="s">
        <v>524</v>
      </c>
      <c r="E3355" s="8" t="s">
        <v>47</v>
      </c>
      <c r="F3355" s="8" t="s">
        <v>48</v>
      </c>
      <c r="G3355" s="8" t="s">
        <v>7</v>
      </c>
      <c r="H3355" s="8" t="s">
        <v>38</v>
      </c>
      <c r="I3355" s="9">
        <v>1048.771</v>
      </c>
      <c r="J3355">
        <v>1032.1802700000001</v>
      </c>
      <c r="K3355">
        <v>1034.1828419999999</v>
      </c>
      <c r="L3355">
        <v>1006.4790265209</v>
      </c>
    </row>
    <row r="3356" spans="1:12" x14ac:dyDescent="0.2">
      <c r="A3356" s="8" t="s">
        <v>32</v>
      </c>
      <c r="B3356" s="8" t="s">
        <v>303</v>
      </c>
      <c r="C3356" s="8" t="s">
        <v>523</v>
      </c>
      <c r="D3356" s="8" t="s">
        <v>524</v>
      </c>
      <c r="E3356" s="8" t="s">
        <v>49</v>
      </c>
      <c r="F3356" s="8" t="s">
        <v>50</v>
      </c>
      <c r="G3356" s="8" t="s">
        <v>7</v>
      </c>
      <c r="H3356" s="8" t="s">
        <v>38</v>
      </c>
      <c r="I3356" s="9">
        <v>32119.442999999999</v>
      </c>
      <c r="J3356">
        <v>34720.373339999998</v>
      </c>
      <c r="K3356">
        <v>29291.275334999998</v>
      </c>
      <c r="L3356">
        <v>29576.063202841</v>
      </c>
    </row>
    <row r="3357" spans="1:12" x14ac:dyDescent="0.2">
      <c r="A3357" s="8" t="s">
        <v>32</v>
      </c>
      <c r="B3357" s="8" t="s">
        <v>303</v>
      </c>
      <c r="C3357" s="8" t="s">
        <v>523</v>
      </c>
      <c r="D3357" s="8" t="s">
        <v>524</v>
      </c>
      <c r="E3357" s="8" t="s">
        <v>51</v>
      </c>
      <c r="F3357" s="8" t="s">
        <v>52</v>
      </c>
      <c r="G3357" s="8" t="s">
        <v>7</v>
      </c>
      <c r="H3357" s="8" t="s">
        <v>38</v>
      </c>
      <c r="I3357" s="9">
        <v>5536.8468000000003</v>
      </c>
      <c r="J3357">
        <v>1270.8620980000001</v>
      </c>
      <c r="K3357">
        <v>1937.9968019999999</v>
      </c>
      <c r="L3357">
        <v>2487.4357254465999</v>
      </c>
    </row>
    <row r="3358" spans="1:12" x14ac:dyDescent="0.2">
      <c r="A3358" s="8" t="s">
        <v>32</v>
      </c>
      <c r="B3358" s="8" t="s">
        <v>303</v>
      </c>
      <c r="C3358" s="8" t="s">
        <v>523</v>
      </c>
      <c r="D3358" s="8" t="s">
        <v>524</v>
      </c>
      <c r="E3358" s="8" t="s">
        <v>68</v>
      </c>
      <c r="F3358" s="8" t="s">
        <v>69</v>
      </c>
      <c r="G3358" s="8" t="s">
        <v>7</v>
      </c>
      <c r="H3358" s="8" t="s">
        <v>38</v>
      </c>
      <c r="I3358" s="9">
        <v>36.548783999999998</v>
      </c>
      <c r="J3358">
        <v>23.612822486896999</v>
      </c>
      <c r="K3358">
        <v>5.1932456902068997</v>
      </c>
      <c r="L3358">
        <v>5.9647193674482999</v>
      </c>
    </row>
    <row r="3359" spans="1:12" x14ac:dyDescent="0.2">
      <c r="A3359" s="8" t="s">
        <v>32</v>
      </c>
      <c r="B3359" s="8" t="s">
        <v>303</v>
      </c>
      <c r="C3359" s="8" t="s">
        <v>523</v>
      </c>
      <c r="D3359" s="8" t="s">
        <v>524</v>
      </c>
      <c r="E3359" s="8" t="s">
        <v>53</v>
      </c>
      <c r="F3359" s="8" t="s">
        <v>54</v>
      </c>
      <c r="G3359" s="8" t="s">
        <v>7</v>
      </c>
      <c r="H3359" s="8" t="s">
        <v>38</v>
      </c>
      <c r="I3359" s="9">
        <v>3253.6125000000002</v>
      </c>
      <c r="J3359">
        <v>3265.8594242467998</v>
      </c>
      <c r="K3359">
        <v>3425.5354705176001</v>
      </c>
      <c r="L3359">
        <v>3114.4628546628001</v>
      </c>
    </row>
    <row r="3360" spans="1:12" x14ac:dyDescent="0.2">
      <c r="A3360" s="8" t="s">
        <v>32</v>
      </c>
      <c r="B3360" s="8" t="s">
        <v>303</v>
      </c>
      <c r="C3360" s="8" t="s">
        <v>523</v>
      </c>
      <c r="D3360" s="8" t="s">
        <v>524</v>
      </c>
      <c r="E3360" s="8" t="s">
        <v>70</v>
      </c>
      <c r="F3360" s="8" t="s">
        <v>71</v>
      </c>
      <c r="G3360" s="8" t="s">
        <v>7</v>
      </c>
      <c r="H3360" s="8" t="s">
        <v>38</v>
      </c>
      <c r="I3360" s="9">
        <v>5386.9611999999997</v>
      </c>
      <c r="J3360">
        <v>6100.0677512000002</v>
      </c>
      <c r="K3360">
        <v>6271.9006455999997</v>
      </c>
      <c r="L3360">
        <v>6264.8250784525999</v>
      </c>
    </row>
    <row r="3361" spans="1:12" x14ac:dyDescent="0.2">
      <c r="A3361" s="8" t="s">
        <v>32</v>
      </c>
      <c r="B3361" s="8" t="s">
        <v>303</v>
      </c>
      <c r="C3361" s="8" t="s">
        <v>523</v>
      </c>
      <c r="D3361" s="8" t="s">
        <v>524</v>
      </c>
      <c r="E3361" s="8" t="s">
        <v>83</v>
      </c>
      <c r="F3361" s="8" t="s">
        <v>84</v>
      </c>
      <c r="G3361" s="8" t="s">
        <v>7</v>
      </c>
      <c r="H3361" s="8" t="s">
        <v>38</v>
      </c>
      <c r="I3361" s="9">
        <v>210</v>
      </c>
      <c r="J3361">
        <v>210</v>
      </c>
      <c r="K3361">
        <v>217.5</v>
      </c>
      <c r="L3361">
        <v>210</v>
      </c>
    </row>
    <row r="3362" spans="1:12" x14ac:dyDescent="0.2">
      <c r="A3362" s="8" t="s">
        <v>32</v>
      </c>
      <c r="B3362" s="8" t="s">
        <v>303</v>
      </c>
      <c r="C3362" s="8" t="s">
        <v>523</v>
      </c>
      <c r="D3362" s="8" t="s">
        <v>524</v>
      </c>
      <c r="E3362" s="8" t="s">
        <v>55</v>
      </c>
      <c r="F3362" s="8" t="s">
        <v>56</v>
      </c>
      <c r="G3362" s="8" t="s">
        <v>7</v>
      </c>
      <c r="H3362" s="8" t="s">
        <v>38</v>
      </c>
      <c r="I3362" s="9">
        <v>1.5910059999999999</v>
      </c>
      <c r="J3362">
        <v>1.7819679513710001</v>
      </c>
      <c r="K3362">
        <v>1.7819679513710001</v>
      </c>
      <c r="L3362">
        <v>1.7819679513710001</v>
      </c>
    </row>
    <row r="3363" spans="1:12" x14ac:dyDescent="0.2">
      <c r="A3363" s="8" t="s">
        <v>32</v>
      </c>
      <c r="B3363" s="8" t="s">
        <v>303</v>
      </c>
      <c r="C3363" s="8" t="s">
        <v>523</v>
      </c>
      <c r="D3363" s="8" t="s">
        <v>524</v>
      </c>
      <c r="E3363" s="8" t="s">
        <v>57</v>
      </c>
      <c r="F3363" s="8" t="s">
        <v>58</v>
      </c>
      <c r="G3363" s="8" t="s">
        <v>7</v>
      </c>
      <c r="H3363" s="8" t="s">
        <v>38</v>
      </c>
      <c r="I3363" s="9">
        <v>30.054715000000002</v>
      </c>
      <c r="J3363">
        <v>33.662060541949998</v>
      </c>
      <c r="K3363">
        <v>33.662060541949998</v>
      </c>
      <c r="L3363">
        <v>33.662060541949998</v>
      </c>
    </row>
    <row r="3364" spans="1:12" x14ac:dyDescent="0.2">
      <c r="A3364" s="8" t="s">
        <v>32</v>
      </c>
      <c r="B3364" s="8" t="s">
        <v>303</v>
      </c>
      <c r="C3364" s="8" t="s">
        <v>523</v>
      </c>
      <c r="D3364" s="8" t="s">
        <v>524</v>
      </c>
      <c r="E3364" s="8" t="s">
        <v>72</v>
      </c>
      <c r="F3364" s="8" t="s">
        <v>73</v>
      </c>
      <c r="G3364" s="8" t="s">
        <v>7</v>
      </c>
      <c r="H3364" s="8" t="s">
        <v>38</v>
      </c>
      <c r="I3364" s="9">
        <v>2307.9407000000001</v>
      </c>
      <c r="J3364">
        <v>3157.8358197764001</v>
      </c>
      <c r="K3364">
        <v>3456.6943135426</v>
      </c>
      <c r="L3364">
        <v>3243.9857556605998</v>
      </c>
    </row>
    <row r="3365" spans="1:12" x14ac:dyDescent="0.2">
      <c r="A3365" s="8" t="s">
        <v>32</v>
      </c>
      <c r="B3365" s="8" t="s">
        <v>303</v>
      </c>
      <c r="C3365" s="8" t="s">
        <v>523</v>
      </c>
      <c r="D3365" s="8" t="s">
        <v>524</v>
      </c>
      <c r="E3365" s="8" t="s">
        <v>74</v>
      </c>
      <c r="F3365" s="8" t="s">
        <v>75</v>
      </c>
      <c r="G3365" s="8" t="s">
        <v>7</v>
      </c>
      <c r="H3365" s="8" t="s">
        <v>38</v>
      </c>
      <c r="I3365" s="9">
        <v>63.434660000000001</v>
      </c>
      <c r="J3365">
        <v>73.758410400000002</v>
      </c>
      <c r="K3365">
        <v>69.553200000000004</v>
      </c>
      <c r="L3365">
        <v>88.017922014226997</v>
      </c>
    </row>
    <row r="3366" spans="1:12" x14ac:dyDescent="0.2">
      <c r="A3366" s="8" t="s">
        <v>32</v>
      </c>
      <c r="B3366" s="8" t="s">
        <v>303</v>
      </c>
      <c r="C3366" s="8" t="s">
        <v>523</v>
      </c>
      <c r="D3366" s="8" t="s">
        <v>524</v>
      </c>
      <c r="E3366" s="8" t="s">
        <v>59</v>
      </c>
      <c r="F3366" s="8" t="s">
        <v>60</v>
      </c>
      <c r="G3366" s="8" t="s">
        <v>7</v>
      </c>
      <c r="H3366" s="8" t="s">
        <v>38</v>
      </c>
      <c r="I3366" s="9">
        <v>213.20439999999999</v>
      </c>
      <c r="J3366">
        <v>214.88620289150001</v>
      </c>
      <c r="K3366">
        <v>214.04032259146999</v>
      </c>
      <c r="L3366">
        <v>207.16616092424999</v>
      </c>
    </row>
    <row r="3367" spans="1:12" x14ac:dyDescent="0.2">
      <c r="A3367" s="8" t="s">
        <v>32</v>
      </c>
      <c r="B3367" s="8" t="s">
        <v>303</v>
      </c>
      <c r="C3367" s="8" t="s">
        <v>523</v>
      </c>
      <c r="D3367" s="8" t="s">
        <v>524</v>
      </c>
      <c r="E3367" s="8" t="s">
        <v>76</v>
      </c>
      <c r="F3367" s="8" t="s">
        <v>77</v>
      </c>
      <c r="G3367" s="8" t="s">
        <v>7</v>
      </c>
      <c r="H3367" s="8" t="s">
        <v>38</v>
      </c>
      <c r="I3367" s="9">
        <v>1672.5237999999999</v>
      </c>
      <c r="J3367">
        <v>1528.4761905723999</v>
      </c>
      <c r="K3367">
        <v>1537.3809524788001</v>
      </c>
      <c r="L3367">
        <v>1484.3678161864</v>
      </c>
    </row>
    <row r="3368" spans="1:12" x14ac:dyDescent="0.2">
      <c r="A3368" s="8" t="s">
        <v>32</v>
      </c>
      <c r="B3368" s="8" t="s">
        <v>303</v>
      </c>
      <c r="C3368" s="8" t="s">
        <v>523</v>
      </c>
      <c r="D3368" s="8" t="s">
        <v>524</v>
      </c>
      <c r="E3368" s="8" t="s">
        <v>78</v>
      </c>
      <c r="F3368" s="8" t="s">
        <v>79</v>
      </c>
      <c r="G3368" s="8" t="s">
        <v>7</v>
      </c>
      <c r="H3368" s="8" t="s">
        <v>38</v>
      </c>
      <c r="I3368" s="9">
        <v>245.29996</v>
      </c>
      <c r="J3368">
        <v>261.7999524</v>
      </c>
      <c r="K3368">
        <v>262.74280937142998</v>
      </c>
      <c r="L3368">
        <v>273.64852167429001</v>
      </c>
    </row>
    <row r="3369" spans="1:12" x14ac:dyDescent="0.2">
      <c r="A3369" s="8" t="s">
        <v>32</v>
      </c>
      <c r="B3369" s="8" t="s">
        <v>33</v>
      </c>
      <c r="C3369" s="8" t="s">
        <v>525</v>
      </c>
      <c r="D3369" s="8" t="s">
        <v>526</v>
      </c>
      <c r="E3369" s="8" t="s">
        <v>36</v>
      </c>
      <c r="F3369" s="8" t="s">
        <v>37</v>
      </c>
      <c r="G3369" s="8" t="s">
        <v>7</v>
      </c>
      <c r="H3369" s="8" t="s">
        <v>38</v>
      </c>
      <c r="I3369" s="9">
        <v>63.585898999999998</v>
      </c>
      <c r="J3369">
        <v>59.174007298749999</v>
      </c>
      <c r="K3369">
        <v>64.253707685883001</v>
      </c>
      <c r="L3369">
        <v>64.123601183760002</v>
      </c>
    </row>
    <row r="3370" spans="1:12" x14ac:dyDescent="0.2">
      <c r="A3370" s="8" t="s">
        <v>32</v>
      </c>
      <c r="B3370" s="8" t="s">
        <v>33</v>
      </c>
      <c r="C3370" s="8" t="s">
        <v>525</v>
      </c>
      <c r="D3370" s="8" t="s">
        <v>526</v>
      </c>
      <c r="E3370" s="8" t="s">
        <v>39</v>
      </c>
      <c r="F3370" s="8" t="s">
        <v>40</v>
      </c>
      <c r="G3370" s="8" t="s">
        <v>7</v>
      </c>
      <c r="H3370" s="8" t="s">
        <v>38</v>
      </c>
      <c r="I3370" s="9">
        <v>7.2513065000000001</v>
      </c>
      <c r="J3370">
        <v>8.0006849361351993</v>
      </c>
      <c r="K3370">
        <v>8.6875557492256998</v>
      </c>
      <c r="L3370">
        <v>8.6699644298878997</v>
      </c>
    </row>
    <row r="3371" spans="1:12" x14ac:dyDescent="0.2">
      <c r="A3371" s="8" t="s">
        <v>32</v>
      </c>
      <c r="B3371" s="8" t="s">
        <v>33</v>
      </c>
      <c r="C3371" s="8" t="s">
        <v>525</v>
      </c>
      <c r="D3371" s="8" t="s">
        <v>526</v>
      </c>
      <c r="E3371" s="8" t="s">
        <v>41</v>
      </c>
      <c r="F3371" s="8" t="s">
        <v>42</v>
      </c>
      <c r="G3371" s="8" t="s">
        <v>7</v>
      </c>
      <c r="H3371" s="8" t="s">
        <v>38</v>
      </c>
      <c r="I3371" s="9">
        <v>3.0620723999999999</v>
      </c>
      <c r="J3371">
        <v>2.9172296715256998</v>
      </c>
      <c r="K3371">
        <v>3.1676787025732001</v>
      </c>
      <c r="L3371">
        <v>3.6167587050672001</v>
      </c>
    </row>
    <row r="3372" spans="1:12" x14ac:dyDescent="0.2">
      <c r="A3372" s="8" t="s">
        <v>32</v>
      </c>
      <c r="B3372" s="8" t="s">
        <v>33</v>
      </c>
      <c r="C3372" s="8" t="s">
        <v>525</v>
      </c>
      <c r="D3372" s="8" t="s">
        <v>526</v>
      </c>
      <c r="E3372" s="8" t="s">
        <v>43</v>
      </c>
      <c r="F3372" s="8" t="s">
        <v>44</v>
      </c>
      <c r="G3372" s="8" t="s">
        <v>7</v>
      </c>
      <c r="H3372" s="8" t="s">
        <v>38</v>
      </c>
      <c r="I3372" s="9">
        <v>35.051575</v>
      </c>
      <c r="J3372">
        <v>33.469841228343</v>
      </c>
      <c r="K3372">
        <v>36.343341676451999</v>
      </c>
      <c r="L3372">
        <v>36.269750513680997</v>
      </c>
    </row>
    <row r="3373" spans="1:12" x14ac:dyDescent="0.2">
      <c r="A3373" s="8" t="s">
        <v>32</v>
      </c>
      <c r="B3373" s="8" t="s">
        <v>33</v>
      </c>
      <c r="C3373" s="8" t="s">
        <v>525</v>
      </c>
      <c r="D3373" s="8" t="s">
        <v>526</v>
      </c>
      <c r="E3373" s="8" t="s">
        <v>45</v>
      </c>
      <c r="F3373" s="8" t="s">
        <v>46</v>
      </c>
      <c r="G3373" s="8" t="s">
        <v>7</v>
      </c>
      <c r="H3373" s="8" t="s">
        <v>38</v>
      </c>
      <c r="I3373" s="9">
        <v>2.6933775</v>
      </c>
      <c r="J3373">
        <v>2.5017607431125</v>
      </c>
      <c r="K3373">
        <v>2.7165668143997999</v>
      </c>
      <c r="L3373">
        <v>2.8948332272544999</v>
      </c>
    </row>
    <row r="3374" spans="1:12" x14ac:dyDescent="0.2">
      <c r="A3374" s="8" t="s">
        <v>32</v>
      </c>
      <c r="B3374" s="8" t="s">
        <v>33</v>
      </c>
      <c r="C3374" s="8" t="s">
        <v>525</v>
      </c>
      <c r="D3374" s="8" t="s">
        <v>526</v>
      </c>
      <c r="E3374" s="8" t="s">
        <v>47</v>
      </c>
      <c r="F3374" s="8" t="s">
        <v>48</v>
      </c>
      <c r="G3374" s="8" t="s">
        <v>7</v>
      </c>
      <c r="H3374" s="8" t="s">
        <v>38</v>
      </c>
      <c r="I3374" s="9">
        <v>1.1565916000000001</v>
      </c>
      <c r="J3374">
        <v>1.0094739346301</v>
      </c>
      <c r="K3374">
        <v>1.0961601987583001</v>
      </c>
      <c r="L3374">
        <v>1.0939405981412</v>
      </c>
    </row>
    <row r="3375" spans="1:12" x14ac:dyDescent="0.2">
      <c r="A3375" s="8" t="s">
        <v>32</v>
      </c>
      <c r="B3375" s="8" t="s">
        <v>33</v>
      </c>
      <c r="C3375" s="8" t="s">
        <v>525</v>
      </c>
      <c r="D3375" s="8" t="s">
        <v>526</v>
      </c>
      <c r="E3375" s="8" t="s">
        <v>49</v>
      </c>
      <c r="F3375" s="8" t="s">
        <v>50</v>
      </c>
      <c r="G3375" s="8" t="s">
        <v>7</v>
      </c>
      <c r="H3375" s="8" t="s">
        <v>38</v>
      </c>
      <c r="I3375" s="9">
        <v>9.6398682999999998</v>
      </c>
      <c r="J3375">
        <v>8.9405142910477</v>
      </c>
      <c r="K3375">
        <v>9.3906626752169995</v>
      </c>
      <c r="L3375">
        <v>9.3716476437534002</v>
      </c>
    </row>
    <row r="3376" spans="1:12" x14ac:dyDescent="0.2">
      <c r="A3376" s="8" t="s">
        <v>32</v>
      </c>
      <c r="B3376" s="8" t="s">
        <v>33</v>
      </c>
      <c r="C3376" s="8" t="s">
        <v>525</v>
      </c>
      <c r="D3376" s="8" t="s">
        <v>526</v>
      </c>
      <c r="E3376" s="8" t="s">
        <v>51</v>
      </c>
      <c r="F3376" s="8" t="s">
        <v>52</v>
      </c>
      <c r="G3376" s="8" t="s">
        <v>7</v>
      </c>
      <c r="H3376" s="8" t="s">
        <v>38</v>
      </c>
      <c r="I3376" s="9">
        <v>0.73982219999999999</v>
      </c>
      <c r="J3376">
        <v>0.74379720395062998</v>
      </c>
      <c r="K3376">
        <v>0.80764680098466002</v>
      </c>
      <c r="L3376">
        <v>0.80601140741731003</v>
      </c>
    </row>
    <row r="3377" spans="1:12" x14ac:dyDescent="0.2">
      <c r="A3377" s="8" t="s">
        <v>32</v>
      </c>
      <c r="B3377" s="8" t="s">
        <v>33</v>
      </c>
      <c r="C3377" s="8" t="s">
        <v>525</v>
      </c>
      <c r="D3377" s="8" t="s">
        <v>526</v>
      </c>
      <c r="E3377" s="8" t="s">
        <v>53</v>
      </c>
      <c r="F3377" s="8" t="s">
        <v>54</v>
      </c>
      <c r="G3377" s="8" t="s">
        <v>7</v>
      </c>
      <c r="H3377" s="8" t="s">
        <v>38</v>
      </c>
      <c r="I3377" s="9"/>
    </row>
    <row r="3378" spans="1:12" x14ac:dyDescent="0.2">
      <c r="A3378" s="8" t="s">
        <v>32</v>
      </c>
      <c r="B3378" s="8" t="s">
        <v>33</v>
      </c>
      <c r="C3378" s="8" t="s">
        <v>525</v>
      </c>
      <c r="D3378" s="8" t="s">
        <v>526</v>
      </c>
      <c r="E3378" s="8" t="s">
        <v>55</v>
      </c>
      <c r="F3378" s="8" t="s">
        <v>56</v>
      </c>
      <c r="G3378" s="8" t="s">
        <v>7</v>
      </c>
      <c r="H3378" s="8" t="s">
        <v>38</v>
      </c>
      <c r="I3378" s="9">
        <v>5.4618999999999996E-3</v>
      </c>
      <c r="J3378">
        <v>5.4611181072341999E-3</v>
      </c>
      <c r="K3378">
        <v>5.4603708806941998E-3</v>
      </c>
      <c r="L3378">
        <v>5.4596769267040001E-3</v>
      </c>
    </row>
    <row r="3379" spans="1:12" x14ac:dyDescent="0.2">
      <c r="A3379" s="8" t="s">
        <v>32</v>
      </c>
      <c r="B3379" s="8" t="s">
        <v>33</v>
      </c>
      <c r="C3379" s="8" t="s">
        <v>525</v>
      </c>
      <c r="D3379" s="8" t="s">
        <v>526</v>
      </c>
      <c r="E3379" s="8" t="s">
        <v>57</v>
      </c>
      <c r="F3379" s="8" t="s">
        <v>58</v>
      </c>
      <c r="G3379" s="8" t="s">
        <v>7</v>
      </c>
      <c r="H3379" s="8" t="s">
        <v>38</v>
      </c>
      <c r="I3379" s="9">
        <v>1.9713E-3</v>
      </c>
      <c r="J3379">
        <v>2.3002274666175E-3</v>
      </c>
      <c r="K3379">
        <v>2.6839942303922E-3</v>
      </c>
      <c r="L3379">
        <v>3.2002090764706001E-3</v>
      </c>
    </row>
    <row r="3380" spans="1:12" x14ac:dyDescent="0.2">
      <c r="A3380" s="8" t="s">
        <v>32</v>
      </c>
      <c r="B3380" s="8" t="s">
        <v>33</v>
      </c>
      <c r="C3380" s="8" t="s">
        <v>525</v>
      </c>
      <c r="D3380" s="8" t="s">
        <v>526</v>
      </c>
      <c r="E3380" s="8" t="s">
        <v>59</v>
      </c>
      <c r="F3380" s="8" t="s">
        <v>60</v>
      </c>
      <c r="G3380" s="8" t="s">
        <v>7</v>
      </c>
      <c r="H3380" s="8" t="s">
        <v>38</v>
      </c>
      <c r="I3380" s="9">
        <v>0.63005880000000003</v>
      </c>
      <c r="J3380">
        <v>0.61821037137288004</v>
      </c>
      <c r="K3380">
        <v>0.65022196545277</v>
      </c>
      <c r="L3380">
        <v>0.65798753447967995</v>
      </c>
    </row>
    <row r="3381" spans="1:12" x14ac:dyDescent="0.2">
      <c r="A3381" s="8" t="s">
        <v>32</v>
      </c>
      <c r="B3381" s="8" t="s">
        <v>33</v>
      </c>
      <c r="C3381" s="8" t="s">
        <v>525</v>
      </c>
      <c r="D3381" s="8" t="s">
        <v>526</v>
      </c>
      <c r="E3381" s="8" t="s">
        <v>92</v>
      </c>
      <c r="F3381" s="8" t="s">
        <v>93</v>
      </c>
      <c r="G3381" s="8" t="s">
        <v>7</v>
      </c>
      <c r="H3381" s="8" t="s">
        <v>38</v>
      </c>
      <c r="I3381" s="9">
        <v>5.5795999999999997E-3</v>
      </c>
      <c r="J3381">
        <v>5.6045450657814001E-3</v>
      </c>
      <c r="K3381">
        <v>5.6995373550319996E-3</v>
      </c>
      <c r="L3381">
        <v>5.7581034028095996E-3</v>
      </c>
    </row>
    <row r="3382" spans="1:12" x14ac:dyDescent="0.2">
      <c r="A3382" s="8" t="s">
        <v>32</v>
      </c>
      <c r="B3382" s="8" t="s">
        <v>99</v>
      </c>
      <c r="C3382" s="8" t="s">
        <v>527</v>
      </c>
      <c r="D3382" s="8" t="s">
        <v>528</v>
      </c>
      <c r="E3382" s="8" t="s">
        <v>36</v>
      </c>
      <c r="F3382" s="8" t="s">
        <v>37</v>
      </c>
      <c r="G3382" s="8" t="s">
        <v>7</v>
      </c>
      <c r="H3382" s="8" t="s">
        <v>38</v>
      </c>
      <c r="I3382" s="9">
        <v>13173.352000000001</v>
      </c>
      <c r="J3382">
        <v>12482.70558</v>
      </c>
      <c r="K3382">
        <v>12954.018432000001</v>
      </c>
      <c r="L3382">
        <v>14279.628980559</v>
      </c>
    </row>
    <row r="3383" spans="1:12" x14ac:dyDescent="0.2">
      <c r="A3383" s="8" t="s">
        <v>32</v>
      </c>
      <c r="B3383" s="8" t="s">
        <v>99</v>
      </c>
      <c r="C3383" s="8" t="s">
        <v>527</v>
      </c>
      <c r="D3383" s="8" t="s">
        <v>528</v>
      </c>
      <c r="E3383" s="8" t="s">
        <v>64</v>
      </c>
      <c r="F3383" s="8" t="s">
        <v>65</v>
      </c>
      <c r="G3383" s="8" t="s">
        <v>7</v>
      </c>
      <c r="H3383" s="8" t="s">
        <v>38</v>
      </c>
      <c r="I3383" s="9">
        <v>16156.48</v>
      </c>
      <c r="J3383">
        <v>17135.846723999999</v>
      </c>
      <c r="K3383">
        <v>18236.628378000001</v>
      </c>
      <c r="L3383">
        <v>17675.512380451</v>
      </c>
    </row>
    <row r="3384" spans="1:12" x14ac:dyDescent="0.2">
      <c r="A3384" s="8" t="s">
        <v>32</v>
      </c>
      <c r="B3384" s="8" t="s">
        <v>99</v>
      </c>
      <c r="C3384" s="8" t="s">
        <v>527</v>
      </c>
      <c r="D3384" s="8" t="s">
        <v>528</v>
      </c>
      <c r="E3384" s="8" t="s">
        <v>39</v>
      </c>
      <c r="F3384" s="8" t="s">
        <v>40</v>
      </c>
      <c r="G3384" s="8" t="s">
        <v>7</v>
      </c>
      <c r="H3384" s="8" t="s">
        <v>38</v>
      </c>
      <c r="I3384" s="9">
        <v>7281.1351999999997</v>
      </c>
      <c r="J3384">
        <v>5303.1118079999997</v>
      </c>
      <c r="K3384">
        <v>14431.912209</v>
      </c>
      <c r="L3384">
        <v>15098.391015751</v>
      </c>
    </row>
    <row r="3385" spans="1:12" x14ac:dyDescent="0.2">
      <c r="A3385" s="8" t="s">
        <v>32</v>
      </c>
      <c r="B3385" s="8" t="s">
        <v>99</v>
      </c>
      <c r="C3385" s="8" t="s">
        <v>527</v>
      </c>
      <c r="D3385" s="8" t="s">
        <v>528</v>
      </c>
      <c r="E3385" s="8" t="s">
        <v>41</v>
      </c>
      <c r="F3385" s="8" t="s">
        <v>42</v>
      </c>
      <c r="G3385" s="8" t="s">
        <v>7</v>
      </c>
      <c r="H3385" s="8" t="s">
        <v>38</v>
      </c>
      <c r="I3385" s="9">
        <v>100.39959</v>
      </c>
      <c r="J3385">
        <v>141.73945499999999</v>
      </c>
      <c r="K3385">
        <v>268.237255</v>
      </c>
      <c r="L3385">
        <v>306.26509761122003</v>
      </c>
    </row>
    <row r="3386" spans="1:12" x14ac:dyDescent="0.2">
      <c r="A3386" s="8" t="s">
        <v>32</v>
      </c>
      <c r="B3386" s="8" t="s">
        <v>99</v>
      </c>
      <c r="C3386" s="8" t="s">
        <v>527</v>
      </c>
      <c r="D3386" s="8" t="s">
        <v>528</v>
      </c>
      <c r="E3386" s="8" t="s">
        <v>43</v>
      </c>
      <c r="F3386" s="8" t="s">
        <v>44</v>
      </c>
      <c r="G3386" s="8" t="s">
        <v>7</v>
      </c>
      <c r="H3386" s="8" t="s">
        <v>38</v>
      </c>
      <c r="I3386" s="9">
        <v>11074.867</v>
      </c>
      <c r="J3386">
        <v>10799.432175</v>
      </c>
      <c r="K3386">
        <v>14391.247670999999</v>
      </c>
      <c r="L3386">
        <v>17406.456604625</v>
      </c>
    </row>
    <row r="3387" spans="1:12" x14ac:dyDescent="0.2">
      <c r="A3387" s="8" t="s">
        <v>32</v>
      </c>
      <c r="B3387" s="8" t="s">
        <v>99</v>
      </c>
      <c r="C3387" s="8" t="s">
        <v>527</v>
      </c>
      <c r="D3387" s="8" t="s">
        <v>528</v>
      </c>
      <c r="E3387" s="8" t="s">
        <v>66</v>
      </c>
      <c r="F3387" s="8" t="s">
        <v>67</v>
      </c>
      <c r="G3387" s="8" t="s">
        <v>7</v>
      </c>
      <c r="H3387" s="8" t="s">
        <v>38</v>
      </c>
      <c r="I3387" s="9"/>
    </row>
    <row r="3388" spans="1:12" x14ac:dyDescent="0.2">
      <c r="A3388" s="8" t="s">
        <v>32</v>
      </c>
      <c r="B3388" s="8" t="s">
        <v>99</v>
      </c>
      <c r="C3388" s="8" t="s">
        <v>527</v>
      </c>
      <c r="D3388" s="8" t="s">
        <v>528</v>
      </c>
      <c r="E3388" s="8" t="s">
        <v>47</v>
      </c>
      <c r="F3388" s="8" t="s">
        <v>48</v>
      </c>
      <c r="G3388" s="8" t="s">
        <v>7</v>
      </c>
      <c r="H3388" s="8" t="s">
        <v>38</v>
      </c>
      <c r="I3388" s="9">
        <v>31.240407000000001</v>
      </c>
      <c r="J3388">
        <v>34.734876</v>
      </c>
      <c r="K3388">
        <v>35.926439999999999</v>
      </c>
      <c r="L3388">
        <v>36.702670921606</v>
      </c>
    </row>
    <row r="3389" spans="1:12" x14ac:dyDescent="0.2">
      <c r="A3389" s="8" t="s">
        <v>32</v>
      </c>
      <c r="B3389" s="8" t="s">
        <v>99</v>
      </c>
      <c r="C3389" s="8" t="s">
        <v>527</v>
      </c>
      <c r="D3389" s="8" t="s">
        <v>528</v>
      </c>
      <c r="E3389" s="8" t="s">
        <v>49</v>
      </c>
      <c r="F3389" s="8" t="s">
        <v>50</v>
      </c>
      <c r="G3389" s="8" t="s">
        <v>7</v>
      </c>
      <c r="H3389" s="8" t="s">
        <v>38</v>
      </c>
      <c r="I3389" s="9">
        <v>2396.2847000000002</v>
      </c>
      <c r="J3389">
        <v>2912.7166579999998</v>
      </c>
      <c r="K3389">
        <v>3320.0728359999998</v>
      </c>
      <c r="L3389">
        <v>3666.6348732227998</v>
      </c>
    </row>
    <row r="3390" spans="1:12" x14ac:dyDescent="0.2">
      <c r="A3390" s="8" t="s">
        <v>32</v>
      </c>
      <c r="B3390" s="8" t="s">
        <v>99</v>
      </c>
      <c r="C3390" s="8" t="s">
        <v>527</v>
      </c>
      <c r="D3390" s="8" t="s">
        <v>528</v>
      </c>
      <c r="E3390" s="8" t="s">
        <v>51</v>
      </c>
      <c r="F3390" s="8" t="s">
        <v>52</v>
      </c>
      <c r="G3390" s="8" t="s">
        <v>7</v>
      </c>
      <c r="H3390" s="8" t="s">
        <v>38</v>
      </c>
      <c r="I3390" s="9"/>
    </row>
    <row r="3391" spans="1:12" x14ac:dyDescent="0.2">
      <c r="A3391" s="8" t="s">
        <v>32</v>
      </c>
      <c r="B3391" s="8" t="s">
        <v>99</v>
      </c>
      <c r="C3391" s="8" t="s">
        <v>527</v>
      </c>
      <c r="D3391" s="8" t="s">
        <v>528</v>
      </c>
      <c r="E3391" s="8" t="s">
        <v>68</v>
      </c>
      <c r="F3391" s="8" t="s">
        <v>69</v>
      </c>
      <c r="G3391" s="8" t="s">
        <v>7</v>
      </c>
      <c r="H3391" s="8" t="s">
        <v>38</v>
      </c>
      <c r="I3391" s="9">
        <v>8.2383638000000001</v>
      </c>
      <c r="J3391">
        <v>2.9034334565517002</v>
      </c>
      <c r="K3391">
        <v>1.7000308827585999</v>
      </c>
      <c r="L3391">
        <v>1.7000308827585999</v>
      </c>
    </row>
    <row r="3392" spans="1:12" x14ac:dyDescent="0.2">
      <c r="A3392" s="8" t="s">
        <v>32</v>
      </c>
      <c r="B3392" s="8" t="s">
        <v>99</v>
      </c>
      <c r="C3392" s="8" t="s">
        <v>527</v>
      </c>
      <c r="D3392" s="8" t="s">
        <v>528</v>
      </c>
      <c r="E3392" s="8" t="s">
        <v>53</v>
      </c>
      <c r="F3392" s="8" t="s">
        <v>54</v>
      </c>
      <c r="G3392" s="8" t="s">
        <v>7</v>
      </c>
      <c r="H3392" s="8" t="s">
        <v>38</v>
      </c>
      <c r="I3392" s="9">
        <v>22220.396000000001</v>
      </c>
      <c r="J3392">
        <v>21659.943751934999</v>
      </c>
      <c r="K3392">
        <v>22730.515151403</v>
      </c>
      <c r="L3392">
        <v>21924.887824584999</v>
      </c>
    </row>
    <row r="3393" spans="1:12" x14ac:dyDescent="0.2">
      <c r="A3393" s="8" t="s">
        <v>32</v>
      </c>
      <c r="B3393" s="8" t="s">
        <v>99</v>
      </c>
      <c r="C3393" s="8" t="s">
        <v>527</v>
      </c>
      <c r="D3393" s="8" t="s">
        <v>528</v>
      </c>
      <c r="E3393" s="8" t="s">
        <v>70</v>
      </c>
      <c r="F3393" s="8" t="s">
        <v>71</v>
      </c>
      <c r="G3393" s="8" t="s">
        <v>7</v>
      </c>
      <c r="H3393" s="8" t="s">
        <v>38</v>
      </c>
      <c r="I3393" s="9">
        <v>536.42025999999998</v>
      </c>
      <c r="J3393">
        <v>957.89332750000005</v>
      </c>
      <c r="K3393">
        <v>996.20906060000004</v>
      </c>
      <c r="L3393">
        <v>995.08519966861002</v>
      </c>
    </row>
    <row r="3394" spans="1:12" x14ac:dyDescent="0.2">
      <c r="A3394" s="8" t="s">
        <v>32</v>
      </c>
      <c r="B3394" s="8" t="s">
        <v>99</v>
      </c>
      <c r="C3394" s="8" t="s">
        <v>527</v>
      </c>
      <c r="D3394" s="8" t="s">
        <v>528</v>
      </c>
      <c r="E3394" s="8" t="s">
        <v>83</v>
      </c>
      <c r="F3394" s="8" t="s">
        <v>84</v>
      </c>
      <c r="G3394" s="8" t="s">
        <v>7</v>
      </c>
      <c r="H3394" s="8" t="s">
        <v>38</v>
      </c>
      <c r="I3394" s="9">
        <v>127.5</v>
      </c>
      <c r="J3394">
        <v>127.5</v>
      </c>
      <c r="K3394">
        <v>127.5</v>
      </c>
      <c r="L3394">
        <v>127.5</v>
      </c>
    </row>
    <row r="3395" spans="1:12" x14ac:dyDescent="0.2">
      <c r="A3395" s="8" t="s">
        <v>32</v>
      </c>
      <c r="B3395" s="8" t="s">
        <v>99</v>
      </c>
      <c r="C3395" s="8" t="s">
        <v>527</v>
      </c>
      <c r="D3395" s="8" t="s">
        <v>528</v>
      </c>
      <c r="E3395" s="8" t="s">
        <v>55</v>
      </c>
      <c r="F3395" s="8" t="s">
        <v>56</v>
      </c>
      <c r="G3395" s="8" t="s">
        <v>7</v>
      </c>
      <c r="H3395" s="8" t="s">
        <v>38</v>
      </c>
      <c r="I3395" s="9">
        <v>2.0538219</v>
      </c>
      <c r="J3395">
        <v>2.3003337632431</v>
      </c>
      <c r="K3395">
        <v>2.3003337632431</v>
      </c>
      <c r="L3395">
        <v>2.3003337632431</v>
      </c>
    </row>
    <row r="3396" spans="1:12" x14ac:dyDescent="0.2">
      <c r="A3396" s="8" t="s">
        <v>32</v>
      </c>
      <c r="B3396" s="8" t="s">
        <v>99</v>
      </c>
      <c r="C3396" s="8" t="s">
        <v>527</v>
      </c>
      <c r="D3396" s="8" t="s">
        <v>528</v>
      </c>
      <c r="E3396" s="8" t="s">
        <v>57</v>
      </c>
      <c r="F3396" s="8" t="s">
        <v>58</v>
      </c>
      <c r="G3396" s="8" t="s">
        <v>7</v>
      </c>
      <c r="H3396" s="8" t="s">
        <v>38</v>
      </c>
      <c r="I3396" s="9">
        <v>84.700389000000001</v>
      </c>
      <c r="J3396">
        <v>94.866631711184993</v>
      </c>
      <c r="K3396">
        <v>94.866631711184993</v>
      </c>
      <c r="L3396">
        <v>94.866631711184993</v>
      </c>
    </row>
    <row r="3397" spans="1:12" x14ac:dyDescent="0.2">
      <c r="A3397" s="8" t="s">
        <v>32</v>
      </c>
      <c r="B3397" s="8" t="s">
        <v>99</v>
      </c>
      <c r="C3397" s="8" t="s">
        <v>527</v>
      </c>
      <c r="D3397" s="8" t="s">
        <v>528</v>
      </c>
      <c r="E3397" s="8" t="s">
        <v>72</v>
      </c>
      <c r="F3397" s="8" t="s">
        <v>73</v>
      </c>
      <c r="G3397" s="8" t="s">
        <v>7</v>
      </c>
      <c r="H3397" s="8" t="s">
        <v>38</v>
      </c>
      <c r="I3397" s="9">
        <v>2869.3305</v>
      </c>
      <c r="J3397">
        <v>3599.1351517968001</v>
      </c>
      <c r="K3397">
        <v>3846.8834501073002</v>
      </c>
      <c r="L3397">
        <v>4239.9532300975998</v>
      </c>
    </row>
    <row r="3398" spans="1:12" x14ac:dyDescent="0.2">
      <c r="A3398" s="8" t="s">
        <v>32</v>
      </c>
      <c r="B3398" s="8" t="s">
        <v>99</v>
      </c>
      <c r="C3398" s="8" t="s">
        <v>527</v>
      </c>
      <c r="D3398" s="8" t="s">
        <v>528</v>
      </c>
      <c r="E3398" s="8" t="s">
        <v>74</v>
      </c>
      <c r="F3398" s="8" t="s">
        <v>75</v>
      </c>
      <c r="G3398" s="8" t="s">
        <v>7</v>
      </c>
      <c r="H3398" s="8" t="s">
        <v>38</v>
      </c>
      <c r="I3398" s="9">
        <v>186.69900000000001</v>
      </c>
      <c r="J3398">
        <v>245.79226593999999</v>
      </c>
      <c r="K3398">
        <v>239.39771039999999</v>
      </c>
      <c r="L3398">
        <v>239.78543570784001</v>
      </c>
    </row>
    <row r="3399" spans="1:12" x14ac:dyDescent="0.2">
      <c r="A3399" s="8" t="s">
        <v>32</v>
      </c>
      <c r="B3399" s="8" t="s">
        <v>99</v>
      </c>
      <c r="C3399" s="8" t="s">
        <v>527</v>
      </c>
      <c r="D3399" s="8" t="s">
        <v>528</v>
      </c>
      <c r="E3399" s="8" t="s">
        <v>59</v>
      </c>
      <c r="F3399" s="8" t="s">
        <v>60</v>
      </c>
      <c r="G3399" s="8" t="s">
        <v>7</v>
      </c>
      <c r="H3399" s="8" t="s">
        <v>38</v>
      </c>
      <c r="I3399" s="9">
        <v>249.39992000000001</v>
      </c>
      <c r="J3399">
        <v>212.87011060283001</v>
      </c>
      <c r="K3399">
        <v>218.53258457195</v>
      </c>
      <c r="L3399">
        <v>221.70486379914999</v>
      </c>
    </row>
    <row r="3400" spans="1:12" x14ac:dyDescent="0.2">
      <c r="A3400" s="8" t="s">
        <v>32</v>
      </c>
      <c r="B3400" s="8" t="s">
        <v>99</v>
      </c>
      <c r="C3400" s="8" t="s">
        <v>527</v>
      </c>
      <c r="D3400" s="8" t="s">
        <v>528</v>
      </c>
      <c r="E3400" s="8" t="s">
        <v>76</v>
      </c>
      <c r="F3400" s="8" t="s">
        <v>77</v>
      </c>
      <c r="G3400" s="8" t="s">
        <v>7</v>
      </c>
      <c r="H3400" s="8" t="s">
        <v>38</v>
      </c>
      <c r="I3400" s="9">
        <v>6.4952380999999999</v>
      </c>
      <c r="J3400">
        <v>6.2857142876000003</v>
      </c>
      <c r="K3400">
        <v>6.2857142876000003</v>
      </c>
      <c r="L3400">
        <v>6.2857142876000003</v>
      </c>
    </row>
    <row r="3401" spans="1:12" x14ac:dyDescent="0.2">
      <c r="A3401" s="8" t="s">
        <v>32</v>
      </c>
      <c r="B3401" s="8" t="s">
        <v>99</v>
      </c>
      <c r="C3401" s="8" t="s">
        <v>527</v>
      </c>
      <c r="D3401" s="8" t="s">
        <v>528</v>
      </c>
      <c r="E3401" s="8" t="s">
        <v>78</v>
      </c>
      <c r="F3401" s="8" t="s">
        <v>79</v>
      </c>
      <c r="G3401" s="8" t="s">
        <v>7</v>
      </c>
      <c r="H3401" s="8" t="s">
        <v>38</v>
      </c>
      <c r="I3401" s="9">
        <v>143.47139999999999</v>
      </c>
      <c r="J3401">
        <v>135.77140388570999</v>
      </c>
      <c r="K3401">
        <v>84.071413285714002</v>
      </c>
      <c r="L3401">
        <v>48.714276857142998</v>
      </c>
    </row>
    <row r="3402" spans="1:12" x14ac:dyDescent="0.2">
      <c r="A3402" s="8" t="s">
        <v>32</v>
      </c>
      <c r="B3402" s="8" t="s">
        <v>99</v>
      </c>
      <c r="C3402" s="8" t="s">
        <v>527</v>
      </c>
      <c r="D3402" s="8" t="s">
        <v>528</v>
      </c>
      <c r="E3402" s="8" t="s">
        <v>92</v>
      </c>
      <c r="F3402" s="8" t="s">
        <v>93</v>
      </c>
      <c r="G3402" s="8" t="s">
        <v>7</v>
      </c>
      <c r="H3402" s="8" t="s">
        <v>38</v>
      </c>
      <c r="I3402" s="9">
        <v>17.277947000000001</v>
      </c>
      <c r="J3402">
        <v>17.488450708553</v>
      </c>
      <c r="K3402">
        <v>17.69672381338</v>
      </c>
      <c r="L3402">
        <v>17.907811008307998</v>
      </c>
    </row>
    <row r="3403" spans="1:12" x14ac:dyDescent="0.2">
      <c r="A3403" s="8" t="s">
        <v>32</v>
      </c>
      <c r="B3403" s="8" t="s">
        <v>33</v>
      </c>
      <c r="C3403" s="8" t="s">
        <v>529</v>
      </c>
      <c r="D3403" s="8" t="s">
        <v>530</v>
      </c>
      <c r="E3403" s="8" t="s">
        <v>36</v>
      </c>
      <c r="F3403" s="8" t="s">
        <v>37</v>
      </c>
      <c r="G3403" s="8" t="s">
        <v>7</v>
      </c>
      <c r="H3403" s="8" t="s">
        <v>38</v>
      </c>
      <c r="I3403" s="9">
        <v>43.503369999999997</v>
      </c>
      <c r="J3403">
        <v>42.675645157235003</v>
      </c>
      <c r="K3403">
        <v>44.774420286004997</v>
      </c>
      <c r="L3403">
        <v>44.683757141139999</v>
      </c>
    </row>
    <row r="3404" spans="1:12" x14ac:dyDescent="0.2">
      <c r="A3404" s="8" t="s">
        <v>32</v>
      </c>
      <c r="B3404" s="8" t="s">
        <v>33</v>
      </c>
      <c r="C3404" s="8" t="s">
        <v>529</v>
      </c>
      <c r="D3404" s="8" t="s">
        <v>530</v>
      </c>
      <c r="E3404" s="8" t="s">
        <v>39</v>
      </c>
      <c r="F3404" s="8" t="s">
        <v>40</v>
      </c>
      <c r="G3404" s="8" t="s">
        <v>7</v>
      </c>
      <c r="H3404" s="8" t="s">
        <v>38</v>
      </c>
      <c r="I3404" s="9">
        <v>4.9611042000000003</v>
      </c>
      <c r="J3404">
        <v>5.7700062398269001</v>
      </c>
      <c r="K3404">
        <v>6.0538183146647002</v>
      </c>
      <c r="L3404">
        <v>6.0415600162135004</v>
      </c>
    </row>
    <row r="3405" spans="1:12" x14ac:dyDescent="0.2">
      <c r="A3405" s="8" t="s">
        <v>32</v>
      </c>
      <c r="B3405" s="8" t="s">
        <v>33</v>
      </c>
      <c r="C3405" s="8" t="s">
        <v>529</v>
      </c>
      <c r="D3405" s="8" t="s">
        <v>530</v>
      </c>
      <c r="E3405" s="8" t="s">
        <v>41</v>
      </c>
      <c r="F3405" s="8" t="s">
        <v>42</v>
      </c>
      <c r="G3405" s="8" t="s">
        <v>7</v>
      </c>
      <c r="H3405" s="8" t="s">
        <v>38</v>
      </c>
      <c r="I3405" s="9">
        <v>2.0949686999999999</v>
      </c>
      <c r="J3405">
        <v>2.1038740485438998</v>
      </c>
      <c r="K3405">
        <v>2.2073586516346002</v>
      </c>
      <c r="L3405">
        <v>2.5202946283724001</v>
      </c>
    </row>
    <row r="3406" spans="1:12" x14ac:dyDescent="0.2">
      <c r="A3406" s="8" t="s">
        <v>32</v>
      </c>
      <c r="B3406" s="8" t="s">
        <v>33</v>
      </c>
      <c r="C3406" s="8" t="s">
        <v>529</v>
      </c>
      <c r="D3406" s="8" t="s">
        <v>530</v>
      </c>
      <c r="E3406" s="8" t="s">
        <v>43</v>
      </c>
      <c r="F3406" s="8" t="s">
        <v>44</v>
      </c>
      <c r="G3406" s="8" t="s">
        <v>7</v>
      </c>
      <c r="H3406" s="8" t="s">
        <v>38</v>
      </c>
      <c r="I3406" s="9">
        <v>23.981128999999999</v>
      </c>
      <c r="J3406">
        <v>24.13808246108</v>
      </c>
      <c r="K3406">
        <v>25.325418772321001</v>
      </c>
      <c r="L3406">
        <v>25.274137659215999</v>
      </c>
    </row>
    <row r="3407" spans="1:12" x14ac:dyDescent="0.2">
      <c r="A3407" s="8" t="s">
        <v>32</v>
      </c>
      <c r="B3407" s="8" t="s">
        <v>33</v>
      </c>
      <c r="C3407" s="8" t="s">
        <v>529</v>
      </c>
      <c r="D3407" s="8" t="s">
        <v>530</v>
      </c>
      <c r="E3407" s="8" t="s">
        <v>45</v>
      </c>
      <c r="F3407" s="8" t="s">
        <v>46</v>
      </c>
      <c r="G3407" s="8" t="s">
        <v>7</v>
      </c>
      <c r="H3407" s="8" t="s">
        <v>38</v>
      </c>
      <c r="I3407" s="9">
        <v>1.8427199000000001</v>
      </c>
      <c r="J3407">
        <v>1.8042424134359001</v>
      </c>
      <c r="K3407">
        <v>1.8930067798978001</v>
      </c>
      <c r="L3407">
        <v>2.0172295769861002</v>
      </c>
    </row>
    <row r="3408" spans="1:12" x14ac:dyDescent="0.2">
      <c r="A3408" s="8" t="s">
        <v>32</v>
      </c>
      <c r="B3408" s="8" t="s">
        <v>33</v>
      </c>
      <c r="C3408" s="8" t="s">
        <v>529</v>
      </c>
      <c r="D3408" s="8" t="s">
        <v>530</v>
      </c>
      <c r="E3408" s="8" t="s">
        <v>47</v>
      </c>
      <c r="F3408" s="8" t="s">
        <v>48</v>
      </c>
      <c r="G3408" s="8" t="s">
        <v>7</v>
      </c>
      <c r="H3408" s="8" t="s">
        <v>38</v>
      </c>
      <c r="I3408" s="9">
        <v>0.7913017</v>
      </c>
      <c r="J3408">
        <v>0.72802153168797001</v>
      </c>
      <c r="K3408">
        <v>0.76384599749369997</v>
      </c>
      <c r="L3408">
        <v>0.76229929560715004</v>
      </c>
    </row>
    <row r="3409" spans="1:12" x14ac:dyDescent="0.2">
      <c r="A3409" s="8" t="s">
        <v>32</v>
      </c>
      <c r="B3409" s="8" t="s">
        <v>33</v>
      </c>
      <c r="C3409" s="8" t="s">
        <v>529</v>
      </c>
      <c r="D3409" s="8" t="s">
        <v>530</v>
      </c>
      <c r="E3409" s="8" t="s">
        <v>49</v>
      </c>
      <c r="F3409" s="8" t="s">
        <v>50</v>
      </c>
      <c r="G3409" s="8" t="s">
        <v>7</v>
      </c>
      <c r="H3409" s="8" t="s">
        <v>38</v>
      </c>
      <c r="I3409" s="9">
        <v>6.5952792000000002</v>
      </c>
      <c r="J3409">
        <v>6.4478008643502003</v>
      </c>
      <c r="K3409">
        <v>6.5437698854636004</v>
      </c>
      <c r="L3409">
        <v>6.5305194904099002</v>
      </c>
    </row>
    <row r="3410" spans="1:12" x14ac:dyDescent="0.2">
      <c r="A3410" s="8" t="s">
        <v>32</v>
      </c>
      <c r="B3410" s="8" t="s">
        <v>33</v>
      </c>
      <c r="C3410" s="8" t="s">
        <v>529</v>
      </c>
      <c r="D3410" s="8" t="s">
        <v>530</v>
      </c>
      <c r="E3410" s="8" t="s">
        <v>51</v>
      </c>
      <c r="F3410" s="8" t="s">
        <v>52</v>
      </c>
      <c r="G3410" s="8" t="s">
        <v>7</v>
      </c>
      <c r="H3410" s="8" t="s">
        <v>38</v>
      </c>
      <c r="I3410" s="9">
        <v>0.50616190000000005</v>
      </c>
      <c r="J3410">
        <v>0.53641838695301003</v>
      </c>
      <c r="K3410">
        <v>0.56279892028515999</v>
      </c>
      <c r="L3410">
        <v>0.56165931602644004</v>
      </c>
    </row>
    <row r="3411" spans="1:12" x14ac:dyDescent="0.2">
      <c r="A3411" s="8" t="s">
        <v>32</v>
      </c>
      <c r="B3411" s="8" t="s">
        <v>33</v>
      </c>
      <c r="C3411" s="8" t="s">
        <v>529</v>
      </c>
      <c r="D3411" s="8" t="s">
        <v>530</v>
      </c>
      <c r="E3411" s="8" t="s">
        <v>53</v>
      </c>
      <c r="F3411" s="8" t="s">
        <v>54</v>
      </c>
      <c r="G3411" s="8" t="s">
        <v>7</v>
      </c>
      <c r="H3411" s="8" t="s">
        <v>38</v>
      </c>
      <c r="I3411" s="9"/>
    </row>
    <row r="3412" spans="1:12" x14ac:dyDescent="0.2">
      <c r="A3412" s="8" t="s">
        <v>32</v>
      </c>
      <c r="B3412" s="8" t="s">
        <v>33</v>
      </c>
      <c r="C3412" s="8" t="s">
        <v>529</v>
      </c>
      <c r="D3412" s="8" t="s">
        <v>530</v>
      </c>
      <c r="E3412" s="8" t="s">
        <v>55</v>
      </c>
      <c r="F3412" s="8" t="s">
        <v>56</v>
      </c>
      <c r="G3412" s="8" t="s">
        <v>7</v>
      </c>
      <c r="H3412" s="8" t="s">
        <v>38</v>
      </c>
      <c r="I3412" s="9">
        <v>1.6082E-3</v>
      </c>
      <c r="J3412">
        <v>1.6338554004612E-3</v>
      </c>
      <c r="K3412">
        <v>1.6599547621799001E-3</v>
      </c>
      <c r="L3412">
        <v>1.6854943033071999E-3</v>
      </c>
    </row>
    <row r="3413" spans="1:12" x14ac:dyDescent="0.2">
      <c r="A3413" s="8" t="s">
        <v>32</v>
      </c>
      <c r="B3413" s="8" t="s">
        <v>33</v>
      </c>
      <c r="C3413" s="8" t="s">
        <v>529</v>
      </c>
      <c r="D3413" s="8" t="s">
        <v>530</v>
      </c>
      <c r="E3413" s="8" t="s">
        <v>59</v>
      </c>
      <c r="F3413" s="8" t="s">
        <v>60</v>
      </c>
      <c r="G3413" s="8" t="s">
        <v>7</v>
      </c>
      <c r="H3413" s="8" t="s">
        <v>38</v>
      </c>
      <c r="I3413" s="9">
        <v>0.27812880000000001</v>
      </c>
      <c r="J3413">
        <v>0.27909168317131</v>
      </c>
      <c r="K3413">
        <v>0.28942898278628998</v>
      </c>
      <c r="L3413">
        <v>0.30116732005527003</v>
      </c>
    </row>
    <row r="3414" spans="1:12" x14ac:dyDescent="0.2">
      <c r="A3414" s="8" t="s">
        <v>32</v>
      </c>
      <c r="B3414" s="8" t="s">
        <v>33</v>
      </c>
      <c r="C3414" s="8" t="s">
        <v>531</v>
      </c>
      <c r="D3414" s="8" t="s">
        <v>532</v>
      </c>
      <c r="E3414" s="8" t="s">
        <v>59</v>
      </c>
      <c r="F3414" s="8" t="s">
        <v>60</v>
      </c>
      <c r="G3414" s="8" t="s">
        <v>7</v>
      </c>
      <c r="H3414" s="8" t="s">
        <v>38</v>
      </c>
      <c r="I3414" s="9">
        <v>0.15221850000000001</v>
      </c>
      <c r="J3414">
        <v>0.15242461916361</v>
      </c>
      <c r="K3414">
        <v>0.15242461916361</v>
      </c>
      <c r="L3414">
        <v>0.15097295612396</v>
      </c>
    </row>
    <row r="3415" spans="1:12" x14ac:dyDescent="0.2">
      <c r="A3415" s="8" t="s">
        <v>32</v>
      </c>
      <c r="B3415" s="8" t="s">
        <v>153</v>
      </c>
      <c r="C3415" s="8" t="s">
        <v>533</v>
      </c>
      <c r="D3415" s="8" t="s">
        <v>534</v>
      </c>
      <c r="E3415" s="8" t="s">
        <v>36</v>
      </c>
      <c r="F3415" s="8" t="s">
        <v>37</v>
      </c>
      <c r="G3415" s="8" t="s">
        <v>7</v>
      </c>
      <c r="H3415" s="8" t="s">
        <v>38</v>
      </c>
      <c r="I3415" s="9">
        <v>150880.81</v>
      </c>
      <c r="J3415">
        <v>142387.31224599999</v>
      </c>
      <c r="K3415">
        <v>140441.03671399999</v>
      </c>
      <c r="L3415">
        <v>170644.47146756001</v>
      </c>
    </row>
    <row r="3416" spans="1:12" x14ac:dyDescent="0.2">
      <c r="A3416" s="8" t="s">
        <v>32</v>
      </c>
      <c r="B3416" s="8" t="s">
        <v>153</v>
      </c>
      <c r="C3416" s="8" t="s">
        <v>533</v>
      </c>
      <c r="D3416" s="8" t="s">
        <v>534</v>
      </c>
      <c r="E3416" s="8" t="s">
        <v>39</v>
      </c>
      <c r="F3416" s="8" t="s">
        <v>40</v>
      </c>
      <c r="G3416" s="8" t="s">
        <v>7</v>
      </c>
      <c r="H3416" s="8" t="s">
        <v>38</v>
      </c>
      <c r="I3416" s="9">
        <v>92303.426000000007</v>
      </c>
      <c r="J3416">
        <v>92262.828223000004</v>
      </c>
      <c r="K3416">
        <v>87914.853560999996</v>
      </c>
      <c r="L3416">
        <v>102503.4430271</v>
      </c>
    </row>
    <row r="3417" spans="1:12" x14ac:dyDescent="0.2">
      <c r="A3417" s="8" t="s">
        <v>32</v>
      </c>
      <c r="B3417" s="8" t="s">
        <v>153</v>
      </c>
      <c r="C3417" s="8" t="s">
        <v>533</v>
      </c>
      <c r="D3417" s="8" t="s">
        <v>534</v>
      </c>
      <c r="E3417" s="8" t="s">
        <v>41</v>
      </c>
      <c r="F3417" s="8" t="s">
        <v>42</v>
      </c>
      <c r="G3417" s="8" t="s">
        <v>7</v>
      </c>
      <c r="H3417" s="8" t="s">
        <v>38</v>
      </c>
      <c r="I3417" s="9">
        <v>2341.7444</v>
      </c>
      <c r="J3417">
        <v>1474.4894449999999</v>
      </c>
      <c r="K3417">
        <v>3389.0413699999999</v>
      </c>
      <c r="L3417">
        <v>4513.4478996078997</v>
      </c>
    </row>
    <row r="3418" spans="1:12" x14ac:dyDescent="0.2">
      <c r="A3418" s="8" t="s">
        <v>32</v>
      </c>
      <c r="B3418" s="8" t="s">
        <v>153</v>
      </c>
      <c r="C3418" s="8" t="s">
        <v>533</v>
      </c>
      <c r="D3418" s="8" t="s">
        <v>534</v>
      </c>
      <c r="E3418" s="8" t="s">
        <v>43</v>
      </c>
      <c r="F3418" s="8" t="s">
        <v>44</v>
      </c>
      <c r="G3418" s="8" t="s">
        <v>7</v>
      </c>
      <c r="H3418" s="8" t="s">
        <v>38</v>
      </c>
      <c r="I3418" s="9">
        <v>31459.312000000002</v>
      </c>
      <c r="J3418">
        <v>28096.554477000001</v>
      </c>
      <c r="K3418">
        <v>37604.798667000003</v>
      </c>
      <c r="L3418">
        <v>40388.390478916001</v>
      </c>
    </row>
    <row r="3419" spans="1:12" x14ac:dyDescent="0.2">
      <c r="A3419" s="8" t="s">
        <v>32</v>
      </c>
      <c r="B3419" s="8" t="s">
        <v>153</v>
      </c>
      <c r="C3419" s="8" t="s">
        <v>533</v>
      </c>
      <c r="D3419" s="8" t="s">
        <v>534</v>
      </c>
      <c r="E3419" s="8" t="s">
        <v>66</v>
      </c>
      <c r="F3419" s="8" t="s">
        <v>67</v>
      </c>
      <c r="G3419" s="8" t="s">
        <v>7</v>
      </c>
      <c r="H3419" s="8" t="s">
        <v>38</v>
      </c>
      <c r="I3419" s="9">
        <v>94.468608000000003</v>
      </c>
      <c r="J3419">
        <v>76.988417999999996</v>
      </c>
      <c r="K3419">
        <v>103.915617</v>
      </c>
      <c r="L3419">
        <v>111.62131489075</v>
      </c>
    </row>
    <row r="3420" spans="1:12" x14ac:dyDescent="0.2">
      <c r="A3420" s="8" t="s">
        <v>32</v>
      </c>
      <c r="B3420" s="8" t="s">
        <v>153</v>
      </c>
      <c r="C3420" s="8" t="s">
        <v>533</v>
      </c>
      <c r="D3420" s="8" t="s">
        <v>534</v>
      </c>
      <c r="E3420" s="8" t="s">
        <v>45</v>
      </c>
      <c r="F3420" s="8" t="s">
        <v>46</v>
      </c>
      <c r="G3420" s="8" t="s">
        <v>7</v>
      </c>
      <c r="H3420" s="8" t="s">
        <v>38</v>
      </c>
      <c r="I3420" s="9">
        <v>2731.1687999999999</v>
      </c>
      <c r="J3420">
        <v>2467.628463</v>
      </c>
      <c r="K3420">
        <v>2732.2129110000001</v>
      </c>
      <c r="L3420">
        <v>2637.0473550515999</v>
      </c>
    </row>
    <row r="3421" spans="1:12" x14ac:dyDescent="0.2">
      <c r="A3421" s="8" t="s">
        <v>32</v>
      </c>
      <c r="B3421" s="8" t="s">
        <v>153</v>
      </c>
      <c r="C3421" s="8" t="s">
        <v>533</v>
      </c>
      <c r="D3421" s="8" t="s">
        <v>534</v>
      </c>
      <c r="E3421" s="8" t="s">
        <v>49</v>
      </c>
      <c r="F3421" s="8" t="s">
        <v>50</v>
      </c>
      <c r="G3421" s="8" t="s">
        <v>7</v>
      </c>
      <c r="H3421" s="8" t="s">
        <v>38</v>
      </c>
      <c r="I3421" s="9">
        <v>14538.331</v>
      </c>
      <c r="J3421">
        <v>14369.181968000001</v>
      </c>
      <c r="K3421">
        <v>14460.785282000001</v>
      </c>
      <c r="L3421">
        <v>15605.938905395</v>
      </c>
    </row>
    <row r="3422" spans="1:12" x14ac:dyDescent="0.2">
      <c r="A3422" s="8" t="s">
        <v>32</v>
      </c>
      <c r="B3422" s="8" t="s">
        <v>153</v>
      </c>
      <c r="C3422" s="8" t="s">
        <v>533</v>
      </c>
      <c r="D3422" s="8" t="s">
        <v>534</v>
      </c>
      <c r="E3422" s="8" t="s">
        <v>51</v>
      </c>
      <c r="F3422" s="8" t="s">
        <v>52</v>
      </c>
      <c r="G3422" s="8" t="s">
        <v>7</v>
      </c>
      <c r="H3422" s="8" t="s">
        <v>38</v>
      </c>
      <c r="I3422" s="9"/>
    </row>
    <row r="3423" spans="1:12" x14ac:dyDescent="0.2">
      <c r="A3423" s="8" t="s">
        <v>32</v>
      </c>
      <c r="B3423" s="8" t="s">
        <v>153</v>
      </c>
      <c r="C3423" s="8" t="s">
        <v>533</v>
      </c>
      <c r="D3423" s="8" t="s">
        <v>534</v>
      </c>
      <c r="E3423" s="8" t="s">
        <v>68</v>
      </c>
      <c r="F3423" s="8" t="s">
        <v>69</v>
      </c>
      <c r="G3423" s="8" t="s">
        <v>7</v>
      </c>
      <c r="H3423" s="8" t="s">
        <v>38</v>
      </c>
      <c r="I3423" s="9">
        <v>480.42239000000001</v>
      </c>
      <c r="J3423">
        <v>540.99891908736004</v>
      </c>
      <c r="K3423">
        <v>552.40887079711001</v>
      </c>
      <c r="L3423">
        <v>549.54089235379001</v>
      </c>
    </row>
    <row r="3424" spans="1:12" x14ac:dyDescent="0.2">
      <c r="A3424" s="8" t="s">
        <v>32</v>
      </c>
      <c r="B3424" s="8" t="s">
        <v>153</v>
      </c>
      <c r="C3424" s="8" t="s">
        <v>533</v>
      </c>
      <c r="D3424" s="8" t="s">
        <v>534</v>
      </c>
      <c r="E3424" s="8" t="s">
        <v>53</v>
      </c>
      <c r="F3424" s="8" t="s">
        <v>54</v>
      </c>
      <c r="G3424" s="8" t="s">
        <v>7</v>
      </c>
      <c r="H3424" s="8" t="s">
        <v>38</v>
      </c>
      <c r="I3424" s="9">
        <v>1304.0530000000001</v>
      </c>
      <c r="J3424">
        <v>1032.3349817812</v>
      </c>
      <c r="K3424">
        <v>1152.1768087692001</v>
      </c>
      <c r="L3424">
        <v>1306.7369783434999</v>
      </c>
    </row>
    <row r="3425" spans="1:12" x14ac:dyDescent="0.2">
      <c r="A3425" s="8" t="s">
        <v>32</v>
      </c>
      <c r="B3425" s="8" t="s">
        <v>153</v>
      </c>
      <c r="C3425" s="8" t="s">
        <v>533</v>
      </c>
      <c r="D3425" s="8" t="s">
        <v>534</v>
      </c>
      <c r="E3425" s="8" t="s">
        <v>70</v>
      </c>
      <c r="F3425" s="8" t="s">
        <v>71</v>
      </c>
      <c r="G3425" s="8" t="s">
        <v>7</v>
      </c>
      <c r="H3425" s="8" t="s">
        <v>38</v>
      </c>
      <c r="I3425" s="9">
        <v>45880.059000000001</v>
      </c>
      <c r="J3425">
        <v>45437.124914687003</v>
      </c>
      <c r="K3425">
        <v>48063.267252537997</v>
      </c>
      <c r="L3425">
        <v>44947.200429999997</v>
      </c>
    </row>
    <row r="3426" spans="1:12" x14ac:dyDescent="0.2">
      <c r="A3426" s="8" t="s">
        <v>32</v>
      </c>
      <c r="B3426" s="8" t="s">
        <v>153</v>
      </c>
      <c r="C3426" s="8" t="s">
        <v>533</v>
      </c>
      <c r="D3426" s="8" t="s">
        <v>534</v>
      </c>
      <c r="E3426" s="8" t="s">
        <v>83</v>
      </c>
      <c r="F3426" s="8" t="s">
        <v>84</v>
      </c>
      <c r="G3426" s="8" t="s">
        <v>7</v>
      </c>
      <c r="H3426" s="8" t="s">
        <v>38</v>
      </c>
      <c r="I3426" s="9">
        <v>405</v>
      </c>
      <c r="J3426">
        <v>450</v>
      </c>
      <c r="K3426">
        <v>405</v>
      </c>
      <c r="L3426">
        <v>381</v>
      </c>
    </row>
    <row r="3427" spans="1:12" x14ac:dyDescent="0.2">
      <c r="A3427" s="8" t="s">
        <v>32</v>
      </c>
      <c r="B3427" s="8" t="s">
        <v>153</v>
      </c>
      <c r="C3427" s="8" t="s">
        <v>533</v>
      </c>
      <c r="D3427" s="8" t="s">
        <v>534</v>
      </c>
      <c r="E3427" s="8" t="s">
        <v>55</v>
      </c>
      <c r="F3427" s="8" t="s">
        <v>56</v>
      </c>
      <c r="G3427" s="8" t="s">
        <v>7</v>
      </c>
      <c r="H3427" s="8" t="s">
        <v>38</v>
      </c>
      <c r="I3427" s="9">
        <v>4.8547568999999999</v>
      </c>
      <c r="J3427">
        <v>5.4381187472881001</v>
      </c>
      <c r="K3427">
        <v>5.9324931788597004</v>
      </c>
      <c r="L3427">
        <v>5.4381187472881001</v>
      </c>
    </row>
    <row r="3428" spans="1:12" x14ac:dyDescent="0.2">
      <c r="A3428" s="8" t="s">
        <v>32</v>
      </c>
      <c r="B3428" s="8" t="s">
        <v>153</v>
      </c>
      <c r="C3428" s="8" t="s">
        <v>533</v>
      </c>
      <c r="D3428" s="8" t="s">
        <v>534</v>
      </c>
      <c r="E3428" s="8" t="s">
        <v>57</v>
      </c>
      <c r="F3428" s="8" t="s">
        <v>58</v>
      </c>
      <c r="G3428" s="8" t="s">
        <v>7</v>
      </c>
      <c r="H3428" s="8" t="s">
        <v>38</v>
      </c>
      <c r="I3428" s="9">
        <v>262.47964999999999</v>
      </c>
      <c r="J3428">
        <v>294.01997738368999</v>
      </c>
      <c r="K3428">
        <v>320.74906623675002</v>
      </c>
      <c r="L3428">
        <v>294.01997738368999</v>
      </c>
    </row>
    <row r="3429" spans="1:12" x14ac:dyDescent="0.2">
      <c r="A3429" s="8" t="s">
        <v>32</v>
      </c>
      <c r="B3429" s="8" t="s">
        <v>153</v>
      </c>
      <c r="C3429" s="8" t="s">
        <v>533</v>
      </c>
      <c r="D3429" s="8" t="s">
        <v>534</v>
      </c>
      <c r="E3429" s="8" t="s">
        <v>72</v>
      </c>
      <c r="F3429" s="8" t="s">
        <v>73</v>
      </c>
      <c r="G3429" s="8" t="s">
        <v>7</v>
      </c>
      <c r="H3429" s="8" t="s">
        <v>38</v>
      </c>
      <c r="I3429" s="9">
        <v>1895.5735999999999</v>
      </c>
      <c r="J3429">
        <v>2305.0670329999998</v>
      </c>
      <c r="K3429">
        <v>2651.7624057899998</v>
      </c>
      <c r="L3429">
        <v>2823.5410523300002</v>
      </c>
    </row>
    <row r="3430" spans="1:12" x14ac:dyDescent="0.2">
      <c r="A3430" s="8" t="s">
        <v>32</v>
      </c>
      <c r="B3430" s="8" t="s">
        <v>153</v>
      </c>
      <c r="C3430" s="8" t="s">
        <v>533</v>
      </c>
      <c r="D3430" s="8" t="s">
        <v>534</v>
      </c>
      <c r="E3430" s="8" t="s">
        <v>74</v>
      </c>
      <c r="F3430" s="8" t="s">
        <v>75</v>
      </c>
      <c r="G3430" s="8" t="s">
        <v>7</v>
      </c>
      <c r="H3430" s="8" t="s">
        <v>38</v>
      </c>
      <c r="I3430" s="9">
        <v>1273.5999999999999</v>
      </c>
      <c r="J3430">
        <v>1473.2159999999999</v>
      </c>
      <c r="K3430">
        <v>1280.2277120000001</v>
      </c>
      <c r="L3430">
        <v>1229.7493119999999</v>
      </c>
    </row>
    <row r="3431" spans="1:12" x14ac:dyDescent="0.2">
      <c r="A3431" s="8" t="s">
        <v>32</v>
      </c>
      <c r="B3431" s="8" t="s">
        <v>153</v>
      </c>
      <c r="C3431" s="8" t="s">
        <v>533</v>
      </c>
      <c r="D3431" s="8" t="s">
        <v>534</v>
      </c>
      <c r="E3431" s="8" t="s">
        <v>59</v>
      </c>
      <c r="F3431" s="8" t="s">
        <v>60</v>
      </c>
      <c r="G3431" s="8" t="s">
        <v>7</v>
      </c>
      <c r="H3431" s="8" t="s">
        <v>38</v>
      </c>
      <c r="I3431" s="9">
        <v>394.21845000000002</v>
      </c>
      <c r="J3431">
        <v>410.44849269213</v>
      </c>
      <c r="K3431">
        <v>480.38687667987</v>
      </c>
      <c r="L3431">
        <v>508.89121078801003</v>
      </c>
    </row>
    <row r="3432" spans="1:12" x14ac:dyDescent="0.2">
      <c r="A3432" s="8" t="s">
        <v>32</v>
      </c>
      <c r="B3432" s="8" t="s">
        <v>153</v>
      </c>
      <c r="C3432" s="8" t="s">
        <v>533</v>
      </c>
      <c r="D3432" s="8" t="s">
        <v>534</v>
      </c>
      <c r="E3432" s="8" t="s">
        <v>76</v>
      </c>
      <c r="F3432" s="8" t="s">
        <v>77</v>
      </c>
      <c r="G3432" s="8" t="s">
        <v>7</v>
      </c>
      <c r="H3432" s="8" t="s">
        <v>38</v>
      </c>
      <c r="I3432" s="9">
        <v>1626.1143</v>
      </c>
      <c r="J3432">
        <v>2163.9619053224001</v>
      </c>
      <c r="K3432">
        <v>1666.9714290129</v>
      </c>
      <c r="L3432">
        <v>1568.1879369233</v>
      </c>
    </row>
    <row r="3433" spans="1:12" x14ac:dyDescent="0.2">
      <c r="A3433" s="8" t="s">
        <v>32</v>
      </c>
      <c r="B3433" s="8" t="s">
        <v>153</v>
      </c>
      <c r="C3433" s="8" t="s">
        <v>533</v>
      </c>
      <c r="D3433" s="8" t="s">
        <v>534</v>
      </c>
      <c r="E3433" s="8" t="s">
        <v>78</v>
      </c>
      <c r="F3433" s="8" t="s">
        <v>79</v>
      </c>
      <c r="G3433" s="8" t="s">
        <v>7</v>
      </c>
      <c r="H3433" s="8" t="s">
        <v>38</v>
      </c>
      <c r="I3433" s="9">
        <v>407.94278000000003</v>
      </c>
      <c r="J3433">
        <v>873.39984119999997</v>
      </c>
      <c r="K3433">
        <v>723.64272557142999</v>
      </c>
      <c r="L3433">
        <v>654.59416669714005</v>
      </c>
    </row>
    <row r="3434" spans="1:12" x14ac:dyDescent="0.2">
      <c r="A3434" s="8" t="s">
        <v>32</v>
      </c>
      <c r="B3434" s="8" t="s">
        <v>153</v>
      </c>
      <c r="C3434" s="8" t="s">
        <v>533</v>
      </c>
      <c r="D3434" s="8" t="s">
        <v>534</v>
      </c>
      <c r="E3434" s="8" t="s">
        <v>92</v>
      </c>
      <c r="F3434" s="8" t="s">
        <v>93</v>
      </c>
      <c r="G3434" s="8" t="s">
        <v>7</v>
      </c>
      <c r="H3434" s="8" t="s">
        <v>38</v>
      </c>
      <c r="I3434" s="9">
        <v>47.931310000000003</v>
      </c>
      <c r="J3434">
        <v>49.305215979845002</v>
      </c>
      <c r="K3434">
        <v>50.691191082296001</v>
      </c>
      <c r="L3434">
        <v>52.046238346960997</v>
      </c>
    </row>
    <row r="3435" spans="1:12" x14ac:dyDescent="0.2">
      <c r="A3435" s="8" t="s">
        <v>32</v>
      </c>
      <c r="B3435" s="8" t="s">
        <v>105</v>
      </c>
      <c r="C3435" s="8" t="s">
        <v>535</v>
      </c>
      <c r="D3435" s="8" t="s">
        <v>536</v>
      </c>
      <c r="E3435" s="8" t="s">
        <v>36</v>
      </c>
      <c r="F3435" s="8" t="s">
        <v>37</v>
      </c>
      <c r="G3435" s="8" t="s">
        <v>7</v>
      </c>
      <c r="H3435" s="8" t="s">
        <v>38</v>
      </c>
      <c r="I3435" s="9">
        <v>59.606043</v>
      </c>
      <c r="J3435">
        <v>67.507057521861995</v>
      </c>
      <c r="K3435">
        <v>62.861656857024997</v>
      </c>
      <c r="L3435">
        <v>62.564547717848001</v>
      </c>
    </row>
    <row r="3436" spans="1:12" x14ac:dyDescent="0.2">
      <c r="A3436" s="8" t="s">
        <v>32</v>
      </c>
      <c r="B3436" s="8" t="s">
        <v>105</v>
      </c>
      <c r="C3436" s="8" t="s">
        <v>535</v>
      </c>
      <c r="D3436" s="8" t="s">
        <v>536</v>
      </c>
      <c r="E3436" s="8" t="s">
        <v>39</v>
      </c>
      <c r="F3436" s="8" t="s">
        <v>40</v>
      </c>
      <c r="G3436" s="8" t="s">
        <v>7</v>
      </c>
      <c r="H3436" s="8" t="s">
        <v>38</v>
      </c>
      <c r="I3436" s="9">
        <v>32.123542</v>
      </c>
      <c r="J3436">
        <v>35.806046593174003</v>
      </c>
      <c r="K3436">
        <v>33.342095663891001</v>
      </c>
      <c r="L3436">
        <v>33.184507686793999</v>
      </c>
    </row>
    <row r="3437" spans="1:12" x14ac:dyDescent="0.2">
      <c r="A3437" s="8" t="s">
        <v>32</v>
      </c>
      <c r="B3437" s="8" t="s">
        <v>105</v>
      </c>
      <c r="C3437" s="8" t="s">
        <v>535</v>
      </c>
      <c r="D3437" s="8" t="s">
        <v>536</v>
      </c>
      <c r="E3437" s="8" t="s">
        <v>41</v>
      </c>
      <c r="F3437" s="8" t="s">
        <v>42</v>
      </c>
      <c r="G3437" s="8" t="s">
        <v>7</v>
      </c>
      <c r="H3437" s="8" t="s">
        <v>38</v>
      </c>
      <c r="I3437" s="9">
        <v>6.1065430999999997</v>
      </c>
      <c r="J3437">
        <v>7.3597433319208996</v>
      </c>
      <c r="K3437">
        <v>6.8532879586964999</v>
      </c>
      <c r="L3437">
        <v>9.1270523919828008</v>
      </c>
    </row>
    <row r="3438" spans="1:12" x14ac:dyDescent="0.2">
      <c r="A3438" s="8" t="s">
        <v>32</v>
      </c>
      <c r="B3438" s="8" t="s">
        <v>105</v>
      </c>
      <c r="C3438" s="8" t="s">
        <v>535</v>
      </c>
      <c r="D3438" s="8" t="s">
        <v>536</v>
      </c>
      <c r="E3438" s="8" t="s">
        <v>43</v>
      </c>
      <c r="F3438" s="8" t="s">
        <v>44</v>
      </c>
      <c r="G3438" s="8" t="s">
        <v>7</v>
      </c>
      <c r="H3438" s="8" t="s">
        <v>38</v>
      </c>
      <c r="I3438" s="9">
        <v>103.01528</v>
      </c>
      <c r="J3438">
        <v>120.85727852202</v>
      </c>
      <c r="K3438">
        <v>112.54057840452001</v>
      </c>
      <c r="L3438">
        <v>112.00866696528</v>
      </c>
    </row>
    <row r="3439" spans="1:12" x14ac:dyDescent="0.2">
      <c r="A3439" s="8" t="s">
        <v>32</v>
      </c>
      <c r="B3439" s="8" t="s">
        <v>105</v>
      </c>
      <c r="C3439" s="8" t="s">
        <v>535</v>
      </c>
      <c r="D3439" s="8" t="s">
        <v>536</v>
      </c>
      <c r="E3439" s="8" t="s">
        <v>66</v>
      </c>
      <c r="F3439" s="8" t="s">
        <v>67</v>
      </c>
      <c r="G3439" s="8" t="s">
        <v>7</v>
      </c>
      <c r="H3439" s="8" t="s">
        <v>38</v>
      </c>
      <c r="I3439" s="9"/>
    </row>
    <row r="3440" spans="1:12" x14ac:dyDescent="0.2">
      <c r="A3440" s="8" t="s">
        <v>32</v>
      </c>
      <c r="B3440" s="8" t="s">
        <v>105</v>
      </c>
      <c r="C3440" s="8" t="s">
        <v>535</v>
      </c>
      <c r="D3440" s="8" t="s">
        <v>536</v>
      </c>
      <c r="E3440" s="8" t="s">
        <v>45</v>
      </c>
      <c r="F3440" s="8" t="s">
        <v>46</v>
      </c>
      <c r="G3440" s="8" t="s">
        <v>7</v>
      </c>
      <c r="H3440" s="8" t="s">
        <v>38</v>
      </c>
      <c r="I3440" s="9">
        <v>7.0917117999999997</v>
      </c>
      <c r="J3440">
        <v>9.9716757986893008</v>
      </c>
      <c r="K3440">
        <v>9.2854832435807992</v>
      </c>
      <c r="L3440">
        <v>8.9620610931449001</v>
      </c>
    </row>
    <row r="3441" spans="1:12" x14ac:dyDescent="0.2">
      <c r="A3441" s="8" t="s">
        <v>32</v>
      </c>
      <c r="B3441" s="8" t="s">
        <v>105</v>
      </c>
      <c r="C3441" s="8" t="s">
        <v>535</v>
      </c>
      <c r="D3441" s="8" t="s">
        <v>536</v>
      </c>
      <c r="E3441" s="8" t="s">
        <v>47</v>
      </c>
      <c r="F3441" s="8" t="s">
        <v>48</v>
      </c>
      <c r="G3441" s="8" t="s">
        <v>7</v>
      </c>
      <c r="H3441" s="8" t="s">
        <v>38</v>
      </c>
      <c r="I3441" s="9">
        <v>7.4379254000000001</v>
      </c>
      <c r="J3441">
        <v>8.5139595126104002</v>
      </c>
      <c r="K3441">
        <v>7.9280288139707</v>
      </c>
      <c r="L3441">
        <v>7.8905578032773001</v>
      </c>
    </row>
    <row r="3442" spans="1:12" x14ac:dyDescent="0.2">
      <c r="A3442" s="8" t="s">
        <v>32</v>
      </c>
      <c r="B3442" s="8" t="s">
        <v>105</v>
      </c>
      <c r="C3442" s="8" t="s">
        <v>535</v>
      </c>
      <c r="D3442" s="8" t="s">
        <v>536</v>
      </c>
      <c r="E3442" s="8" t="s">
        <v>49</v>
      </c>
      <c r="F3442" s="8" t="s">
        <v>50</v>
      </c>
      <c r="G3442" s="8" t="s">
        <v>7</v>
      </c>
      <c r="H3442" s="8" t="s">
        <v>38</v>
      </c>
      <c r="I3442" s="9">
        <v>33.548586</v>
      </c>
      <c r="J3442">
        <v>37.873835593780001</v>
      </c>
      <c r="K3442">
        <v>35.267591929021997</v>
      </c>
      <c r="L3442">
        <v>35.100903292373999</v>
      </c>
    </row>
    <row r="3443" spans="1:12" x14ac:dyDescent="0.2">
      <c r="A3443" s="8" t="s">
        <v>32</v>
      </c>
      <c r="B3443" s="8" t="s">
        <v>105</v>
      </c>
      <c r="C3443" s="8" t="s">
        <v>535</v>
      </c>
      <c r="D3443" s="8" t="s">
        <v>536</v>
      </c>
      <c r="E3443" s="8" t="s">
        <v>51</v>
      </c>
      <c r="F3443" s="8" t="s">
        <v>52</v>
      </c>
      <c r="G3443" s="8" t="s">
        <v>7</v>
      </c>
      <c r="H3443" s="8" t="s">
        <v>38</v>
      </c>
      <c r="I3443" s="9">
        <v>1.5510377</v>
      </c>
      <c r="J3443">
        <v>1.9187419895719</v>
      </c>
      <c r="K3443">
        <v>1.7866744516961</v>
      </c>
      <c r="L3443">
        <v>1.7782299191324</v>
      </c>
    </row>
    <row r="3444" spans="1:12" x14ac:dyDescent="0.2">
      <c r="A3444" s="8" t="s">
        <v>32</v>
      </c>
      <c r="B3444" s="8" t="s">
        <v>105</v>
      </c>
      <c r="C3444" s="8" t="s">
        <v>535</v>
      </c>
      <c r="D3444" s="8" t="s">
        <v>536</v>
      </c>
      <c r="E3444" s="8" t="s">
        <v>53</v>
      </c>
      <c r="F3444" s="8" t="s">
        <v>54</v>
      </c>
      <c r="G3444" s="8" t="s">
        <v>7</v>
      </c>
      <c r="H3444" s="8" t="s">
        <v>38</v>
      </c>
      <c r="I3444" s="9">
        <v>1.5340000000000001E-6</v>
      </c>
      <c r="J3444">
        <v>5.3431631935683997E-7</v>
      </c>
      <c r="K3444">
        <v>4.6398409886817001E-7</v>
      </c>
      <c r="L3444">
        <v>2.7635639572092998E-7</v>
      </c>
    </row>
    <row r="3445" spans="1:12" x14ac:dyDescent="0.2">
      <c r="A3445" s="8" t="s">
        <v>32</v>
      </c>
      <c r="B3445" s="8" t="s">
        <v>105</v>
      </c>
      <c r="C3445" s="8" t="s">
        <v>535</v>
      </c>
      <c r="D3445" s="8" t="s">
        <v>536</v>
      </c>
      <c r="E3445" s="8" t="s">
        <v>55</v>
      </c>
      <c r="F3445" s="8" t="s">
        <v>56</v>
      </c>
      <c r="G3445" s="8" t="s">
        <v>7</v>
      </c>
      <c r="H3445" s="8" t="s">
        <v>38</v>
      </c>
      <c r="I3445" s="9">
        <v>1.41479E-2</v>
      </c>
      <c r="J3445">
        <v>1.4399828628791E-2</v>
      </c>
      <c r="K3445">
        <v>1.4656279891448E-2</v>
      </c>
      <c r="L3445">
        <v>1.4905283387329001E-2</v>
      </c>
    </row>
    <row r="3446" spans="1:12" x14ac:dyDescent="0.2">
      <c r="A3446" s="8" t="s">
        <v>32</v>
      </c>
      <c r="B3446" s="8" t="s">
        <v>105</v>
      </c>
      <c r="C3446" s="8" t="s">
        <v>535</v>
      </c>
      <c r="D3446" s="8" t="s">
        <v>536</v>
      </c>
      <c r="E3446" s="8" t="s">
        <v>57</v>
      </c>
      <c r="F3446" s="8" t="s">
        <v>58</v>
      </c>
      <c r="G3446" s="8" t="s">
        <v>7</v>
      </c>
      <c r="H3446" s="8" t="s">
        <v>38</v>
      </c>
      <c r="I3446" s="9">
        <v>1.0212999999999999E-3</v>
      </c>
      <c r="J3446">
        <v>1.0213150000000001E-3</v>
      </c>
      <c r="K3446">
        <v>1.0213150000000001E-3</v>
      </c>
      <c r="L3446">
        <v>1.0213150000000001E-3</v>
      </c>
    </row>
    <row r="3447" spans="1:12" x14ac:dyDescent="0.2">
      <c r="A3447" s="8" t="s">
        <v>32</v>
      </c>
      <c r="B3447" s="8" t="s">
        <v>105</v>
      </c>
      <c r="C3447" s="8" t="s">
        <v>535</v>
      </c>
      <c r="D3447" s="8" t="s">
        <v>536</v>
      </c>
      <c r="E3447" s="8" t="s">
        <v>59</v>
      </c>
      <c r="F3447" s="8" t="s">
        <v>60</v>
      </c>
      <c r="G3447" s="8" t="s">
        <v>7</v>
      </c>
      <c r="H3447" s="8" t="s">
        <v>38</v>
      </c>
      <c r="I3447" s="9">
        <v>1.0172041000000001</v>
      </c>
      <c r="J3447">
        <v>1.0860089615598001</v>
      </c>
      <c r="K3447">
        <v>1.0548323197703999</v>
      </c>
      <c r="L3447">
        <v>1.0694686200837</v>
      </c>
    </row>
    <row r="3448" spans="1:12" x14ac:dyDescent="0.2">
      <c r="A3448" s="8" t="s">
        <v>32</v>
      </c>
      <c r="B3448" s="8" t="s">
        <v>105</v>
      </c>
      <c r="C3448" s="8" t="s">
        <v>537</v>
      </c>
      <c r="D3448" s="8" t="s">
        <v>538</v>
      </c>
      <c r="E3448" s="8" t="s">
        <v>59</v>
      </c>
      <c r="F3448" s="8" t="s">
        <v>60</v>
      </c>
      <c r="G3448" s="8" t="s">
        <v>7</v>
      </c>
      <c r="H3448" s="8" t="s">
        <v>38</v>
      </c>
      <c r="I3448" s="9">
        <v>2.8955700000000001E-2</v>
      </c>
      <c r="J3448">
        <v>2.8864583971040001E-2</v>
      </c>
      <c r="K3448">
        <v>2.8819031532473002E-2</v>
      </c>
      <c r="L3448">
        <v>2.8758294947718002E-2</v>
      </c>
    </row>
    <row r="3449" spans="1:12" x14ac:dyDescent="0.2">
      <c r="A3449" s="8" t="s">
        <v>32</v>
      </c>
      <c r="B3449" s="8" t="s">
        <v>105</v>
      </c>
      <c r="C3449" s="8" t="s">
        <v>539</v>
      </c>
      <c r="D3449" s="8" t="s">
        <v>540</v>
      </c>
      <c r="E3449" s="8" t="s">
        <v>36</v>
      </c>
      <c r="F3449" s="8" t="s">
        <v>37</v>
      </c>
      <c r="G3449" s="8" t="s">
        <v>7</v>
      </c>
      <c r="H3449" s="8" t="s">
        <v>38</v>
      </c>
      <c r="I3449" s="9">
        <v>74.243442000000002</v>
      </c>
      <c r="J3449">
        <v>79.695860467600994</v>
      </c>
      <c r="K3449">
        <v>77.133817228417996</v>
      </c>
      <c r="L3449">
        <v>76.769252194914003</v>
      </c>
    </row>
    <row r="3450" spans="1:12" x14ac:dyDescent="0.2">
      <c r="A3450" s="8" t="s">
        <v>32</v>
      </c>
      <c r="B3450" s="8" t="s">
        <v>105</v>
      </c>
      <c r="C3450" s="8" t="s">
        <v>539</v>
      </c>
      <c r="D3450" s="8" t="s">
        <v>540</v>
      </c>
      <c r="E3450" s="8" t="s">
        <v>39</v>
      </c>
      <c r="F3450" s="8" t="s">
        <v>40</v>
      </c>
      <c r="G3450" s="8" t="s">
        <v>7</v>
      </c>
      <c r="H3450" s="8" t="s">
        <v>38</v>
      </c>
      <c r="I3450" s="9">
        <v>40.012089000000003</v>
      </c>
      <c r="J3450">
        <v>42.271042435258003</v>
      </c>
      <c r="K3450">
        <v>40.9121114768</v>
      </c>
      <c r="L3450">
        <v>40.718744600542003</v>
      </c>
    </row>
    <row r="3451" spans="1:12" x14ac:dyDescent="0.2">
      <c r="A3451" s="8" t="s">
        <v>32</v>
      </c>
      <c r="B3451" s="8" t="s">
        <v>105</v>
      </c>
      <c r="C3451" s="8" t="s">
        <v>539</v>
      </c>
      <c r="D3451" s="8" t="s">
        <v>540</v>
      </c>
      <c r="E3451" s="8" t="s">
        <v>41</v>
      </c>
      <c r="F3451" s="8" t="s">
        <v>42</v>
      </c>
      <c r="G3451" s="8" t="s">
        <v>7</v>
      </c>
      <c r="H3451" s="8" t="s">
        <v>38</v>
      </c>
      <c r="I3451" s="9">
        <v>7.6061209999999999</v>
      </c>
      <c r="J3451">
        <v>8.6885890037229991</v>
      </c>
      <c r="K3451">
        <v>8.4092638859667002</v>
      </c>
      <c r="L3451">
        <v>11.199265597447001</v>
      </c>
    </row>
    <row r="3452" spans="1:12" x14ac:dyDescent="0.2">
      <c r="A3452" s="8" t="s">
        <v>32</v>
      </c>
      <c r="B3452" s="8" t="s">
        <v>105</v>
      </c>
      <c r="C3452" s="8" t="s">
        <v>539</v>
      </c>
      <c r="D3452" s="8" t="s">
        <v>540</v>
      </c>
      <c r="E3452" s="8" t="s">
        <v>43</v>
      </c>
      <c r="F3452" s="8" t="s">
        <v>44</v>
      </c>
      <c r="G3452" s="8" t="s">
        <v>7</v>
      </c>
      <c r="H3452" s="8" t="s">
        <v>38</v>
      </c>
      <c r="I3452" s="9">
        <v>128.31263999999999</v>
      </c>
      <c r="J3452">
        <v>142.67878291784999</v>
      </c>
      <c r="K3452">
        <v>138.09188047935999</v>
      </c>
      <c r="L3452">
        <v>137.43920344557</v>
      </c>
    </row>
    <row r="3453" spans="1:12" x14ac:dyDescent="0.2">
      <c r="A3453" s="8" t="s">
        <v>32</v>
      </c>
      <c r="B3453" s="8" t="s">
        <v>105</v>
      </c>
      <c r="C3453" s="8" t="s">
        <v>539</v>
      </c>
      <c r="D3453" s="8" t="s">
        <v>540</v>
      </c>
      <c r="E3453" s="8" t="s">
        <v>66</v>
      </c>
      <c r="F3453" s="8" t="s">
        <v>67</v>
      </c>
      <c r="G3453" s="8" t="s">
        <v>7</v>
      </c>
      <c r="H3453" s="8" t="s">
        <v>38</v>
      </c>
      <c r="I3453" s="9"/>
    </row>
    <row r="3454" spans="1:12" x14ac:dyDescent="0.2">
      <c r="A3454" s="8" t="s">
        <v>32</v>
      </c>
      <c r="B3454" s="8" t="s">
        <v>105</v>
      </c>
      <c r="C3454" s="8" t="s">
        <v>539</v>
      </c>
      <c r="D3454" s="8" t="s">
        <v>540</v>
      </c>
      <c r="E3454" s="8" t="s">
        <v>45</v>
      </c>
      <c r="F3454" s="8" t="s">
        <v>46</v>
      </c>
      <c r="G3454" s="8" t="s">
        <v>7</v>
      </c>
      <c r="H3454" s="8" t="s">
        <v>38</v>
      </c>
      <c r="I3454" s="9">
        <v>8.8332166000000001</v>
      </c>
      <c r="J3454">
        <v>11.772121497417</v>
      </c>
      <c r="K3454">
        <v>11.3936667151</v>
      </c>
      <c r="L3454">
        <v>10.996814543416001</v>
      </c>
    </row>
    <row r="3455" spans="1:12" x14ac:dyDescent="0.2">
      <c r="A3455" s="8" t="s">
        <v>32</v>
      </c>
      <c r="B3455" s="8" t="s">
        <v>105</v>
      </c>
      <c r="C3455" s="8" t="s">
        <v>539</v>
      </c>
      <c r="D3455" s="8" t="s">
        <v>540</v>
      </c>
      <c r="E3455" s="8" t="s">
        <v>47</v>
      </c>
      <c r="F3455" s="8" t="s">
        <v>48</v>
      </c>
      <c r="G3455" s="8" t="s">
        <v>7</v>
      </c>
      <c r="H3455" s="8" t="s">
        <v>38</v>
      </c>
      <c r="I3455" s="9">
        <v>9.2644494999999996</v>
      </c>
      <c r="J3455">
        <v>10.051205818355999</v>
      </c>
      <c r="K3455">
        <v>9.7280147564247006</v>
      </c>
      <c r="L3455">
        <v>9.6820362977792005</v>
      </c>
    </row>
    <row r="3456" spans="1:12" x14ac:dyDescent="0.2">
      <c r="A3456" s="8" t="s">
        <v>32</v>
      </c>
      <c r="B3456" s="8" t="s">
        <v>105</v>
      </c>
      <c r="C3456" s="8" t="s">
        <v>539</v>
      </c>
      <c r="D3456" s="8" t="s">
        <v>540</v>
      </c>
      <c r="E3456" s="8" t="s">
        <v>49</v>
      </c>
      <c r="F3456" s="8" t="s">
        <v>50</v>
      </c>
      <c r="G3456" s="8" t="s">
        <v>7</v>
      </c>
      <c r="H3456" s="8" t="s">
        <v>38</v>
      </c>
      <c r="I3456" s="9">
        <v>41.787080000000003</v>
      </c>
      <c r="J3456">
        <v>44.712183105853001</v>
      </c>
      <c r="K3456">
        <v>43.274773939330998</v>
      </c>
      <c r="L3456">
        <v>43.070240182569997</v>
      </c>
    </row>
    <row r="3457" spans="1:12" x14ac:dyDescent="0.2">
      <c r="A3457" s="8" t="s">
        <v>32</v>
      </c>
      <c r="B3457" s="8" t="s">
        <v>105</v>
      </c>
      <c r="C3457" s="8" t="s">
        <v>539</v>
      </c>
      <c r="D3457" s="8" t="s">
        <v>540</v>
      </c>
      <c r="E3457" s="8" t="s">
        <v>51</v>
      </c>
      <c r="F3457" s="8" t="s">
        <v>52</v>
      </c>
      <c r="G3457" s="8" t="s">
        <v>7</v>
      </c>
      <c r="H3457" s="8" t="s">
        <v>38</v>
      </c>
      <c r="I3457" s="9">
        <v>1.9319245</v>
      </c>
      <c r="J3457">
        <v>2.2651823303767999</v>
      </c>
      <c r="K3457">
        <v>2.1923224346004999</v>
      </c>
      <c r="L3457">
        <v>2.1819606486738001</v>
      </c>
    </row>
    <row r="3458" spans="1:12" x14ac:dyDescent="0.2">
      <c r="A3458" s="8" t="s">
        <v>32</v>
      </c>
      <c r="B3458" s="8" t="s">
        <v>105</v>
      </c>
      <c r="C3458" s="8" t="s">
        <v>539</v>
      </c>
      <c r="D3458" s="8" t="s">
        <v>540</v>
      </c>
      <c r="E3458" s="8" t="s">
        <v>53</v>
      </c>
      <c r="F3458" s="8" t="s">
        <v>54</v>
      </c>
      <c r="G3458" s="8" t="s">
        <v>7</v>
      </c>
      <c r="H3458" s="8" t="s">
        <v>38</v>
      </c>
      <c r="I3458" s="9">
        <v>1.911E-6</v>
      </c>
      <c r="J3458">
        <v>6.3079032617048996E-7</v>
      </c>
      <c r="K3458">
        <v>5.6932741624023001E-7</v>
      </c>
      <c r="L3458">
        <v>1.4851429448149001E-7</v>
      </c>
    </row>
    <row r="3459" spans="1:12" x14ac:dyDescent="0.2">
      <c r="A3459" s="8" t="s">
        <v>32</v>
      </c>
      <c r="B3459" s="8" t="s">
        <v>105</v>
      </c>
      <c r="C3459" s="8" t="s">
        <v>539</v>
      </c>
      <c r="D3459" s="8" t="s">
        <v>540</v>
      </c>
      <c r="E3459" s="8" t="s">
        <v>55</v>
      </c>
      <c r="F3459" s="8" t="s">
        <v>56</v>
      </c>
      <c r="G3459" s="8" t="s">
        <v>7</v>
      </c>
      <c r="H3459" s="8" t="s">
        <v>38</v>
      </c>
      <c r="I3459" s="9">
        <v>9.9045000000000001E-3</v>
      </c>
      <c r="J3459">
        <v>9.9691839315772003E-3</v>
      </c>
      <c r="K3459">
        <v>1.0034281588034001E-2</v>
      </c>
      <c r="L3459">
        <v>1.0098277092407E-2</v>
      </c>
    </row>
    <row r="3460" spans="1:12" x14ac:dyDescent="0.2">
      <c r="A3460" s="8" t="s">
        <v>32</v>
      </c>
      <c r="B3460" s="8" t="s">
        <v>105</v>
      </c>
      <c r="C3460" s="8" t="s">
        <v>539</v>
      </c>
      <c r="D3460" s="8" t="s">
        <v>540</v>
      </c>
      <c r="E3460" s="8" t="s">
        <v>57</v>
      </c>
      <c r="F3460" s="8" t="s">
        <v>58</v>
      </c>
      <c r="G3460" s="8" t="s">
        <v>7</v>
      </c>
      <c r="H3460" s="8" t="s">
        <v>38</v>
      </c>
      <c r="I3460" s="9">
        <v>3.1130000000000002E-5</v>
      </c>
      <c r="J3460">
        <v>3.1124999999999998E-5</v>
      </c>
      <c r="K3460">
        <v>3.1124999999999998E-5</v>
      </c>
      <c r="L3460">
        <v>3.1124999999999998E-5</v>
      </c>
    </row>
    <row r="3461" spans="1:12" x14ac:dyDescent="0.2">
      <c r="A3461" s="8" t="s">
        <v>32</v>
      </c>
      <c r="B3461" s="8" t="s">
        <v>105</v>
      </c>
      <c r="C3461" s="8" t="s">
        <v>539</v>
      </c>
      <c r="D3461" s="8" t="s">
        <v>540</v>
      </c>
      <c r="E3461" s="8" t="s">
        <v>59</v>
      </c>
      <c r="F3461" s="8" t="s">
        <v>60</v>
      </c>
      <c r="G3461" s="8" t="s">
        <v>7</v>
      </c>
      <c r="H3461" s="8" t="s">
        <v>38</v>
      </c>
      <c r="I3461" s="9">
        <v>1.1763986</v>
      </c>
      <c r="J3461">
        <v>1.3107123645595999</v>
      </c>
      <c r="K3461">
        <v>1.2903953517768001</v>
      </c>
      <c r="L3461">
        <v>1.2693077879248</v>
      </c>
    </row>
    <row r="3462" spans="1:12" x14ac:dyDescent="0.2">
      <c r="A3462" s="8" t="s">
        <v>32</v>
      </c>
      <c r="B3462" s="8" t="s">
        <v>96</v>
      </c>
      <c r="C3462" s="8" t="s">
        <v>541</v>
      </c>
      <c r="D3462" s="8" t="s">
        <v>542</v>
      </c>
      <c r="E3462" s="8" t="s">
        <v>36</v>
      </c>
      <c r="F3462" s="8" t="s">
        <v>37</v>
      </c>
      <c r="G3462" s="8" t="s">
        <v>7</v>
      </c>
      <c r="H3462" s="8" t="s">
        <v>38</v>
      </c>
      <c r="I3462" s="9">
        <v>1691.5909999999999</v>
      </c>
      <c r="J3462">
        <v>1488.839835</v>
      </c>
      <c r="K3462">
        <v>1630.870353</v>
      </c>
      <c r="L3462">
        <v>1648.5101364714001</v>
      </c>
    </row>
    <row r="3463" spans="1:12" x14ac:dyDescent="0.2">
      <c r="A3463" s="8" t="s">
        <v>32</v>
      </c>
      <c r="B3463" s="8" t="s">
        <v>96</v>
      </c>
      <c r="C3463" s="8" t="s">
        <v>541</v>
      </c>
      <c r="D3463" s="8" t="s">
        <v>542</v>
      </c>
      <c r="E3463" s="8" t="s">
        <v>64</v>
      </c>
      <c r="F3463" s="8" t="s">
        <v>65</v>
      </c>
      <c r="G3463" s="8" t="s">
        <v>7</v>
      </c>
      <c r="H3463" s="8" t="s">
        <v>38</v>
      </c>
      <c r="I3463" s="9">
        <v>373.37378000000001</v>
      </c>
      <c r="J3463">
        <v>339.88708300000002</v>
      </c>
      <c r="K3463">
        <v>295.85545000000002</v>
      </c>
      <c r="L3463">
        <v>250.08822754816001</v>
      </c>
    </row>
    <row r="3464" spans="1:12" x14ac:dyDescent="0.2">
      <c r="A3464" s="8" t="s">
        <v>32</v>
      </c>
      <c r="B3464" s="8" t="s">
        <v>96</v>
      </c>
      <c r="C3464" s="8" t="s">
        <v>541</v>
      </c>
      <c r="D3464" s="8" t="s">
        <v>542</v>
      </c>
      <c r="E3464" s="8" t="s">
        <v>39</v>
      </c>
      <c r="F3464" s="8" t="s">
        <v>40</v>
      </c>
      <c r="G3464" s="8" t="s">
        <v>7</v>
      </c>
      <c r="H3464" s="8" t="s">
        <v>38</v>
      </c>
      <c r="I3464" s="9">
        <v>1108.6353999999999</v>
      </c>
      <c r="J3464">
        <v>1088.9217309999999</v>
      </c>
      <c r="K3464">
        <v>1085.9595810000001</v>
      </c>
      <c r="L3464">
        <v>1277.4229801683</v>
      </c>
    </row>
    <row r="3465" spans="1:12" x14ac:dyDescent="0.2">
      <c r="A3465" s="8" t="s">
        <v>32</v>
      </c>
      <c r="B3465" s="8" t="s">
        <v>96</v>
      </c>
      <c r="C3465" s="8" t="s">
        <v>541</v>
      </c>
      <c r="D3465" s="8" t="s">
        <v>542</v>
      </c>
      <c r="E3465" s="8" t="s">
        <v>43</v>
      </c>
      <c r="F3465" s="8" t="s">
        <v>44</v>
      </c>
      <c r="G3465" s="8" t="s">
        <v>7</v>
      </c>
      <c r="H3465" s="8" t="s">
        <v>38</v>
      </c>
      <c r="I3465" s="9">
        <v>2724.6691999999998</v>
      </c>
      <c r="J3465">
        <v>2685.9025849999998</v>
      </c>
      <c r="K3465">
        <v>2700.3605069999999</v>
      </c>
      <c r="L3465">
        <v>2730.9775926549</v>
      </c>
    </row>
    <row r="3466" spans="1:12" x14ac:dyDescent="0.2">
      <c r="A3466" s="8" t="s">
        <v>32</v>
      </c>
      <c r="B3466" s="8" t="s">
        <v>96</v>
      </c>
      <c r="C3466" s="8" t="s">
        <v>541</v>
      </c>
      <c r="D3466" s="8" t="s">
        <v>542</v>
      </c>
      <c r="E3466" s="8" t="s">
        <v>49</v>
      </c>
      <c r="F3466" s="8" t="s">
        <v>50</v>
      </c>
      <c r="G3466" s="8" t="s">
        <v>7</v>
      </c>
      <c r="H3466" s="8" t="s">
        <v>38</v>
      </c>
      <c r="I3466" s="9">
        <v>2502.8845999999999</v>
      </c>
      <c r="J3466">
        <v>2478.5576970000002</v>
      </c>
      <c r="K3466">
        <v>2505.1738540000001</v>
      </c>
      <c r="L3466">
        <v>2533.5778845987002</v>
      </c>
    </row>
    <row r="3467" spans="1:12" x14ac:dyDescent="0.2">
      <c r="A3467" s="8" t="s">
        <v>32</v>
      </c>
      <c r="B3467" s="8" t="s">
        <v>96</v>
      </c>
      <c r="C3467" s="8" t="s">
        <v>541</v>
      </c>
      <c r="D3467" s="8" t="s">
        <v>542</v>
      </c>
      <c r="E3467" s="8" t="s">
        <v>51</v>
      </c>
      <c r="F3467" s="8" t="s">
        <v>52</v>
      </c>
      <c r="G3467" s="8" t="s">
        <v>7</v>
      </c>
      <c r="H3467" s="8" t="s">
        <v>38</v>
      </c>
      <c r="I3467" s="9"/>
    </row>
    <row r="3468" spans="1:12" x14ac:dyDescent="0.2">
      <c r="A3468" s="8" t="s">
        <v>32</v>
      </c>
      <c r="B3468" s="8" t="s">
        <v>96</v>
      </c>
      <c r="C3468" s="8" t="s">
        <v>541</v>
      </c>
      <c r="D3468" s="8" t="s">
        <v>542</v>
      </c>
      <c r="E3468" s="8" t="s">
        <v>53</v>
      </c>
      <c r="F3468" s="8" t="s">
        <v>54</v>
      </c>
      <c r="G3468" s="8" t="s">
        <v>7</v>
      </c>
      <c r="H3468" s="8" t="s">
        <v>38</v>
      </c>
      <c r="I3468" s="9">
        <v>1804.4829</v>
      </c>
      <c r="J3468">
        <v>1943.2077625726999</v>
      </c>
      <c r="K3468">
        <v>1504.2352030879999</v>
      </c>
      <c r="L3468">
        <v>923.08399094037998</v>
      </c>
    </row>
    <row r="3469" spans="1:12" x14ac:dyDescent="0.2">
      <c r="A3469" s="8" t="s">
        <v>32</v>
      </c>
      <c r="B3469" s="8" t="s">
        <v>96</v>
      </c>
      <c r="C3469" s="8" t="s">
        <v>541</v>
      </c>
      <c r="D3469" s="8" t="s">
        <v>542</v>
      </c>
      <c r="E3469" s="8" t="s">
        <v>70</v>
      </c>
      <c r="F3469" s="8" t="s">
        <v>71</v>
      </c>
      <c r="G3469" s="8" t="s">
        <v>7</v>
      </c>
      <c r="H3469" s="8" t="s">
        <v>38</v>
      </c>
      <c r="I3469" s="9">
        <v>756.95137999999997</v>
      </c>
      <c r="J3469">
        <v>801.47793420000005</v>
      </c>
      <c r="K3469">
        <v>868.26776204999999</v>
      </c>
      <c r="L3469">
        <v>867.28823651229004</v>
      </c>
    </row>
    <row r="3470" spans="1:12" x14ac:dyDescent="0.2">
      <c r="A3470" s="8" t="s">
        <v>32</v>
      </c>
      <c r="B3470" s="8" t="s">
        <v>96</v>
      </c>
      <c r="C3470" s="8" t="s">
        <v>541</v>
      </c>
      <c r="D3470" s="8" t="s">
        <v>542</v>
      </c>
      <c r="E3470" s="8" t="s">
        <v>55</v>
      </c>
      <c r="F3470" s="8" t="s">
        <v>56</v>
      </c>
      <c r="G3470" s="8" t="s">
        <v>7</v>
      </c>
      <c r="H3470" s="8" t="s">
        <v>38</v>
      </c>
      <c r="I3470" s="9">
        <v>1.2710212000000001</v>
      </c>
      <c r="J3470">
        <v>1.4235767338230001</v>
      </c>
      <c r="K3470">
        <v>1.4235767338230001</v>
      </c>
      <c r="L3470">
        <v>1.4235767338230001</v>
      </c>
    </row>
    <row r="3471" spans="1:12" x14ac:dyDescent="0.2">
      <c r="A3471" s="8" t="s">
        <v>32</v>
      </c>
      <c r="B3471" s="8" t="s">
        <v>96</v>
      </c>
      <c r="C3471" s="8" t="s">
        <v>541</v>
      </c>
      <c r="D3471" s="8" t="s">
        <v>542</v>
      </c>
      <c r="E3471" s="8" t="s">
        <v>57</v>
      </c>
      <c r="F3471" s="8" t="s">
        <v>58</v>
      </c>
      <c r="G3471" s="8" t="s">
        <v>7</v>
      </c>
      <c r="H3471" s="8" t="s">
        <v>38</v>
      </c>
      <c r="I3471" s="9">
        <v>301.92646999999999</v>
      </c>
      <c r="J3471">
        <v>338.16547551803001</v>
      </c>
      <c r="K3471">
        <v>338.16547551803001</v>
      </c>
      <c r="L3471">
        <v>338.16547551803001</v>
      </c>
    </row>
    <row r="3472" spans="1:12" x14ac:dyDescent="0.2">
      <c r="A3472" s="8" t="s">
        <v>32</v>
      </c>
      <c r="B3472" s="8" t="s">
        <v>96</v>
      </c>
      <c r="C3472" s="8" t="s">
        <v>541</v>
      </c>
      <c r="D3472" s="8" t="s">
        <v>542</v>
      </c>
      <c r="E3472" s="8" t="s">
        <v>72</v>
      </c>
      <c r="F3472" s="8" t="s">
        <v>73</v>
      </c>
      <c r="G3472" s="8" t="s">
        <v>7</v>
      </c>
      <c r="H3472" s="8" t="s">
        <v>38</v>
      </c>
      <c r="I3472" s="9">
        <v>9.7691600000000003E-2</v>
      </c>
      <c r="J3472">
        <v>9.7691600000000003E-2</v>
      </c>
      <c r="K3472">
        <v>9.7691600000000003E-2</v>
      </c>
      <c r="L3472">
        <v>9.7691600000000003E-2</v>
      </c>
    </row>
    <row r="3473" spans="1:12" x14ac:dyDescent="0.2">
      <c r="A3473" s="8" t="s">
        <v>32</v>
      </c>
      <c r="B3473" s="8" t="s">
        <v>96</v>
      </c>
      <c r="C3473" s="8" t="s">
        <v>541</v>
      </c>
      <c r="D3473" s="8" t="s">
        <v>542</v>
      </c>
      <c r="E3473" s="8" t="s">
        <v>59</v>
      </c>
      <c r="F3473" s="8" t="s">
        <v>60</v>
      </c>
      <c r="G3473" s="8" t="s">
        <v>7</v>
      </c>
      <c r="H3473" s="8" t="s">
        <v>38</v>
      </c>
      <c r="I3473" s="9">
        <v>51.466172</v>
      </c>
      <c r="J3473">
        <v>52.599725050911999</v>
      </c>
      <c r="K3473">
        <v>53.686269978836002</v>
      </c>
      <c r="L3473">
        <v>54.744535030789002</v>
      </c>
    </row>
    <row r="3474" spans="1:12" x14ac:dyDescent="0.2">
      <c r="A3474" s="8" t="s">
        <v>32</v>
      </c>
      <c r="B3474" s="8" t="s">
        <v>80</v>
      </c>
      <c r="C3474" s="8" t="s">
        <v>543</v>
      </c>
      <c r="D3474" s="8" t="s">
        <v>544</v>
      </c>
      <c r="E3474" s="8" t="s">
        <v>36</v>
      </c>
      <c r="F3474" s="8" t="s">
        <v>37</v>
      </c>
      <c r="G3474" s="8" t="s">
        <v>7</v>
      </c>
      <c r="H3474" s="8" t="s">
        <v>38</v>
      </c>
      <c r="I3474" s="9">
        <v>248465.67</v>
      </c>
      <c r="J3474">
        <v>237616.596827</v>
      </c>
      <c r="K3474">
        <v>227788.14596600999</v>
      </c>
      <c r="L3474">
        <v>218472.88564026001</v>
      </c>
    </row>
    <row r="3475" spans="1:12" x14ac:dyDescent="0.2">
      <c r="A3475" s="8" t="s">
        <v>32</v>
      </c>
      <c r="B3475" s="8" t="s">
        <v>80</v>
      </c>
      <c r="C3475" s="8" t="s">
        <v>543</v>
      </c>
      <c r="D3475" s="8" t="s">
        <v>544</v>
      </c>
      <c r="E3475" s="8" t="s">
        <v>64</v>
      </c>
      <c r="F3475" s="8" t="s">
        <v>65</v>
      </c>
      <c r="G3475" s="8" t="s">
        <v>7</v>
      </c>
      <c r="H3475" s="8" t="s">
        <v>38</v>
      </c>
      <c r="I3475" s="9">
        <v>54771.680999999997</v>
      </c>
      <c r="J3475">
        <v>55597.082631999998</v>
      </c>
      <c r="K3475">
        <v>49912.800933999999</v>
      </c>
      <c r="L3475">
        <v>51511.802237882999</v>
      </c>
    </row>
    <row r="3476" spans="1:12" x14ac:dyDescent="0.2">
      <c r="A3476" s="8" t="s">
        <v>32</v>
      </c>
      <c r="B3476" s="8" t="s">
        <v>80</v>
      </c>
      <c r="C3476" s="8" t="s">
        <v>543</v>
      </c>
      <c r="D3476" s="8" t="s">
        <v>544</v>
      </c>
      <c r="E3476" s="8" t="s">
        <v>39</v>
      </c>
      <c r="F3476" s="8" t="s">
        <v>40</v>
      </c>
      <c r="G3476" s="8" t="s">
        <v>7</v>
      </c>
      <c r="H3476" s="8" t="s">
        <v>38</v>
      </c>
      <c r="I3476" s="9">
        <v>49049.813000000002</v>
      </c>
      <c r="J3476">
        <v>46549.504976999997</v>
      </c>
      <c r="K3476">
        <v>45703.904388000003</v>
      </c>
      <c r="L3476">
        <v>47931.649491372002</v>
      </c>
    </row>
    <row r="3477" spans="1:12" x14ac:dyDescent="0.2">
      <c r="A3477" s="8" t="s">
        <v>32</v>
      </c>
      <c r="B3477" s="8" t="s">
        <v>80</v>
      </c>
      <c r="C3477" s="8" t="s">
        <v>543</v>
      </c>
      <c r="D3477" s="8" t="s">
        <v>544</v>
      </c>
      <c r="E3477" s="8" t="s">
        <v>41</v>
      </c>
      <c r="F3477" s="8" t="s">
        <v>42</v>
      </c>
      <c r="G3477" s="8" t="s">
        <v>7</v>
      </c>
      <c r="H3477" s="8" t="s">
        <v>38</v>
      </c>
      <c r="I3477" s="9">
        <v>837.63800000000003</v>
      </c>
      <c r="J3477">
        <v>1192.325165</v>
      </c>
      <c r="K3477">
        <v>1527.026754</v>
      </c>
      <c r="L3477">
        <v>1784.4841294759001</v>
      </c>
    </row>
    <row r="3478" spans="1:12" x14ac:dyDescent="0.2">
      <c r="A3478" s="8" t="s">
        <v>32</v>
      </c>
      <c r="B3478" s="8" t="s">
        <v>80</v>
      </c>
      <c r="C3478" s="8" t="s">
        <v>543</v>
      </c>
      <c r="D3478" s="8" t="s">
        <v>544</v>
      </c>
      <c r="E3478" s="8" t="s">
        <v>43</v>
      </c>
      <c r="F3478" s="8" t="s">
        <v>44</v>
      </c>
      <c r="G3478" s="8" t="s">
        <v>7</v>
      </c>
      <c r="H3478" s="8" t="s">
        <v>38</v>
      </c>
      <c r="I3478" s="9">
        <v>41371.334000000003</v>
      </c>
      <c r="J3478">
        <v>45203.219019999997</v>
      </c>
      <c r="K3478">
        <v>44595.159663999999</v>
      </c>
      <c r="L3478">
        <v>44227.026435519001</v>
      </c>
    </row>
    <row r="3479" spans="1:12" x14ac:dyDescent="0.2">
      <c r="A3479" s="8" t="s">
        <v>32</v>
      </c>
      <c r="B3479" s="8" t="s">
        <v>80</v>
      </c>
      <c r="C3479" s="8" t="s">
        <v>543</v>
      </c>
      <c r="D3479" s="8" t="s">
        <v>544</v>
      </c>
      <c r="E3479" s="8" t="s">
        <v>66</v>
      </c>
      <c r="F3479" s="8" t="s">
        <v>67</v>
      </c>
      <c r="G3479" s="8" t="s">
        <v>7</v>
      </c>
      <c r="H3479" s="8" t="s">
        <v>38</v>
      </c>
      <c r="I3479" s="9">
        <v>699.90107999999998</v>
      </c>
      <c r="J3479">
        <v>743.66152199999999</v>
      </c>
      <c r="K3479">
        <v>796.45541300000002</v>
      </c>
      <c r="L3479">
        <v>836.14694028234999</v>
      </c>
    </row>
    <row r="3480" spans="1:12" x14ac:dyDescent="0.2">
      <c r="A3480" s="8" t="s">
        <v>32</v>
      </c>
      <c r="B3480" s="8" t="s">
        <v>80</v>
      </c>
      <c r="C3480" s="8" t="s">
        <v>543</v>
      </c>
      <c r="D3480" s="8" t="s">
        <v>544</v>
      </c>
      <c r="E3480" s="8" t="s">
        <v>45</v>
      </c>
      <c r="F3480" s="8" t="s">
        <v>46</v>
      </c>
      <c r="G3480" s="8" t="s">
        <v>7</v>
      </c>
      <c r="H3480" s="8" t="s">
        <v>38</v>
      </c>
      <c r="I3480" s="9">
        <v>741.43209999999999</v>
      </c>
      <c r="J3480">
        <v>821.00290500000006</v>
      </c>
      <c r="K3480">
        <v>806.53488600000003</v>
      </c>
      <c r="L3480">
        <v>818.47019524157997</v>
      </c>
    </row>
    <row r="3481" spans="1:12" x14ac:dyDescent="0.2">
      <c r="A3481" s="8" t="s">
        <v>32</v>
      </c>
      <c r="B3481" s="8" t="s">
        <v>80</v>
      </c>
      <c r="C3481" s="8" t="s">
        <v>543</v>
      </c>
      <c r="D3481" s="8" t="s">
        <v>544</v>
      </c>
      <c r="E3481" s="8" t="s">
        <v>47</v>
      </c>
      <c r="F3481" s="8" t="s">
        <v>48</v>
      </c>
      <c r="G3481" s="8" t="s">
        <v>7</v>
      </c>
      <c r="H3481" s="8" t="s">
        <v>38</v>
      </c>
      <c r="I3481" s="9">
        <v>49.080134999999999</v>
      </c>
      <c r="J3481">
        <v>54.352350000000001</v>
      </c>
      <c r="K3481">
        <v>53.392014000000003</v>
      </c>
      <c r="L3481">
        <v>54.189992470108997</v>
      </c>
    </row>
    <row r="3482" spans="1:12" x14ac:dyDescent="0.2">
      <c r="A3482" s="8" t="s">
        <v>32</v>
      </c>
      <c r="B3482" s="8" t="s">
        <v>80</v>
      </c>
      <c r="C3482" s="8" t="s">
        <v>543</v>
      </c>
      <c r="D3482" s="8" t="s">
        <v>544</v>
      </c>
      <c r="E3482" s="8" t="s">
        <v>49</v>
      </c>
      <c r="F3482" s="8" t="s">
        <v>50</v>
      </c>
      <c r="G3482" s="8" t="s">
        <v>7</v>
      </c>
      <c r="H3482" s="8" t="s">
        <v>38</v>
      </c>
      <c r="I3482" s="9">
        <v>20420.072</v>
      </c>
      <c r="J3482">
        <v>21021.642685999999</v>
      </c>
      <c r="K3482">
        <v>20806.831610000001</v>
      </c>
      <c r="L3482">
        <v>20894.237137151998</v>
      </c>
    </row>
    <row r="3483" spans="1:12" x14ac:dyDescent="0.2">
      <c r="A3483" s="8" t="s">
        <v>32</v>
      </c>
      <c r="B3483" s="8" t="s">
        <v>80</v>
      </c>
      <c r="C3483" s="8" t="s">
        <v>543</v>
      </c>
      <c r="D3483" s="8" t="s">
        <v>544</v>
      </c>
      <c r="E3483" s="8" t="s">
        <v>51</v>
      </c>
      <c r="F3483" s="8" t="s">
        <v>52</v>
      </c>
      <c r="G3483" s="8" t="s">
        <v>7</v>
      </c>
      <c r="H3483" s="8" t="s">
        <v>38</v>
      </c>
      <c r="I3483" s="9">
        <v>1938.6569999999999</v>
      </c>
      <c r="J3483">
        <v>2117.0044149999999</v>
      </c>
      <c r="K3483">
        <v>2079.1007199999999</v>
      </c>
      <c r="L3483">
        <v>2104.2348619602999</v>
      </c>
    </row>
    <row r="3484" spans="1:12" x14ac:dyDescent="0.2">
      <c r="A3484" s="8" t="s">
        <v>32</v>
      </c>
      <c r="B3484" s="8" t="s">
        <v>80</v>
      </c>
      <c r="C3484" s="8" t="s">
        <v>543</v>
      </c>
      <c r="D3484" s="8" t="s">
        <v>544</v>
      </c>
      <c r="E3484" s="8" t="s">
        <v>68</v>
      </c>
      <c r="F3484" s="8" t="s">
        <v>69</v>
      </c>
      <c r="G3484" s="8" t="s">
        <v>7</v>
      </c>
      <c r="H3484" s="8" t="s">
        <v>38</v>
      </c>
      <c r="I3484" s="9">
        <v>15702.589</v>
      </c>
      <c r="J3484">
        <v>17947.206950576001</v>
      </c>
      <c r="K3484">
        <v>15975.254483027</v>
      </c>
      <c r="L3484">
        <v>17827.544529474999</v>
      </c>
    </row>
    <row r="3485" spans="1:12" x14ac:dyDescent="0.2">
      <c r="A3485" s="8" t="s">
        <v>32</v>
      </c>
      <c r="B3485" s="8" t="s">
        <v>80</v>
      </c>
      <c r="C3485" s="8" t="s">
        <v>543</v>
      </c>
      <c r="D3485" s="8" t="s">
        <v>544</v>
      </c>
      <c r="E3485" s="8" t="s">
        <v>53</v>
      </c>
      <c r="F3485" s="8" t="s">
        <v>54</v>
      </c>
      <c r="G3485" s="8" t="s">
        <v>7</v>
      </c>
      <c r="H3485" s="8" t="s">
        <v>38</v>
      </c>
      <c r="I3485" s="9">
        <v>1760.4511</v>
      </c>
      <c r="J3485">
        <v>1178.7806903239</v>
      </c>
      <c r="K3485">
        <v>1189.5151032166</v>
      </c>
      <c r="L3485">
        <v>1242.0499161207999</v>
      </c>
    </row>
    <row r="3486" spans="1:12" x14ac:dyDescent="0.2">
      <c r="A3486" s="8" t="s">
        <v>32</v>
      </c>
      <c r="B3486" s="8" t="s">
        <v>80</v>
      </c>
      <c r="C3486" s="8" t="s">
        <v>543</v>
      </c>
      <c r="D3486" s="8" t="s">
        <v>544</v>
      </c>
      <c r="E3486" s="8" t="s">
        <v>70</v>
      </c>
      <c r="F3486" s="8" t="s">
        <v>71</v>
      </c>
      <c r="G3486" s="8" t="s">
        <v>7</v>
      </c>
      <c r="H3486" s="8" t="s">
        <v>38</v>
      </c>
      <c r="I3486" s="9">
        <v>4218.7150000000001</v>
      </c>
      <c r="J3486">
        <v>4882.7719625</v>
      </c>
      <c r="K3486">
        <v>4687.4610839999996</v>
      </c>
      <c r="L3486">
        <v>4682.1729827488998</v>
      </c>
    </row>
    <row r="3487" spans="1:12" x14ac:dyDescent="0.2">
      <c r="A3487" s="8" t="s">
        <v>32</v>
      </c>
      <c r="B3487" s="8" t="s">
        <v>80</v>
      </c>
      <c r="C3487" s="8" t="s">
        <v>543</v>
      </c>
      <c r="D3487" s="8" t="s">
        <v>544</v>
      </c>
      <c r="E3487" s="8" t="s">
        <v>83</v>
      </c>
      <c r="F3487" s="8" t="s">
        <v>84</v>
      </c>
      <c r="G3487" s="8" t="s">
        <v>7</v>
      </c>
      <c r="H3487" s="8" t="s">
        <v>38</v>
      </c>
      <c r="I3487" s="9">
        <v>753</v>
      </c>
      <c r="J3487">
        <v>859.5</v>
      </c>
      <c r="K3487">
        <v>804.75</v>
      </c>
      <c r="L3487">
        <v>825</v>
      </c>
    </row>
    <row r="3488" spans="1:12" x14ac:dyDescent="0.2">
      <c r="A3488" s="8" t="s">
        <v>32</v>
      </c>
      <c r="B3488" s="8" t="s">
        <v>80</v>
      </c>
      <c r="C3488" s="8" t="s">
        <v>543</v>
      </c>
      <c r="D3488" s="8" t="s">
        <v>544</v>
      </c>
      <c r="E3488" s="8" t="s">
        <v>55</v>
      </c>
      <c r="F3488" s="8" t="s">
        <v>56</v>
      </c>
      <c r="G3488" s="8" t="s">
        <v>7</v>
      </c>
      <c r="H3488" s="8" t="s">
        <v>38</v>
      </c>
      <c r="I3488" s="9">
        <v>2.9054395999999998</v>
      </c>
      <c r="J3488">
        <v>3.2541677255466999</v>
      </c>
      <c r="K3488">
        <v>3.2541677255466999</v>
      </c>
      <c r="L3488">
        <v>3.2541677255466999</v>
      </c>
    </row>
    <row r="3489" spans="1:12" x14ac:dyDescent="0.2">
      <c r="A3489" s="8" t="s">
        <v>32</v>
      </c>
      <c r="B3489" s="8" t="s">
        <v>80</v>
      </c>
      <c r="C3489" s="8" t="s">
        <v>543</v>
      </c>
      <c r="D3489" s="8" t="s">
        <v>544</v>
      </c>
      <c r="E3489" s="8" t="s">
        <v>57</v>
      </c>
      <c r="F3489" s="8" t="s">
        <v>58</v>
      </c>
      <c r="G3489" s="8" t="s">
        <v>7</v>
      </c>
      <c r="H3489" s="8" t="s">
        <v>38</v>
      </c>
      <c r="I3489" s="9">
        <v>172.27671000000001</v>
      </c>
      <c r="J3489">
        <v>192.95438732693</v>
      </c>
      <c r="K3489">
        <v>192.95438732693</v>
      </c>
      <c r="L3489">
        <v>192.95438732693</v>
      </c>
    </row>
    <row r="3490" spans="1:12" x14ac:dyDescent="0.2">
      <c r="A3490" s="8" t="s">
        <v>32</v>
      </c>
      <c r="B3490" s="8" t="s">
        <v>80</v>
      </c>
      <c r="C3490" s="8" t="s">
        <v>543</v>
      </c>
      <c r="D3490" s="8" t="s">
        <v>544</v>
      </c>
      <c r="E3490" s="8" t="s">
        <v>72</v>
      </c>
      <c r="F3490" s="8" t="s">
        <v>73</v>
      </c>
      <c r="G3490" s="8" t="s">
        <v>7</v>
      </c>
      <c r="H3490" s="8" t="s">
        <v>38</v>
      </c>
      <c r="I3490" s="9">
        <v>2746.9542000000001</v>
      </c>
      <c r="J3490">
        <v>2838.1244134950998</v>
      </c>
      <c r="K3490">
        <v>2686.2119798732001</v>
      </c>
      <c r="L3490">
        <v>2778.4224994860001</v>
      </c>
    </row>
    <row r="3491" spans="1:12" x14ac:dyDescent="0.2">
      <c r="A3491" s="8" t="s">
        <v>32</v>
      </c>
      <c r="B3491" s="8" t="s">
        <v>80</v>
      </c>
      <c r="C3491" s="8" t="s">
        <v>543</v>
      </c>
      <c r="D3491" s="8" t="s">
        <v>544</v>
      </c>
      <c r="E3491" s="8" t="s">
        <v>74</v>
      </c>
      <c r="F3491" s="8" t="s">
        <v>75</v>
      </c>
      <c r="G3491" s="8" t="s">
        <v>7</v>
      </c>
      <c r="H3491" s="8" t="s">
        <v>38</v>
      </c>
      <c r="I3491" s="9">
        <v>5445.5451999999996</v>
      </c>
      <c r="J3491">
        <v>7480.3509719831</v>
      </c>
      <c r="K3491">
        <v>7681.2352431490999</v>
      </c>
      <c r="L3491">
        <v>9002.8884125164004</v>
      </c>
    </row>
    <row r="3492" spans="1:12" x14ac:dyDescent="0.2">
      <c r="A3492" s="8" t="s">
        <v>32</v>
      </c>
      <c r="B3492" s="8" t="s">
        <v>80</v>
      </c>
      <c r="C3492" s="8" t="s">
        <v>543</v>
      </c>
      <c r="D3492" s="8" t="s">
        <v>544</v>
      </c>
      <c r="E3492" s="8" t="s">
        <v>59</v>
      </c>
      <c r="F3492" s="8" t="s">
        <v>60</v>
      </c>
      <c r="G3492" s="8" t="s">
        <v>7</v>
      </c>
      <c r="H3492" s="8" t="s">
        <v>38</v>
      </c>
      <c r="I3492" s="9">
        <v>745.42193999999995</v>
      </c>
      <c r="J3492">
        <v>799.10626745158004</v>
      </c>
      <c r="K3492">
        <v>771.40156765545998</v>
      </c>
      <c r="L3492">
        <v>799.79284871285995</v>
      </c>
    </row>
    <row r="3493" spans="1:12" x14ac:dyDescent="0.2">
      <c r="A3493" s="8" t="s">
        <v>32</v>
      </c>
      <c r="B3493" s="8" t="s">
        <v>80</v>
      </c>
      <c r="C3493" s="8" t="s">
        <v>543</v>
      </c>
      <c r="D3493" s="8" t="s">
        <v>544</v>
      </c>
      <c r="E3493" s="8" t="s">
        <v>76</v>
      </c>
      <c r="F3493" s="8" t="s">
        <v>77</v>
      </c>
      <c r="G3493" s="8" t="s">
        <v>7</v>
      </c>
      <c r="H3493" s="8" t="s">
        <v>38</v>
      </c>
      <c r="I3493" s="9">
        <v>423.86667</v>
      </c>
      <c r="J3493">
        <v>577.02857157773997</v>
      </c>
      <c r="K3493">
        <v>524.22857156630005</v>
      </c>
      <c r="L3493">
        <v>537.41978445753</v>
      </c>
    </row>
    <row r="3494" spans="1:12" x14ac:dyDescent="0.2">
      <c r="A3494" s="8" t="s">
        <v>32</v>
      </c>
      <c r="B3494" s="8" t="s">
        <v>80</v>
      </c>
      <c r="C3494" s="8" t="s">
        <v>543</v>
      </c>
      <c r="D3494" s="8" t="s">
        <v>544</v>
      </c>
      <c r="E3494" s="8" t="s">
        <v>78</v>
      </c>
      <c r="F3494" s="8" t="s">
        <v>79</v>
      </c>
      <c r="G3494" s="8" t="s">
        <v>7</v>
      </c>
      <c r="H3494" s="8" t="s">
        <v>38</v>
      </c>
      <c r="I3494" s="9">
        <v>544.65704000000005</v>
      </c>
      <c r="J3494">
        <v>888.01412425714</v>
      </c>
      <c r="K3494">
        <v>742.499865</v>
      </c>
      <c r="L3494">
        <v>740.29986540000004</v>
      </c>
    </row>
    <row r="3495" spans="1:12" x14ac:dyDescent="0.2">
      <c r="A3495" s="8" t="s">
        <v>32</v>
      </c>
      <c r="B3495" s="8" t="s">
        <v>80</v>
      </c>
      <c r="C3495" s="8" t="s">
        <v>545</v>
      </c>
      <c r="D3495" s="8" t="s">
        <v>546</v>
      </c>
      <c r="E3495" s="8" t="s">
        <v>36</v>
      </c>
      <c r="F3495" s="8" t="s">
        <v>37</v>
      </c>
      <c r="G3495" s="8" t="s">
        <v>7</v>
      </c>
      <c r="H3495" s="8" t="s">
        <v>38</v>
      </c>
      <c r="I3495" s="9">
        <v>3025.5740000000001</v>
      </c>
      <c r="J3495">
        <v>1992.2679740000001</v>
      </c>
      <c r="K3495">
        <v>3129.257075</v>
      </c>
      <c r="L3495">
        <v>3617.5255978447999</v>
      </c>
    </row>
    <row r="3496" spans="1:12" x14ac:dyDescent="0.2">
      <c r="A3496" s="8" t="s">
        <v>32</v>
      </c>
      <c r="B3496" s="8" t="s">
        <v>80</v>
      </c>
      <c r="C3496" s="8" t="s">
        <v>545</v>
      </c>
      <c r="D3496" s="8" t="s">
        <v>546</v>
      </c>
      <c r="E3496" s="8" t="s">
        <v>64</v>
      </c>
      <c r="F3496" s="8" t="s">
        <v>65</v>
      </c>
      <c r="G3496" s="8" t="s">
        <v>7</v>
      </c>
      <c r="H3496" s="8" t="s">
        <v>38</v>
      </c>
      <c r="I3496" s="9">
        <v>20.635200000000001</v>
      </c>
      <c r="J3496">
        <v>3.1392000000000002</v>
      </c>
    </row>
    <row r="3497" spans="1:12" x14ac:dyDescent="0.2">
      <c r="A3497" s="8" t="s">
        <v>32</v>
      </c>
      <c r="B3497" s="8" t="s">
        <v>80</v>
      </c>
      <c r="C3497" s="8" t="s">
        <v>545</v>
      </c>
      <c r="D3497" s="8" t="s">
        <v>546</v>
      </c>
      <c r="E3497" s="8" t="s">
        <v>39</v>
      </c>
      <c r="F3497" s="8" t="s">
        <v>40</v>
      </c>
      <c r="G3497" s="8" t="s">
        <v>7</v>
      </c>
      <c r="H3497" s="8" t="s">
        <v>38</v>
      </c>
      <c r="I3497" s="9">
        <v>2535.5499</v>
      </c>
      <c r="J3497">
        <v>3091.8405539999999</v>
      </c>
      <c r="K3497">
        <v>2965.9112019999998</v>
      </c>
      <c r="L3497">
        <v>3193.5640108988</v>
      </c>
    </row>
    <row r="3498" spans="1:12" x14ac:dyDescent="0.2">
      <c r="A3498" s="8" t="s">
        <v>32</v>
      </c>
      <c r="B3498" s="8" t="s">
        <v>80</v>
      </c>
      <c r="C3498" s="8" t="s">
        <v>545</v>
      </c>
      <c r="D3498" s="8" t="s">
        <v>546</v>
      </c>
      <c r="E3498" s="8" t="s">
        <v>41</v>
      </c>
      <c r="F3498" s="8" t="s">
        <v>42</v>
      </c>
      <c r="G3498" s="8" t="s">
        <v>7</v>
      </c>
      <c r="H3498" s="8" t="s">
        <v>38</v>
      </c>
      <c r="I3498" s="9">
        <v>3.2654049999999999</v>
      </c>
      <c r="J3498">
        <v>0.16730999999999999</v>
      </c>
      <c r="K3498">
        <v>0.24453</v>
      </c>
      <c r="L3498">
        <v>0.27559618566079003</v>
      </c>
    </row>
    <row r="3499" spans="1:12" x14ac:dyDescent="0.2">
      <c r="A3499" s="8" t="s">
        <v>32</v>
      </c>
      <c r="B3499" s="8" t="s">
        <v>80</v>
      </c>
      <c r="C3499" s="8" t="s">
        <v>545</v>
      </c>
      <c r="D3499" s="8" t="s">
        <v>546</v>
      </c>
      <c r="E3499" s="8" t="s">
        <v>43</v>
      </c>
      <c r="F3499" s="8" t="s">
        <v>44</v>
      </c>
      <c r="G3499" s="8" t="s">
        <v>7</v>
      </c>
      <c r="H3499" s="8" t="s">
        <v>38</v>
      </c>
      <c r="I3499" s="9">
        <v>1896.9770000000001</v>
      </c>
      <c r="J3499">
        <v>2442.6105189999998</v>
      </c>
      <c r="K3499">
        <v>2283.8840230000001</v>
      </c>
      <c r="L3499">
        <v>2328.8119988086</v>
      </c>
    </row>
    <row r="3500" spans="1:12" x14ac:dyDescent="0.2">
      <c r="A3500" s="8" t="s">
        <v>32</v>
      </c>
      <c r="B3500" s="8" t="s">
        <v>80</v>
      </c>
      <c r="C3500" s="8" t="s">
        <v>545</v>
      </c>
      <c r="D3500" s="8" t="s">
        <v>546</v>
      </c>
      <c r="E3500" s="8" t="s">
        <v>66</v>
      </c>
      <c r="F3500" s="8" t="s">
        <v>67</v>
      </c>
      <c r="G3500" s="8" t="s">
        <v>7</v>
      </c>
      <c r="H3500" s="8" t="s">
        <v>38</v>
      </c>
      <c r="I3500" s="9"/>
    </row>
    <row r="3501" spans="1:12" x14ac:dyDescent="0.2">
      <c r="A3501" s="8" t="s">
        <v>32</v>
      </c>
      <c r="B3501" s="8" t="s">
        <v>80</v>
      </c>
      <c r="C3501" s="8" t="s">
        <v>545</v>
      </c>
      <c r="D3501" s="8" t="s">
        <v>546</v>
      </c>
      <c r="E3501" s="8" t="s">
        <v>45</v>
      </c>
      <c r="F3501" s="8" t="s">
        <v>46</v>
      </c>
      <c r="G3501" s="8" t="s">
        <v>7</v>
      </c>
      <c r="H3501" s="8" t="s">
        <v>38</v>
      </c>
      <c r="I3501" s="9"/>
    </row>
    <row r="3502" spans="1:12" x14ac:dyDescent="0.2">
      <c r="A3502" s="8" t="s">
        <v>32</v>
      </c>
      <c r="B3502" s="8" t="s">
        <v>80</v>
      </c>
      <c r="C3502" s="8" t="s">
        <v>545</v>
      </c>
      <c r="D3502" s="8" t="s">
        <v>546</v>
      </c>
      <c r="E3502" s="8" t="s">
        <v>47</v>
      </c>
      <c r="F3502" s="8" t="s">
        <v>48</v>
      </c>
      <c r="G3502" s="8" t="s">
        <v>7</v>
      </c>
      <c r="H3502" s="8" t="s">
        <v>38</v>
      </c>
      <c r="I3502" s="9">
        <v>5.6066999999999999E-2</v>
      </c>
      <c r="J3502">
        <v>81.826279999999997</v>
      </c>
      <c r="K3502">
        <v>207.58859100000001</v>
      </c>
      <c r="L3502">
        <v>211.67222007251999</v>
      </c>
    </row>
    <row r="3503" spans="1:12" x14ac:dyDescent="0.2">
      <c r="A3503" s="8" t="s">
        <v>32</v>
      </c>
      <c r="B3503" s="8" t="s">
        <v>80</v>
      </c>
      <c r="C3503" s="8" t="s">
        <v>545</v>
      </c>
      <c r="D3503" s="8" t="s">
        <v>546</v>
      </c>
      <c r="E3503" s="8" t="s">
        <v>49</v>
      </c>
      <c r="F3503" s="8" t="s">
        <v>50</v>
      </c>
      <c r="G3503" s="8" t="s">
        <v>7</v>
      </c>
      <c r="H3503" s="8" t="s">
        <v>38</v>
      </c>
      <c r="I3503" s="9">
        <v>162.91084000000001</v>
      </c>
      <c r="J3503">
        <v>130.63635300000001</v>
      </c>
      <c r="K3503">
        <v>139.586184</v>
      </c>
      <c r="L3503">
        <v>142.33208730979999</v>
      </c>
    </row>
    <row r="3504" spans="1:12" x14ac:dyDescent="0.2">
      <c r="A3504" s="8" t="s">
        <v>32</v>
      </c>
      <c r="B3504" s="8" t="s">
        <v>80</v>
      </c>
      <c r="C3504" s="8" t="s">
        <v>545</v>
      </c>
      <c r="D3504" s="8" t="s">
        <v>546</v>
      </c>
      <c r="E3504" s="8" t="s">
        <v>51</v>
      </c>
      <c r="F3504" s="8" t="s">
        <v>52</v>
      </c>
      <c r="G3504" s="8" t="s">
        <v>7</v>
      </c>
      <c r="H3504" s="8" t="s">
        <v>38</v>
      </c>
      <c r="I3504" s="9">
        <v>209.45956000000001</v>
      </c>
      <c r="J3504">
        <v>161.321068</v>
      </c>
      <c r="K3504">
        <v>314.69303300000001</v>
      </c>
      <c r="L3504">
        <v>320.88359295460998</v>
      </c>
    </row>
    <row r="3505" spans="1:12" x14ac:dyDescent="0.2">
      <c r="A3505" s="8" t="s">
        <v>32</v>
      </c>
      <c r="B3505" s="8" t="s">
        <v>80</v>
      </c>
      <c r="C3505" s="8" t="s">
        <v>545</v>
      </c>
      <c r="D3505" s="8" t="s">
        <v>546</v>
      </c>
      <c r="E3505" s="8" t="s">
        <v>68</v>
      </c>
      <c r="F3505" s="8" t="s">
        <v>69</v>
      </c>
      <c r="G3505" s="8" t="s">
        <v>7</v>
      </c>
      <c r="H3505" s="8" t="s">
        <v>38</v>
      </c>
      <c r="I3505" s="9">
        <v>1.2841705000000001</v>
      </c>
      <c r="J3505">
        <v>1.0215334587586</v>
      </c>
      <c r="K3505">
        <v>1.4899576893793001</v>
      </c>
      <c r="L3505">
        <v>1.3926859244137999</v>
      </c>
    </row>
    <row r="3506" spans="1:12" x14ac:dyDescent="0.2">
      <c r="A3506" s="8" t="s">
        <v>32</v>
      </c>
      <c r="B3506" s="8" t="s">
        <v>80</v>
      </c>
      <c r="C3506" s="8" t="s">
        <v>545</v>
      </c>
      <c r="D3506" s="8" t="s">
        <v>546</v>
      </c>
      <c r="E3506" s="8" t="s">
        <v>53</v>
      </c>
      <c r="F3506" s="8" t="s">
        <v>54</v>
      </c>
      <c r="G3506" s="8" t="s">
        <v>7</v>
      </c>
      <c r="H3506" s="8" t="s">
        <v>38</v>
      </c>
      <c r="I3506" s="9">
        <v>2.8580000000000001E-4</v>
      </c>
      <c r="J3506">
        <v>5.5404130000000002E-5</v>
      </c>
      <c r="K3506">
        <v>1.8088600000000002E-5</v>
      </c>
      <c r="L3506">
        <v>1.8088600000000002E-5</v>
      </c>
    </row>
    <row r="3507" spans="1:12" x14ac:dyDescent="0.2">
      <c r="A3507" s="8" t="s">
        <v>32</v>
      </c>
      <c r="B3507" s="8" t="s">
        <v>80</v>
      </c>
      <c r="C3507" s="8" t="s">
        <v>545</v>
      </c>
      <c r="D3507" s="8" t="s">
        <v>546</v>
      </c>
      <c r="E3507" s="8" t="s">
        <v>70</v>
      </c>
      <c r="F3507" s="8" t="s">
        <v>71</v>
      </c>
      <c r="G3507" s="8" t="s">
        <v>7</v>
      </c>
      <c r="H3507" s="8" t="s">
        <v>38</v>
      </c>
      <c r="I3507" s="9">
        <v>1092.5690999999999</v>
      </c>
      <c r="J3507">
        <v>1067.1786401239999</v>
      </c>
      <c r="K3507">
        <v>887.49263190399995</v>
      </c>
      <c r="L3507">
        <v>886.49141806711998</v>
      </c>
    </row>
    <row r="3508" spans="1:12" x14ac:dyDescent="0.2">
      <c r="A3508" s="8" t="s">
        <v>32</v>
      </c>
      <c r="B3508" s="8" t="s">
        <v>80</v>
      </c>
      <c r="C3508" s="8" t="s">
        <v>545</v>
      </c>
      <c r="D3508" s="8" t="s">
        <v>546</v>
      </c>
      <c r="E3508" s="8" t="s">
        <v>83</v>
      </c>
      <c r="F3508" s="8" t="s">
        <v>84</v>
      </c>
      <c r="G3508" s="8" t="s">
        <v>7</v>
      </c>
      <c r="H3508" s="8" t="s">
        <v>38</v>
      </c>
      <c r="I3508" s="9">
        <v>240</v>
      </c>
      <c r="J3508">
        <v>240</v>
      </c>
      <c r="K3508">
        <v>240</v>
      </c>
      <c r="L3508">
        <v>240</v>
      </c>
    </row>
    <row r="3509" spans="1:12" x14ac:dyDescent="0.2">
      <c r="A3509" s="8" t="s">
        <v>32</v>
      </c>
      <c r="B3509" s="8" t="s">
        <v>80</v>
      </c>
      <c r="C3509" s="8" t="s">
        <v>545</v>
      </c>
      <c r="D3509" s="8" t="s">
        <v>546</v>
      </c>
      <c r="E3509" s="8" t="s">
        <v>55</v>
      </c>
      <c r="F3509" s="8" t="s">
        <v>56</v>
      </c>
      <c r="G3509" s="8" t="s">
        <v>7</v>
      </c>
      <c r="H3509" s="8" t="s">
        <v>38</v>
      </c>
      <c r="I3509" s="9">
        <v>0.83382540000000005</v>
      </c>
      <c r="J3509">
        <v>0.93390605469472998</v>
      </c>
      <c r="K3509">
        <v>0.93390605469472998</v>
      </c>
      <c r="L3509">
        <v>0.93390605469472998</v>
      </c>
    </row>
    <row r="3510" spans="1:12" x14ac:dyDescent="0.2">
      <c r="A3510" s="8" t="s">
        <v>32</v>
      </c>
      <c r="B3510" s="8" t="s">
        <v>80</v>
      </c>
      <c r="C3510" s="8" t="s">
        <v>545</v>
      </c>
      <c r="D3510" s="8" t="s">
        <v>546</v>
      </c>
      <c r="E3510" s="8" t="s">
        <v>57</v>
      </c>
      <c r="F3510" s="8" t="s">
        <v>58</v>
      </c>
      <c r="G3510" s="8" t="s">
        <v>7</v>
      </c>
      <c r="H3510" s="8" t="s">
        <v>38</v>
      </c>
      <c r="I3510" s="9">
        <v>3.0596709999999998</v>
      </c>
      <c r="J3510">
        <v>3.4269109028084999</v>
      </c>
      <c r="K3510">
        <v>3.4269109028084999</v>
      </c>
      <c r="L3510">
        <v>3.4269109028084999</v>
      </c>
    </row>
    <row r="3511" spans="1:12" x14ac:dyDescent="0.2">
      <c r="A3511" s="8" t="s">
        <v>32</v>
      </c>
      <c r="B3511" s="8" t="s">
        <v>80</v>
      </c>
      <c r="C3511" s="8" t="s">
        <v>545</v>
      </c>
      <c r="D3511" s="8" t="s">
        <v>546</v>
      </c>
      <c r="E3511" s="8" t="s">
        <v>72</v>
      </c>
      <c r="F3511" s="8" t="s">
        <v>73</v>
      </c>
      <c r="G3511" s="8" t="s">
        <v>7</v>
      </c>
      <c r="H3511" s="8" t="s">
        <v>38</v>
      </c>
      <c r="I3511" s="9"/>
    </row>
    <row r="3512" spans="1:12" x14ac:dyDescent="0.2">
      <c r="A3512" s="8" t="s">
        <v>32</v>
      </c>
      <c r="B3512" s="8" t="s">
        <v>80</v>
      </c>
      <c r="C3512" s="8" t="s">
        <v>545</v>
      </c>
      <c r="D3512" s="8" t="s">
        <v>546</v>
      </c>
      <c r="E3512" s="8" t="s">
        <v>74</v>
      </c>
      <c r="F3512" s="8" t="s">
        <v>75</v>
      </c>
      <c r="G3512" s="8" t="s">
        <v>7</v>
      </c>
      <c r="H3512" s="8" t="s">
        <v>38</v>
      </c>
      <c r="I3512" s="9">
        <v>1.1983919999999999</v>
      </c>
      <c r="J3512">
        <v>1.4961960000000001</v>
      </c>
      <c r="K3512">
        <v>1.4950000000000001</v>
      </c>
      <c r="L3512">
        <v>1.5244092533410001</v>
      </c>
    </row>
    <row r="3513" spans="1:12" x14ac:dyDescent="0.2">
      <c r="A3513" s="8" t="s">
        <v>32</v>
      </c>
      <c r="B3513" s="8" t="s">
        <v>80</v>
      </c>
      <c r="C3513" s="8" t="s">
        <v>545</v>
      </c>
      <c r="D3513" s="8" t="s">
        <v>546</v>
      </c>
      <c r="E3513" s="8" t="s">
        <v>59</v>
      </c>
      <c r="F3513" s="8" t="s">
        <v>60</v>
      </c>
      <c r="G3513" s="8" t="s">
        <v>7</v>
      </c>
      <c r="H3513" s="8" t="s">
        <v>38</v>
      </c>
      <c r="I3513" s="9">
        <v>153.58893</v>
      </c>
      <c r="J3513">
        <v>154.93728848383</v>
      </c>
      <c r="K3513">
        <v>155.92334886844</v>
      </c>
      <c r="L3513">
        <v>158.13203424854001</v>
      </c>
    </row>
    <row r="3514" spans="1:12" x14ac:dyDescent="0.2">
      <c r="A3514" s="8" t="s">
        <v>32</v>
      </c>
      <c r="B3514" s="8" t="s">
        <v>80</v>
      </c>
      <c r="C3514" s="8" t="s">
        <v>545</v>
      </c>
      <c r="D3514" s="8" t="s">
        <v>546</v>
      </c>
      <c r="E3514" s="8" t="s">
        <v>76</v>
      </c>
      <c r="F3514" s="8" t="s">
        <v>77</v>
      </c>
      <c r="G3514" s="8" t="s">
        <v>7</v>
      </c>
      <c r="H3514" s="8" t="s">
        <v>38</v>
      </c>
      <c r="I3514" s="9">
        <v>25.980951999999998</v>
      </c>
      <c r="J3514">
        <v>139.54285715146</v>
      </c>
      <c r="K3514">
        <v>94.076190486871994</v>
      </c>
      <c r="L3514">
        <v>94.076190486871994</v>
      </c>
    </row>
    <row r="3515" spans="1:12" x14ac:dyDescent="0.2">
      <c r="A3515" s="8" t="s">
        <v>32</v>
      </c>
      <c r="B3515" s="8" t="s">
        <v>80</v>
      </c>
      <c r="C3515" s="8" t="s">
        <v>545</v>
      </c>
      <c r="D3515" s="8" t="s">
        <v>546</v>
      </c>
      <c r="E3515" s="8" t="s">
        <v>78</v>
      </c>
      <c r="F3515" s="8" t="s">
        <v>79</v>
      </c>
      <c r="G3515" s="8" t="s">
        <v>7</v>
      </c>
      <c r="H3515" s="8" t="s">
        <v>38</v>
      </c>
      <c r="I3515" s="9">
        <v>158.08569</v>
      </c>
      <c r="J3515">
        <v>167.82854091428999</v>
      </c>
      <c r="K3515">
        <v>145.19997359999999</v>
      </c>
      <c r="L3515">
        <v>157.58282849143001</v>
      </c>
    </row>
    <row r="3516" spans="1:12" x14ac:dyDescent="0.2">
      <c r="A3516" s="8" t="s">
        <v>32</v>
      </c>
      <c r="B3516" s="8" t="s">
        <v>80</v>
      </c>
      <c r="C3516" s="8" t="s">
        <v>547</v>
      </c>
      <c r="D3516" s="8" t="s">
        <v>548</v>
      </c>
      <c r="E3516" s="8" t="s">
        <v>36</v>
      </c>
      <c r="F3516" s="8" t="s">
        <v>37</v>
      </c>
      <c r="G3516" s="8" t="s">
        <v>7</v>
      </c>
      <c r="H3516" s="8" t="s">
        <v>38</v>
      </c>
      <c r="I3516" s="9">
        <v>3760.7265000000002</v>
      </c>
      <c r="J3516">
        <v>3888.3598820000998</v>
      </c>
      <c r="K3516">
        <v>4134.0786520000001</v>
      </c>
      <c r="L3516">
        <v>4780.0284413749996</v>
      </c>
    </row>
    <row r="3517" spans="1:12" x14ac:dyDescent="0.2">
      <c r="A3517" s="8" t="s">
        <v>32</v>
      </c>
      <c r="B3517" s="8" t="s">
        <v>80</v>
      </c>
      <c r="C3517" s="8" t="s">
        <v>547</v>
      </c>
      <c r="D3517" s="8" t="s">
        <v>548</v>
      </c>
      <c r="E3517" s="8" t="s">
        <v>64</v>
      </c>
      <c r="F3517" s="8" t="s">
        <v>65</v>
      </c>
      <c r="G3517" s="8" t="s">
        <v>7</v>
      </c>
      <c r="H3517" s="8" t="s">
        <v>38</v>
      </c>
      <c r="I3517" s="9">
        <v>83.256699999999995</v>
      </c>
      <c r="J3517">
        <v>222.15775199999999</v>
      </c>
      <c r="K3517">
        <v>143.30571599999999</v>
      </c>
      <c r="L3517">
        <v>165.69723412499999</v>
      </c>
    </row>
    <row r="3518" spans="1:12" x14ac:dyDescent="0.2">
      <c r="A3518" s="8" t="s">
        <v>32</v>
      </c>
      <c r="B3518" s="8" t="s">
        <v>80</v>
      </c>
      <c r="C3518" s="8" t="s">
        <v>547</v>
      </c>
      <c r="D3518" s="8" t="s">
        <v>548</v>
      </c>
      <c r="E3518" s="8" t="s">
        <v>39</v>
      </c>
      <c r="F3518" s="8" t="s">
        <v>40</v>
      </c>
      <c r="G3518" s="8" t="s">
        <v>7</v>
      </c>
      <c r="H3518" s="8" t="s">
        <v>38</v>
      </c>
      <c r="I3518" s="9">
        <v>1399.3357000000001</v>
      </c>
      <c r="J3518">
        <v>1454.2076079999999</v>
      </c>
      <c r="K3518">
        <v>2025.317166</v>
      </c>
      <c r="L3518">
        <v>2200.7056570700001</v>
      </c>
    </row>
    <row r="3519" spans="1:12" x14ac:dyDescent="0.2">
      <c r="A3519" s="8" t="s">
        <v>32</v>
      </c>
      <c r="B3519" s="8" t="s">
        <v>80</v>
      </c>
      <c r="C3519" s="8" t="s">
        <v>547</v>
      </c>
      <c r="D3519" s="8" t="s">
        <v>548</v>
      </c>
      <c r="E3519" s="8" t="s">
        <v>41</v>
      </c>
      <c r="F3519" s="8" t="s">
        <v>42</v>
      </c>
      <c r="G3519" s="8" t="s">
        <v>7</v>
      </c>
      <c r="H3519" s="8" t="s">
        <v>38</v>
      </c>
      <c r="I3519" s="9">
        <v>0.36679499999999998</v>
      </c>
      <c r="J3519">
        <v>7.0534749999999997</v>
      </c>
      <c r="K3519">
        <v>11.534380000000001</v>
      </c>
      <c r="L3519">
        <v>12.999759260467</v>
      </c>
    </row>
    <row r="3520" spans="1:12" x14ac:dyDescent="0.2">
      <c r="A3520" s="8" t="s">
        <v>32</v>
      </c>
      <c r="B3520" s="8" t="s">
        <v>80</v>
      </c>
      <c r="C3520" s="8" t="s">
        <v>547</v>
      </c>
      <c r="D3520" s="8" t="s">
        <v>548</v>
      </c>
      <c r="E3520" s="8" t="s">
        <v>43</v>
      </c>
      <c r="F3520" s="8" t="s">
        <v>44</v>
      </c>
      <c r="G3520" s="8" t="s">
        <v>7</v>
      </c>
      <c r="H3520" s="8" t="s">
        <v>38</v>
      </c>
      <c r="I3520" s="9">
        <v>1257.5601999999999</v>
      </c>
      <c r="J3520">
        <v>1389.944262</v>
      </c>
      <c r="K3520">
        <v>2037.994365</v>
      </c>
      <c r="L3520">
        <v>2078.0852630519998</v>
      </c>
    </row>
    <row r="3521" spans="1:12" x14ac:dyDescent="0.2">
      <c r="A3521" s="8" t="s">
        <v>32</v>
      </c>
      <c r="B3521" s="8" t="s">
        <v>80</v>
      </c>
      <c r="C3521" s="8" t="s">
        <v>547</v>
      </c>
      <c r="D3521" s="8" t="s">
        <v>548</v>
      </c>
      <c r="E3521" s="8" t="s">
        <v>66</v>
      </c>
      <c r="F3521" s="8" t="s">
        <v>67</v>
      </c>
      <c r="G3521" s="8" t="s">
        <v>7</v>
      </c>
      <c r="H3521" s="8" t="s">
        <v>38</v>
      </c>
      <c r="I3521" s="9">
        <v>222.35088999999999</v>
      </c>
      <c r="J3521">
        <v>164.38851600000001</v>
      </c>
      <c r="K3521">
        <v>179.94382100000001</v>
      </c>
      <c r="L3521">
        <v>187.20493505389999</v>
      </c>
    </row>
    <row r="3522" spans="1:12" x14ac:dyDescent="0.2">
      <c r="A3522" s="8" t="s">
        <v>32</v>
      </c>
      <c r="B3522" s="8" t="s">
        <v>80</v>
      </c>
      <c r="C3522" s="8" t="s">
        <v>547</v>
      </c>
      <c r="D3522" s="8" t="s">
        <v>548</v>
      </c>
      <c r="E3522" s="8" t="s">
        <v>47</v>
      </c>
      <c r="F3522" s="8" t="s">
        <v>48</v>
      </c>
      <c r="G3522" s="8" t="s">
        <v>7</v>
      </c>
      <c r="H3522" s="8" t="s">
        <v>38</v>
      </c>
      <c r="I3522" s="9">
        <v>32.094856</v>
      </c>
      <c r="J3522">
        <v>23.290664</v>
      </c>
      <c r="K3522">
        <v>18.692609000000001</v>
      </c>
      <c r="L3522">
        <v>19.060325169689001</v>
      </c>
    </row>
    <row r="3523" spans="1:12" x14ac:dyDescent="0.2">
      <c r="A3523" s="8" t="s">
        <v>32</v>
      </c>
      <c r="B3523" s="8" t="s">
        <v>80</v>
      </c>
      <c r="C3523" s="8" t="s">
        <v>547</v>
      </c>
      <c r="D3523" s="8" t="s">
        <v>548</v>
      </c>
      <c r="E3523" s="8" t="s">
        <v>49</v>
      </c>
      <c r="F3523" s="8" t="s">
        <v>50</v>
      </c>
      <c r="G3523" s="8" t="s">
        <v>7</v>
      </c>
      <c r="H3523" s="8" t="s">
        <v>38</v>
      </c>
      <c r="I3523" s="9">
        <v>1299.203</v>
      </c>
      <c r="J3523">
        <v>1877.941165</v>
      </c>
      <c r="K3523">
        <v>1559.688893</v>
      </c>
      <c r="L3523">
        <v>1617.1887169890999</v>
      </c>
    </row>
    <row r="3524" spans="1:12" x14ac:dyDescent="0.2">
      <c r="A3524" s="8" t="s">
        <v>32</v>
      </c>
      <c r="B3524" s="8" t="s">
        <v>80</v>
      </c>
      <c r="C3524" s="8" t="s">
        <v>547</v>
      </c>
      <c r="D3524" s="8" t="s">
        <v>548</v>
      </c>
      <c r="E3524" s="8" t="s">
        <v>51</v>
      </c>
      <c r="F3524" s="8" t="s">
        <v>52</v>
      </c>
      <c r="G3524" s="8" t="s">
        <v>7</v>
      </c>
      <c r="H3524" s="8" t="s">
        <v>38</v>
      </c>
      <c r="I3524" s="9">
        <v>5.4262930000000003</v>
      </c>
      <c r="J3524">
        <v>9.7848710000000008</v>
      </c>
      <c r="K3524">
        <v>10.817354999999999</v>
      </c>
      <c r="L3524">
        <v>11.030151209814999</v>
      </c>
    </row>
    <row r="3525" spans="1:12" x14ac:dyDescent="0.2">
      <c r="A3525" s="8" t="s">
        <v>32</v>
      </c>
      <c r="B3525" s="8" t="s">
        <v>80</v>
      </c>
      <c r="C3525" s="8" t="s">
        <v>547</v>
      </c>
      <c r="D3525" s="8" t="s">
        <v>548</v>
      </c>
      <c r="E3525" s="8" t="s">
        <v>68</v>
      </c>
      <c r="F3525" s="8" t="s">
        <v>69</v>
      </c>
      <c r="G3525" s="8" t="s">
        <v>7</v>
      </c>
      <c r="H3525" s="8" t="s">
        <v>38</v>
      </c>
      <c r="I3525" s="9">
        <v>211.53713999999999</v>
      </c>
      <c r="J3525">
        <v>739.79522818332998</v>
      </c>
      <c r="K3525">
        <v>426.96421200321998</v>
      </c>
      <c r="L3525">
        <v>489.76508473426998</v>
      </c>
    </row>
    <row r="3526" spans="1:12" x14ac:dyDescent="0.2">
      <c r="A3526" s="8" t="s">
        <v>32</v>
      </c>
      <c r="B3526" s="8" t="s">
        <v>80</v>
      </c>
      <c r="C3526" s="8" t="s">
        <v>547</v>
      </c>
      <c r="D3526" s="8" t="s">
        <v>548</v>
      </c>
      <c r="E3526" s="8" t="s">
        <v>53</v>
      </c>
      <c r="F3526" s="8" t="s">
        <v>54</v>
      </c>
      <c r="G3526" s="8" t="s">
        <v>7</v>
      </c>
      <c r="H3526" s="8" t="s">
        <v>38</v>
      </c>
      <c r="I3526" s="9"/>
    </row>
    <row r="3527" spans="1:12" x14ac:dyDescent="0.2">
      <c r="A3527" s="8" t="s">
        <v>32</v>
      </c>
      <c r="B3527" s="8" t="s">
        <v>80</v>
      </c>
      <c r="C3527" s="8" t="s">
        <v>547</v>
      </c>
      <c r="D3527" s="8" t="s">
        <v>548</v>
      </c>
      <c r="E3527" s="8" t="s">
        <v>70</v>
      </c>
      <c r="F3527" s="8" t="s">
        <v>71</v>
      </c>
      <c r="G3527" s="8" t="s">
        <v>7</v>
      </c>
      <c r="H3527" s="8" t="s">
        <v>38</v>
      </c>
      <c r="I3527" s="9">
        <v>499.99585000000002</v>
      </c>
      <c r="J3527">
        <v>546.87045980000005</v>
      </c>
      <c r="K3527">
        <v>390.621757</v>
      </c>
      <c r="L3527">
        <v>390.18108189574002</v>
      </c>
    </row>
    <row r="3528" spans="1:12" x14ac:dyDescent="0.2">
      <c r="A3528" s="8" t="s">
        <v>32</v>
      </c>
      <c r="B3528" s="8" t="s">
        <v>80</v>
      </c>
      <c r="C3528" s="8" t="s">
        <v>547</v>
      </c>
      <c r="D3528" s="8" t="s">
        <v>548</v>
      </c>
      <c r="E3528" s="8" t="s">
        <v>55</v>
      </c>
      <c r="F3528" s="8" t="s">
        <v>56</v>
      </c>
      <c r="G3528" s="8" t="s">
        <v>7</v>
      </c>
      <c r="H3528" s="8" t="s">
        <v>38</v>
      </c>
      <c r="I3528" s="9">
        <v>0.85430819999999996</v>
      </c>
      <c r="J3528">
        <v>0.95684736909629997</v>
      </c>
      <c r="K3528">
        <v>0.95684736909629997</v>
      </c>
      <c r="L3528">
        <v>0.95684736909629997</v>
      </c>
    </row>
    <row r="3529" spans="1:12" x14ac:dyDescent="0.2">
      <c r="A3529" s="8" t="s">
        <v>32</v>
      </c>
      <c r="B3529" s="8" t="s">
        <v>80</v>
      </c>
      <c r="C3529" s="8" t="s">
        <v>547</v>
      </c>
      <c r="D3529" s="8" t="s">
        <v>548</v>
      </c>
      <c r="E3529" s="8" t="s">
        <v>57</v>
      </c>
      <c r="F3529" s="8" t="s">
        <v>58</v>
      </c>
      <c r="G3529" s="8" t="s">
        <v>7</v>
      </c>
      <c r="H3529" s="8" t="s">
        <v>38</v>
      </c>
      <c r="I3529" s="9">
        <v>0.67139280000000001</v>
      </c>
      <c r="J3529">
        <v>0.75197737292722999</v>
      </c>
      <c r="K3529">
        <v>0.75197737292722999</v>
      </c>
      <c r="L3529">
        <v>0.75197737292722999</v>
      </c>
    </row>
    <row r="3530" spans="1:12" x14ac:dyDescent="0.2">
      <c r="A3530" s="8" t="s">
        <v>32</v>
      </c>
      <c r="B3530" s="8" t="s">
        <v>80</v>
      </c>
      <c r="C3530" s="8" t="s">
        <v>547</v>
      </c>
      <c r="D3530" s="8" t="s">
        <v>548</v>
      </c>
      <c r="E3530" s="8" t="s">
        <v>72</v>
      </c>
      <c r="F3530" s="8" t="s">
        <v>73</v>
      </c>
      <c r="G3530" s="8" t="s">
        <v>7</v>
      </c>
      <c r="H3530" s="8" t="s">
        <v>38</v>
      </c>
      <c r="I3530" s="9">
        <v>10.199999999999999</v>
      </c>
      <c r="J3530">
        <v>10.199999999999999</v>
      </c>
      <c r="K3530">
        <v>10.199999999999999</v>
      </c>
      <c r="L3530">
        <v>10.199999999999999</v>
      </c>
    </row>
    <row r="3531" spans="1:12" x14ac:dyDescent="0.2">
      <c r="A3531" s="8" t="s">
        <v>32</v>
      </c>
      <c r="B3531" s="8" t="s">
        <v>80</v>
      </c>
      <c r="C3531" s="8" t="s">
        <v>547</v>
      </c>
      <c r="D3531" s="8" t="s">
        <v>548</v>
      </c>
      <c r="E3531" s="8" t="s">
        <v>74</v>
      </c>
      <c r="F3531" s="8" t="s">
        <v>75</v>
      </c>
      <c r="G3531" s="8" t="s">
        <v>7</v>
      </c>
      <c r="H3531" s="8" t="s">
        <v>38</v>
      </c>
      <c r="I3531" s="9">
        <v>174.2</v>
      </c>
      <c r="J3531">
        <v>399.1</v>
      </c>
      <c r="K3531">
        <v>513.5</v>
      </c>
      <c r="L3531">
        <v>513.5</v>
      </c>
    </row>
    <row r="3532" spans="1:12" x14ac:dyDescent="0.2">
      <c r="A3532" s="8" t="s">
        <v>32</v>
      </c>
      <c r="B3532" s="8" t="s">
        <v>80</v>
      </c>
      <c r="C3532" s="8" t="s">
        <v>547</v>
      </c>
      <c r="D3532" s="8" t="s">
        <v>548</v>
      </c>
      <c r="E3532" s="8" t="s">
        <v>59</v>
      </c>
      <c r="F3532" s="8" t="s">
        <v>60</v>
      </c>
      <c r="G3532" s="8" t="s">
        <v>7</v>
      </c>
      <c r="H3532" s="8" t="s">
        <v>38</v>
      </c>
      <c r="I3532" s="9">
        <v>42.020632999999997</v>
      </c>
      <c r="J3532">
        <v>43.980238866580997</v>
      </c>
      <c r="K3532">
        <v>45.473984191268002</v>
      </c>
      <c r="L3532">
        <v>47.963923709569002</v>
      </c>
    </row>
    <row r="3533" spans="1:12" x14ac:dyDescent="0.2">
      <c r="A3533" s="8" t="s">
        <v>32</v>
      </c>
      <c r="B3533" s="8" t="s">
        <v>80</v>
      </c>
      <c r="C3533" s="8" t="s">
        <v>547</v>
      </c>
      <c r="D3533" s="8" t="s">
        <v>548</v>
      </c>
      <c r="E3533" s="8" t="s">
        <v>76</v>
      </c>
      <c r="F3533" s="8" t="s">
        <v>77</v>
      </c>
      <c r="G3533" s="8" t="s">
        <v>7</v>
      </c>
      <c r="H3533" s="8" t="s">
        <v>38</v>
      </c>
      <c r="I3533" s="9">
        <v>58.457143000000002</v>
      </c>
      <c r="J3533">
        <v>64.742857151191998</v>
      </c>
      <c r="K3533">
        <v>35.619047626975998</v>
      </c>
      <c r="L3533">
        <v>28.935238104475999</v>
      </c>
    </row>
    <row r="3534" spans="1:12" x14ac:dyDescent="0.2">
      <c r="A3534" s="8" t="s">
        <v>32</v>
      </c>
      <c r="B3534" s="8" t="s">
        <v>80</v>
      </c>
      <c r="C3534" s="8" t="s">
        <v>547</v>
      </c>
      <c r="D3534" s="8" t="s">
        <v>548</v>
      </c>
      <c r="E3534" s="8" t="s">
        <v>78</v>
      </c>
      <c r="F3534" s="8" t="s">
        <v>79</v>
      </c>
      <c r="G3534" s="8" t="s">
        <v>7</v>
      </c>
      <c r="H3534" s="8" t="s">
        <v>38</v>
      </c>
      <c r="I3534" s="9">
        <v>16.342853999999999</v>
      </c>
      <c r="J3534">
        <v>39.599992800000003</v>
      </c>
      <c r="K3534">
        <v>11.785712142856999</v>
      </c>
      <c r="L3534">
        <v>11.785712142856999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69B4-95A0-394F-9F6D-0AC80AF4187B}">
  <dimension ref="A1:S6834"/>
  <sheetViews>
    <sheetView topLeftCell="F1" workbookViewId="0">
      <selection activeCell="P6" sqref="P6"/>
    </sheetView>
  </sheetViews>
  <sheetFormatPr baseColWidth="10" defaultRowHeight="16" x14ac:dyDescent="0.2"/>
  <sheetData>
    <row r="1" spans="1:19" x14ac:dyDescent="0.2">
      <c r="A1" s="16" t="s">
        <v>549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">
      <c r="A2" s="10" t="s">
        <v>550</v>
      </c>
      <c r="B2" s="10" t="s">
        <v>551</v>
      </c>
      <c r="C2" s="10" t="s">
        <v>552</v>
      </c>
      <c r="D2" s="11">
        <v>2020</v>
      </c>
      <c r="E2" s="11">
        <v>2021</v>
      </c>
      <c r="F2" s="11">
        <v>2022</v>
      </c>
      <c r="G2" s="11">
        <v>2023</v>
      </c>
      <c r="H2" s="11"/>
      <c r="I2" s="11"/>
      <c r="J2" s="11"/>
      <c r="K2" s="11"/>
      <c r="L2" s="2" t="s">
        <v>598</v>
      </c>
      <c r="O2" s="11"/>
      <c r="P2" s="11"/>
      <c r="Q2" s="11"/>
      <c r="R2" s="11"/>
      <c r="S2" s="11"/>
    </row>
    <row r="3" spans="1:19" x14ac:dyDescent="0.2">
      <c r="A3" s="12" t="s">
        <v>112</v>
      </c>
      <c r="B3" s="12" t="s">
        <v>553</v>
      </c>
      <c r="C3" s="12" t="s">
        <v>554</v>
      </c>
      <c r="D3" s="13">
        <v>12335</v>
      </c>
      <c r="E3" s="13">
        <v>11467.56954</v>
      </c>
      <c r="F3" s="13">
        <v>11416.065922</v>
      </c>
      <c r="G3" s="13">
        <v>10814.978321000001</v>
      </c>
      <c r="H3" s="13"/>
      <c r="I3" s="13"/>
      <c r="J3" s="13"/>
      <c r="K3" s="13"/>
      <c r="L3" s="2" t="s">
        <v>597</v>
      </c>
      <c r="M3" s="2" t="s">
        <v>6</v>
      </c>
      <c r="N3" s="2">
        <v>2020</v>
      </c>
      <c r="O3" s="2">
        <v>2021</v>
      </c>
      <c r="P3" s="2">
        <v>2022</v>
      </c>
      <c r="Q3" s="2">
        <v>2023</v>
      </c>
      <c r="R3" s="13"/>
      <c r="S3" s="13"/>
    </row>
    <row r="4" spans="1:19" x14ac:dyDescent="0.2">
      <c r="A4" s="12" t="s">
        <v>112</v>
      </c>
      <c r="B4" s="12" t="s">
        <v>553</v>
      </c>
      <c r="C4" s="12" t="s">
        <v>555</v>
      </c>
      <c r="D4" s="13">
        <v>19</v>
      </c>
      <c r="E4" s="13">
        <v>12.416850999999999</v>
      </c>
      <c r="F4" s="13">
        <v>15.0273</v>
      </c>
      <c r="G4" s="13">
        <v>15.048749000000001</v>
      </c>
      <c r="H4" s="13"/>
      <c r="I4" s="13"/>
      <c r="J4" s="13"/>
      <c r="K4" s="13"/>
      <c r="L4" t="s">
        <v>1</v>
      </c>
      <c r="M4" t="s">
        <v>12</v>
      </c>
      <c r="N4" s="4">
        <f>D4183+D4195</f>
        <v>42225</v>
      </c>
      <c r="O4">
        <f>E4183+E4195</f>
        <v>43497.995584000004</v>
      </c>
      <c r="P4">
        <f>F4183+F4195</f>
        <v>43389.806453999998</v>
      </c>
      <c r="Q4" s="4">
        <f>G4183+G4195</f>
        <v>42740.590674999985</v>
      </c>
      <c r="R4" s="13"/>
      <c r="S4" s="13"/>
    </row>
    <row r="5" spans="1:19" x14ac:dyDescent="0.2">
      <c r="A5" s="12" t="s">
        <v>112</v>
      </c>
      <c r="B5" s="12" t="s">
        <v>553</v>
      </c>
      <c r="C5" s="12" t="s">
        <v>556</v>
      </c>
      <c r="D5" s="13">
        <v>-10505</v>
      </c>
      <c r="E5" s="13">
        <v>-9866.188301000002</v>
      </c>
      <c r="F5" s="13">
        <v>-9687.7712980000015</v>
      </c>
      <c r="G5" s="13">
        <v>-9147.4905950000011</v>
      </c>
      <c r="H5" s="13"/>
      <c r="I5" s="13"/>
      <c r="J5" s="13"/>
      <c r="K5" s="13"/>
      <c r="L5" t="s">
        <v>0</v>
      </c>
      <c r="M5" t="s">
        <v>12</v>
      </c>
      <c r="N5" s="4">
        <f>D5695+D5707</f>
        <v>70514</v>
      </c>
      <c r="O5" s="4">
        <f>E5695+E5707</f>
        <v>76740.931834999996</v>
      </c>
      <c r="P5" s="4">
        <f>F5695+F5707</f>
        <v>79754.652325999996</v>
      </c>
      <c r="Q5" s="4">
        <f>G5695+G5707</f>
        <v>83937.157926000014</v>
      </c>
      <c r="R5" s="13"/>
      <c r="S5" s="13"/>
    </row>
    <row r="6" spans="1:19" x14ac:dyDescent="0.2">
      <c r="A6" s="12" t="s">
        <v>112</v>
      </c>
      <c r="B6" s="12" t="s">
        <v>553</v>
      </c>
      <c r="C6" s="12" t="s">
        <v>557</v>
      </c>
      <c r="D6" s="13">
        <v>1783</v>
      </c>
      <c r="E6" s="13">
        <v>1683.9935949999999</v>
      </c>
      <c r="F6" s="13">
        <v>1567.046515</v>
      </c>
      <c r="G6" s="13">
        <v>1465.633268</v>
      </c>
      <c r="H6" s="13"/>
      <c r="I6" s="13"/>
      <c r="J6" s="13"/>
      <c r="K6" s="13"/>
      <c r="L6" t="s">
        <v>3</v>
      </c>
      <c r="M6" t="s">
        <v>12</v>
      </c>
      <c r="N6" s="4">
        <f>D6559+D6571</f>
        <v>112739</v>
      </c>
      <c r="O6">
        <f>E6559+E6571</f>
        <v>120238.92741999999</v>
      </c>
      <c r="P6">
        <f>F6559+F6571</f>
        <v>123144.45877899999</v>
      </c>
      <c r="Q6" s="4">
        <f>G6559+G6571</f>
        <v>126677.748599</v>
      </c>
      <c r="R6" s="13"/>
      <c r="S6" s="13"/>
    </row>
    <row r="7" spans="1:19" x14ac:dyDescent="0.2">
      <c r="A7" s="12" t="s">
        <v>112</v>
      </c>
      <c r="B7" s="12" t="s">
        <v>553</v>
      </c>
      <c r="C7" s="12" t="s">
        <v>558</v>
      </c>
      <c r="D7" s="13">
        <v>-1516</v>
      </c>
      <c r="E7" s="13">
        <v>-1468.266116</v>
      </c>
      <c r="F7" s="13">
        <v>-1395.813069</v>
      </c>
      <c r="G7" s="13">
        <v>-1343.393429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x14ac:dyDescent="0.2">
      <c r="A8" s="12" t="s">
        <v>112</v>
      </c>
      <c r="B8" s="12" t="s">
        <v>553</v>
      </c>
      <c r="C8" s="12" t="s">
        <v>560</v>
      </c>
      <c r="D8" s="13">
        <v>0</v>
      </c>
      <c r="E8" s="13">
        <v>0</v>
      </c>
      <c r="F8" s="13">
        <v>0</v>
      </c>
      <c r="G8" s="13">
        <v>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x14ac:dyDescent="0.2">
      <c r="A9" s="12" t="s">
        <v>112</v>
      </c>
      <c r="B9" s="12" t="s">
        <v>553</v>
      </c>
      <c r="C9" s="12" t="s">
        <v>561</v>
      </c>
      <c r="D9" s="13">
        <v>112</v>
      </c>
      <c r="E9" s="13">
        <v>113.33158899999999</v>
      </c>
      <c r="F9" s="13">
        <v>113.070291</v>
      </c>
      <c r="G9" s="13">
        <v>106.452049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x14ac:dyDescent="0.2">
      <c r="A10" s="12" t="s">
        <v>112</v>
      </c>
      <c r="B10" s="12" t="s">
        <v>553</v>
      </c>
      <c r="C10" s="12" t="s">
        <v>562</v>
      </c>
      <c r="D10" s="13">
        <v>111</v>
      </c>
      <c r="E10" s="13">
        <v>113.09689400000001</v>
      </c>
      <c r="F10" s="13">
        <v>112.92609299999999</v>
      </c>
      <c r="G10" s="13">
        <v>106.300646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x14ac:dyDescent="0.2">
      <c r="A11" s="12" t="s">
        <v>112</v>
      </c>
      <c r="B11" s="12" t="s">
        <v>553</v>
      </c>
      <c r="C11" s="12" t="s">
        <v>563</v>
      </c>
      <c r="D11" s="13">
        <v>0</v>
      </c>
      <c r="E11" s="13">
        <v>0</v>
      </c>
      <c r="F11" s="13">
        <v>0</v>
      </c>
      <c r="G11" s="13">
        <v>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2">
      <c r="A12" s="12" t="s">
        <v>112</v>
      </c>
      <c r="B12" s="12" t="s">
        <v>553</v>
      </c>
      <c r="C12" s="12" t="s">
        <v>564</v>
      </c>
      <c r="D12" s="13">
        <v>0</v>
      </c>
      <c r="E12" s="13">
        <v>2.0996999999999998E-2</v>
      </c>
      <c r="F12" s="13">
        <v>0</v>
      </c>
      <c r="G12" s="13"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x14ac:dyDescent="0.2">
      <c r="A13" s="12" t="s">
        <v>112</v>
      </c>
      <c r="B13" s="12" t="s">
        <v>553</v>
      </c>
      <c r="C13" s="12" t="s">
        <v>565</v>
      </c>
      <c r="D13" s="13">
        <v>1</v>
      </c>
      <c r="E13" s="13">
        <v>0.213698</v>
      </c>
      <c r="F13" s="13">
        <v>0.14419799999999999</v>
      </c>
      <c r="G13" s="13">
        <v>0.15139900000000001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2">
      <c r="A14" s="12" t="s">
        <v>112</v>
      </c>
      <c r="B14" s="12" t="s">
        <v>553</v>
      </c>
      <c r="C14" s="12" t="s">
        <v>566</v>
      </c>
      <c r="D14" s="13">
        <v>0</v>
      </c>
      <c r="E14" s="13">
        <v>0</v>
      </c>
      <c r="F14" s="13">
        <v>0</v>
      </c>
      <c r="G14" s="13">
        <v>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2">
      <c r="A15" s="12" t="s">
        <v>112</v>
      </c>
      <c r="B15" s="12" t="s">
        <v>567</v>
      </c>
      <c r="C15" s="12" t="s">
        <v>554</v>
      </c>
      <c r="D15" s="13">
        <v>875</v>
      </c>
      <c r="E15" s="13">
        <v>785.06718599999999</v>
      </c>
      <c r="F15" s="13">
        <v>806.79023500000005</v>
      </c>
      <c r="G15" s="13">
        <v>747.02096400000005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">
      <c r="A16" s="12" t="s">
        <v>112</v>
      </c>
      <c r="B16" s="12" t="s">
        <v>567</v>
      </c>
      <c r="C16" s="12" t="s">
        <v>555</v>
      </c>
      <c r="D16" s="13">
        <v>631</v>
      </c>
      <c r="E16" s="13">
        <v>491.78815200000003</v>
      </c>
      <c r="F16" s="13">
        <v>359.45287400000001</v>
      </c>
      <c r="G16" s="13">
        <v>337.53639500000003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x14ac:dyDescent="0.2">
      <c r="A17" s="12" t="s">
        <v>112</v>
      </c>
      <c r="B17" s="12" t="s">
        <v>567</v>
      </c>
      <c r="C17" s="12" t="s">
        <v>556</v>
      </c>
      <c r="D17" s="13">
        <v>-595</v>
      </c>
      <c r="E17" s="13">
        <v>-563.59614699999997</v>
      </c>
      <c r="F17" s="13">
        <v>-592.664446</v>
      </c>
      <c r="G17" s="13">
        <v>-575.49771600000008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x14ac:dyDescent="0.2">
      <c r="A18" s="12" t="s">
        <v>112</v>
      </c>
      <c r="B18" s="12" t="s">
        <v>567</v>
      </c>
      <c r="C18" s="12" t="s">
        <v>557</v>
      </c>
      <c r="D18" s="13">
        <v>911</v>
      </c>
      <c r="E18" s="13">
        <v>730.01858700000003</v>
      </c>
      <c r="F18" s="13">
        <v>569.635673</v>
      </c>
      <c r="G18" s="13">
        <v>511.318962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2">
      <c r="A19" s="12" t="s">
        <v>112</v>
      </c>
      <c r="B19" s="12" t="s">
        <v>567</v>
      </c>
      <c r="C19" s="12" t="s">
        <v>558</v>
      </c>
      <c r="D19" s="13">
        <v>0</v>
      </c>
      <c r="E19" s="13">
        <v>0</v>
      </c>
      <c r="F19" s="13">
        <v>0</v>
      </c>
      <c r="G19" s="13"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x14ac:dyDescent="0.2">
      <c r="A20" s="12" t="s">
        <v>112</v>
      </c>
      <c r="B20" s="12" t="s">
        <v>567</v>
      </c>
      <c r="C20" s="12" t="s">
        <v>560</v>
      </c>
      <c r="D20" s="13">
        <v>-930</v>
      </c>
      <c r="E20" s="13">
        <v>-775.00398600000005</v>
      </c>
      <c r="F20" s="13">
        <v>-552.47109900000009</v>
      </c>
      <c r="G20" s="13">
        <v>-527.44155000000001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2">
      <c r="A21" s="12" t="s">
        <v>112</v>
      </c>
      <c r="B21" s="12" t="s">
        <v>567</v>
      </c>
      <c r="C21" s="12" t="s">
        <v>561</v>
      </c>
      <c r="D21" s="13">
        <v>0</v>
      </c>
      <c r="E21" s="13">
        <v>0</v>
      </c>
      <c r="F21" s="13">
        <v>0</v>
      </c>
      <c r="G21" s="13">
        <v>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2">
      <c r="A22" s="12" t="s">
        <v>112</v>
      </c>
      <c r="B22" s="12" t="s">
        <v>567</v>
      </c>
      <c r="C22" s="12" t="s">
        <v>562</v>
      </c>
      <c r="D22" s="13">
        <v>0</v>
      </c>
      <c r="E22" s="13">
        <v>0</v>
      </c>
      <c r="F22" s="13">
        <v>0</v>
      </c>
      <c r="G22" s="13">
        <v>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2">
      <c r="A23" s="12" t="s">
        <v>112</v>
      </c>
      <c r="B23" s="12" t="s">
        <v>567</v>
      </c>
      <c r="C23" s="12" t="s">
        <v>563</v>
      </c>
      <c r="D23" s="13">
        <v>0</v>
      </c>
      <c r="E23" s="13">
        <v>0</v>
      </c>
      <c r="F23" s="13">
        <v>0</v>
      </c>
      <c r="G23" s="13">
        <v>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2">
      <c r="A24" s="12" t="s">
        <v>112</v>
      </c>
      <c r="B24" s="12" t="s">
        <v>567</v>
      </c>
      <c r="C24" s="12" t="s">
        <v>564</v>
      </c>
      <c r="D24" s="13">
        <v>0</v>
      </c>
      <c r="E24" s="13">
        <v>0</v>
      </c>
      <c r="F24" s="13">
        <v>0</v>
      </c>
      <c r="G24" s="13"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2">
      <c r="A25" s="12" t="s">
        <v>112</v>
      </c>
      <c r="B25" s="12" t="s">
        <v>567</v>
      </c>
      <c r="C25" s="12" t="s">
        <v>565</v>
      </c>
      <c r="D25" s="13">
        <v>0</v>
      </c>
      <c r="E25" s="13">
        <v>0</v>
      </c>
      <c r="F25" s="13">
        <v>0</v>
      </c>
      <c r="G25" s="13">
        <v>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2">
      <c r="A26" s="12" t="s">
        <v>112</v>
      </c>
      <c r="B26" s="12" t="s">
        <v>567</v>
      </c>
      <c r="C26" s="12" t="s">
        <v>566</v>
      </c>
      <c r="D26" s="13">
        <v>0</v>
      </c>
      <c r="E26" s="13">
        <v>0</v>
      </c>
      <c r="F26" s="13">
        <v>0</v>
      </c>
      <c r="G26" s="13">
        <v>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2">
      <c r="A27" s="12" t="s">
        <v>112</v>
      </c>
      <c r="B27" s="12" t="s">
        <v>568</v>
      </c>
      <c r="C27" s="12" t="s">
        <v>554</v>
      </c>
      <c r="D27" s="13">
        <v>0</v>
      </c>
      <c r="E27" s="13">
        <v>0</v>
      </c>
      <c r="F27" s="13">
        <v>0</v>
      </c>
      <c r="G27" s="13">
        <v>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x14ac:dyDescent="0.2">
      <c r="A28" s="12" t="s">
        <v>112</v>
      </c>
      <c r="B28" s="12" t="s">
        <v>568</v>
      </c>
      <c r="C28" s="12" t="s">
        <v>555</v>
      </c>
      <c r="D28" s="13">
        <v>1276</v>
      </c>
      <c r="E28" s="13">
        <v>1274.5336520000001</v>
      </c>
      <c r="F28" s="13">
        <v>1488.3429530000001</v>
      </c>
      <c r="G28" s="13">
        <v>1743.5755099999999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x14ac:dyDescent="0.2">
      <c r="A29" s="12" t="s">
        <v>112</v>
      </c>
      <c r="B29" s="12" t="s">
        <v>568</v>
      </c>
      <c r="C29" s="12" t="s">
        <v>556</v>
      </c>
      <c r="D29" s="13">
        <v>-165</v>
      </c>
      <c r="E29" s="13">
        <v>-149.08981700000001</v>
      </c>
      <c r="F29" s="13">
        <v>-159.165255</v>
      </c>
      <c r="G29" s="13">
        <v>-126.03286199999999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x14ac:dyDescent="0.2">
      <c r="A30" s="12" t="s">
        <v>112</v>
      </c>
      <c r="B30" s="12" t="s">
        <v>568</v>
      </c>
      <c r="C30" s="12" t="s">
        <v>557</v>
      </c>
      <c r="D30" s="13">
        <v>946</v>
      </c>
      <c r="E30" s="13">
        <v>1047.426774</v>
      </c>
      <c r="F30" s="13">
        <v>1232.736866</v>
      </c>
      <c r="G30" s="13">
        <v>1452.4940799999999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x14ac:dyDescent="0.2">
      <c r="A31" s="12" t="s">
        <v>112</v>
      </c>
      <c r="B31" s="12" t="s">
        <v>568</v>
      </c>
      <c r="C31" s="12" t="s">
        <v>558</v>
      </c>
      <c r="D31" s="13">
        <v>-43</v>
      </c>
      <c r="E31" s="13">
        <v>-44.844237</v>
      </c>
      <c r="F31" s="13">
        <v>-42.354950000000002</v>
      </c>
      <c r="G31" s="13">
        <v>-44.484754000000002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x14ac:dyDescent="0.2">
      <c r="A32" s="12" t="s">
        <v>112</v>
      </c>
      <c r="B32" s="12" t="s">
        <v>568</v>
      </c>
      <c r="C32" s="12" t="s">
        <v>560</v>
      </c>
      <c r="D32" s="13">
        <v>921</v>
      </c>
      <c r="E32" s="13">
        <v>757.14049800000009</v>
      </c>
      <c r="F32" s="13">
        <v>551.00181299999997</v>
      </c>
      <c r="G32" s="13">
        <v>523.15042800000003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x14ac:dyDescent="0.2">
      <c r="A33" s="12" t="s">
        <v>112</v>
      </c>
      <c r="B33" s="12" t="s">
        <v>568</v>
      </c>
      <c r="C33" s="12" t="s">
        <v>561</v>
      </c>
      <c r="D33" s="13">
        <v>1716</v>
      </c>
      <c r="E33" s="13">
        <v>1708.3607500000001</v>
      </c>
      <c r="F33" s="13">
        <v>1707.3480970000001</v>
      </c>
      <c r="G33" s="13">
        <v>1800.31522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x14ac:dyDescent="0.2">
      <c r="A34" s="12" t="s">
        <v>112</v>
      </c>
      <c r="B34" s="12" t="s">
        <v>568</v>
      </c>
      <c r="C34" s="12" t="s">
        <v>562</v>
      </c>
      <c r="D34" s="13">
        <v>181</v>
      </c>
      <c r="E34" s="13">
        <v>187.907645</v>
      </c>
      <c r="F34" s="13">
        <v>190.354277</v>
      </c>
      <c r="G34" s="13">
        <v>199.89130900000001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x14ac:dyDescent="0.2">
      <c r="A35" s="12" t="s">
        <v>112</v>
      </c>
      <c r="B35" s="12" t="s">
        <v>568</v>
      </c>
      <c r="C35" s="12" t="s">
        <v>563</v>
      </c>
      <c r="D35" s="13">
        <v>1245</v>
      </c>
      <c r="E35" s="13">
        <v>1205.040049</v>
      </c>
      <c r="F35" s="13">
        <v>1224.7193070000001</v>
      </c>
      <c r="G35" s="13">
        <v>1330.4633590000001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2">
      <c r="A36" s="12" t="s">
        <v>112</v>
      </c>
      <c r="B36" s="12" t="s">
        <v>568</v>
      </c>
      <c r="C36" s="12" t="s">
        <v>564</v>
      </c>
      <c r="D36" s="13">
        <v>15</v>
      </c>
      <c r="E36" s="13">
        <v>15.164975</v>
      </c>
      <c r="F36" s="13">
        <v>10.066750000000001</v>
      </c>
      <c r="G36" s="13">
        <v>11.275471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2">
      <c r="A37" s="12" t="s">
        <v>112</v>
      </c>
      <c r="B37" s="12" t="s">
        <v>568</v>
      </c>
      <c r="C37" s="12" t="s">
        <v>565</v>
      </c>
      <c r="D37" s="13">
        <v>27</v>
      </c>
      <c r="E37" s="13">
        <v>28.147144999999998</v>
      </c>
      <c r="F37" s="13">
        <v>28.874848</v>
      </c>
      <c r="G37" s="13">
        <v>30.315605999999999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">
      <c r="A38" s="12" t="s">
        <v>112</v>
      </c>
      <c r="B38" s="12" t="s">
        <v>568</v>
      </c>
      <c r="C38" s="12" t="s">
        <v>566</v>
      </c>
      <c r="D38" s="13">
        <v>248</v>
      </c>
      <c r="E38" s="13">
        <v>272.10093599999999</v>
      </c>
      <c r="F38" s="13">
        <v>253.33291399999999</v>
      </c>
      <c r="G38" s="13">
        <v>228.36947900000001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2">
      <c r="A39" s="12" t="s">
        <v>112</v>
      </c>
      <c r="B39" s="12" t="s">
        <v>569</v>
      </c>
      <c r="C39" s="12" t="s">
        <v>554</v>
      </c>
      <c r="D39" s="13">
        <v>5321</v>
      </c>
      <c r="E39" s="13">
        <v>5135.6859060000006</v>
      </c>
      <c r="F39" s="13">
        <v>5515.0075409999999</v>
      </c>
      <c r="G39" s="13">
        <v>5561.799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x14ac:dyDescent="0.2">
      <c r="A40" s="12" t="s">
        <v>112</v>
      </c>
      <c r="B40" s="12" t="s">
        <v>569</v>
      </c>
      <c r="C40" s="12" t="s">
        <v>555</v>
      </c>
      <c r="D40" s="13">
        <v>162</v>
      </c>
      <c r="E40" s="13">
        <v>186.815698</v>
      </c>
      <c r="F40" s="13">
        <v>136.845901</v>
      </c>
      <c r="G40" s="13">
        <v>43.285499999999999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x14ac:dyDescent="0.2">
      <c r="A41" s="12" t="s">
        <v>112</v>
      </c>
      <c r="B41" s="12" t="s">
        <v>569</v>
      </c>
      <c r="C41" s="12" t="s">
        <v>556</v>
      </c>
      <c r="D41" s="13">
        <v>-3972</v>
      </c>
      <c r="E41" s="13">
        <v>-3882.9996080000001</v>
      </c>
      <c r="F41" s="13">
        <v>-4173.0944390000004</v>
      </c>
      <c r="G41" s="13">
        <v>-4086.8532209999998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x14ac:dyDescent="0.2">
      <c r="A42" s="12" t="s">
        <v>112</v>
      </c>
      <c r="B42" s="12" t="s">
        <v>569</v>
      </c>
      <c r="C42" s="12" t="s">
        <v>557</v>
      </c>
      <c r="D42" s="13">
        <v>1482</v>
      </c>
      <c r="E42" s="13">
        <v>1458.861609</v>
      </c>
      <c r="F42" s="13">
        <v>1503.81088</v>
      </c>
      <c r="G42" s="13">
        <v>1518.9929199999999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x14ac:dyDescent="0.2">
      <c r="A43" s="12" t="s">
        <v>112</v>
      </c>
      <c r="B43" s="12" t="s">
        <v>569</v>
      </c>
      <c r="C43" s="12" t="s">
        <v>558</v>
      </c>
      <c r="D43" s="13">
        <v>-525</v>
      </c>
      <c r="E43" s="13">
        <v>-466.69625300000001</v>
      </c>
      <c r="F43" s="13">
        <v>-463.40730799999989</v>
      </c>
      <c r="G43" s="13">
        <v>-464.60662200000002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x14ac:dyDescent="0.2">
      <c r="A44" s="12" t="s">
        <v>112</v>
      </c>
      <c r="B44" s="12" t="s">
        <v>569</v>
      </c>
      <c r="C44" s="12" t="s">
        <v>560</v>
      </c>
      <c r="D44" s="13">
        <v>0</v>
      </c>
      <c r="E44" s="13">
        <v>0</v>
      </c>
      <c r="F44" s="13">
        <v>0</v>
      </c>
      <c r="G44" s="13"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 x14ac:dyDescent="0.2">
      <c r="A45" s="12" t="s">
        <v>112</v>
      </c>
      <c r="B45" s="12" t="s">
        <v>569</v>
      </c>
      <c r="C45" s="12" t="s">
        <v>561</v>
      </c>
      <c r="D45" s="13">
        <v>520</v>
      </c>
      <c r="E45" s="13">
        <v>529.37612799999999</v>
      </c>
      <c r="F45" s="13">
        <v>525.23365000000001</v>
      </c>
      <c r="G45" s="13">
        <v>506.14157399999999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x14ac:dyDescent="0.2">
      <c r="A46" s="12" t="s">
        <v>112</v>
      </c>
      <c r="B46" s="12" t="s">
        <v>569</v>
      </c>
      <c r="C46" s="12" t="s">
        <v>562</v>
      </c>
      <c r="D46" s="13">
        <v>262</v>
      </c>
      <c r="E46" s="13">
        <v>269.59650499999998</v>
      </c>
      <c r="F46" s="13">
        <v>263.69082300000002</v>
      </c>
      <c r="G46" s="13">
        <v>256.81482399999999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x14ac:dyDescent="0.2">
      <c r="A47" s="12" t="s">
        <v>112</v>
      </c>
      <c r="B47" s="12" t="s">
        <v>569</v>
      </c>
      <c r="C47" s="12" t="s">
        <v>563</v>
      </c>
      <c r="D47" s="13">
        <v>19</v>
      </c>
      <c r="E47" s="13">
        <v>16.575441000000001</v>
      </c>
      <c r="F47" s="13">
        <v>17.516081</v>
      </c>
      <c r="G47" s="13">
        <v>17.255507000000001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x14ac:dyDescent="0.2">
      <c r="A48" s="12" t="s">
        <v>112</v>
      </c>
      <c r="B48" s="12" t="s">
        <v>569</v>
      </c>
      <c r="C48" s="12" t="s">
        <v>564</v>
      </c>
      <c r="D48" s="13">
        <v>150</v>
      </c>
      <c r="E48" s="13">
        <v>149.178606</v>
      </c>
      <c r="F48" s="13">
        <v>147.92651000000001</v>
      </c>
      <c r="G48" s="13">
        <v>132.36238299999999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x14ac:dyDescent="0.2">
      <c r="A49" s="12" t="s">
        <v>112</v>
      </c>
      <c r="B49" s="12" t="s">
        <v>569</v>
      </c>
      <c r="C49" s="12" t="s">
        <v>565</v>
      </c>
      <c r="D49" s="13">
        <v>39</v>
      </c>
      <c r="E49" s="13">
        <v>40.218212000000001</v>
      </c>
      <c r="F49" s="13">
        <v>43.247579999999999</v>
      </c>
      <c r="G49" s="13">
        <v>45.727781999999998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x14ac:dyDescent="0.2">
      <c r="A50" s="12" t="s">
        <v>112</v>
      </c>
      <c r="B50" s="12" t="s">
        <v>569</v>
      </c>
      <c r="C50" s="12" t="s">
        <v>566</v>
      </c>
      <c r="D50" s="13">
        <v>50</v>
      </c>
      <c r="E50" s="13">
        <v>53.807364</v>
      </c>
      <c r="F50" s="13">
        <v>52.852656000000003</v>
      </c>
      <c r="G50" s="13">
        <v>53.981082000000001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x14ac:dyDescent="0.2">
      <c r="A51" s="12" t="s">
        <v>112</v>
      </c>
      <c r="B51" s="12" t="s">
        <v>570</v>
      </c>
      <c r="C51" s="12" t="s">
        <v>554</v>
      </c>
      <c r="D51" s="13">
        <v>0</v>
      </c>
      <c r="E51" s="13">
        <v>0</v>
      </c>
      <c r="F51" s="13">
        <v>0</v>
      </c>
      <c r="G51" s="13">
        <v>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x14ac:dyDescent="0.2">
      <c r="A52" s="12" t="s">
        <v>112</v>
      </c>
      <c r="B52" s="12" t="s">
        <v>570</v>
      </c>
      <c r="C52" s="12" t="s">
        <v>555</v>
      </c>
      <c r="D52" s="13">
        <v>0</v>
      </c>
      <c r="E52" s="13">
        <v>0</v>
      </c>
      <c r="F52" s="13">
        <v>0</v>
      </c>
      <c r="G52" s="13">
        <v>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x14ac:dyDescent="0.2">
      <c r="A53" s="12" t="s">
        <v>112</v>
      </c>
      <c r="B53" s="12" t="s">
        <v>570</v>
      </c>
      <c r="C53" s="12" t="s">
        <v>556</v>
      </c>
      <c r="D53" s="13">
        <v>0</v>
      </c>
      <c r="E53" s="13">
        <v>0</v>
      </c>
      <c r="F53" s="13">
        <v>0</v>
      </c>
      <c r="G53" s="13">
        <v>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x14ac:dyDescent="0.2">
      <c r="A54" s="12" t="s">
        <v>112</v>
      </c>
      <c r="B54" s="12" t="s">
        <v>570</v>
      </c>
      <c r="C54" s="12" t="s">
        <v>557</v>
      </c>
      <c r="D54" s="13">
        <v>0</v>
      </c>
      <c r="E54" s="13">
        <v>0</v>
      </c>
      <c r="F54" s="13">
        <v>0</v>
      </c>
      <c r="G54" s="13">
        <v>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x14ac:dyDescent="0.2">
      <c r="A55" s="12" t="s">
        <v>112</v>
      </c>
      <c r="B55" s="12" t="s">
        <v>570</v>
      </c>
      <c r="C55" s="12" t="s">
        <v>558</v>
      </c>
      <c r="D55" s="13">
        <v>0</v>
      </c>
      <c r="E55" s="13">
        <v>0</v>
      </c>
      <c r="F55" s="13">
        <v>0</v>
      </c>
      <c r="G55" s="13">
        <v>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x14ac:dyDescent="0.2">
      <c r="A56" s="12" t="s">
        <v>112</v>
      </c>
      <c r="B56" s="12" t="s">
        <v>570</v>
      </c>
      <c r="C56" s="12" t="s">
        <v>560</v>
      </c>
      <c r="D56" s="13">
        <v>0</v>
      </c>
      <c r="E56" s="13">
        <v>0</v>
      </c>
      <c r="F56" s="13">
        <v>0</v>
      </c>
      <c r="G56" s="13">
        <v>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x14ac:dyDescent="0.2">
      <c r="A57" s="12" t="s">
        <v>112</v>
      </c>
      <c r="B57" s="12" t="s">
        <v>570</v>
      </c>
      <c r="C57" s="12" t="s">
        <v>561</v>
      </c>
      <c r="D57" s="13">
        <v>0</v>
      </c>
      <c r="E57" s="13">
        <v>0</v>
      </c>
      <c r="F57" s="13">
        <v>0</v>
      </c>
      <c r="G57" s="13">
        <v>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x14ac:dyDescent="0.2">
      <c r="A58" s="12" t="s">
        <v>112</v>
      </c>
      <c r="B58" s="12" t="s">
        <v>570</v>
      </c>
      <c r="C58" s="12" t="s">
        <v>562</v>
      </c>
      <c r="D58" s="13">
        <v>0</v>
      </c>
      <c r="E58" s="13">
        <v>0</v>
      </c>
      <c r="F58" s="13">
        <v>0</v>
      </c>
      <c r="G58" s="13">
        <v>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x14ac:dyDescent="0.2">
      <c r="A59" s="12" t="s">
        <v>112</v>
      </c>
      <c r="B59" s="12" t="s">
        <v>570</v>
      </c>
      <c r="C59" s="12" t="s">
        <v>563</v>
      </c>
      <c r="D59" s="13">
        <v>0</v>
      </c>
      <c r="E59" s="13">
        <v>0</v>
      </c>
      <c r="F59" s="13">
        <v>0</v>
      </c>
      <c r="G59" s="13">
        <v>0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x14ac:dyDescent="0.2">
      <c r="A60" s="12" t="s">
        <v>112</v>
      </c>
      <c r="B60" s="12" t="s">
        <v>570</v>
      </c>
      <c r="C60" s="12" t="s">
        <v>564</v>
      </c>
      <c r="D60" s="13">
        <v>0</v>
      </c>
      <c r="E60" s="13">
        <v>0</v>
      </c>
      <c r="F60" s="13">
        <v>0</v>
      </c>
      <c r="G60" s="13">
        <v>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x14ac:dyDescent="0.2">
      <c r="A61" s="12" t="s">
        <v>112</v>
      </c>
      <c r="B61" s="12" t="s">
        <v>570</v>
      </c>
      <c r="C61" s="12" t="s">
        <v>565</v>
      </c>
      <c r="D61" s="13">
        <v>0</v>
      </c>
      <c r="E61" s="13">
        <v>0</v>
      </c>
      <c r="F61" s="13">
        <v>0</v>
      </c>
      <c r="G61" s="13"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x14ac:dyDescent="0.2">
      <c r="A62" s="12" t="s">
        <v>112</v>
      </c>
      <c r="B62" s="12" t="s">
        <v>570</v>
      </c>
      <c r="C62" s="12" t="s">
        <v>566</v>
      </c>
      <c r="D62" s="13">
        <v>0</v>
      </c>
      <c r="E62" s="13">
        <v>0</v>
      </c>
      <c r="F62" s="13">
        <v>0</v>
      </c>
      <c r="G62" s="13">
        <v>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x14ac:dyDescent="0.2">
      <c r="A63" s="12" t="s">
        <v>112</v>
      </c>
      <c r="B63" s="12" t="s">
        <v>571</v>
      </c>
      <c r="C63" s="12" t="s">
        <v>554</v>
      </c>
      <c r="D63" s="13">
        <v>418</v>
      </c>
      <c r="E63" s="13">
        <v>463.613203</v>
      </c>
      <c r="F63" s="13">
        <v>510.52542999999997</v>
      </c>
      <c r="G63" s="13">
        <v>551.79155700000001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x14ac:dyDescent="0.2">
      <c r="A64" s="12" t="s">
        <v>112</v>
      </c>
      <c r="B64" s="12" t="s">
        <v>571</v>
      </c>
      <c r="C64" s="12" t="s">
        <v>555</v>
      </c>
      <c r="D64" s="13">
        <v>0</v>
      </c>
      <c r="E64" s="13">
        <v>0</v>
      </c>
      <c r="F64" s="13">
        <v>0</v>
      </c>
      <c r="G64" s="13">
        <v>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 x14ac:dyDescent="0.2">
      <c r="A65" s="12" t="s">
        <v>112</v>
      </c>
      <c r="B65" s="12" t="s">
        <v>571</v>
      </c>
      <c r="C65" s="12" t="s">
        <v>556</v>
      </c>
      <c r="D65" s="13">
        <v>0</v>
      </c>
      <c r="E65" s="13">
        <v>0</v>
      </c>
      <c r="F65" s="13">
        <v>0</v>
      </c>
      <c r="G65" s="13">
        <v>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 x14ac:dyDescent="0.2">
      <c r="A66" s="12" t="s">
        <v>112</v>
      </c>
      <c r="B66" s="12" t="s">
        <v>571</v>
      </c>
      <c r="C66" s="12" t="s">
        <v>557</v>
      </c>
      <c r="D66" s="13">
        <v>418</v>
      </c>
      <c r="E66" s="13">
        <v>463.613203</v>
      </c>
      <c r="F66" s="13">
        <v>510.52542999999997</v>
      </c>
      <c r="G66" s="13">
        <v>551.79155700000001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x14ac:dyDescent="0.2">
      <c r="A67" s="12" t="s">
        <v>112</v>
      </c>
      <c r="B67" s="12" t="s">
        <v>571</v>
      </c>
      <c r="C67" s="12" t="s">
        <v>558</v>
      </c>
      <c r="D67" s="13">
        <v>-240</v>
      </c>
      <c r="E67" s="13">
        <v>-279.134974</v>
      </c>
      <c r="F67" s="13">
        <v>-325.08056900000003</v>
      </c>
      <c r="G67" s="13">
        <v>-356.51138800000001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x14ac:dyDescent="0.2">
      <c r="A68" s="12" t="s">
        <v>112</v>
      </c>
      <c r="B68" s="12" t="s">
        <v>571</v>
      </c>
      <c r="C68" s="12" t="s">
        <v>560</v>
      </c>
      <c r="D68" s="13">
        <v>0</v>
      </c>
      <c r="E68" s="13">
        <v>0</v>
      </c>
      <c r="F68" s="13">
        <v>0</v>
      </c>
      <c r="G68" s="13">
        <v>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x14ac:dyDescent="0.2">
      <c r="A69" s="12" t="s">
        <v>112</v>
      </c>
      <c r="B69" s="12" t="s">
        <v>571</v>
      </c>
      <c r="C69" s="12" t="s">
        <v>561</v>
      </c>
      <c r="D69" s="13">
        <v>179</v>
      </c>
      <c r="E69" s="13">
        <v>184.478229</v>
      </c>
      <c r="F69" s="13">
        <v>185.44486000000001</v>
      </c>
      <c r="G69" s="13">
        <v>195.28016500000001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x14ac:dyDescent="0.2">
      <c r="A70" s="12" t="s">
        <v>112</v>
      </c>
      <c r="B70" s="12" t="s">
        <v>571</v>
      </c>
      <c r="C70" s="12" t="s">
        <v>562</v>
      </c>
      <c r="D70" s="13">
        <v>108</v>
      </c>
      <c r="E70" s="13">
        <v>112.80097499999999</v>
      </c>
      <c r="F70" s="13">
        <v>111.742786</v>
      </c>
      <c r="G70" s="13">
        <v>117.548421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 x14ac:dyDescent="0.2">
      <c r="A71" s="12" t="s">
        <v>112</v>
      </c>
      <c r="B71" s="12" t="s">
        <v>571</v>
      </c>
      <c r="C71" s="12" t="s">
        <v>563</v>
      </c>
      <c r="D71" s="13">
        <v>4</v>
      </c>
      <c r="E71" s="13">
        <v>3.6694079999999998</v>
      </c>
      <c r="F71" s="13">
        <v>4.0047790000000001</v>
      </c>
      <c r="G71" s="13">
        <v>4.5936189999999986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x14ac:dyDescent="0.2">
      <c r="A72" s="12" t="s">
        <v>112</v>
      </c>
      <c r="B72" s="12" t="s">
        <v>571</v>
      </c>
      <c r="C72" s="12" t="s">
        <v>564</v>
      </c>
      <c r="D72" s="13">
        <v>65</v>
      </c>
      <c r="E72" s="13">
        <v>66.645516000000001</v>
      </c>
      <c r="F72" s="13">
        <v>68.042801000000011</v>
      </c>
      <c r="G72" s="13">
        <v>71.532951999999995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x14ac:dyDescent="0.2">
      <c r="A73" s="12" t="s">
        <v>112</v>
      </c>
      <c r="B73" s="12" t="s">
        <v>571</v>
      </c>
      <c r="C73" s="12" t="s">
        <v>565</v>
      </c>
      <c r="D73" s="13">
        <v>1</v>
      </c>
      <c r="E73" s="13">
        <v>1.36233</v>
      </c>
      <c r="F73" s="13">
        <v>1.654498</v>
      </c>
      <c r="G73" s="13">
        <v>1.605173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x14ac:dyDescent="0.2">
      <c r="A74" s="12" t="s">
        <v>112</v>
      </c>
      <c r="B74" s="12" t="s">
        <v>571</v>
      </c>
      <c r="C74" s="12" t="s">
        <v>566</v>
      </c>
      <c r="D74" s="13">
        <v>0</v>
      </c>
      <c r="E74" s="13">
        <v>0</v>
      </c>
      <c r="F74" s="13">
        <v>0</v>
      </c>
      <c r="G74" s="13">
        <v>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x14ac:dyDescent="0.2">
      <c r="A75" s="12" t="s">
        <v>112</v>
      </c>
      <c r="B75" s="12" t="s">
        <v>572</v>
      </c>
      <c r="C75" s="12" t="s">
        <v>554</v>
      </c>
      <c r="D75" s="13">
        <v>0</v>
      </c>
      <c r="E75" s="13">
        <v>0</v>
      </c>
      <c r="F75" s="13">
        <v>0</v>
      </c>
      <c r="G75" s="13">
        <v>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x14ac:dyDescent="0.2">
      <c r="A76" s="12" t="s">
        <v>112</v>
      </c>
      <c r="B76" s="12" t="s">
        <v>572</v>
      </c>
      <c r="C76" s="12" t="s">
        <v>555</v>
      </c>
      <c r="D76" s="13">
        <v>0</v>
      </c>
      <c r="E76" s="13">
        <v>0</v>
      </c>
      <c r="F76" s="13">
        <v>0</v>
      </c>
      <c r="G76" s="13">
        <v>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x14ac:dyDescent="0.2">
      <c r="A77" s="12" t="s">
        <v>112</v>
      </c>
      <c r="B77" s="12" t="s">
        <v>572</v>
      </c>
      <c r="C77" s="12" t="s">
        <v>556</v>
      </c>
      <c r="D77" s="13">
        <v>0</v>
      </c>
      <c r="E77" s="13">
        <v>0</v>
      </c>
      <c r="F77" s="13">
        <v>0</v>
      </c>
      <c r="G77" s="13">
        <v>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x14ac:dyDescent="0.2">
      <c r="A78" s="12" t="s">
        <v>112</v>
      </c>
      <c r="B78" s="12" t="s">
        <v>572</v>
      </c>
      <c r="C78" s="12" t="s">
        <v>557</v>
      </c>
      <c r="D78" s="13">
        <v>0</v>
      </c>
      <c r="E78" s="13">
        <v>0</v>
      </c>
      <c r="F78" s="13">
        <v>0</v>
      </c>
      <c r="G78" s="13">
        <v>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x14ac:dyDescent="0.2">
      <c r="A79" s="12" t="s">
        <v>112</v>
      </c>
      <c r="B79" s="12" t="s">
        <v>572</v>
      </c>
      <c r="C79" s="12" t="s">
        <v>558</v>
      </c>
      <c r="D79" s="13">
        <v>953</v>
      </c>
      <c r="E79" s="13">
        <v>954.41508099999999</v>
      </c>
      <c r="F79" s="13">
        <v>974.94358099999988</v>
      </c>
      <c r="G79" s="13">
        <v>984.88415000000009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x14ac:dyDescent="0.2">
      <c r="A80" s="12" t="s">
        <v>112</v>
      </c>
      <c r="B80" s="12" t="s">
        <v>572</v>
      </c>
      <c r="C80" s="12" t="s">
        <v>560</v>
      </c>
      <c r="D80" s="13">
        <v>0</v>
      </c>
      <c r="E80" s="13">
        <v>0</v>
      </c>
      <c r="F80" s="13">
        <v>0</v>
      </c>
      <c r="G80" s="13">
        <v>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x14ac:dyDescent="0.2">
      <c r="A81" s="12" t="s">
        <v>112</v>
      </c>
      <c r="B81" s="12" t="s">
        <v>572</v>
      </c>
      <c r="C81" s="12" t="s">
        <v>561</v>
      </c>
      <c r="D81" s="13">
        <v>780</v>
      </c>
      <c r="E81" s="13">
        <v>778.48991599999999</v>
      </c>
      <c r="F81" s="13">
        <v>795.02655800000002</v>
      </c>
      <c r="G81" s="13">
        <v>807.75738600000011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x14ac:dyDescent="0.2">
      <c r="A82" s="12" t="s">
        <v>112</v>
      </c>
      <c r="B82" s="12" t="s">
        <v>572</v>
      </c>
      <c r="C82" s="12" t="s">
        <v>562</v>
      </c>
      <c r="D82" s="13">
        <v>280</v>
      </c>
      <c r="E82" s="13">
        <v>282.42069900000001</v>
      </c>
      <c r="F82" s="13">
        <v>283.06708200000003</v>
      </c>
      <c r="G82" s="13">
        <v>287.43431199999998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x14ac:dyDescent="0.2">
      <c r="A83" s="12" t="s">
        <v>112</v>
      </c>
      <c r="B83" s="12" t="s">
        <v>572</v>
      </c>
      <c r="C83" s="12" t="s">
        <v>563</v>
      </c>
      <c r="D83" s="13">
        <v>23</v>
      </c>
      <c r="E83" s="13">
        <v>23.377483000000002</v>
      </c>
      <c r="F83" s="13">
        <v>24.281593999999998</v>
      </c>
      <c r="G83" s="13">
        <v>24.824224000000001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x14ac:dyDescent="0.2">
      <c r="A84" s="12" t="s">
        <v>112</v>
      </c>
      <c r="B84" s="12" t="s">
        <v>572</v>
      </c>
      <c r="C84" s="12" t="s">
        <v>564</v>
      </c>
      <c r="D84" s="13">
        <v>227</v>
      </c>
      <c r="E84" s="13">
        <v>235.92605900000001</v>
      </c>
      <c r="F84" s="13">
        <v>249.44864799999999</v>
      </c>
      <c r="G84" s="13">
        <v>249.84540200000001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x14ac:dyDescent="0.2">
      <c r="A85" s="12" t="s">
        <v>112</v>
      </c>
      <c r="B85" s="12" t="s">
        <v>572</v>
      </c>
      <c r="C85" s="12" t="s">
        <v>565</v>
      </c>
      <c r="D85" s="13">
        <v>243</v>
      </c>
      <c r="E85" s="13">
        <v>229.30439200000001</v>
      </c>
      <c r="F85" s="13">
        <v>231.87795499999999</v>
      </c>
      <c r="G85" s="13">
        <v>238.36079599999999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x14ac:dyDescent="0.2">
      <c r="A86" s="12" t="s">
        <v>112</v>
      </c>
      <c r="B86" s="12" t="s">
        <v>572</v>
      </c>
      <c r="C86" s="12" t="s">
        <v>566</v>
      </c>
      <c r="D86" s="13">
        <v>7</v>
      </c>
      <c r="E86" s="13">
        <v>7.4612879999999997</v>
      </c>
      <c r="F86" s="13">
        <v>6.3512829999999996</v>
      </c>
      <c r="G86" s="13">
        <v>7.2926520000000004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x14ac:dyDescent="0.2">
      <c r="A87" s="12" t="s">
        <v>112</v>
      </c>
      <c r="B87" s="12" t="s">
        <v>573</v>
      </c>
      <c r="C87" s="12" t="s">
        <v>554</v>
      </c>
      <c r="D87" s="13" t="s">
        <v>559</v>
      </c>
      <c r="E87" s="13" t="s">
        <v>559</v>
      </c>
      <c r="F87" s="13" t="s">
        <v>559</v>
      </c>
      <c r="G87" s="13" t="s">
        <v>559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x14ac:dyDescent="0.2">
      <c r="A88" s="12" t="s">
        <v>112</v>
      </c>
      <c r="B88" s="12" t="s">
        <v>573</v>
      </c>
      <c r="C88" s="12" t="s">
        <v>555</v>
      </c>
      <c r="D88" s="13">
        <v>0</v>
      </c>
      <c r="E88" s="13">
        <v>0</v>
      </c>
      <c r="F88" s="13" t="s">
        <v>559</v>
      </c>
      <c r="G88" s="13">
        <v>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x14ac:dyDescent="0.2">
      <c r="A89" s="12" t="s">
        <v>112</v>
      </c>
      <c r="B89" s="12" t="s">
        <v>573</v>
      </c>
      <c r="C89" s="12" t="s">
        <v>556</v>
      </c>
      <c r="D89" s="13">
        <v>0</v>
      </c>
      <c r="E89" s="13">
        <v>0</v>
      </c>
      <c r="F89" s="13" t="s">
        <v>559</v>
      </c>
      <c r="G89" s="13">
        <v>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x14ac:dyDescent="0.2">
      <c r="A90" s="12" t="s">
        <v>112</v>
      </c>
      <c r="B90" s="12" t="s">
        <v>573</v>
      </c>
      <c r="C90" s="12" t="s">
        <v>557</v>
      </c>
      <c r="D90" s="13" t="s">
        <v>559</v>
      </c>
      <c r="E90" s="13" t="s">
        <v>559</v>
      </c>
      <c r="F90" s="13" t="s">
        <v>559</v>
      </c>
      <c r="G90" s="13" t="s">
        <v>559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x14ac:dyDescent="0.2">
      <c r="A91" s="12" t="s">
        <v>112</v>
      </c>
      <c r="B91" s="12" t="s">
        <v>573</v>
      </c>
      <c r="C91" s="12" t="s">
        <v>558</v>
      </c>
      <c r="D91" s="13" t="s">
        <v>559</v>
      </c>
      <c r="E91" s="13" t="s">
        <v>559</v>
      </c>
      <c r="F91" s="13" t="s">
        <v>559</v>
      </c>
      <c r="G91" s="13" t="s">
        <v>559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 x14ac:dyDescent="0.2">
      <c r="A92" s="12" t="s">
        <v>112</v>
      </c>
      <c r="B92" s="12" t="s">
        <v>573</v>
      </c>
      <c r="C92" s="12" t="s">
        <v>560</v>
      </c>
      <c r="D92" s="13">
        <v>0</v>
      </c>
      <c r="E92" s="13">
        <v>0</v>
      </c>
      <c r="F92" s="13" t="s">
        <v>559</v>
      </c>
      <c r="G92" s="13">
        <v>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x14ac:dyDescent="0.2">
      <c r="A93" s="12" t="s">
        <v>112</v>
      </c>
      <c r="B93" s="12" t="s">
        <v>573</v>
      </c>
      <c r="C93" s="12" t="s">
        <v>561</v>
      </c>
      <c r="D93" s="13" t="s">
        <v>559</v>
      </c>
      <c r="E93" s="13" t="s">
        <v>559</v>
      </c>
      <c r="F93" s="13" t="s">
        <v>559</v>
      </c>
      <c r="G93" s="13" t="s">
        <v>559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x14ac:dyDescent="0.2">
      <c r="A94" s="12" t="s">
        <v>112</v>
      </c>
      <c r="B94" s="12" t="s">
        <v>573</v>
      </c>
      <c r="C94" s="12" t="s">
        <v>562</v>
      </c>
      <c r="D94" s="13" t="s">
        <v>559</v>
      </c>
      <c r="E94" s="13" t="s">
        <v>559</v>
      </c>
      <c r="F94" s="13" t="s">
        <v>559</v>
      </c>
      <c r="G94" s="13" t="s">
        <v>559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x14ac:dyDescent="0.2">
      <c r="A95" s="12" t="s">
        <v>112</v>
      </c>
      <c r="B95" s="12" t="s">
        <v>573</v>
      </c>
      <c r="C95" s="12" t="s">
        <v>563</v>
      </c>
      <c r="D95" s="13" t="s">
        <v>559</v>
      </c>
      <c r="E95" s="13" t="s">
        <v>559</v>
      </c>
      <c r="F95" s="13" t="s">
        <v>559</v>
      </c>
      <c r="G95" s="13" t="s">
        <v>559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x14ac:dyDescent="0.2">
      <c r="A96" s="12" t="s">
        <v>112</v>
      </c>
      <c r="B96" s="12" t="s">
        <v>573</v>
      </c>
      <c r="C96" s="12" t="s">
        <v>564</v>
      </c>
      <c r="D96" s="13" t="s">
        <v>559</v>
      </c>
      <c r="E96" s="13" t="s">
        <v>559</v>
      </c>
      <c r="F96" s="13" t="s">
        <v>559</v>
      </c>
      <c r="G96" s="13" t="s">
        <v>559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 x14ac:dyDescent="0.2">
      <c r="A97" s="12" t="s">
        <v>112</v>
      </c>
      <c r="B97" s="12" t="s">
        <v>573</v>
      </c>
      <c r="C97" s="12" t="s">
        <v>565</v>
      </c>
      <c r="D97" s="13" t="s">
        <v>559</v>
      </c>
      <c r="E97" s="13" t="s">
        <v>559</v>
      </c>
      <c r="F97" s="13" t="s">
        <v>559</v>
      </c>
      <c r="G97" s="13" t="s">
        <v>559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x14ac:dyDescent="0.2">
      <c r="A98" s="12" t="s">
        <v>112</v>
      </c>
      <c r="B98" s="12" t="s">
        <v>573</v>
      </c>
      <c r="C98" s="12" t="s">
        <v>566</v>
      </c>
      <c r="D98" s="13" t="s">
        <v>559</v>
      </c>
      <c r="E98" s="13" t="s">
        <v>559</v>
      </c>
      <c r="F98" s="13" t="s">
        <v>559</v>
      </c>
      <c r="G98" s="13" t="s">
        <v>559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x14ac:dyDescent="0.2">
      <c r="A99" s="12" t="s">
        <v>112</v>
      </c>
      <c r="B99" s="12" t="s">
        <v>574</v>
      </c>
      <c r="C99" s="12" t="s">
        <v>554</v>
      </c>
      <c r="D99" s="13">
        <v>18950</v>
      </c>
      <c r="E99" s="13">
        <v>17851.935835</v>
      </c>
      <c r="F99" s="13">
        <v>18248.389126999999</v>
      </c>
      <c r="G99" s="13">
        <v>17675.589841000001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x14ac:dyDescent="0.2">
      <c r="A100" s="12" t="s">
        <v>112</v>
      </c>
      <c r="B100" s="12" t="s">
        <v>574</v>
      </c>
      <c r="C100" s="12" t="s">
        <v>555</v>
      </c>
      <c r="D100" s="13">
        <v>2088</v>
      </c>
      <c r="E100" s="13">
        <v>1965.5543660000001</v>
      </c>
      <c r="F100" s="13">
        <v>1999.669028</v>
      </c>
      <c r="G100" s="13">
        <v>2139.4461580000002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x14ac:dyDescent="0.2">
      <c r="A101" s="12" t="s">
        <v>112</v>
      </c>
      <c r="B101" s="12" t="s">
        <v>574</v>
      </c>
      <c r="C101" s="12" t="s">
        <v>556</v>
      </c>
      <c r="D101" s="13">
        <v>-15236</v>
      </c>
      <c r="E101" s="13">
        <v>-14461.873877</v>
      </c>
      <c r="F101" s="13">
        <v>-14612.695442</v>
      </c>
      <c r="G101" s="13">
        <v>-13935.874394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x14ac:dyDescent="0.2">
      <c r="A102" s="12" t="s">
        <v>112</v>
      </c>
      <c r="B102" s="12" t="s">
        <v>574</v>
      </c>
      <c r="C102" s="12" t="s">
        <v>557</v>
      </c>
      <c r="D102" s="13">
        <v>5540</v>
      </c>
      <c r="E102" s="13">
        <v>5383.9137629999996</v>
      </c>
      <c r="F102" s="13">
        <v>5383.7553630000002</v>
      </c>
      <c r="G102" s="13">
        <v>5500.2307870000004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x14ac:dyDescent="0.2">
      <c r="A103" s="12" t="s">
        <v>112</v>
      </c>
      <c r="B103" s="12" t="s">
        <v>574</v>
      </c>
      <c r="C103" s="12" t="s">
        <v>558</v>
      </c>
      <c r="D103" s="13">
        <v>-1371</v>
      </c>
      <c r="E103" s="13">
        <v>-1304.5265019999999</v>
      </c>
      <c r="F103" s="13">
        <v>-1251.712309</v>
      </c>
      <c r="G103" s="13">
        <v>-1224.1120370000001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 x14ac:dyDescent="0.2">
      <c r="A104" s="12" t="s">
        <v>112</v>
      </c>
      <c r="B104" s="12" t="s">
        <v>574</v>
      </c>
      <c r="C104" s="12" t="s">
        <v>560</v>
      </c>
      <c r="D104" s="13">
        <v>-9</v>
      </c>
      <c r="E104" s="13">
        <v>-17.863496999999999</v>
      </c>
      <c r="F104" s="13">
        <v>-1.46929</v>
      </c>
      <c r="G104" s="13">
        <v>-4.2911180000000009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x14ac:dyDescent="0.2">
      <c r="A105" s="12" t="s">
        <v>112</v>
      </c>
      <c r="B105" s="12" t="s">
        <v>574</v>
      </c>
      <c r="C105" s="12" t="s">
        <v>561</v>
      </c>
      <c r="D105" s="13">
        <v>3306</v>
      </c>
      <c r="E105" s="13">
        <v>3314.0366119999999</v>
      </c>
      <c r="F105" s="13">
        <v>3326.1234599999998</v>
      </c>
      <c r="G105" s="13">
        <v>3415.9463930000002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x14ac:dyDescent="0.2">
      <c r="A106" s="12" t="s">
        <v>112</v>
      </c>
      <c r="B106" s="12" t="s">
        <v>574</v>
      </c>
      <c r="C106" s="12" t="s">
        <v>562</v>
      </c>
      <c r="D106" s="13">
        <v>941</v>
      </c>
      <c r="E106" s="13">
        <v>965.822722</v>
      </c>
      <c r="F106" s="13">
        <v>961.78106600000001</v>
      </c>
      <c r="G106" s="13">
        <v>967.98951199999999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x14ac:dyDescent="0.2">
      <c r="A107" s="12" t="s">
        <v>112</v>
      </c>
      <c r="B107" s="12" t="s">
        <v>574</v>
      </c>
      <c r="C107" s="12" t="s">
        <v>563</v>
      </c>
      <c r="D107" s="13">
        <v>1292</v>
      </c>
      <c r="E107" s="13">
        <v>1248.6623770000001</v>
      </c>
      <c r="F107" s="13">
        <v>1270.5217600000001</v>
      </c>
      <c r="G107" s="13">
        <v>1377.1367049999999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 x14ac:dyDescent="0.2">
      <c r="A108" s="12" t="s">
        <v>112</v>
      </c>
      <c r="B108" s="12" t="s">
        <v>574</v>
      </c>
      <c r="C108" s="12" t="s">
        <v>564</v>
      </c>
      <c r="D108" s="13">
        <v>457</v>
      </c>
      <c r="E108" s="13">
        <v>466.93615199999999</v>
      </c>
      <c r="F108" s="13">
        <v>475.48471000000001</v>
      </c>
      <c r="G108" s="13">
        <v>465.01620700000001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 x14ac:dyDescent="0.2">
      <c r="A109" s="12" t="s">
        <v>112</v>
      </c>
      <c r="B109" s="12" t="s">
        <v>574</v>
      </c>
      <c r="C109" s="12" t="s">
        <v>565</v>
      </c>
      <c r="D109" s="13">
        <v>311</v>
      </c>
      <c r="E109" s="13">
        <v>299.24577699999998</v>
      </c>
      <c r="F109" s="13">
        <v>305.79907400000002</v>
      </c>
      <c r="G109" s="13">
        <v>316.160751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x14ac:dyDescent="0.2">
      <c r="A110" s="12" t="s">
        <v>112</v>
      </c>
      <c r="B110" s="12" t="s">
        <v>574</v>
      </c>
      <c r="C110" s="12" t="s">
        <v>566</v>
      </c>
      <c r="D110" s="13">
        <v>305</v>
      </c>
      <c r="E110" s="13">
        <v>333.36958800000002</v>
      </c>
      <c r="F110" s="13">
        <v>312.53685300000001</v>
      </c>
      <c r="G110" s="13">
        <v>289.64320500000002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x14ac:dyDescent="0.2">
      <c r="A111" s="12" t="s">
        <v>117</v>
      </c>
      <c r="B111" s="12" t="s">
        <v>553</v>
      </c>
      <c r="C111" s="12" t="s">
        <v>554</v>
      </c>
      <c r="D111" s="13">
        <v>0</v>
      </c>
      <c r="E111" s="13">
        <v>0</v>
      </c>
      <c r="F111" s="13">
        <v>0</v>
      </c>
      <c r="G111" s="13">
        <v>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x14ac:dyDescent="0.2">
      <c r="A112" s="12" t="s">
        <v>117</v>
      </c>
      <c r="B112" s="12" t="s">
        <v>553</v>
      </c>
      <c r="C112" s="12" t="s">
        <v>555</v>
      </c>
      <c r="D112" s="13">
        <v>102</v>
      </c>
      <c r="E112" s="13">
        <v>107.99602299999999</v>
      </c>
      <c r="F112" s="13">
        <v>105.294403</v>
      </c>
      <c r="G112" s="13">
        <v>104.01219500000001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x14ac:dyDescent="0.2">
      <c r="A113" s="12" t="s">
        <v>117</v>
      </c>
      <c r="B113" s="12" t="s">
        <v>553</v>
      </c>
      <c r="C113" s="12" t="s">
        <v>556</v>
      </c>
      <c r="D113" s="13">
        <v>-1</v>
      </c>
      <c r="E113" s="13">
        <v>-1.6287199999999999</v>
      </c>
      <c r="F113" s="13">
        <v>-1.4930049999999999</v>
      </c>
      <c r="G113" s="13">
        <v>-1.3842730000000001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x14ac:dyDescent="0.2">
      <c r="A114" s="12" t="s">
        <v>117</v>
      </c>
      <c r="B114" s="12" t="s">
        <v>553</v>
      </c>
      <c r="C114" s="12" t="s">
        <v>557</v>
      </c>
      <c r="D114" s="13">
        <v>103</v>
      </c>
      <c r="E114" s="13">
        <v>106.99655</v>
      </c>
      <c r="F114" s="13">
        <v>103.90030299999999</v>
      </c>
      <c r="G114" s="13">
        <v>100.633301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 x14ac:dyDescent="0.2">
      <c r="A115" s="12" t="s">
        <v>117</v>
      </c>
      <c r="B115" s="12" t="s">
        <v>553</v>
      </c>
      <c r="C115" s="12" t="s">
        <v>558</v>
      </c>
      <c r="D115" s="13">
        <v>-23</v>
      </c>
      <c r="E115" s="13">
        <v>-20.742823000000001</v>
      </c>
      <c r="F115" s="13">
        <v>-17.806394000000001</v>
      </c>
      <c r="G115" s="13">
        <v>-17.576633999999999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 x14ac:dyDescent="0.2">
      <c r="A116" s="12" t="s">
        <v>117</v>
      </c>
      <c r="B116" s="12" t="s">
        <v>553</v>
      </c>
      <c r="C116" s="12" t="s">
        <v>560</v>
      </c>
      <c r="D116" s="13">
        <v>0</v>
      </c>
      <c r="E116" s="13">
        <v>0</v>
      </c>
      <c r="F116" s="13">
        <v>0</v>
      </c>
      <c r="G116" s="13">
        <v>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x14ac:dyDescent="0.2">
      <c r="A117" s="12" t="s">
        <v>117</v>
      </c>
      <c r="B117" s="12" t="s">
        <v>553</v>
      </c>
      <c r="C117" s="12" t="s">
        <v>561</v>
      </c>
      <c r="D117" s="13">
        <v>19</v>
      </c>
      <c r="E117" s="13">
        <v>16.392431999999999</v>
      </c>
      <c r="F117" s="13">
        <v>15.620829000000001</v>
      </c>
      <c r="G117" s="13">
        <v>15.228002999999999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x14ac:dyDescent="0.2">
      <c r="A118" s="12" t="s">
        <v>117</v>
      </c>
      <c r="B118" s="12" t="s">
        <v>553</v>
      </c>
      <c r="C118" s="12" t="s">
        <v>562</v>
      </c>
      <c r="D118" s="13">
        <v>17</v>
      </c>
      <c r="E118" s="13">
        <v>14.318391</v>
      </c>
      <c r="F118" s="13">
        <v>14.084232</v>
      </c>
      <c r="G118" s="13">
        <v>14.01615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x14ac:dyDescent="0.2">
      <c r="A119" s="12" t="s">
        <v>117</v>
      </c>
      <c r="B119" s="12" t="s">
        <v>553</v>
      </c>
      <c r="C119" s="12" t="s">
        <v>563</v>
      </c>
      <c r="D119" s="13">
        <v>0</v>
      </c>
      <c r="E119" s="13">
        <v>3.8310000000000002E-3</v>
      </c>
      <c r="F119" s="13">
        <v>3.555E-3</v>
      </c>
      <c r="G119" s="13">
        <v>2.8760000000000001E-3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 x14ac:dyDescent="0.2">
      <c r="A120" s="12" t="s">
        <v>117</v>
      </c>
      <c r="B120" s="12" t="s">
        <v>553</v>
      </c>
      <c r="C120" s="12" t="s">
        <v>564</v>
      </c>
      <c r="D120" s="13">
        <v>1</v>
      </c>
      <c r="E120" s="13">
        <v>0.40624100000000002</v>
      </c>
      <c r="F120" s="13">
        <v>0.34875600000000001</v>
      </c>
      <c r="G120" s="13">
        <v>0.30863400000000002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 x14ac:dyDescent="0.2">
      <c r="A121" s="12" t="s">
        <v>117</v>
      </c>
      <c r="B121" s="12" t="s">
        <v>553</v>
      </c>
      <c r="C121" s="12" t="s">
        <v>565</v>
      </c>
      <c r="D121" s="13">
        <v>0</v>
      </c>
      <c r="E121" s="13">
        <v>0</v>
      </c>
      <c r="F121" s="13">
        <v>0</v>
      </c>
      <c r="G121" s="13">
        <v>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 x14ac:dyDescent="0.2">
      <c r="A122" s="12" t="s">
        <v>117</v>
      </c>
      <c r="B122" s="12" t="s">
        <v>553</v>
      </c>
      <c r="C122" s="12" t="s">
        <v>566</v>
      </c>
      <c r="D122" s="13">
        <v>1</v>
      </c>
      <c r="E122" s="13">
        <v>1.6639729999999999</v>
      </c>
      <c r="F122" s="13">
        <v>1.1842870000000001</v>
      </c>
      <c r="G122" s="13">
        <v>0.90033800000000008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x14ac:dyDescent="0.2">
      <c r="A123" s="12" t="s">
        <v>117</v>
      </c>
      <c r="B123" s="12" t="s">
        <v>567</v>
      </c>
      <c r="C123" s="12" t="s">
        <v>554</v>
      </c>
      <c r="D123" s="13">
        <v>24</v>
      </c>
      <c r="E123" s="13">
        <v>23.878710000000002</v>
      </c>
      <c r="F123" s="13">
        <v>21.920736999999999</v>
      </c>
      <c r="G123" s="13">
        <v>19.804618999999999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x14ac:dyDescent="0.2">
      <c r="A124" s="12" t="s">
        <v>117</v>
      </c>
      <c r="B124" s="12" t="s">
        <v>567</v>
      </c>
      <c r="C124" s="12" t="s">
        <v>555</v>
      </c>
      <c r="D124" s="13">
        <v>329</v>
      </c>
      <c r="E124" s="13">
        <v>329.43469900000002</v>
      </c>
      <c r="F124" s="13">
        <v>236.40460100000001</v>
      </c>
      <c r="G124" s="13">
        <v>325.64474899999999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x14ac:dyDescent="0.2">
      <c r="A125" s="12" t="s">
        <v>117</v>
      </c>
      <c r="B125" s="12" t="s">
        <v>567</v>
      </c>
      <c r="C125" s="12" t="s">
        <v>556</v>
      </c>
      <c r="D125" s="13">
        <v>0</v>
      </c>
      <c r="E125" s="13">
        <v>0</v>
      </c>
      <c r="F125" s="13">
        <v>0</v>
      </c>
      <c r="G125" s="13">
        <v>-1.59659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x14ac:dyDescent="0.2">
      <c r="A126" s="12" t="s">
        <v>117</v>
      </c>
      <c r="B126" s="12" t="s">
        <v>567</v>
      </c>
      <c r="C126" s="12" t="s">
        <v>557</v>
      </c>
      <c r="D126" s="13">
        <v>353</v>
      </c>
      <c r="E126" s="13">
        <v>356.29624000000001</v>
      </c>
      <c r="F126" s="13">
        <v>255.408478</v>
      </c>
      <c r="G126" s="13">
        <v>341.11647399999998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 x14ac:dyDescent="0.2">
      <c r="A127" s="12" t="s">
        <v>117</v>
      </c>
      <c r="B127" s="12" t="s">
        <v>567</v>
      </c>
      <c r="C127" s="12" t="s">
        <v>558</v>
      </c>
      <c r="D127" s="13">
        <v>0</v>
      </c>
      <c r="E127" s="13">
        <v>0</v>
      </c>
      <c r="F127" s="13">
        <v>0</v>
      </c>
      <c r="G127" s="13">
        <v>0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 x14ac:dyDescent="0.2">
      <c r="A128" s="12" t="s">
        <v>117</v>
      </c>
      <c r="B128" s="12" t="s">
        <v>567</v>
      </c>
      <c r="C128" s="12" t="s">
        <v>560</v>
      </c>
      <c r="D128" s="13">
        <v>-366</v>
      </c>
      <c r="E128" s="13">
        <v>-362.05189300000001</v>
      </c>
      <c r="F128" s="13">
        <v>-266.81814900000001</v>
      </c>
      <c r="G128" s="13">
        <v>-362.98758800000002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x14ac:dyDescent="0.2">
      <c r="A129" s="12" t="s">
        <v>117</v>
      </c>
      <c r="B129" s="12" t="s">
        <v>567</v>
      </c>
      <c r="C129" s="12" t="s">
        <v>561</v>
      </c>
      <c r="D129" s="13">
        <v>0</v>
      </c>
      <c r="E129" s="13">
        <v>0</v>
      </c>
      <c r="F129" s="13">
        <v>0</v>
      </c>
      <c r="G129" s="13">
        <v>0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x14ac:dyDescent="0.2">
      <c r="A130" s="12" t="s">
        <v>117</v>
      </c>
      <c r="B130" s="12" t="s">
        <v>567</v>
      </c>
      <c r="C130" s="12" t="s">
        <v>562</v>
      </c>
      <c r="D130" s="13">
        <v>0</v>
      </c>
      <c r="E130" s="13">
        <v>0</v>
      </c>
      <c r="F130" s="13">
        <v>0</v>
      </c>
      <c r="G130" s="13">
        <v>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x14ac:dyDescent="0.2">
      <c r="A131" s="12" t="s">
        <v>117</v>
      </c>
      <c r="B131" s="12" t="s">
        <v>567</v>
      </c>
      <c r="C131" s="12" t="s">
        <v>563</v>
      </c>
      <c r="D131" s="13">
        <v>0</v>
      </c>
      <c r="E131" s="13">
        <v>0</v>
      </c>
      <c r="F131" s="13">
        <v>0</v>
      </c>
      <c r="G131" s="13">
        <v>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 x14ac:dyDescent="0.2">
      <c r="A132" s="12" t="s">
        <v>117</v>
      </c>
      <c r="B132" s="12" t="s">
        <v>567</v>
      </c>
      <c r="C132" s="12" t="s">
        <v>564</v>
      </c>
      <c r="D132" s="13">
        <v>0</v>
      </c>
      <c r="E132" s="13">
        <v>0</v>
      </c>
      <c r="F132" s="13">
        <v>0</v>
      </c>
      <c r="G132" s="13">
        <v>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 x14ac:dyDescent="0.2">
      <c r="A133" s="12" t="s">
        <v>117</v>
      </c>
      <c r="B133" s="12" t="s">
        <v>567</v>
      </c>
      <c r="C133" s="12" t="s">
        <v>565</v>
      </c>
      <c r="D133" s="13">
        <v>0</v>
      </c>
      <c r="E133" s="13">
        <v>0</v>
      </c>
      <c r="F133" s="13">
        <v>0</v>
      </c>
      <c r="G133" s="13">
        <v>0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x14ac:dyDescent="0.2">
      <c r="A134" s="12" t="s">
        <v>117</v>
      </c>
      <c r="B134" s="12" t="s">
        <v>567</v>
      </c>
      <c r="C134" s="12" t="s">
        <v>566</v>
      </c>
      <c r="D134" s="13">
        <v>0</v>
      </c>
      <c r="E134" s="13">
        <v>0</v>
      </c>
      <c r="F134" s="13">
        <v>0</v>
      </c>
      <c r="G134" s="13">
        <v>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x14ac:dyDescent="0.2">
      <c r="A135" s="12" t="s">
        <v>117</v>
      </c>
      <c r="B135" s="12" t="s">
        <v>568</v>
      </c>
      <c r="C135" s="12" t="s">
        <v>554</v>
      </c>
      <c r="D135" s="13">
        <v>0</v>
      </c>
      <c r="E135" s="13">
        <v>0</v>
      </c>
      <c r="F135" s="13">
        <v>0</v>
      </c>
      <c r="G135" s="13">
        <v>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x14ac:dyDescent="0.2">
      <c r="A136" s="12" t="s">
        <v>117</v>
      </c>
      <c r="B136" s="12" t="s">
        <v>568</v>
      </c>
      <c r="C136" s="12" t="s">
        <v>555</v>
      </c>
      <c r="D136" s="13">
        <v>245</v>
      </c>
      <c r="E136" s="13">
        <v>238.77241699999999</v>
      </c>
      <c r="F136" s="13">
        <v>286.48193199999997</v>
      </c>
      <c r="G136" s="13">
        <v>231.722026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x14ac:dyDescent="0.2">
      <c r="A137" s="12" t="s">
        <v>117</v>
      </c>
      <c r="B137" s="12" t="s">
        <v>568</v>
      </c>
      <c r="C137" s="12" t="s">
        <v>556</v>
      </c>
      <c r="D137" s="13">
        <v>-117</v>
      </c>
      <c r="E137" s="13">
        <v>-122.10768299999999</v>
      </c>
      <c r="F137" s="13">
        <v>-70.810301999999993</v>
      </c>
      <c r="G137" s="13">
        <v>-96.362564000000006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 x14ac:dyDescent="0.2">
      <c r="A138" s="12" t="s">
        <v>117</v>
      </c>
      <c r="B138" s="12" t="s">
        <v>568</v>
      </c>
      <c r="C138" s="12" t="s">
        <v>557</v>
      </c>
      <c r="D138" s="13">
        <v>103</v>
      </c>
      <c r="E138" s="13">
        <v>119.89684699999999</v>
      </c>
      <c r="F138" s="13">
        <v>195.85170500000001</v>
      </c>
      <c r="G138" s="13">
        <v>99.941106000000005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x14ac:dyDescent="0.2">
      <c r="A139" s="12" t="s">
        <v>117</v>
      </c>
      <c r="B139" s="12" t="s">
        <v>568</v>
      </c>
      <c r="C139" s="12" t="s">
        <v>558</v>
      </c>
      <c r="D139" s="13">
        <v>-10</v>
      </c>
      <c r="E139" s="13">
        <v>-14.474472</v>
      </c>
      <c r="F139" s="13">
        <v>-8.6721610000000009</v>
      </c>
      <c r="G139" s="13">
        <v>-9.5089839999999999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x14ac:dyDescent="0.2">
      <c r="A140" s="12" t="s">
        <v>117</v>
      </c>
      <c r="B140" s="12" t="s">
        <v>568</v>
      </c>
      <c r="C140" s="12" t="s">
        <v>560</v>
      </c>
      <c r="D140" s="13">
        <v>362</v>
      </c>
      <c r="E140" s="13">
        <v>358.90303799999998</v>
      </c>
      <c r="F140" s="13">
        <v>265.143349</v>
      </c>
      <c r="G140" s="13">
        <v>353.18270999999999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x14ac:dyDescent="0.2">
      <c r="A141" s="12" t="s">
        <v>117</v>
      </c>
      <c r="B141" s="12" t="s">
        <v>568</v>
      </c>
      <c r="C141" s="12" t="s">
        <v>561</v>
      </c>
      <c r="D141" s="13">
        <v>425</v>
      </c>
      <c r="E141" s="13">
        <v>444.80244599999997</v>
      </c>
      <c r="F141" s="13">
        <v>413.52861999999999</v>
      </c>
      <c r="G141" s="13">
        <v>393.01325000000003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x14ac:dyDescent="0.2">
      <c r="A142" s="12" t="s">
        <v>117</v>
      </c>
      <c r="B142" s="12" t="s">
        <v>568</v>
      </c>
      <c r="C142" s="12" t="s">
        <v>562</v>
      </c>
      <c r="D142" s="13">
        <v>12</v>
      </c>
      <c r="E142" s="13">
        <v>13.354355</v>
      </c>
      <c r="F142" s="13">
        <v>16.416397</v>
      </c>
      <c r="G142" s="13">
        <v>17.061419000000001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 x14ac:dyDescent="0.2">
      <c r="A143" s="12" t="s">
        <v>117</v>
      </c>
      <c r="B143" s="12" t="s">
        <v>568</v>
      </c>
      <c r="C143" s="12" t="s">
        <v>563</v>
      </c>
      <c r="D143" s="13">
        <v>289</v>
      </c>
      <c r="E143" s="13">
        <v>300.79818</v>
      </c>
      <c r="F143" s="13">
        <v>287.152762</v>
      </c>
      <c r="G143" s="13">
        <v>278.71342499999997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 x14ac:dyDescent="0.2">
      <c r="A144" s="12" t="s">
        <v>117</v>
      </c>
      <c r="B144" s="12" t="s">
        <v>568</v>
      </c>
      <c r="C144" s="12" t="s">
        <v>564</v>
      </c>
      <c r="D144" s="13">
        <v>40</v>
      </c>
      <c r="E144" s="13">
        <v>41.538159999999998</v>
      </c>
      <c r="F144" s="13">
        <v>35.067129999999999</v>
      </c>
      <c r="G144" s="13">
        <v>28.458252999999999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 x14ac:dyDescent="0.2">
      <c r="A145" s="12" t="s">
        <v>117</v>
      </c>
      <c r="B145" s="12" t="s">
        <v>568</v>
      </c>
      <c r="C145" s="12" t="s">
        <v>565</v>
      </c>
      <c r="D145" s="13">
        <v>7</v>
      </c>
      <c r="E145" s="13">
        <v>8.979769000000001</v>
      </c>
      <c r="F145" s="13">
        <v>7.6875050000000007</v>
      </c>
      <c r="G145" s="13">
        <v>4.5375240000000003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x14ac:dyDescent="0.2">
      <c r="A146" s="12" t="s">
        <v>117</v>
      </c>
      <c r="B146" s="12" t="s">
        <v>568</v>
      </c>
      <c r="C146" s="12" t="s">
        <v>566</v>
      </c>
      <c r="D146" s="13">
        <v>77</v>
      </c>
      <c r="E146" s="13">
        <v>80.131985</v>
      </c>
      <c r="F146" s="13">
        <v>67.204826999999995</v>
      </c>
      <c r="G146" s="13">
        <v>64.242619000000005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x14ac:dyDescent="0.2">
      <c r="A147" s="12" t="s">
        <v>117</v>
      </c>
      <c r="B147" s="12" t="s">
        <v>569</v>
      </c>
      <c r="C147" s="12" t="s">
        <v>554</v>
      </c>
      <c r="D147" s="13">
        <v>26</v>
      </c>
      <c r="E147" s="13">
        <v>23.796832999999999</v>
      </c>
      <c r="F147" s="13">
        <v>22.36195</v>
      </c>
      <c r="G147" s="13">
        <v>19.864447999999999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 x14ac:dyDescent="0.2">
      <c r="A148" s="12" t="s">
        <v>117</v>
      </c>
      <c r="B148" s="12" t="s">
        <v>569</v>
      </c>
      <c r="C148" s="12" t="s">
        <v>555</v>
      </c>
      <c r="D148" s="13">
        <v>225</v>
      </c>
      <c r="E148" s="13">
        <v>165.148594</v>
      </c>
      <c r="F148" s="13">
        <v>430.14887199999998</v>
      </c>
      <c r="G148" s="13">
        <v>250.72096999999999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 x14ac:dyDescent="0.2">
      <c r="A149" s="12" t="s">
        <v>117</v>
      </c>
      <c r="B149" s="12" t="s">
        <v>569</v>
      </c>
      <c r="C149" s="12" t="s">
        <v>556</v>
      </c>
      <c r="D149" s="13">
        <v>0</v>
      </c>
      <c r="E149" s="13">
        <v>0</v>
      </c>
      <c r="F149" s="13">
        <v>0</v>
      </c>
      <c r="G149" s="13">
        <v>0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 x14ac:dyDescent="0.2">
      <c r="A150" s="12" t="s">
        <v>117</v>
      </c>
      <c r="B150" s="12" t="s">
        <v>569</v>
      </c>
      <c r="C150" s="12" t="s">
        <v>557</v>
      </c>
      <c r="D150" s="13">
        <v>306</v>
      </c>
      <c r="E150" s="13">
        <v>323.71747299999998</v>
      </c>
      <c r="F150" s="13">
        <v>288.46026699999999</v>
      </c>
      <c r="G150" s="13">
        <v>246.72152600000001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 x14ac:dyDescent="0.2">
      <c r="A151" s="12" t="s">
        <v>117</v>
      </c>
      <c r="B151" s="12" t="s">
        <v>569</v>
      </c>
      <c r="C151" s="12" t="s">
        <v>558</v>
      </c>
      <c r="D151" s="13">
        <v>-87</v>
      </c>
      <c r="E151" s="13">
        <v>-93.092556999999999</v>
      </c>
      <c r="F151" s="13">
        <v>-85.897461000000007</v>
      </c>
      <c r="G151" s="13">
        <v>-64.672227000000007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x14ac:dyDescent="0.2">
      <c r="A152" s="12" t="s">
        <v>117</v>
      </c>
      <c r="B152" s="12" t="s">
        <v>569</v>
      </c>
      <c r="C152" s="12" t="s">
        <v>560</v>
      </c>
      <c r="D152" s="13">
        <v>0</v>
      </c>
      <c r="E152" s="13">
        <v>0</v>
      </c>
      <c r="F152" s="13">
        <v>0</v>
      </c>
      <c r="G152" s="13">
        <v>0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 x14ac:dyDescent="0.2">
      <c r="A153" s="12" t="s">
        <v>117</v>
      </c>
      <c r="B153" s="12" t="s">
        <v>569</v>
      </c>
      <c r="C153" s="12" t="s">
        <v>561</v>
      </c>
      <c r="D153" s="13">
        <v>210</v>
      </c>
      <c r="E153" s="13">
        <v>220.773841</v>
      </c>
      <c r="F153" s="13">
        <v>195.035584</v>
      </c>
      <c r="G153" s="13">
        <v>174.74388999999999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 x14ac:dyDescent="0.2">
      <c r="A154" s="12" t="s">
        <v>117</v>
      </c>
      <c r="B154" s="12" t="s">
        <v>569</v>
      </c>
      <c r="C154" s="12" t="s">
        <v>562</v>
      </c>
      <c r="D154" s="13">
        <v>111</v>
      </c>
      <c r="E154" s="13">
        <v>116.594982</v>
      </c>
      <c r="F154" s="13">
        <v>111.273195</v>
      </c>
      <c r="G154" s="13">
        <v>96.733840999999998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x14ac:dyDescent="0.2">
      <c r="A155" s="12" t="s">
        <v>117</v>
      </c>
      <c r="B155" s="12" t="s">
        <v>569</v>
      </c>
      <c r="C155" s="12" t="s">
        <v>563</v>
      </c>
      <c r="D155" s="13">
        <v>9</v>
      </c>
      <c r="E155" s="13">
        <v>7.5062960000000007</v>
      </c>
      <c r="F155" s="13">
        <v>3.4743740000000001</v>
      </c>
      <c r="G155" s="13">
        <v>1.093726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x14ac:dyDescent="0.2">
      <c r="A156" s="12" t="s">
        <v>117</v>
      </c>
      <c r="B156" s="12" t="s">
        <v>569</v>
      </c>
      <c r="C156" s="12" t="s">
        <v>564</v>
      </c>
      <c r="D156" s="13">
        <v>60</v>
      </c>
      <c r="E156" s="13">
        <v>65.276679000000001</v>
      </c>
      <c r="F156" s="13">
        <v>54.418786999999988</v>
      </c>
      <c r="G156" s="13">
        <v>49.444253000000003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x14ac:dyDescent="0.2">
      <c r="A157" s="12" t="s">
        <v>117</v>
      </c>
      <c r="B157" s="12" t="s">
        <v>569</v>
      </c>
      <c r="C157" s="12" t="s">
        <v>565</v>
      </c>
      <c r="D157" s="13">
        <v>15</v>
      </c>
      <c r="E157" s="13">
        <v>16.629777000000001</v>
      </c>
      <c r="F157" s="13">
        <v>12.732804</v>
      </c>
      <c r="G157" s="13">
        <v>14.192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 x14ac:dyDescent="0.2">
      <c r="A158" s="12" t="s">
        <v>117</v>
      </c>
      <c r="B158" s="12" t="s">
        <v>569</v>
      </c>
      <c r="C158" s="12" t="s">
        <v>566</v>
      </c>
      <c r="D158" s="13">
        <v>15</v>
      </c>
      <c r="E158" s="13">
        <v>14.766107</v>
      </c>
      <c r="F158" s="13">
        <v>13.136419999999999</v>
      </c>
      <c r="G158" s="13">
        <v>13.280068999999999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x14ac:dyDescent="0.2">
      <c r="A159" s="12" t="s">
        <v>117</v>
      </c>
      <c r="B159" s="12" t="s">
        <v>570</v>
      </c>
      <c r="C159" s="12" t="s">
        <v>554</v>
      </c>
      <c r="D159" s="13">
        <v>0</v>
      </c>
      <c r="E159" s="13">
        <v>0</v>
      </c>
      <c r="F159" s="13">
        <v>0</v>
      </c>
      <c r="G159" s="13">
        <v>0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x14ac:dyDescent="0.2">
      <c r="A160" s="12" t="s">
        <v>117</v>
      </c>
      <c r="B160" s="12" t="s">
        <v>570</v>
      </c>
      <c r="C160" s="12" t="s">
        <v>555</v>
      </c>
      <c r="D160" s="13">
        <v>0</v>
      </c>
      <c r="E160" s="13">
        <v>0</v>
      </c>
      <c r="F160" s="13">
        <v>0</v>
      </c>
      <c r="G160" s="13">
        <v>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x14ac:dyDescent="0.2">
      <c r="A161" s="12" t="s">
        <v>117</v>
      </c>
      <c r="B161" s="12" t="s">
        <v>570</v>
      </c>
      <c r="C161" s="12" t="s">
        <v>556</v>
      </c>
      <c r="D161" s="13">
        <v>0</v>
      </c>
      <c r="E161" s="13">
        <v>0</v>
      </c>
      <c r="F161" s="13">
        <v>0</v>
      </c>
      <c r="G161" s="13">
        <v>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x14ac:dyDescent="0.2">
      <c r="A162" s="12" t="s">
        <v>117</v>
      </c>
      <c r="B162" s="12" t="s">
        <v>570</v>
      </c>
      <c r="C162" s="12" t="s">
        <v>557</v>
      </c>
      <c r="D162" s="13">
        <v>0</v>
      </c>
      <c r="E162" s="13">
        <v>0</v>
      </c>
      <c r="F162" s="13">
        <v>0</v>
      </c>
      <c r="G162" s="13">
        <v>0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x14ac:dyDescent="0.2">
      <c r="A163" s="12" t="s">
        <v>117</v>
      </c>
      <c r="B163" s="12" t="s">
        <v>570</v>
      </c>
      <c r="C163" s="12" t="s">
        <v>558</v>
      </c>
      <c r="D163" s="13">
        <v>0</v>
      </c>
      <c r="E163" s="13">
        <v>0</v>
      </c>
      <c r="F163" s="13">
        <v>0</v>
      </c>
      <c r="G163" s="13">
        <v>0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x14ac:dyDescent="0.2">
      <c r="A164" s="12" t="s">
        <v>117</v>
      </c>
      <c r="B164" s="12" t="s">
        <v>570</v>
      </c>
      <c r="C164" s="12" t="s">
        <v>560</v>
      </c>
      <c r="D164" s="13">
        <v>0</v>
      </c>
      <c r="E164" s="13">
        <v>0</v>
      </c>
      <c r="F164" s="13">
        <v>0</v>
      </c>
      <c r="G164" s="13">
        <v>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x14ac:dyDescent="0.2">
      <c r="A165" s="12" t="s">
        <v>117</v>
      </c>
      <c r="B165" s="12" t="s">
        <v>570</v>
      </c>
      <c r="C165" s="12" t="s">
        <v>561</v>
      </c>
      <c r="D165" s="13">
        <v>0</v>
      </c>
      <c r="E165" s="13">
        <v>0</v>
      </c>
      <c r="F165" s="13">
        <v>0</v>
      </c>
      <c r="G165" s="13">
        <v>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x14ac:dyDescent="0.2">
      <c r="A166" s="12" t="s">
        <v>117</v>
      </c>
      <c r="B166" s="12" t="s">
        <v>570</v>
      </c>
      <c r="C166" s="12" t="s">
        <v>562</v>
      </c>
      <c r="D166" s="13">
        <v>0</v>
      </c>
      <c r="E166" s="13">
        <v>0</v>
      </c>
      <c r="F166" s="13">
        <v>0</v>
      </c>
      <c r="G166" s="13">
        <v>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x14ac:dyDescent="0.2">
      <c r="A167" s="12" t="s">
        <v>117</v>
      </c>
      <c r="B167" s="12" t="s">
        <v>570</v>
      </c>
      <c r="C167" s="12" t="s">
        <v>563</v>
      </c>
      <c r="D167" s="13">
        <v>0</v>
      </c>
      <c r="E167" s="13">
        <v>0</v>
      </c>
      <c r="F167" s="13">
        <v>0</v>
      </c>
      <c r="G167" s="13">
        <v>0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 x14ac:dyDescent="0.2">
      <c r="A168" s="12" t="s">
        <v>117</v>
      </c>
      <c r="B168" s="12" t="s">
        <v>570</v>
      </c>
      <c r="C168" s="12" t="s">
        <v>564</v>
      </c>
      <c r="D168" s="13">
        <v>0</v>
      </c>
      <c r="E168" s="13">
        <v>0</v>
      </c>
      <c r="F168" s="13">
        <v>0</v>
      </c>
      <c r="G168" s="13">
        <v>0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 x14ac:dyDescent="0.2">
      <c r="A169" s="12" t="s">
        <v>117</v>
      </c>
      <c r="B169" s="12" t="s">
        <v>570</v>
      </c>
      <c r="C169" s="12" t="s">
        <v>565</v>
      </c>
      <c r="D169" s="13">
        <v>0</v>
      </c>
      <c r="E169" s="13">
        <v>0</v>
      </c>
      <c r="F169" s="13">
        <v>0</v>
      </c>
      <c r="G169" s="13">
        <v>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 x14ac:dyDescent="0.2">
      <c r="A170" s="12" t="s">
        <v>117</v>
      </c>
      <c r="B170" s="12" t="s">
        <v>570</v>
      </c>
      <c r="C170" s="12" t="s">
        <v>566</v>
      </c>
      <c r="D170" s="13">
        <v>0</v>
      </c>
      <c r="E170" s="13">
        <v>0</v>
      </c>
      <c r="F170" s="13">
        <v>0</v>
      </c>
      <c r="G170" s="13">
        <v>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 x14ac:dyDescent="0.2">
      <c r="A171" s="12" t="s">
        <v>117</v>
      </c>
      <c r="B171" s="12" t="s">
        <v>571</v>
      </c>
      <c r="C171" s="12" t="s">
        <v>554</v>
      </c>
      <c r="D171" s="13">
        <v>452</v>
      </c>
      <c r="E171" s="13">
        <v>464.27708700000011</v>
      </c>
      <c r="F171" s="13">
        <v>447.17424</v>
      </c>
      <c r="G171" s="13">
        <v>479.58455099999998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 x14ac:dyDescent="0.2">
      <c r="A172" s="12" t="s">
        <v>117</v>
      </c>
      <c r="B172" s="12" t="s">
        <v>571</v>
      </c>
      <c r="C172" s="12" t="s">
        <v>555</v>
      </c>
      <c r="D172" s="13">
        <v>33</v>
      </c>
      <c r="E172" s="13">
        <v>33.051800999999998</v>
      </c>
      <c r="F172" s="13">
        <v>26.868199000000001</v>
      </c>
      <c r="G172" s="13">
        <v>26.860749999999999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 x14ac:dyDescent="0.2">
      <c r="A173" s="12" t="s">
        <v>117</v>
      </c>
      <c r="B173" s="12" t="s">
        <v>571</v>
      </c>
      <c r="C173" s="12" t="s">
        <v>556</v>
      </c>
      <c r="D173" s="13">
        <v>-33</v>
      </c>
      <c r="E173" s="13">
        <v>-34.794368000000013</v>
      </c>
      <c r="F173" s="13">
        <v>-30.361916000000001</v>
      </c>
      <c r="G173" s="13">
        <v>-30.176838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 x14ac:dyDescent="0.2">
      <c r="A174" s="12" t="s">
        <v>117</v>
      </c>
      <c r="B174" s="12" t="s">
        <v>571</v>
      </c>
      <c r="C174" s="12" t="s">
        <v>557</v>
      </c>
      <c r="D174" s="13">
        <v>451</v>
      </c>
      <c r="E174" s="13">
        <v>463.221678</v>
      </c>
      <c r="F174" s="13">
        <v>444.64396799999997</v>
      </c>
      <c r="G174" s="13">
        <v>476.56982399999998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 x14ac:dyDescent="0.2">
      <c r="A175" s="12" t="s">
        <v>117</v>
      </c>
      <c r="B175" s="12" t="s">
        <v>571</v>
      </c>
      <c r="C175" s="12" t="s">
        <v>558</v>
      </c>
      <c r="D175" s="13">
        <v>-284</v>
      </c>
      <c r="E175" s="13">
        <v>-275.29261400000001</v>
      </c>
      <c r="F175" s="13">
        <v>-265.08665300000001</v>
      </c>
      <c r="G175" s="13">
        <v>-298.31748700000003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 x14ac:dyDescent="0.2">
      <c r="A176" s="12" t="s">
        <v>117</v>
      </c>
      <c r="B176" s="12" t="s">
        <v>571</v>
      </c>
      <c r="C176" s="12" t="s">
        <v>560</v>
      </c>
      <c r="D176" s="13">
        <v>0</v>
      </c>
      <c r="E176" s="13">
        <v>0</v>
      </c>
      <c r="F176" s="13">
        <v>0</v>
      </c>
      <c r="G176" s="13">
        <v>0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 x14ac:dyDescent="0.2">
      <c r="A177" s="12" t="s">
        <v>117</v>
      </c>
      <c r="B177" s="12" t="s">
        <v>571</v>
      </c>
      <c r="C177" s="12" t="s">
        <v>561</v>
      </c>
      <c r="D177" s="13">
        <v>164</v>
      </c>
      <c r="E177" s="13">
        <v>185.63821899999999</v>
      </c>
      <c r="F177" s="13">
        <v>177.34110799999999</v>
      </c>
      <c r="G177" s="13">
        <v>175.98651899999999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 x14ac:dyDescent="0.2">
      <c r="A178" s="12" t="s">
        <v>117</v>
      </c>
      <c r="B178" s="12" t="s">
        <v>571</v>
      </c>
      <c r="C178" s="12" t="s">
        <v>562</v>
      </c>
      <c r="D178" s="13">
        <v>58</v>
      </c>
      <c r="E178" s="13">
        <v>62.751368999999997</v>
      </c>
      <c r="F178" s="13">
        <v>69.850813000000002</v>
      </c>
      <c r="G178" s="13">
        <v>68.706937000000011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 x14ac:dyDescent="0.2">
      <c r="A179" s="12" t="s">
        <v>117</v>
      </c>
      <c r="B179" s="12" t="s">
        <v>571</v>
      </c>
      <c r="C179" s="12" t="s">
        <v>563</v>
      </c>
      <c r="D179" s="13">
        <v>17</v>
      </c>
      <c r="E179" s="13">
        <v>17.582713999999999</v>
      </c>
      <c r="F179" s="13">
        <v>16.909852999999998</v>
      </c>
      <c r="G179" s="13">
        <v>20.749220000000001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 x14ac:dyDescent="0.2">
      <c r="A180" s="12" t="s">
        <v>117</v>
      </c>
      <c r="B180" s="12" t="s">
        <v>571</v>
      </c>
      <c r="C180" s="12" t="s">
        <v>564</v>
      </c>
      <c r="D180" s="13">
        <v>75</v>
      </c>
      <c r="E180" s="13">
        <v>90.901984999999996</v>
      </c>
      <c r="F180" s="13">
        <v>77.21838000000001</v>
      </c>
      <c r="G180" s="13">
        <v>74.604044999999999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x14ac:dyDescent="0.2">
      <c r="A181" s="12" t="s">
        <v>117</v>
      </c>
      <c r="B181" s="12" t="s">
        <v>571</v>
      </c>
      <c r="C181" s="12" t="s">
        <v>565</v>
      </c>
      <c r="D181" s="13">
        <v>7</v>
      </c>
      <c r="E181" s="13">
        <v>6.6405830000000003</v>
      </c>
      <c r="F181" s="13">
        <v>6.0188430000000004</v>
      </c>
      <c r="G181" s="13">
        <v>4.7587460000000004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x14ac:dyDescent="0.2">
      <c r="A182" s="12" t="s">
        <v>117</v>
      </c>
      <c r="B182" s="12" t="s">
        <v>571</v>
      </c>
      <c r="C182" s="12" t="s">
        <v>566</v>
      </c>
      <c r="D182" s="13">
        <v>7</v>
      </c>
      <c r="E182" s="13">
        <v>7.7615740000000004</v>
      </c>
      <c r="F182" s="13">
        <v>7.3432200000000014</v>
      </c>
      <c r="G182" s="13">
        <v>7.1675719999999998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 x14ac:dyDescent="0.2">
      <c r="A183" s="12" t="s">
        <v>117</v>
      </c>
      <c r="B183" s="12" t="s">
        <v>572</v>
      </c>
      <c r="C183" s="12" t="s">
        <v>554</v>
      </c>
      <c r="D183" s="13">
        <v>0</v>
      </c>
      <c r="E183" s="13">
        <v>0</v>
      </c>
      <c r="F183" s="13">
        <v>0</v>
      </c>
      <c r="G183" s="13">
        <v>0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 x14ac:dyDescent="0.2">
      <c r="A184" s="12" t="s">
        <v>117</v>
      </c>
      <c r="B184" s="12" t="s">
        <v>572</v>
      </c>
      <c r="C184" s="12" t="s">
        <v>555</v>
      </c>
      <c r="D184" s="13">
        <v>88</v>
      </c>
      <c r="E184" s="13">
        <v>95.170293000000001</v>
      </c>
      <c r="F184" s="13">
        <v>102.94261</v>
      </c>
      <c r="G184" s="13">
        <v>77.58122800000001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 x14ac:dyDescent="0.2">
      <c r="A185" s="12" t="s">
        <v>117</v>
      </c>
      <c r="B185" s="12" t="s">
        <v>572</v>
      </c>
      <c r="C185" s="12" t="s">
        <v>556</v>
      </c>
      <c r="D185" s="13">
        <v>-80</v>
      </c>
      <c r="E185" s="13">
        <v>-68.014933999999997</v>
      </c>
      <c r="F185" s="13">
        <v>-71.605215999999999</v>
      </c>
      <c r="G185" s="13">
        <v>-77.839126999999991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x14ac:dyDescent="0.2">
      <c r="A186" s="12" t="s">
        <v>117</v>
      </c>
      <c r="B186" s="12" t="s">
        <v>572</v>
      </c>
      <c r="C186" s="12" t="s">
        <v>557</v>
      </c>
      <c r="D186" s="13">
        <v>8</v>
      </c>
      <c r="E186" s="13">
        <v>27.155359000000001</v>
      </c>
      <c r="F186" s="13">
        <v>31.337394</v>
      </c>
      <c r="G186" s="13">
        <v>-0.25789899999999999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x14ac:dyDescent="0.2">
      <c r="A187" s="12" t="s">
        <v>117</v>
      </c>
      <c r="B187" s="12" t="s">
        <v>572</v>
      </c>
      <c r="C187" s="12" t="s">
        <v>558</v>
      </c>
      <c r="D187" s="13">
        <v>249</v>
      </c>
      <c r="E187" s="13">
        <v>241.51048</v>
      </c>
      <c r="F187" s="13">
        <v>232.802379</v>
      </c>
      <c r="G187" s="13">
        <v>254.164388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x14ac:dyDescent="0.2">
      <c r="A188" s="12" t="s">
        <v>117</v>
      </c>
      <c r="B188" s="12" t="s">
        <v>572</v>
      </c>
      <c r="C188" s="12" t="s">
        <v>560</v>
      </c>
      <c r="D188" s="13">
        <v>0</v>
      </c>
      <c r="E188" s="13">
        <v>0</v>
      </c>
      <c r="F188" s="13">
        <v>0</v>
      </c>
      <c r="G188" s="13">
        <v>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x14ac:dyDescent="0.2">
      <c r="A189" s="12" t="s">
        <v>117</v>
      </c>
      <c r="B189" s="12" t="s">
        <v>572</v>
      </c>
      <c r="C189" s="12" t="s">
        <v>561</v>
      </c>
      <c r="D189" s="13">
        <v>222</v>
      </c>
      <c r="E189" s="13">
        <v>232.031564</v>
      </c>
      <c r="F189" s="13">
        <v>229.28222700000001</v>
      </c>
      <c r="G189" s="13">
        <v>222.683457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 x14ac:dyDescent="0.2">
      <c r="A190" s="12" t="s">
        <v>117</v>
      </c>
      <c r="B190" s="12" t="s">
        <v>572</v>
      </c>
      <c r="C190" s="12" t="s">
        <v>562</v>
      </c>
      <c r="D190" s="13">
        <v>95</v>
      </c>
      <c r="E190" s="13">
        <v>96.638361000000003</v>
      </c>
      <c r="F190" s="13">
        <v>92.102198000000001</v>
      </c>
      <c r="G190" s="13">
        <v>84.925214000000011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 x14ac:dyDescent="0.2">
      <c r="A191" s="12" t="s">
        <v>117</v>
      </c>
      <c r="B191" s="12" t="s">
        <v>572</v>
      </c>
      <c r="C191" s="12" t="s">
        <v>563</v>
      </c>
      <c r="D191" s="13">
        <v>11</v>
      </c>
      <c r="E191" s="13">
        <v>11.930864</v>
      </c>
      <c r="F191" s="13">
        <v>12.736383999999999</v>
      </c>
      <c r="G191" s="13">
        <v>13.161612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 x14ac:dyDescent="0.2">
      <c r="A192" s="12" t="s">
        <v>117</v>
      </c>
      <c r="B192" s="12" t="s">
        <v>572</v>
      </c>
      <c r="C192" s="12" t="s">
        <v>564</v>
      </c>
      <c r="D192" s="13">
        <v>70</v>
      </c>
      <c r="E192" s="13">
        <v>76.742068000000003</v>
      </c>
      <c r="F192" s="13">
        <v>76.618607000000011</v>
      </c>
      <c r="G192" s="13">
        <v>78.922449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 x14ac:dyDescent="0.2">
      <c r="A193" s="12" t="s">
        <v>117</v>
      </c>
      <c r="B193" s="12" t="s">
        <v>572</v>
      </c>
      <c r="C193" s="12" t="s">
        <v>565</v>
      </c>
      <c r="D193" s="13">
        <v>41</v>
      </c>
      <c r="E193" s="13">
        <v>41.685167</v>
      </c>
      <c r="F193" s="13">
        <v>42.842356000000002</v>
      </c>
      <c r="G193" s="13">
        <v>40.642100999999997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 x14ac:dyDescent="0.2">
      <c r="A194" s="12" t="s">
        <v>117</v>
      </c>
      <c r="B194" s="12" t="s">
        <v>572</v>
      </c>
      <c r="C194" s="12" t="s">
        <v>566</v>
      </c>
      <c r="D194" s="13">
        <v>5</v>
      </c>
      <c r="E194" s="13">
        <v>5.0350999999999999</v>
      </c>
      <c r="F194" s="13">
        <v>4.9826809999999986</v>
      </c>
      <c r="G194" s="13">
        <v>5.0320860000000014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 x14ac:dyDescent="0.2">
      <c r="A195" s="12" t="s">
        <v>117</v>
      </c>
      <c r="B195" s="12" t="s">
        <v>573</v>
      </c>
      <c r="C195" s="12" t="s">
        <v>554</v>
      </c>
      <c r="D195" s="13">
        <v>0</v>
      </c>
      <c r="E195" s="13">
        <v>0.62245200000000001</v>
      </c>
      <c r="F195" s="13">
        <v>0.34903299999999998</v>
      </c>
      <c r="G195" s="13">
        <v>0.29130099999999998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 x14ac:dyDescent="0.2">
      <c r="A196" s="12" t="s">
        <v>117</v>
      </c>
      <c r="B196" s="12" t="s">
        <v>573</v>
      </c>
      <c r="C196" s="12" t="s">
        <v>555</v>
      </c>
      <c r="D196" s="13">
        <v>0</v>
      </c>
      <c r="E196" s="13">
        <v>0</v>
      </c>
      <c r="F196" s="13">
        <v>0</v>
      </c>
      <c r="G196" s="13">
        <v>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 x14ac:dyDescent="0.2">
      <c r="A197" s="12" t="s">
        <v>117</v>
      </c>
      <c r="B197" s="12" t="s">
        <v>573</v>
      </c>
      <c r="C197" s="12" t="s">
        <v>556</v>
      </c>
      <c r="D197" s="13">
        <v>0</v>
      </c>
      <c r="E197" s="13">
        <v>0</v>
      </c>
      <c r="F197" s="13">
        <v>0</v>
      </c>
      <c r="G197" s="13">
        <v>0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 x14ac:dyDescent="0.2">
      <c r="A198" s="12" t="s">
        <v>117</v>
      </c>
      <c r="B198" s="12" t="s">
        <v>573</v>
      </c>
      <c r="C198" s="12" t="s">
        <v>557</v>
      </c>
      <c r="D198" s="13">
        <v>0</v>
      </c>
      <c r="E198" s="13">
        <v>0.62245200000000001</v>
      </c>
      <c r="F198" s="13">
        <v>0.34903299999999998</v>
      </c>
      <c r="G198" s="13">
        <v>0.29130099999999998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 x14ac:dyDescent="0.2">
      <c r="A199" s="12" t="s">
        <v>117</v>
      </c>
      <c r="B199" s="12" t="s">
        <v>573</v>
      </c>
      <c r="C199" s="12" t="s">
        <v>558</v>
      </c>
      <c r="D199" s="13">
        <v>84</v>
      </c>
      <c r="E199" s="13">
        <v>91.606392000000014</v>
      </c>
      <c r="F199" s="13">
        <v>82.700282000000001</v>
      </c>
      <c r="G199" s="13">
        <v>79.095912000000013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 x14ac:dyDescent="0.2">
      <c r="A200" s="12" t="s">
        <v>117</v>
      </c>
      <c r="B200" s="12" t="s">
        <v>573</v>
      </c>
      <c r="C200" s="12" t="s">
        <v>560</v>
      </c>
      <c r="D200" s="13">
        <v>0</v>
      </c>
      <c r="E200" s="13">
        <v>0</v>
      </c>
      <c r="F200" s="13">
        <v>0</v>
      </c>
      <c r="G200" s="13">
        <v>0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 x14ac:dyDescent="0.2">
      <c r="A201" s="12" t="s">
        <v>117</v>
      </c>
      <c r="B201" s="12" t="s">
        <v>573</v>
      </c>
      <c r="C201" s="12" t="s">
        <v>561</v>
      </c>
      <c r="D201" s="13">
        <v>72</v>
      </c>
      <c r="E201" s="13">
        <v>78.677206999999996</v>
      </c>
      <c r="F201" s="13">
        <v>71.026345000000006</v>
      </c>
      <c r="G201" s="13">
        <v>68.277962000000002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 x14ac:dyDescent="0.2">
      <c r="A202" s="12" t="s">
        <v>117</v>
      </c>
      <c r="B202" s="12" t="s">
        <v>573</v>
      </c>
      <c r="C202" s="12" t="s">
        <v>562</v>
      </c>
      <c r="D202" s="13">
        <v>10</v>
      </c>
      <c r="E202" s="13">
        <v>9.9432360000000006</v>
      </c>
      <c r="F202" s="13">
        <v>10.010044000000001</v>
      </c>
      <c r="G202" s="13">
        <v>9.6014210000000002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 x14ac:dyDescent="0.2">
      <c r="A203" s="12" t="s">
        <v>117</v>
      </c>
      <c r="B203" s="12" t="s">
        <v>573</v>
      </c>
      <c r="C203" s="12" t="s">
        <v>563</v>
      </c>
      <c r="D203" s="13">
        <v>0</v>
      </c>
      <c r="E203" s="13">
        <v>0</v>
      </c>
      <c r="F203" s="13">
        <v>0</v>
      </c>
      <c r="G203" s="13">
        <v>0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 x14ac:dyDescent="0.2">
      <c r="A204" s="12" t="s">
        <v>117</v>
      </c>
      <c r="B204" s="12" t="s">
        <v>573</v>
      </c>
      <c r="C204" s="12" t="s">
        <v>564</v>
      </c>
      <c r="D204" s="13">
        <v>35</v>
      </c>
      <c r="E204" s="13">
        <v>37.820466000000003</v>
      </c>
      <c r="F204" s="13">
        <v>32.952711999999998</v>
      </c>
      <c r="G204" s="13">
        <v>31.316690000000001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 x14ac:dyDescent="0.2">
      <c r="A205" s="12" t="s">
        <v>117</v>
      </c>
      <c r="B205" s="12" t="s">
        <v>573</v>
      </c>
      <c r="C205" s="12" t="s">
        <v>565</v>
      </c>
      <c r="D205" s="13">
        <v>27</v>
      </c>
      <c r="E205" s="13">
        <v>30.375233999999999</v>
      </c>
      <c r="F205" s="13">
        <v>27.620906000000002</v>
      </c>
      <c r="G205" s="13">
        <v>26.92521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 x14ac:dyDescent="0.2">
      <c r="A206" s="12" t="s">
        <v>117</v>
      </c>
      <c r="B206" s="12" t="s">
        <v>573</v>
      </c>
      <c r="C206" s="12" t="s">
        <v>566</v>
      </c>
      <c r="D206" s="13">
        <v>0</v>
      </c>
      <c r="E206" s="13">
        <v>0.53827200000000008</v>
      </c>
      <c r="F206" s="13">
        <v>0.44268299999999999</v>
      </c>
      <c r="G206" s="13">
        <v>0.43464000000000003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 x14ac:dyDescent="0.2">
      <c r="A207" s="12" t="s">
        <v>117</v>
      </c>
      <c r="B207" s="12" t="s">
        <v>574</v>
      </c>
      <c r="C207" s="12" t="s">
        <v>554</v>
      </c>
      <c r="D207" s="13">
        <v>503</v>
      </c>
      <c r="E207" s="13">
        <v>512.57508199999995</v>
      </c>
      <c r="F207" s="13">
        <v>491.80595799999998</v>
      </c>
      <c r="G207" s="13">
        <v>519.54491499999995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 x14ac:dyDescent="0.2">
      <c r="A208" s="12" t="s">
        <v>117</v>
      </c>
      <c r="B208" s="12" t="s">
        <v>574</v>
      </c>
      <c r="C208" s="12" t="s">
        <v>555</v>
      </c>
      <c r="D208" s="13">
        <v>1023</v>
      </c>
      <c r="E208" s="13">
        <v>969.57382299999995</v>
      </c>
      <c r="F208" s="13">
        <v>1188.140609</v>
      </c>
      <c r="G208" s="13">
        <v>1016.541914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x14ac:dyDescent="0.2">
      <c r="A209" s="12" t="s">
        <v>117</v>
      </c>
      <c r="B209" s="12" t="s">
        <v>574</v>
      </c>
      <c r="C209" s="12" t="s">
        <v>556</v>
      </c>
      <c r="D209" s="13">
        <v>-231</v>
      </c>
      <c r="E209" s="13">
        <v>-226.545705</v>
      </c>
      <c r="F209" s="13">
        <v>-174.27043399999999</v>
      </c>
      <c r="G209" s="13">
        <v>-207.35940500000001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 x14ac:dyDescent="0.2">
      <c r="A210" s="12" t="s">
        <v>117</v>
      </c>
      <c r="B210" s="12" t="s">
        <v>574</v>
      </c>
      <c r="C210" s="12" t="s">
        <v>557</v>
      </c>
      <c r="D210" s="13">
        <v>1324</v>
      </c>
      <c r="E210" s="13">
        <v>1397.9065989999999</v>
      </c>
      <c r="F210" s="13">
        <v>1319.9511500000001</v>
      </c>
      <c r="G210" s="13">
        <v>1265.015637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 x14ac:dyDescent="0.2">
      <c r="A211" s="12" t="s">
        <v>117</v>
      </c>
      <c r="B211" s="12" t="s">
        <v>574</v>
      </c>
      <c r="C211" s="12" t="s">
        <v>558</v>
      </c>
      <c r="D211" s="13">
        <v>-71</v>
      </c>
      <c r="E211" s="13">
        <v>-70.485590000000016</v>
      </c>
      <c r="F211" s="13">
        <v>-61.960000999999998</v>
      </c>
      <c r="G211" s="13">
        <v>-56.815030999999998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x14ac:dyDescent="0.2">
      <c r="A212" s="12" t="s">
        <v>117</v>
      </c>
      <c r="B212" s="12" t="s">
        <v>574</v>
      </c>
      <c r="C212" s="12" t="s">
        <v>560</v>
      </c>
      <c r="D212" s="13">
        <v>-4</v>
      </c>
      <c r="E212" s="13">
        <v>-3.1488589999999999</v>
      </c>
      <c r="F212" s="13">
        <v>-1.6748000000000001</v>
      </c>
      <c r="G212" s="13">
        <v>-9.8048739999999999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x14ac:dyDescent="0.2">
      <c r="A213" s="12" t="s">
        <v>117</v>
      </c>
      <c r="B213" s="12" t="s">
        <v>574</v>
      </c>
      <c r="C213" s="12" t="s">
        <v>561</v>
      </c>
      <c r="D213" s="13">
        <v>1112</v>
      </c>
      <c r="E213" s="13">
        <v>1178.315705</v>
      </c>
      <c r="F213" s="13">
        <v>1101.834713</v>
      </c>
      <c r="G213" s="13">
        <v>1049.93308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x14ac:dyDescent="0.2">
      <c r="A214" s="12" t="s">
        <v>117</v>
      </c>
      <c r="B214" s="12" t="s">
        <v>574</v>
      </c>
      <c r="C214" s="12" t="s">
        <v>562</v>
      </c>
      <c r="D214" s="13">
        <v>303</v>
      </c>
      <c r="E214" s="13">
        <v>313.60069399999998</v>
      </c>
      <c r="F214" s="13">
        <v>313.73687799999999</v>
      </c>
      <c r="G214" s="13">
        <v>291.044983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 x14ac:dyDescent="0.2">
      <c r="A215" s="12" t="s">
        <v>117</v>
      </c>
      <c r="B215" s="12" t="s">
        <v>574</v>
      </c>
      <c r="C215" s="12" t="s">
        <v>563</v>
      </c>
      <c r="D215" s="13">
        <v>327</v>
      </c>
      <c r="E215" s="13">
        <v>337.82188500000001</v>
      </c>
      <c r="F215" s="13">
        <v>320.276928</v>
      </c>
      <c r="G215" s="13">
        <v>313.72086400000001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 x14ac:dyDescent="0.2">
      <c r="A216" s="12" t="s">
        <v>117</v>
      </c>
      <c r="B216" s="12" t="s">
        <v>574</v>
      </c>
      <c r="C216" s="12" t="s">
        <v>564</v>
      </c>
      <c r="D216" s="13">
        <v>281</v>
      </c>
      <c r="E216" s="13">
        <v>312.68559800000003</v>
      </c>
      <c r="F216" s="13">
        <v>276.62437599999998</v>
      </c>
      <c r="G216" s="13">
        <v>263.05432500000001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 x14ac:dyDescent="0.2">
      <c r="A217" s="12" t="s">
        <v>117</v>
      </c>
      <c r="B217" s="12" t="s">
        <v>574</v>
      </c>
      <c r="C217" s="12" t="s">
        <v>565</v>
      </c>
      <c r="D217" s="13">
        <v>96</v>
      </c>
      <c r="E217" s="13">
        <v>104.31053</v>
      </c>
      <c r="F217" s="13">
        <v>96.902410000000003</v>
      </c>
      <c r="G217" s="13">
        <v>91.055585999999991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 x14ac:dyDescent="0.2">
      <c r="A218" s="12" t="s">
        <v>117</v>
      </c>
      <c r="B218" s="12" t="s">
        <v>574</v>
      </c>
      <c r="C218" s="12" t="s">
        <v>566</v>
      </c>
      <c r="D218" s="13">
        <v>105</v>
      </c>
      <c r="E218" s="13">
        <v>109.897002</v>
      </c>
      <c r="F218" s="13">
        <v>94.294122000000002</v>
      </c>
      <c r="G218" s="13">
        <v>91.057327999999998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 x14ac:dyDescent="0.2">
      <c r="A219" s="12" t="s">
        <v>124</v>
      </c>
      <c r="B219" s="12" t="s">
        <v>553</v>
      </c>
      <c r="C219" s="12" t="s">
        <v>554</v>
      </c>
      <c r="D219" s="13">
        <v>2</v>
      </c>
      <c r="E219" s="13">
        <v>1.268554</v>
      </c>
      <c r="F219" s="13">
        <v>1.1652830000000001</v>
      </c>
      <c r="G219" s="13">
        <v>1.2214240000000001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 x14ac:dyDescent="0.2">
      <c r="A220" s="12" t="s">
        <v>124</v>
      </c>
      <c r="B220" s="12" t="s">
        <v>553</v>
      </c>
      <c r="C220" s="12" t="s">
        <v>555</v>
      </c>
      <c r="D220" s="13">
        <v>108</v>
      </c>
      <c r="E220" s="13">
        <v>103.449045</v>
      </c>
      <c r="F220" s="13">
        <v>117.40238100000001</v>
      </c>
      <c r="G220" s="13">
        <v>104.469666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 x14ac:dyDescent="0.2">
      <c r="A221" s="12" t="s">
        <v>124</v>
      </c>
      <c r="B221" s="12" t="s">
        <v>553</v>
      </c>
      <c r="C221" s="12" t="s">
        <v>556</v>
      </c>
      <c r="D221" s="13">
        <v>-6</v>
      </c>
      <c r="E221" s="13">
        <v>-2.939603</v>
      </c>
      <c r="F221" s="13">
        <v>-3.405011</v>
      </c>
      <c r="G221" s="13">
        <v>-5.0596350000000001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 x14ac:dyDescent="0.2">
      <c r="A222" s="12" t="s">
        <v>124</v>
      </c>
      <c r="B222" s="12" t="s">
        <v>553</v>
      </c>
      <c r="C222" s="12" t="s">
        <v>557</v>
      </c>
      <c r="D222" s="13">
        <v>99</v>
      </c>
      <c r="E222" s="13">
        <v>109.13900700000001</v>
      </c>
      <c r="F222" s="13">
        <v>114.32060300000001</v>
      </c>
      <c r="G222" s="13">
        <v>99.291770999999997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 x14ac:dyDescent="0.2">
      <c r="A223" s="12" t="s">
        <v>124</v>
      </c>
      <c r="B223" s="12" t="s">
        <v>553</v>
      </c>
      <c r="C223" s="12" t="s">
        <v>558</v>
      </c>
      <c r="D223" s="13">
        <v>-16</v>
      </c>
      <c r="E223" s="13">
        <v>-17.455686</v>
      </c>
      <c r="F223" s="13">
        <v>-19.67145</v>
      </c>
      <c r="G223" s="13">
        <v>-15.650425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 x14ac:dyDescent="0.2">
      <c r="A224" s="12" t="s">
        <v>124</v>
      </c>
      <c r="B224" s="12" t="s">
        <v>553</v>
      </c>
      <c r="C224" s="12" t="s">
        <v>560</v>
      </c>
      <c r="D224" s="13">
        <v>0</v>
      </c>
      <c r="E224" s="13">
        <v>0</v>
      </c>
      <c r="F224" s="13">
        <v>0</v>
      </c>
      <c r="G224" s="13">
        <v>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 x14ac:dyDescent="0.2">
      <c r="A225" s="12" t="s">
        <v>124</v>
      </c>
      <c r="B225" s="12" t="s">
        <v>553</v>
      </c>
      <c r="C225" s="12" t="s">
        <v>561</v>
      </c>
      <c r="D225" s="13">
        <v>43</v>
      </c>
      <c r="E225" s="13">
        <v>45.469004000000012</v>
      </c>
      <c r="F225" s="13">
        <v>45.622086000000003</v>
      </c>
      <c r="G225" s="13">
        <v>40.779661999999988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 x14ac:dyDescent="0.2">
      <c r="A226" s="12" t="s">
        <v>124</v>
      </c>
      <c r="B226" s="12" t="s">
        <v>553</v>
      </c>
      <c r="C226" s="12" t="s">
        <v>562</v>
      </c>
      <c r="D226" s="13">
        <v>31</v>
      </c>
      <c r="E226" s="13">
        <v>34.340762000000012</v>
      </c>
      <c r="F226" s="13">
        <v>34.846113000000003</v>
      </c>
      <c r="G226" s="13">
        <v>31.277711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 x14ac:dyDescent="0.2">
      <c r="A227" s="12" t="s">
        <v>124</v>
      </c>
      <c r="B227" s="12" t="s">
        <v>553</v>
      </c>
      <c r="C227" s="12" t="s">
        <v>563</v>
      </c>
      <c r="D227" s="13">
        <v>0</v>
      </c>
      <c r="E227" s="13">
        <v>2.4450000000000001E-3</v>
      </c>
      <c r="F227" s="13">
        <v>2.4450000000000001E-3</v>
      </c>
      <c r="G227" s="13">
        <v>2.428E-3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 x14ac:dyDescent="0.2">
      <c r="A228" s="12" t="s">
        <v>124</v>
      </c>
      <c r="B228" s="12" t="s">
        <v>553</v>
      </c>
      <c r="C228" s="12" t="s">
        <v>564</v>
      </c>
      <c r="D228" s="13">
        <v>1</v>
      </c>
      <c r="E228" s="13">
        <v>1.908507</v>
      </c>
      <c r="F228" s="13">
        <v>1.336041</v>
      </c>
      <c r="G228" s="13">
        <v>1.0435350000000001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 x14ac:dyDescent="0.2">
      <c r="A229" s="12" t="s">
        <v>124</v>
      </c>
      <c r="B229" s="12" t="s">
        <v>553</v>
      </c>
      <c r="C229" s="12" t="s">
        <v>565</v>
      </c>
      <c r="D229" s="13">
        <v>0</v>
      </c>
      <c r="E229" s="13">
        <v>0</v>
      </c>
      <c r="F229" s="13">
        <v>0</v>
      </c>
      <c r="G229" s="13">
        <v>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 x14ac:dyDescent="0.2">
      <c r="A230" s="12" t="s">
        <v>124</v>
      </c>
      <c r="B230" s="12" t="s">
        <v>553</v>
      </c>
      <c r="C230" s="12" t="s">
        <v>566</v>
      </c>
      <c r="D230" s="13">
        <v>11</v>
      </c>
      <c r="E230" s="13">
        <v>9.2172870000000007</v>
      </c>
      <c r="F230" s="13">
        <v>9.4374909999999996</v>
      </c>
      <c r="G230" s="13">
        <v>8.4559879999999996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 x14ac:dyDescent="0.2">
      <c r="A231" s="12" t="s">
        <v>124</v>
      </c>
      <c r="B231" s="12" t="s">
        <v>567</v>
      </c>
      <c r="C231" s="12" t="s">
        <v>554</v>
      </c>
      <c r="D231" s="13">
        <v>0</v>
      </c>
      <c r="E231" s="13">
        <v>0</v>
      </c>
      <c r="F231" s="13">
        <v>0</v>
      </c>
      <c r="G231" s="13">
        <v>0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 x14ac:dyDescent="0.2">
      <c r="A232" s="12" t="s">
        <v>124</v>
      </c>
      <c r="B232" s="12" t="s">
        <v>567</v>
      </c>
      <c r="C232" s="12" t="s">
        <v>555</v>
      </c>
      <c r="D232" s="13">
        <v>1219</v>
      </c>
      <c r="E232" s="13">
        <v>1340.6587529999999</v>
      </c>
      <c r="F232" s="13">
        <v>1269.51133</v>
      </c>
      <c r="G232" s="13">
        <v>1373.398428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 x14ac:dyDescent="0.2">
      <c r="A233" s="12" t="s">
        <v>124</v>
      </c>
      <c r="B233" s="12" t="s">
        <v>567</v>
      </c>
      <c r="C233" s="12" t="s">
        <v>556</v>
      </c>
      <c r="D233" s="13">
        <v>-103</v>
      </c>
      <c r="E233" s="13">
        <v>-162.22361599999999</v>
      </c>
      <c r="F233" s="13">
        <v>-127.02526</v>
      </c>
      <c r="G233" s="13">
        <v>-131.493785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x14ac:dyDescent="0.2">
      <c r="A234" s="12" t="s">
        <v>124</v>
      </c>
      <c r="B234" s="12" t="s">
        <v>567</v>
      </c>
      <c r="C234" s="12" t="s">
        <v>557</v>
      </c>
      <c r="D234" s="13">
        <v>1110</v>
      </c>
      <c r="E234" s="13">
        <v>1186.0715929999999</v>
      </c>
      <c r="F234" s="13">
        <v>1145.424137</v>
      </c>
      <c r="G234" s="13">
        <v>1244.1139089999999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x14ac:dyDescent="0.2">
      <c r="A235" s="12" t="s">
        <v>124</v>
      </c>
      <c r="B235" s="12" t="s">
        <v>567</v>
      </c>
      <c r="C235" s="12" t="s">
        <v>558</v>
      </c>
      <c r="D235" s="13">
        <v>0</v>
      </c>
      <c r="E235" s="13">
        <v>0</v>
      </c>
      <c r="F235" s="13">
        <v>0</v>
      </c>
      <c r="G235" s="13">
        <v>0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 x14ac:dyDescent="0.2">
      <c r="A236" s="12" t="s">
        <v>124</v>
      </c>
      <c r="B236" s="12" t="s">
        <v>567</v>
      </c>
      <c r="C236" s="12" t="s">
        <v>560</v>
      </c>
      <c r="D236" s="13">
        <v>-1179</v>
      </c>
      <c r="E236" s="13">
        <v>-1315.340508</v>
      </c>
      <c r="F236" s="13">
        <v>-1231.2426929999999</v>
      </c>
      <c r="G236" s="13">
        <v>-1319.3083260000001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 x14ac:dyDescent="0.2">
      <c r="A237" s="12" t="s">
        <v>124</v>
      </c>
      <c r="B237" s="12" t="s">
        <v>567</v>
      </c>
      <c r="C237" s="12" t="s">
        <v>561</v>
      </c>
      <c r="D237" s="13">
        <v>0</v>
      </c>
      <c r="E237" s="13">
        <v>0</v>
      </c>
      <c r="F237" s="13">
        <v>0</v>
      </c>
      <c r="G237" s="13">
        <v>0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x14ac:dyDescent="0.2">
      <c r="A238" s="12" t="s">
        <v>124</v>
      </c>
      <c r="B238" s="12" t="s">
        <v>567</v>
      </c>
      <c r="C238" s="12" t="s">
        <v>562</v>
      </c>
      <c r="D238" s="13">
        <v>0</v>
      </c>
      <c r="E238" s="13">
        <v>0</v>
      </c>
      <c r="F238" s="13">
        <v>0</v>
      </c>
      <c r="G238" s="13">
        <v>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x14ac:dyDescent="0.2">
      <c r="A239" s="12" t="s">
        <v>124</v>
      </c>
      <c r="B239" s="12" t="s">
        <v>567</v>
      </c>
      <c r="C239" s="12" t="s">
        <v>563</v>
      </c>
      <c r="D239" s="13">
        <v>0</v>
      </c>
      <c r="E239" s="13">
        <v>0</v>
      </c>
      <c r="F239" s="13">
        <v>0</v>
      </c>
      <c r="G239" s="13">
        <v>0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 x14ac:dyDescent="0.2">
      <c r="A240" s="12" t="s">
        <v>124</v>
      </c>
      <c r="B240" s="12" t="s">
        <v>567</v>
      </c>
      <c r="C240" s="12" t="s">
        <v>564</v>
      </c>
      <c r="D240" s="13">
        <v>0</v>
      </c>
      <c r="E240" s="13">
        <v>0</v>
      </c>
      <c r="F240" s="13">
        <v>0</v>
      </c>
      <c r="G240" s="13">
        <v>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 x14ac:dyDescent="0.2">
      <c r="A241" s="12" t="s">
        <v>124</v>
      </c>
      <c r="B241" s="12" t="s">
        <v>567</v>
      </c>
      <c r="C241" s="12" t="s">
        <v>565</v>
      </c>
      <c r="D241" s="13">
        <v>0</v>
      </c>
      <c r="E241" s="13">
        <v>0</v>
      </c>
      <c r="F241" s="13">
        <v>0</v>
      </c>
      <c r="G241" s="13">
        <v>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 x14ac:dyDescent="0.2">
      <c r="A242" s="12" t="s">
        <v>124</v>
      </c>
      <c r="B242" s="12" t="s">
        <v>567</v>
      </c>
      <c r="C242" s="12" t="s">
        <v>566</v>
      </c>
      <c r="D242" s="13">
        <v>0</v>
      </c>
      <c r="E242" s="13">
        <v>0</v>
      </c>
      <c r="F242" s="13">
        <v>0</v>
      </c>
      <c r="G242" s="13">
        <v>0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 x14ac:dyDescent="0.2">
      <c r="A243" s="12" t="s">
        <v>124</v>
      </c>
      <c r="B243" s="12" t="s">
        <v>568</v>
      </c>
      <c r="C243" s="12" t="s">
        <v>554</v>
      </c>
      <c r="D243" s="13">
        <v>0</v>
      </c>
      <c r="E243" s="13">
        <v>0</v>
      </c>
      <c r="F243" s="13">
        <v>0</v>
      </c>
      <c r="G243" s="13">
        <v>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 x14ac:dyDescent="0.2">
      <c r="A244" s="12" t="s">
        <v>124</v>
      </c>
      <c r="B244" s="12" t="s">
        <v>568</v>
      </c>
      <c r="C244" s="12" t="s">
        <v>555</v>
      </c>
      <c r="D244" s="13">
        <v>1024</v>
      </c>
      <c r="E244" s="13">
        <v>1098.151719</v>
      </c>
      <c r="F244" s="13">
        <v>1073.828278</v>
      </c>
      <c r="G244" s="13">
        <v>1015.50978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 x14ac:dyDescent="0.2">
      <c r="A245" s="12" t="s">
        <v>124</v>
      </c>
      <c r="B245" s="12" t="s">
        <v>568</v>
      </c>
      <c r="C245" s="12" t="s">
        <v>556</v>
      </c>
      <c r="D245" s="13">
        <v>-1021</v>
      </c>
      <c r="E245" s="13">
        <v>-1119.566699</v>
      </c>
      <c r="F245" s="13">
        <v>-1039.6912589999999</v>
      </c>
      <c r="G245" s="13">
        <v>-1125.35312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 x14ac:dyDescent="0.2">
      <c r="A246" s="12" t="s">
        <v>124</v>
      </c>
      <c r="B246" s="12" t="s">
        <v>568</v>
      </c>
      <c r="C246" s="12" t="s">
        <v>557</v>
      </c>
      <c r="D246" s="13">
        <v>-336</v>
      </c>
      <c r="E246" s="13">
        <v>-356.17963800000001</v>
      </c>
      <c r="F246" s="13">
        <v>-365.829341</v>
      </c>
      <c r="G246" s="13">
        <v>-471.39082000000002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 x14ac:dyDescent="0.2">
      <c r="A247" s="12" t="s">
        <v>124</v>
      </c>
      <c r="B247" s="12" t="s">
        <v>568</v>
      </c>
      <c r="C247" s="12" t="s">
        <v>558</v>
      </c>
      <c r="D247" s="13">
        <v>-1</v>
      </c>
      <c r="E247" s="13">
        <v>-1.0592900000000001</v>
      </c>
      <c r="F247" s="13">
        <v>-1.6555610000000001</v>
      </c>
      <c r="G247" s="13">
        <v>-1.126709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 x14ac:dyDescent="0.2">
      <c r="A248" s="12" t="s">
        <v>124</v>
      </c>
      <c r="B248" s="12" t="s">
        <v>568</v>
      </c>
      <c r="C248" s="12" t="s">
        <v>560</v>
      </c>
      <c r="D248" s="13">
        <v>1163</v>
      </c>
      <c r="E248" s="13">
        <v>1296.0999300000001</v>
      </c>
      <c r="F248" s="13">
        <v>1209.1741500000001</v>
      </c>
      <c r="G248" s="13">
        <v>1299.4844310000001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 x14ac:dyDescent="0.2">
      <c r="A249" s="12" t="s">
        <v>124</v>
      </c>
      <c r="B249" s="12" t="s">
        <v>568</v>
      </c>
      <c r="C249" s="12" t="s">
        <v>561</v>
      </c>
      <c r="D249" s="13">
        <v>726</v>
      </c>
      <c r="E249" s="13">
        <v>772.74246100000005</v>
      </c>
      <c r="F249" s="13">
        <v>723.19099199999994</v>
      </c>
      <c r="G249" s="13">
        <v>720.76609400000007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 x14ac:dyDescent="0.2">
      <c r="A250" s="12" t="s">
        <v>124</v>
      </c>
      <c r="B250" s="12" t="s">
        <v>568</v>
      </c>
      <c r="C250" s="12" t="s">
        <v>562</v>
      </c>
      <c r="D250" s="13">
        <v>71</v>
      </c>
      <c r="E250" s="13">
        <v>74.785057000000009</v>
      </c>
      <c r="F250" s="13">
        <v>69.475546000000008</v>
      </c>
      <c r="G250" s="13">
        <v>63.061363999999998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 x14ac:dyDescent="0.2">
      <c r="A251" s="12" t="s">
        <v>124</v>
      </c>
      <c r="B251" s="12" t="s">
        <v>568</v>
      </c>
      <c r="C251" s="12" t="s">
        <v>563</v>
      </c>
      <c r="D251" s="13">
        <v>284</v>
      </c>
      <c r="E251" s="13">
        <v>312.41386200000011</v>
      </c>
      <c r="F251" s="13">
        <v>315.86348800000002</v>
      </c>
      <c r="G251" s="13">
        <v>321.65142900000001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 x14ac:dyDescent="0.2">
      <c r="A252" s="12" t="s">
        <v>124</v>
      </c>
      <c r="B252" s="12" t="s">
        <v>568</v>
      </c>
      <c r="C252" s="12" t="s">
        <v>564</v>
      </c>
      <c r="D252" s="13">
        <v>93</v>
      </c>
      <c r="E252" s="13">
        <v>88.682498999999993</v>
      </c>
      <c r="F252" s="13">
        <v>77.066498999999993</v>
      </c>
      <c r="G252" s="13">
        <v>74.864221000000001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 x14ac:dyDescent="0.2">
      <c r="A253" s="12" t="s">
        <v>124</v>
      </c>
      <c r="B253" s="12" t="s">
        <v>568</v>
      </c>
      <c r="C253" s="12" t="s">
        <v>565</v>
      </c>
      <c r="D253" s="13">
        <v>27</v>
      </c>
      <c r="E253" s="13">
        <v>22.315179000000001</v>
      </c>
      <c r="F253" s="13">
        <v>18.350501999999999</v>
      </c>
      <c r="G253" s="13">
        <v>18.32546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 x14ac:dyDescent="0.2">
      <c r="A254" s="12" t="s">
        <v>124</v>
      </c>
      <c r="B254" s="12" t="s">
        <v>568</v>
      </c>
      <c r="C254" s="12" t="s">
        <v>566</v>
      </c>
      <c r="D254" s="13">
        <v>251</v>
      </c>
      <c r="E254" s="13">
        <v>274.54586</v>
      </c>
      <c r="F254" s="13">
        <v>242.43496200000001</v>
      </c>
      <c r="G254" s="13">
        <v>242.863619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 x14ac:dyDescent="0.2">
      <c r="A255" s="12" t="s">
        <v>124</v>
      </c>
      <c r="B255" s="12" t="s">
        <v>569</v>
      </c>
      <c r="C255" s="12" t="s">
        <v>554</v>
      </c>
      <c r="D255" s="13">
        <v>0</v>
      </c>
      <c r="E255" s="13">
        <v>0.16686100000000001</v>
      </c>
      <c r="F255" s="13">
        <v>0.43208999999999997</v>
      </c>
      <c r="G255" s="13">
        <v>0.416072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 x14ac:dyDescent="0.2">
      <c r="A256" s="12" t="s">
        <v>124</v>
      </c>
      <c r="B256" s="12" t="s">
        <v>569</v>
      </c>
      <c r="C256" s="12" t="s">
        <v>555</v>
      </c>
      <c r="D256" s="13">
        <v>750</v>
      </c>
      <c r="E256" s="13">
        <v>736.62650899999994</v>
      </c>
      <c r="F256" s="13">
        <v>846.50166000000002</v>
      </c>
      <c r="G256" s="13">
        <v>800.43597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x14ac:dyDescent="0.2">
      <c r="A257" s="12" t="s">
        <v>124</v>
      </c>
      <c r="B257" s="12" t="s">
        <v>569</v>
      </c>
      <c r="C257" s="12" t="s">
        <v>556</v>
      </c>
      <c r="D257" s="13">
        <v>-122</v>
      </c>
      <c r="E257" s="13">
        <v>-101.207701</v>
      </c>
      <c r="F257" s="13">
        <v>-300.81681099999997</v>
      </c>
      <c r="G257" s="13">
        <v>-286.48016999999999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 x14ac:dyDescent="0.2">
      <c r="A258" s="12" t="s">
        <v>124</v>
      </c>
      <c r="B258" s="12" t="s">
        <v>569</v>
      </c>
      <c r="C258" s="12" t="s">
        <v>557</v>
      </c>
      <c r="D258" s="13">
        <v>633</v>
      </c>
      <c r="E258" s="13">
        <v>635.85027099999991</v>
      </c>
      <c r="F258" s="13">
        <v>541.16846799999996</v>
      </c>
      <c r="G258" s="13">
        <v>509.45589100000001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 x14ac:dyDescent="0.2">
      <c r="A259" s="12" t="s">
        <v>124</v>
      </c>
      <c r="B259" s="12" t="s">
        <v>569</v>
      </c>
      <c r="C259" s="12" t="s">
        <v>558</v>
      </c>
      <c r="D259" s="13">
        <v>-170</v>
      </c>
      <c r="E259" s="13">
        <v>-140.80923100000001</v>
      </c>
      <c r="F259" s="13">
        <v>-139.53267099999999</v>
      </c>
      <c r="G259" s="13">
        <v>-111.30335599999999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x14ac:dyDescent="0.2">
      <c r="A260" s="12" t="s">
        <v>124</v>
      </c>
      <c r="B260" s="12" t="s">
        <v>569</v>
      </c>
      <c r="C260" s="12" t="s">
        <v>560</v>
      </c>
      <c r="D260" s="13">
        <v>0</v>
      </c>
      <c r="E260" s="13">
        <v>0</v>
      </c>
      <c r="F260" s="13">
        <v>0</v>
      </c>
      <c r="G260" s="13">
        <v>0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x14ac:dyDescent="0.2">
      <c r="A261" s="12" t="s">
        <v>124</v>
      </c>
      <c r="B261" s="12" t="s">
        <v>569</v>
      </c>
      <c r="C261" s="12" t="s">
        <v>561</v>
      </c>
      <c r="D261" s="13">
        <v>428</v>
      </c>
      <c r="E261" s="13">
        <v>467.74062099999998</v>
      </c>
      <c r="F261" s="13">
        <v>382.47857800000003</v>
      </c>
      <c r="G261" s="13">
        <v>374.90454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x14ac:dyDescent="0.2">
      <c r="A262" s="12" t="s">
        <v>124</v>
      </c>
      <c r="B262" s="12" t="s">
        <v>569</v>
      </c>
      <c r="C262" s="12" t="s">
        <v>562</v>
      </c>
      <c r="D262" s="13">
        <v>161</v>
      </c>
      <c r="E262" s="13">
        <v>168.56558799999999</v>
      </c>
      <c r="F262" s="13">
        <v>144.807931</v>
      </c>
      <c r="G262" s="13">
        <v>142.434898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x14ac:dyDescent="0.2">
      <c r="A263" s="12" t="s">
        <v>124</v>
      </c>
      <c r="B263" s="12" t="s">
        <v>569</v>
      </c>
      <c r="C263" s="12" t="s">
        <v>563</v>
      </c>
      <c r="D263" s="13">
        <v>3</v>
      </c>
      <c r="E263" s="13">
        <v>4.2392690000000002</v>
      </c>
      <c r="F263" s="13">
        <v>3.6281720000000002</v>
      </c>
      <c r="G263" s="13">
        <v>3.6680389999999998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x14ac:dyDescent="0.2">
      <c r="A264" s="12" t="s">
        <v>124</v>
      </c>
      <c r="B264" s="12" t="s">
        <v>569</v>
      </c>
      <c r="C264" s="12" t="s">
        <v>564</v>
      </c>
      <c r="D264" s="13">
        <v>130</v>
      </c>
      <c r="E264" s="13">
        <v>152.74791200000001</v>
      </c>
      <c r="F264" s="13">
        <v>121.46364</v>
      </c>
      <c r="G264" s="13">
        <v>119.301388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 x14ac:dyDescent="0.2">
      <c r="A265" s="12" t="s">
        <v>124</v>
      </c>
      <c r="B265" s="12" t="s">
        <v>569</v>
      </c>
      <c r="C265" s="12" t="s">
        <v>565</v>
      </c>
      <c r="D265" s="13">
        <v>71</v>
      </c>
      <c r="E265" s="13">
        <v>82.229400999999996</v>
      </c>
      <c r="F265" s="13">
        <v>64.876948999999996</v>
      </c>
      <c r="G265" s="13">
        <v>59.518711000000003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 x14ac:dyDescent="0.2">
      <c r="A266" s="12" t="s">
        <v>124</v>
      </c>
      <c r="B266" s="12" t="s">
        <v>569</v>
      </c>
      <c r="C266" s="12" t="s">
        <v>566</v>
      </c>
      <c r="D266" s="13">
        <v>63</v>
      </c>
      <c r="E266" s="13">
        <v>59.958450999999997</v>
      </c>
      <c r="F266" s="13">
        <v>47.701891000000003</v>
      </c>
      <c r="G266" s="13">
        <v>49.981499999999997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 x14ac:dyDescent="0.2">
      <c r="A267" s="12" t="s">
        <v>124</v>
      </c>
      <c r="B267" s="12" t="s">
        <v>570</v>
      </c>
      <c r="C267" s="12" t="s">
        <v>554</v>
      </c>
      <c r="D267" s="13">
        <v>376</v>
      </c>
      <c r="E267" s="13">
        <v>549.01309100000003</v>
      </c>
      <c r="F267" s="13">
        <v>478.68108899999999</v>
      </c>
      <c r="G267" s="13">
        <v>359.21345600000001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 x14ac:dyDescent="0.2">
      <c r="A268" s="12" t="s">
        <v>124</v>
      </c>
      <c r="B268" s="12" t="s">
        <v>570</v>
      </c>
      <c r="C268" s="12" t="s">
        <v>555</v>
      </c>
      <c r="D268" s="13">
        <v>0</v>
      </c>
      <c r="E268" s="13">
        <v>0</v>
      </c>
      <c r="F268" s="13">
        <v>0</v>
      </c>
      <c r="G268" s="13">
        <v>0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 x14ac:dyDescent="0.2">
      <c r="A269" s="12" t="s">
        <v>124</v>
      </c>
      <c r="B269" s="12" t="s">
        <v>570</v>
      </c>
      <c r="C269" s="12" t="s">
        <v>556</v>
      </c>
      <c r="D269" s="13">
        <v>0</v>
      </c>
      <c r="E269" s="13">
        <v>0</v>
      </c>
      <c r="F269" s="13">
        <v>0</v>
      </c>
      <c r="G269" s="13">
        <v>0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 x14ac:dyDescent="0.2">
      <c r="A270" s="12" t="s">
        <v>124</v>
      </c>
      <c r="B270" s="12" t="s">
        <v>570</v>
      </c>
      <c r="C270" s="12" t="s">
        <v>557</v>
      </c>
      <c r="D270" s="13">
        <v>376</v>
      </c>
      <c r="E270" s="13">
        <v>549.01309100000003</v>
      </c>
      <c r="F270" s="13">
        <v>478.68108899999999</v>
      </c>
      <c r="G270" s="13">
        <v>359.21345600000001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 x14ac:dyDescent="0.2">
      <c r="A271" s="12" t="s">
        <v>124</v>
      </c>
      <c r="B271" s="12" t="s">
        <v>570</v>
      </c>
      <c r="C271" s="12" t="s">
        <v>558</v>
      </c>
      <c r="D271" s="13">
        <v>-376</v>
      </c>
      <c r="E271" s="13">
        <v>-549.01309100000003</v>
      </c>
      <c r="F271" s="13">
        <v>-478.68108899999999</v>
      </c>
      <c r="G271" s="13">
        <v>-359.21345600000001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 x14ac:dyDescent="0.2">
      <c r="A272" s="12" t="s">
        <v>124</v>
      </c>
      <c r="B272" s="12" t="s">
        <v>570</v>
      </c>
      <c r="C272" s="12" t="s">
        <v>560</v>
      </c>
      <c r="D272" s="13">
        <v>0</v>
      </c>
      <c r="E272" s="13">
        <v>0</v>
      </c>
      <c r="F272" s="13">
        <v>0</v>
      </c>
      <c r="G272" s="13">
        <v>0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 x14ac:dyDescent="0.2">
      <c r="A273" s="12" t="s">
        <v>124</v>
      </c>
      <c r="B273" s="12" t="s">
        <v>570</v>
      </c>
      <c r="C273" s="12" t="s">
        <v>561</v>
      </c>
      <c r="D273" s="13">
        <v>0</v>
      </c>
      <c r="E273" s="13">
        <v>0</v>
      </c>
      <c r="F273" s="13">
        <v>0</v>
      </c>
      <c r="G273" s="13">
        <v>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 x14ac:dyDescent="0.2">
      <c r="A274" s="12" t="s">
        <v>124</v>
      </c>
      <c r="B274" s="12" t="s">
        <v>570</v>
      </c>
      <c r="C274" s="12" t="s">
        <v>562</v>
      </c>
      <c r="D274" s="13">
        <v>0</v>
      </c>
      <c r="E274" s="13">
        <v>0</v>
      </c>
      <c r="F274" s="13">
        <v>0</v>
      </c>
      <c r="G274" s="13">
        <v>0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 x14ac:dyDescent="0.2">
      <c r="A275" s="12" t="s">
        <v>124</v>
      </c>
      <c r="B275" s="12" t="s">
        <v>570</v>
      </c>
      <c r="C275" s="12" t="s">
        <v>563</v>
      </c>
      <c r="D275" s="13">
        <v>0</v>
      </c>
      <c r="E275" s="13">
        <v>0</v>
      </c>
      <c r="F275" s="13">
        <v>0</v>
      </c>
      <c r="G275" s="13">
        <v>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 x14ac:dyDescent="0.2">
      <c r="A276" s="12" t="s">
        <v>124</v>
      </c>
      <c r="B276" s="12" t="s">
        <v>570</v>
      </c>
      <c r="C276" s="12" t="s">
        <v>564</v>
      </c>
      <c r="D276" s="13">
        <v>0</v>
      </c>
      <c r="E276" s="13">
        <v>0</v>
      </c>
      <c r="F276" s="13">
        <v>0</v>
      </c>
      <c r="G276" s="13">
        <v>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 x14ac:dyDescent="0.2">
      <c r="A277" s="12" t="s">
        <v>124</v>
      </c>
      <c r="B277" s="12" t="s">
        <v>570</v>
      </c>
      <c r="C277" s="12" t="s">
        <v>565</v>
      </c>
      <c r="D277" s="13">
        <v>0</v>
      </c>
      <c r="E277" s="13">
        <v>0</v>
      </c>
      <c r="F277" s="13">
        <v>0</v>
      </c>
      <c r="G277" s="13">
        <v>0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 x14ac:dyDescent="0.2">
      <c r="A278" s="12" t="s">
        <v>124</v>
      </c>
      <c r="B278" s="12" t="s">
        <v>570</v>
      </c>
      <c r="C278" s="12" t="s">
        <v>566</v>
      </c>
      <c r="D278" s="13">
        <v>0</v>
      </c>
      <c r="E278" s="13">
        <v>0</v>
      </c>
      <c r="F278" s="13">
        <v>0</v>
      </c>
      <c r="G278" s="13">
        <v>0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 x14ac:dyDescent="0.2">
      <c r="A279" s="12" t="s">
        <v>124</v>
      </c>
      <c r="B279" s="12" t="s">
        <v>571</v>
      </c>
      <c r="C279" s="12" t="s">
        <v>554</v>
      </c>
      <c r="D279" s="13">
        <v>186</v>
      </c>
      <c r="E279" s="13">
        <v>192.343187</v>
      </c>
      <c r="F279" s="13">
        <v>195.91232199999999</v>
      </c>
      <c r="G279" s="13">
        <v>213.70645500000001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 x14ac:dyDescent="0.2">
      <c r="A280" s="12" t="s">
        <v>124</v>
      </c>
      <c r="B280" s="12" t="s">
        <v>571</v>
      </c>
      <c r="C280" s="12" t="s">
        <v>555</v>
      </c>
      <c r="D280" s="13">
        <v>59</v>
      </c>
      <c r="E280" s="13">
        <v>55.817162000000003</v>
      </c>
      <c r="F280" s="13">
        <v>64.204363999999998</v>
      </c>
      <c r="G280" s="13">
        <v>48.699764999999999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 x14ac:dyDescent="0.2">
      <c r="A281" s="12" t="s">
        <v>124</v>
      </c>
      <c r="B281" s="12" t="s">
        <v>571</v>
      </c>
      <c r="C281" s="12" t="s">
        <v>556</v>
      </c>
      <c r="D281" s="13">
        <v>-18</v>
      </c>
      <c r="E281" s="13">
        <v>-13.501989999999999</v>
      </c>
      <c r="F281" s="13">
        <v>-19.925350000000002</v>
      </c>
      <c r="G281" s="13">
        <v>-18.311886999999999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x14ac:dyDescent="0.2">
      <c r="A282" s="12" t="s">
        <v>124</v>
      </c>
      <c r="B282" s="12" t="s">
        <v>571</v>
      </c>
      <c r="C282" s="12" t="s">
        <v>557</v>
      </c>
      <c r="D282" s="13">
        <v>228</v>
      </c>
      <c r="E282" s="13">
        <v>234.65836200000001</v>
      </c>
      <c r="F282" s="13">
        <v>240.19133199999999</v>
      </c>
      <c r="G282" s="13">
        <v>244.09434200000001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x14ac:dyDescent="0.2">
      <c r="A283" s="12" t="s">
        <v>124</v>
      </c>
      <c r="B283" s="12" t="s">
        <v>571</v>
      </c>
      <c r="C283" s="12" t="s">
        <v>558</v>
      </c>
      <c r="D283" s="13">
        <v>-137</v>
      </c>
      <c r="E283" s="13">
        <v>-132.43940000000001</v>
      </c>
      <c r="F283" s="13">
        <v>-137.35311999999999</v>
      </c>
      <c r="G283" s="13">
        <v>-144.20245600000001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 x14ac:dyDescent="0.2">
      <c r="A284" s="12" t="s">
        <v>124</v>
      </c>
      <c r="B284" s="12" t="s">
        <v>571</v>
      </c>
      <c r="C284" s="12" t="s">
        <v>560</v>
      </c>
      <c r="D284" s="13">
        <v>0</v>
      </c>
      <c r="E284" s="13">
        <v>0</v>
      </c>
      <c r="F284" s="13">
        <v>0</v>
      </c>
      <c r="G284" s="13">
        <v>0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 x14ac:dyDescent="0.2">
      <c r="A285" s="12" t="s">
        <v>124</v>
      </c>
      <c r="B285" s="12" t="s">
        <v>571</v>
      </c>
      <c r="C285" s="12" t="s">
        <v>561</v>
      </c>
      <c r="D285" s="13">
        <v>90</v>
      </c>
      <c r="E285" s="13">
        <v>100.836851</v>
      </c>
      <c r="F285" s="13">
        <v>102.246442</v>
      </c>
      <c r="G285" s="13">
        <v>99.383872000000011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 x14ac:dyDescent="0.2">
      <c r="A286" s="12" t="s">
        <v>124</v>
      </c>
      <c r="B286" s="12" t="s">
        <v>571</v>
      </c>
      <c r="C286" s="12" t="s">
        <v>562</v>
      </c>
      <c r="D286" s="13">
        <v>32</v>
      </c>
      <c r="E286" s="13">
        <v>34.936527000000012</v>
      </c>
      <c r="F286" s="13">
        <v>34.834024999999997</v>
      </c>
      <c r="G286" s="13">
        <v>33.487056000000003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x14ac:dyDescent="0.2">
      <c r="A287" s="12" t="s">
        <v>124</v>
      </c>
      <c r="B287" s="12" t="s">
        <v>571</v>
      </c>
      <c r="C287" s="12" t="s">
        <v>563</v>
      </c>
      <c r="D287" s="13">
        <v>29</v>
      </c>
      <c r="E287" s="13">
        <v>32.325358000000001</v>
      </c>
      <c r="F287" s="13">
        <v>35.924410000000002</v>
      </c>
      <c r="G287" s="13">
        <v>34.091605000000001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x14ac:dyDescent="0.2">
      <c r="A288" s="12" t="s">
        <v>124</v>
      </c>
      <c r="B288" s="12" t="s">
        <v>571</v>
      </c>
      <c r="C288" s="12" t="s">
        <v>564</v>
      </c>
      <c r="D288" s="13">
        <v>23</v>
      </c>
      <c r="E288" s="13">
        <v>28.401259</v>
      </c>
      <c r="F288" s="13">
        <v>26.418361000000001</v>
      </c>
      <c r="G288" s="13">
        <v>27.157033999999999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x14ac:dyDescent="0.2">
      <c r="A289" s="12" t="s">
        <v>124</v>
      </c>
      <c r="B289" s="12" t="s">
        <v>571</v>
      </c>
      <c r="C289" s="12" t="s">
        <v>565</v>
      </c>
      <c r="D289" s="13">
        <v>4</v>
      </c>
      <c r="E289" s="13">
        <v>3.694299</v>
      </c>
      <c r="F289" s="13">
        <v>3.6305040000000002</v>
      </c>
      <c r="G289" s="13">
        <v>3.4019970000000002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 x14ac:dyDescent="0.2">
      <c r="A290" s="12" t="s">
        <v>124</v>
      </c>
      <c r="B290" s="12" t="s">
        <v>571</v>
      </c>
      <c r="C290" s="12" t="s">
        <v>566</v>
      </c>
      <c r="D290" s="13">
        <v>2</v>
      </c>
      <c r="E290" s="13">
        <v>1.4794020000000001</v>
      </c>
      <c r="F290" s="13">
        <v>1.4391290000000001</v>
      </c>
      <c r="G290" s="13">
        <v>1.2461800000000001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 x14ac:dyDescent="0.2">
      <c r="A291" s="12" t="s">
        <v>124</v>
      </c>
      <c r="B291" s="12" t="s">
        <v>572</v>
      </c>
      <c r="C291" s="12" t="s">
        <v>554</v>
      </c>
      <c r="D291" s="13">
        <v>0</v>
      </c>
      <c r="E291" s="13">
        <v>0</v>
      </c>
      <c r="F291" s="13">
        <v>0</v>
      </c>
      <c r="G291" s="13">
        <v>0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 x14ac:dyDescent="0.2">
      <c r="A292" s="12" t="s">
        <v>124</v>
      </c>
      <c r="B292" s="12" t="s">
        <v>572</v>
      </c>
      <c r="C292" s="12" t="s">
        <v>555</v>
      </c>
      <c r="D292" s="13">
        <v>49</v>
      </c>
      <c r="E292" s="13">
        <v>54.696958000000002</v>
      </c>
      <c r="F292" s="13">
        <v>58.858561999999999</v>
      </c>
      <c r="G292" s="13">
        <v>72.806039999999996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 x14ac:dyDescent="0.2">
      <c r="A293" s="12" t="s">
        <v>124</v>
      </c>
      <c r="B293" s="12" t="s">
        <v>572</v>
      </c>
      <c r="C293" s="12" t="s">
        <v>556</v>
      </c>
      <c r="D293" s="13">
        <v>-51</v>
      </c>
      <c r="E293" s="13">
        <v>-83.052357999999998</v>
      </c>
      <c r="F293" s="13">
        <v>-85.957558000000006</v>
      </c>
      <c r="G293" s="13">
        <v>-66.908158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 x14ac:dyDescent="0.2">
      <c r="A294" s="12" t="s">
        <v>124</v>
      </c>
      <c r="B294" s="12" t="s">
        <v>572</v>
      </c>
      <c r="C294" s="12" t="s">
        <v>557</v>
      </c>
      <c r="D294" s="13">
        <v>-1</v>
      </c>
      <c r="E294" s="13">
        <v>-28.355399999999999</v>
      </c>
      <c r="F294" s="13">
        <v>-27.099</v>
      </c>
      <c r="G294" s="13">
        <v>5.8978780000000004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 x14ac:dyDescent="0.2">
      <c r="A295" s="12" t="s">
        <v>124</v>
      </c>
      <c r="B295" s="12" t="s">
        <v>572</v>
      </c>
      <c r="C295" s="12" t="s">
        <v>558</v>
      </c>
      <c r="D295" s="13">
        <v>317</v>
      </c>
      <c r="E295" s="13">
        <v>356.587918</v>
      </c>
      <c r="F295" s="13">
        <v>339.04979800000001</v>
      </c>
      <c r="G295" s="13">
        <v>295.59528499999999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 x14ac:dyDescent="0.2">
      <c r="A296" s="12" t="s">
        <v>124</v>
      </c>
      <c r="B296" s="12" t="s">
        <v>572</v>
      </c>
      <c r="C296" s="12" t="s">
        <v>560</v>
      </c>
      <c r="D296" s="13">
        <v>0</v>
      </c>
      <c r="E296" s="13">
        <v>0</v>
      </c>
      <c r="F296" s="13">
        <v>0</v>
      </c>
      <c r="G296" s="13">
        <v>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 x14ac:dyDescent="0.2">
      <c r="A297" s="12" t="s">
        <v>124</v>
      </c>
      <c r="B297" s="12" t="s">
        <v>572</v>
      </c>
      <c r="C297" s="12" t="s">
        <v>561</v>
      </c>
      <c r="D297" s="13">
        <v>281</v>
      </c>
      <c r="E297" s="13">
        <v>287.57232199999999</v>
      </c>
      <c r="F297" s="13">
        <v>274.33872200000002</v>
      </c>
      <c r="G297" s="13">
        <v>266.18291900000003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 x14ac:dyDescent="0.2">
      <c r="A298" s="12" t="s">
        <v>124</v>
      </c>
      <c r="B298" s="12" t="s">
        <v>572</v>
      </c>
      <c r="C298" s="12" t="s">
        <v>562</v>
      </c>
      <c r="D298" s="13">
        <v>131</v>
      </c>
      <c r="E298" s="13">
        <v>135.82368199999999</v>
      </c>
      <c r="F298" s="13">
        <v>128.531879</v>
      </c>
      <c r="G298" s="13">
        <v>120.747601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 x14ac:dyDescent="0.2">
      <c r="A299" s="12" t="s">
        <v>124</v>
      </c>
      <c r="B299" s="12" t="s">
        <v>572</v>
      </c>
      <c r="C299" s="12" t="s">
        <v>563</v>
      </c>
      <c r="D299" s="13">
        <v>6</v>
      </c>
      <c r="E299" s="13">
        <v>6.6016789999999999</v>
      </c>
      <c r="F299" s="13">
        <v>8.0568019999999994</v>
      </c>
      <c r="G299" s="13">
        <v>9.3528000000000002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 x14ac:dyDescent="0.2">
      <c r="A300" s="12" t="s">
        <v>124</v>
      </c>
      <c r="B300" s="12" t="s">
        <v>572</v>
      </c>
      <c r="C300" s="12" t="s">
        <v>564</v>
      </c>
      <c r="D300" s="13">
        <v>63</v>
      </c>
      <c r="E300" s="13">
        <v>63.312480000000008</v>
      </c>
      <c r="F300" s="13">
        <v>58.392002000000012</v>
      </c>
      <c r="G300" s="13">
        <v>57.183482000000012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 x14ac:dyDescent="0.2">
      <c r="A301" s="12" t="s">
        <v>124</v>
      </c>
      <c r="B301" s="12" t="s">
        <v>572</v>
      </c>
      <c r="C301" s="12" t="s">
        <v>565</v>
      </c>
      <c r="D301" s="13">
        <v>74</v>
      </c>
      <c r="E301" s="13">
        <v>75.473278999999991</v>
      </c>
      <c r="F301" s="13">
        <v>74.919240000000002</v>
      </c>
      <c r="G301" s="13">
        <v>73.566358999999991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 x14ac:dyDescent="0.2">
      <c r="A302" s="12" t="s">
        <v>124</v>
      </c>
      <c r="B302" s="12" t="s">
        <v>572</v>
      </c>
      <c r="C302" s="12" t="s">
        <v>566</v>
      </c>
      <c r="D302" s="13">
        <v>7</v>
      </c>
      <c r="E302" s="13">
        <v>6.3612019999999996</v>
      </c>
      <c r="F302" s="13">
        <v>4.4387990000000004</v>
      </c>
      <c r="G302" s="13">
        <v>5.3326770000000003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 x14ac:dyDescent="0.2">
      <c r="A303" s="12" t="s">
        <v>124</v>
      </c>
      <c r="B303" s="12" t="s">
        <v>573</v>
      </c>
      <c r="C303" s="12" t="s">
        <v>554</v>
      </c>
      <c r="D303" s="13">
        <v>10</v>
      </c>
      <c r="E303" s="13">
        <v>9.678801</v>
      </c>
      <c r="F303" s="13">
        <v>9.431299000000001</v>
      </c>
      <c r="G303" s="13">
        <v>7.3247020000000003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 x14ac:dyDescent="0.2">
      <c r="A304" s="12" t="s">
        <v>124</v>
      </c>
      <c r="B304" s="12" t="s">
        <v>573</v>
      </c>
      <c r="C304" s="12" t="s">
        <v>555</v>
      </c>
      <c r="D304" s="13">
        <v>0</v>
      </c>
      <c r="E304" s="13">
        <v>0</v>
      </c>
      <c r="F304" s="13">
        <v>0</v>
      </c>
      <c r="G304" s="13">
        <v>0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1:19" x14ac:dyDescent="0.2">
      <c r="A305" s="12" t="s">
        <v>124</v>
      </c>
      <c r="B305" s="12" t="s">
        <v>573</v>
      </c>
      <c r="C305" s="12" t="s">
        <v>556</v>
      </c>
      <c r="D305" s="13">
        <v>0</v>
      </c>
      <c r="E305" s="13">
        <v>0</v>
      </c>
      <c r="F305" s="13">
        <v>0</v>
      </c>
      <c r="G305" s="13">
        <v>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1:19" x14ac:dyDescent="0.2">
      <c r="A306" s="12" t="s">
        <v>124</v>
      </c>
      <c r="B306" s="12" t="s">
        <v>573</v>
      </c>
      <c r="C306" s="12" t="s">
        <v>557</v>
      </c>
      <c r="D306" s="13">
        <v>10</v>
      </c>
      <c r="E306" s="13">
        <v>9.678801</v>
      </c>
      <c r="F306" s="13">
        <v>9.431299000000001</v>
      </c>
      <c r="G306" s="13">
        <v>7.3247020000000003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 x14ac:dyDescent="0.2">
      <c r="A307" s="12" t="s">
        <v>124</v>
      </c>
      <c r="B307" s="12" t="s">
        <v>573</v>
      </c>
      <c r="C307" s="12" t="s">
        <v>558</v>
      </c>
      <c r="D307" s="13">
        <v>20</v>
      </c>
      <c r="E307" s="13">
        <v>20.679898999999999</v>
      </c>
      <c r="F307" s="13">
        <v>17.928201000000001</v>
      </c>
      <c r="G307" s="13">
        <v>15.545097999999999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x14ac:dyDescent="0.2">
      <c r="A308" s="12" t="s">
        <v>124</v>
      </c>
      <c r="B308" s="12" t="s">
        <v>573</v>
      </c>
      <c r="C308" s="12" t="s">
        <v>560</v>
      </c>
      <c r="D308" s="13">
        <v>0</v>
      </c>
      <c r="E308" s="13">
        <v>0</v>
      </c>
      <c r="F308" s="13">
        <v>0</v>
      </c>
      <c r="G308" s="13">
        <v>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x14ac:dyDescent="0.2">
      <c r="A309" s="12" t="s">
        <v>124</v>
      </c>
      <c r="B309" s="12" t="s">
        <v>573</v>
      </c>
      <c r="C309" s="12" t="s">
        <v>561</v>
      </c>
      <c r="D309" s="13">
        <v>19</v>
      </c>
      <c r="E309" s="13">
        <v>19.082798</v>
      </c>
      <c r="F309" s="13">
        <v>16.597798000000001</v>
      </c>
      <c r="G309" s="13">
        <v>14.430698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1:19" x14ac:dyDescent="0.2">
      <c r="A310" s="12" t="s">
        <v>124</v>
      </c>
      <c r="B310" s="12" t="s">
        <v>573</v>
      </c>
      <c r="C310" s="12" t="s">
        <v>562</v>
      </c>
      <c r="D310" s="13">
        <v>15</v>
      </c>
      <c r="E310" s="13">
        <v>15.356097999999999</v>
      </c>
      <c r="F310" s="13">
        <v>13.0603</v>
      </c>
      <c r="G310" s="13">
        <v>10.371001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 x14ac:dyDescent="0.2">
      <c r="A311" s="12" t="s">
        <v>124</v>
      </c>
      <c r="B311" s="12" t="s">
        <v>573</v>
      </c>
      <c r="C311" s="12" t="s">
        <v>563</v>
      </c>
      <c r="D311" s="13">
        <v>0</v>
      </c>
      <c r="E311" s="13">
        <v>0</v>
      </c>
      <c r="F311" s="13">
        <v>0</v>
      </c>
      <c r="G311" s="13">
        <v>0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x14ac:dyDescent="0.2">
      <c r="A312" s="12" t="s">
        <v>124</v>
      </c>
      <c r="B312" s="12" t="s">
        <v>573</v>
      </c>
      <c r="C312" s="12" t="s">
        <v>564</v>
      </c>
      <c r="D312" s="13">
        <v>1</v>
      </c>
      <c r="E312" s="13">
        <v>0.64750099999999999</v>
      </c>
      <c r="F312" s="13">
        <v>0.466698</v>
      </c>
      <c r="G312" s="13">
        <v>0.46089999999999998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x14ac:dyDescent="0.2">
      <c r="A313" s="12" t="s">
        <v>124</v>
      </c>
      <c r="B313" s="12" t="s">
        <v>573</v>
      </c>
      <c r="C313" s="12" t="s">
        <v>565</v>
      </c>
      <c r="D313" s="13">
        <v>3</v>
      </c>
      <c r="E313" s="13">
        <v>3.033801</v>
      </c>
      <c r="F313" s="13">
        <v>3.0367989999999998</v>
      </c>
      <c r="G313" s="13">
        <v>3.5638000000000001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x14ac:dyDescent="0.2">
      <c r="A314" s="12" t="s">
        <v>124</v>
      </c>
      <c r="B314" s="12" t="s">
        <v>573</v>
      </c>
      <c r="C314" s="12" t="s">
        <v>566</v>
      </c>
      <c r="D314" s="13">
        <v>0</v>
      </c>
      <c r="E314" s="13">
        <v>4.5401999999999998E-2</v>
      </c>
      <c r="F314" s="13">
        <v>3.4001000000000003E-2</v>
      </c>
      <c r="G314" s="13">
        <v>3.5002000000000012E-2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 x14ac:dyDescent="0.2">
      <c r="A315" s="12" t="s">
        <v>124</v>
      </c>
      <c r="B315" s="12" t="s">
        <v>574</v>
      </c>
      <c r="C315" s="12" t="s">
        <v>554</v>
      </c>
      <c r="D315" s="13">
        <v>574</v>
      </c>
      <c r="E315" s="13">
        <v>752.47049500000003</v>
      </c>
      <c r="F315" s="13">
        <v>685.62208200000009</v>
      </c>
      <c r="G315" s="13">
        <v>581.88210900000001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 x14ac:dyDescent="0.2">
      <c r="A316" s="12" t="s">
        <v>124</v>
      </c>
      <c r="B316" s="12" t="s">
        <v>574</v>
      </c>
      <c r="C316" s="12" t="s">
        <v>555</v>
      </c>
      <c r="D316" s="13">
        <v>3209</v>
      </c>
      <c r="E316" s="13">
        <v>3389.4001459999999</v>
      </c>
      <c r="F316" s="13">
        <v>3430.3065809999998</v>
      </c>
      <c r="G316" s="13">
        <v>3415.3196539999999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 x14ac:dyDescent="0.2">
      <c r="A317" s="12" t="s">
        <v>124</v>
      </c>
      <c r="B317" s="12" t="s">
        <v>574</v>
      </c>
      <c r="C317" s="12" t="s">
        <v>556</v>
      </c>
      <c r="D317" s="13">
        <v>-1321</v>
      </c>
      <c r="E317" s="13">
        <v>-1482.4919709999999</v>
      </c>
      <c r="F317" s="13">
        <v>-1576.8212490000001</v>
      </c>
      <c r="G317" s="13">
        <v>-1633.606759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 x14ac:dyDescent="0.2">
      <c r="A318" s="12" t="s">
        <v>124</v>
      </c>
      <c r="B318" s="12" t="s">
        <v>574</v>
      </c>
      <c r="C318" s="12" t="s">
        <v>557</v>
      </c>
      <c r="D318" s="13">
        <v>2119</v>
      </c>
      <c r="E318" s="13">
        <v>2339.8760790000001</v>
      </c>
      <c r="F318" s="13">
        <v>2136.288583</v>
      </c>
      <c r="G318" s="13">
        <v>1998.001129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 x14ac:dyDescent="0.2">
      <c r="A319" s="12" t="s">
        <v>124</v>
      </c>
      <c r="B319" s="12" t="s">
        <v>574</v>
      </c>
      <c r="C319" s="12" t="s">
        <v>558</v>
      </c>
      <c r="D319" s="13">
        <v>-362</v>
      </c>
      <c r="E319" s="13">
        <v>-463.50887899999998</v>
      </c>
      <c r="F319" s="13">
        <v>-419.91588999999999</v>
      </c>
      <c r="G319" s="13">
        <v>-320.35602099999988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1:19" x14ac:dyDescent="0.2">
      <c r="A320" s="12" t="s">
        <v>124</v>
      </c>
      <c r="B320" s="12" t="s">
        <v>574</v>
      </c>
      <c r="C320" s="12" t="s">
        <v>560</v>
      </c>
      <c r="D320" s="13">
        <v>-16</v>
      </c>
      <c r="E320" s="13">
        <v>-19.240577999999999</v>
      </c>
      <c r="F320" s="13">
        <v>-22.068552</v>
      </c>
      <c r="G320" s="13">
        <v>-19.823895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1:19" x14ac:dyDescent="0.2">
      <c r="A321" s="12" t="s">
        <v>124</v>
      </c>
      <c r="B321" s="12" t="s">
        <v>574</v>
      </c>
      <c r="C321" s="12" t="s">
        <v>561</v>
      </c>
      <c r="D321" s="13">
        <v>1588</v>
      </c>
      <c r="E321" s="13">
        <v>1693.444056</v>
      </c>
      <c r="F321" s="13">
        <v>1544.474618</v>
      </c>
      <c r="G321" s="13">
        <v>1516.4477899999999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 x14ac:dyDescent="0.2">
      <c r="A322" s="12" t="s">
        <v>124</v>
      </c>
      <c r="B322" s="12" t="s">
        <v>574</v>
      </c>
      <c r="C322" s="12" t="s">
        <v>562</v>
      </c>
      <c r="D322" s="13">
        <v>442</v>
      </c>
      <c r="E322" s="13">
        <v>463.80771299999998</v>
      </c>
      <c r="F322" s="13">
        <v>425.55579699999998</v>
      </c>
      <c r="G322" s="13">
        <v>401.37962700000003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 x14ac:dyDescent="0.2">
      <c r="A323" s="12" t="s">
        <v>124</v>
      </c>
      <c r="B323" s="12" t="s">
        <v>574</v>
      </c>
      <c r="C323" s="12" t="s">
        <v>563</v>
      </c>
      <c r="D323" s="13">
        <v>322</v>
      </c>
      <c r="E323" s="13">
        <v>355.58260899999999</v>
      </c>
      <c r="F323" s="13">
        <v>363.47531700000002</v>
      </c>
      <c r="G323" s="13">
        <v>368.76629800000001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 x14ac:dyDescent="0.2">
      <c r="A324" s="12" t="s">
        <v>124</v>
      </c>
      <c r="B324" s="12" t="s">
        <v>574</v>
      </c>
      <c r="C324" s="12" t="s">
        <v>564</v>
      </c>
      <c r="D324" s="13">
        <v>312</v>
      </c>
      <c r="E324" s="13">
        <v>335.70016099999998</v>
      </c>
      <c r="F324" s="13">
        <v>285.14324099999999</v>
      </c>
      <c r="G324" s="13">
        <v>280.010559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 x14ac:dyDescent="0.2">
      <c r="A325" s="12" t="s">
        <v>124</v>
      </c>
      <c r="B325" s="12" t="s">
        <v>574</v>
      </c>
      <c r="C325" s="12" t="s">
        <v>565</v>
      </c>
      <c r="D325" s="13">
        <v>179</v>
      </c>
      <c r="E325" s="13">
        <v>186.74595500000001</v>
      </c>
      <c r="F325" s="13">
        <v>164.81399300000001</v>
      </c>
      <c r="G325" s="13">
        <v>158.37633199999999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1:19" x14ac:dyDescent="0.2">
      <c r="A326" s="12" t="s">
        <v>124</v>
      </c>
      <c r="B326" s="12" t="s">
        <v>574</v>
      </c>
      <c r="C326" s="12" t="s">
        <v>566</v>
      </c>
      <c r="D326" s="13">
        <v>334</v>
      </c>
      <c r="E326" s="13">
        <v>351.60760199999999</v>
      </c>
      <c r="F326" s="13">
        <v>305.48626999999999</v>
      </c>
      <c r="G326" s="13">
        <v>307.91496500000011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1:19" x14ac:dyDescent="0.2">
      <c r="A327" s="12" t="s">
        <v>162</v>
      </c>
      <c r="B327" s="12" t="s">
        <v>553</v>
      </c>
      <c r="C327" s="12" t="s">
        <v>554</v>
      </c>
      <c r="D327" s="13">
        <v>1024</v>
      </c>
      <c r="E327" s="13">
        <v>1051.0140240000001</v>
      </c>
      <c r="F327" s="13">
        <v>1096.9324019999999</v>
      </c>
      <c r="G327" s="13">
        <v>1131.250965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 x14ac:dyDescent="0.2">
      <c r="A328" s="12" t="s">
        <v>162</v>
      </c>
      <c r="B328" s="12" t="s">
        <v>553</v>
      </c>
      <c r="C328" s="12" t="s">
        <v>555</v>
      </c>
      <c r="D328" s="13">
        <v>195</v>
      </c>
      <c r="E328" s="13">
        <v>197.54789</v>
      </c>
      <c r="F328" s="13">
        <v>172.04443800000001</v>
      </c>
      <c r="G328" s="13">
        <v>194.96543399999999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 x14ac:dyDescent="0.2">
      <c r="A329" s="12" t="s">
        <v>162</v>
      </c>
      <c r="B329" s="12" t="s">
        <v>553</v>
      </c>
      <c r="C329" s="12" t="s">
        <v>556</v>
      </c>
      <c r="D329" s="13">
        <v>-803</v>
      </c>
      <c r="E329" s="13">
        <v>-798.58669400000008</v>
      </c>
      <c r="F329" s="13">
        <v>-925.8023270000001</v>
      </c>
      <c r="G329" s="13">
        <v>-979.54075100000011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 x14ac:dyDescent="0.2">
      <c r="A330" s="12" t="s">
        <v>162</v>
      </c>
      <c r="B330" s="12" t="s">
        <v>553</v>
      </c>
      <c r="C330" s="12" t="s">
        <v>557</v>
      </c>
      <c r="D330" s="13">
        <v>409</v>
      </c>
      <c r="E330" s="13">
        <v>469.42834900000003</v>
      </c>
      <c r="F330" s="13">
        <v>335.47378500000002</v>
      </c>
      <c r="G330" s="13">
        <v>355.10654399999999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1:19" x14ac:dyDescent="0.2">
      <c r="A331" s="12" t="s">
        <v>162</v>
      </c>
      <c r="B331" s="12" t="s">
        <v>553</v>
      </c>
      <c r="C331" s="12" t="s">
        <v>558</v>
      </c>
      <c r="D331" s="13">
        <v>-354</v>
      </c>
      <c r="E331" s="13">
        <v>-316.68149199999999</v>
      </c>
      <c r="F331" s="13">
        <v>-247.44844699999999</v>
      </c>
      <c r="G331" s="13">
        <v>-224.53729200000001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1:19" x14ac:dyDescent="0.2">
      <c r="A332" s="12" t="s">
        <v>162</v>
      </c>
      <c r="B332" s="12" t="s">
        <v>553</v>
      </c>
      <c r="C332" s="12" t="s">
        <v>560</v>
      </c>
      <c r="D332" s="13">
        <v>0</v>
      </c>
      <c r="E332" s="13">
        <v>0</v>
      </c>
      <c r="F332" s="13">
        <v>0</v>
      </c>
      <c r="G332" s="13">
        <v>0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x14ac:dyDescent="0.2">
      <c r="A333" s="12" t="s">
        <v>162</v>
      </c>
      <c r="B333" s="12" t="s">
        <v>553</v>
      </c>
      <c r="C333" s="12" t="s">
        <v>561</v>
      </c>
      <c r="D333" s="13">
        <v>90</v>
      </c>
      <c r="E333" s="13">
        <v>88.872015000000005</v>
      </c>
      <c r="F333" s="13">
        <v>83.247065000000006</v>
      </c>
      <c r="G333" s="13">
        <v>80.902838000000003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x14ac:dyDescent="0.2">
      <c r="A334" s="12" t="s">
        <v>162</v>
      </c>
      <c r="B334" s="12" t="s">
        <v>553</v>
      </c>
      <c r="C334" s="12" t="s">
        <v>562</v>
      </c>
      <c r="D334" s="13">
        <v>86</v>
      </c>
      <c r="E334" s="13">
        <v>84.938034000000002</v>
      </c>
      <c r="F334" s="13">
        <v>79.593035999999998</v>
      </c>
      <c r="G334" s="13">
        <v>77.371909000000002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 x14ac:dyDescent="0.2">
      <c r="A335" s="12" t="s">
        <v>162</v>
      </c>
      <c r="B335" s="12" t="s">
        <v>553</v>
      </c>
      <c r="C335" s="12" t="s">
        <v>563</v>
      </c>
      <c r="D335" s="13">
        <v>0</v>
      </c>
      <c r="E335" s="13">
        <v>0</v>
      </c>
      <c r="F335" s="13">
        <v>0</v>
      </c>
      <c r="G335" s="13">
        <v>0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x14ac:dyDescent="0.2">
      <c r="A336" s="12" t="s">
        <v>162</v>
      </c>
      <c r="B336" s="12" t="s">
        <v>553</v>
      </c>
      <c r="C336" s="12" t="s">
        <v>564</v>
      </c>
      <c r="D336" s="13">
        <v>0</v>
      </c>
      <c r="E336" s="13">
        <v>0</v>
      </c>
      <c r="F336" s="13">
        <v>0</v>
      </c>
      <c r="G336" s="13">
        <v>0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x14ac:dyDescent="0.2">
      <c r="A337" s="12" t="s">
        <v>162</v>
      </c>
      <c r="B337" s="12" t="s">
        <v>553</v>
      </c>
      <c r="C337" s="12" t="s">
        <v>565</v>
      </c>
      <c r="D337" s="13">
        <v>0</v>
      </c>
      <c r="E337" s="13">
        <v>0</v>
      </c>
      <c r="F337" s="13">
        <v>0</v>
      </c>
      <c r="G337" s="13">
        <v>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x14ac:dyDescent="0.2">
      <c r="A338" s="12" t="s">
        <v>162</v>
      </c>
      <c r="B338" s="12" t="s">
        <v>553</v>
      </c>
      <c r="C338" s="12" t="s">
        <v>566</v>
      </c>
      <c r="D338" s="13">
        <v>5</v>
      </c>
      <c r="E338" s="13">
        <v>3.933984000000001</v>
      </c>
      <c r="F338" s="13">
        <v>3.6540300000000001</v>
      </c>
      <c r="G338" s="13">
        <v>3.5309249999999999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 x14ac:dyDescent="0.2">
      <c r="A339" s="12" t="s">
        <v>162</v>
      </c>
      <c r="B339" s="12" t="s">
        <v>567</v>
      </c>
      <c r="C339" s="12" t="s">
        <v>554</v>
      </c>
      <c r="D339" s="13">
        <v>11091</v>
      </c>
      <c r="E339" s="13">
        <v>11711.960333000001</v>
      </c>
      <c r="F339" s="13">
        <v>12115.194009000001</v>
      </c>
      <c r="G339" s="13">
        <v>12325.925719000001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 x14ac:dyDescent="0.2">
      <c r="A340" s="12" t="s">
        <v>162</v>
      </c>
      <c r="B340" s="12" t="s">
        <v>567</v>
      </c>
      <c r="C340" s="12" t="s">
        <v>555</v>
      </c>
      <c r="D340" s="13">
        <v>1749</v>
      </c>
      <c r="E340" s="13">
        <v>1497.7599789999999</v>
      </c>
      <c r="F340" s="13">
        <v>1420.038137</v>
      </c>
      <c r="G340" s="13">
        <v>1376.1321700000001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x14ac:dyDescent="0.2">
      <c r="A341" s="12" t="s">
        <v>162</v>
      </c>
      <c r="B341" s="12" t="s">
        <v>567</v>
      </c>
      <c r="C341" s="12" t="s">
        <v>556</v>
      </c>
      <c r="D341" s="13">
        <v>-8214</v>
      </c>
      <c r="E341" s="13">
        <v>-8589.8962169999995</v>
      </c>
      <c r="F341" s="13">
        <v>-8768.1533180000006</v>
      </c>
      <c r="G341" s="13">
        <v>-8923.1115879999998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 x14ac:dyDescent="0.2">
      <c r="A342" s="12" t="s">
        <v>162</v>
      </c>
      <c r="B342" s="12" t="s">
        <v>567</v>
      </c>
      <c r="C342" s="12" t="s">
        <v>557</v>
      </c>
      <c r="D342" s="13">
        <v>4553</v>
      </c>
      <c r="E342" s="13">
        <v>4640.0756960000008</v>
      </c>
      <c r="F342" s="13">
        <v>4776.7873849999996</v>
      </c>
      <c r="G342" s="13">
        <v>4786.9794299999994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x14ac:dyDescent="0.2">
      <c r="A343" s="12" t="s">
        <v>162</v>
      </c>
      <c r="B343" s="12" t="s">
        <v>567</v>
      </c>
      <c r="C343" s="12" t="s">
        <v>558</v>
      </c>
      <c r="D343" s="13">
        <v>0</v>
      </c>
      <c r="E343" s="13">
        <v>0</v>
      </c>
      <c r="F343" s="13">
        <v>0</v>
      </c>
      <c r="G343" s="13">
        <v>0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 x14ac:dyDescent="0.2">
      <c r="A344" s="12" t="s">
        <v>162</v>
      </c>
      <c r="B344" s="12" t="s">
        <v>567</v>
      </c>
      <c r="C344" s="12" t="s">
        <v>560</v>
      </c>
      <c r="D344" s="13">
        <v>-4252</v>
      </c>
      <c r="E344" s="13">
        <v>-4428.7991840000004</v>
      </c>
      <c r="F344" s="13">
        <v>-4687.8013179999998</v>
      </c>
      <c r="G344" s="13">
        <v>-4810.887385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 x14ac:dyDescent="0.2">
      <c r="A345" s="12" t="s">
        <v>162</v>
      </c>
      <c r="B345" s="12" t="s">
        <v>567</v>
      </c>
      <c r="C345" s="12" t="s">
        <v>561</v>
      </c>
      <c r="D345" s="13">
        <v>0</v>
      </c>
      <c r="E345" s="13">
        <v>0</v>
      </c>
      <c r="F345" s="13">
        <v>0</v>
      </c>
      <c r="G345" s="13">
        <v>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1:19" x14ac:dyDescent="0.2">
      <c r="A346" s="12" t="s">
        <v>162</v>
      </c>
      <c r="B346" s="12" t="s">
        <v>567</v>
      </c>
      <c r="C346" s="12" t="s">
        <v>562</v>
      </c>
      <c r="D346" s="13">
        <v>0</v>
      </c>
      <c r="E346" s="13">
        <v>0</v>
      </c>
      <c r="F346" s="13">
        <v>0</v>
      </c>
      <c r="G346" s="13">
        <v>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1:19" x14ac:dyDescent="0.2">
      <c r="A347" s="12" t="s">
        <v>162</v>
      </c>
      <c r="B347" s="12" t="s">
        <v>567</v>
      </c>
      <c r="C347" s="12" t="s">
        <v>563</v>
      </c>
      <c r="D347" s="13">
        <v>0</v>
      </c>
      <c r="E347" s="13">
        <v>0</v>
      </c>
      <c r="F347" s="13">
        <v>0</v>
      </c>
      <c r="G347" s="13">
        <v>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 x14ac:dyDescent="0.2">
      <c r="A348" s="12" t="s">
        <v>162</v>
      </c>
      <c r="B348" s="12" t="s">
        <v>567</v>
      </c>
      <c r="C348" s="12" t="s">
        <v>564</v>
      </c>
      <c r="D348" s="13">
        <v>0</v>
      </c>
      <c r="E348" s="13">
        <v>0</v>
      </c>
      <c r="F348" s="13">
        <v>0</v>
      </c>
      <c r="G348" s="13">
        <v>0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 x14ac:dyDescent="0.2">
      <c r="A349" s="12" t="s">
        <v>162</v>
      </c>
      <c r="B349" s="12" t="s">
        <v>567</v>
      </c>
      <c r="C349" s="12" t="s">
        <v>565</v>
      </c>
      <c r="D349" s="13">
        <v>0</v>
      </c>
      <c r="E349" s="13">
        <v>0</v>
      </c>
      <c r="F349" s="13">
        <v>0</v>
      </c>
      <c r="G349" s="13">
        <v>0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 x14ac:dyDescent="0.2">
      <c r="A350" s="12" t="s">
        <v>162</v>
      </c>
      <c r="B350" s="12" t="s">
        <v>567</v>
      </c>
      <c r="C350" s="12" t="s">
        <v>566</v>
      </c>
      <c r="D350" s="13">
        <v>0</v>
      </c>
      <c r="E350" s="13">
        <v>0</v>
      </c>
      <c r="F350" s="13">
        <v>0</v>
      </c>
      <c r="G350" s="13">
        <v>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 x14ac:dyDescent="0.2">
      <c r="A351" s="12" t="s">
        <v>162</v>
      </c>
      <c r="B351" s="12" t="s">
        <v>568</v>
      </c>
      <c r="C351" s="12" t="s">
        <v>554</v>
      </c>
      <c r="D351" s="13">
        <v>0</v>
      </c>
      <c r="E351" s="13">
        <v>0</v>
      </c>
      <c r="F351" s="13">
        <v>0</v>
      </c>
      <c r="G351" s="13">
        <v>0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 x14ac:dyDescent="0.2">
      <c r="A352" s="12" t="s">
        <v>162</v>
      </c>
      <c r="B352" s="12" t="s">
        <v>568</v>
      </c>
      <c r="C352" s="12" t="s">
        <v>555</v>
      </c>
      <c r="D352" s="13">
        <v>413</v>
      </c>
      <c r="E352" s="13">
        <v>439.84196300000002</v>
      </c>
      <c r="F352" s="13">
        <v>464.51160599999997</v>
      </c>
      <c r="G352" s="13">
        <v>470.61526099999998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spans="1:19" x14ac:dyDescent="0.2">
      <c r="A353" s="12" t="s">
        <v>162</v>
      </c>
      <c r="B353" s="12" t="s">
        <v>568</v>
      </c>
      <c r="C353" s="12" t="s">
        <v>556</v>
      </c>
      <c r="D353" s="13">
        <v>-948</v>
      </c>
      <c r="E353" s="13">
        <v>-1010.879422</v>
      </c>
      <c r="F353" s="13">
        <v>-959.679079</v>
      </c>
      <c r="G353" s="13">
        <v>-1002.246638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spans="1:19" x14ac:dyDescent="0.2">
      <c r="A354" s="12" t="s">
        <v>162</v>
      </c>
      <c r="B354" s="12" t="s">
        <v>568</v>
      </c>
      <c r="C354" s="12" t="s">
        <v>557</v>
      </c>
      <c r="D354" s="13">
        <v>-635</v>
      </c>
      <c r="E354" s="13">
        <v>-664.946956</v>
      </c>
      <c r="F354" s="13">
        <v>-662.893507</v>
      </c>
      <c r="G354" s="13">
        <v>-747.79947500000003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 x14ac:dyDescent="0.2">
      <c r="A355" s="12" t="s">
        <v>162</v>
      </c>
      <c r="B355" s="12" t="s">
        <v>568</v>
      </c>
      <c r="C355" s="12" t="s">
        <v>558</v>
      </c>
      <c r="D355" s="13">
        <v>-58</v>
      </c>
      <c r="E355" s="13">
        <v>-53.676802000000002</v>
      </c>
      <c r="F355" s="13">
        <v>-71.425597999999994</v>
      </c>
      <c r="G355" s="13">
        <v>-58.013996000000013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 x14ac:dyDescent="0.2">
      <c r="A356" s="12" t="s">
        <v>162</v>
      </c>
      <c r="B356" s="12" t="s">
        <v>568</v>
      </c>
      <c r="C356" s="12" t="s">
        <v>560</v>
      </c>
      <c r="D356" s="13">
        <v>4078</v>
      </c>
      <c r="E356" s="13">
        <v>4213.7050429999999</v>
      </c>
      <c r="F356" s="13">
        <v>4452.8223010000002</v>
      </c>
      <c r="G356" s="13">
        <v>4595.295408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 x14ac:dyDescent="0.2">
      <c r="A357" s="12" t="s">
        <v>162</v>
      </c>
      <c r="B357" s="12" t="s">
        <v>568</v>
      </c>
      <c r="C357" s="12" t="s">
        <v>561</v>
      </c>
      <c r="D357" s="13">
        <v>3402</v>
      </c>
      <c r="E357" s="13">
        <v>3507.5529190000002</v>
      </c>
      <c r="F357" s="13">
        <v>3604.200546</v>
      </c>
      <c r="G357" s="13">
        <v>3623.0170010000002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x14ac:dyDescent="0.2">
      <c r="A358" s="12" t="s">
        <v>162</v>
      </c>
      <c r="B358" s="12" t="s">
        <v>568</v>
      </c>
      <c r="C358" s="12" t="s">
        <v>562</v>
      </c>
      <c r="D358" s="13">
        <v>206</v>
      </c>
      <c r="E358" s="13">
        <v>208.43880799999999</v>
      </c>
      <c r="F358" s="13">
        <v>211.11309299999999</v>
      </c>
      <c r="G358" s="13">
        <v>197.73871199999999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x14ac:dyDescent="0.2">
      <c r="A359" s="12" t="s">
        <v>162</v>
      </c>
      <c r="B359" s="12" t="s">
        <v>568</v>
      </c>
      <c r="C359" s="12" t="s">
        <v>563</v>
      </c>
      <c r="D359" s="13">
        <v>1975</v>
      </c>
      <c r="E359" s="13">
        <v>2073.054572</v>
      </c>
      <c r="F359" s="13">
        <v>2162.490808</v>
      </c>
      <c r="G359" s="13">
        <v>2180.4614999999999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 x14ac:dyDescent="0.2">
      <c r="A360" s="12" t="s">
        <v>162</v>
      </c>
      <c r="B360" s="12" t="s">
        <v>568</v>
      </c>
      <c r="C360" s="12" t="s">
        <v>564</v>
      </c>
      <c r="D360" s="13">
        <v>59</v>
      </c>
      <c r="E360" s="13">
        <v>55.020790000000012</v>
      </c>
      <c r="F360" s="13">
        <v>57.658055999999988</v>
      </c>
      <c r="G360" s="13">
        <v>51.195323999999999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x14ac:dyDescent="0.2">
      <c r="A361" s="12" t="s">
        <v>162</v>
      </c>
      <c r="B361" s="12" t="s">
        <v>568</v>
      </c>
      <c r="C361" s="12" t="s">
        <v>565</v>
      </c>
      <c r="D361" s="13">
        <v>53</v>
      </c>
      <c r="E361" s="13">
        <v>53.180745999999999</v>
      </c>
      <c r="F361" s="13">
        <v>56.799536000000003</v>
      </c>
      <c r="G361" s="13">
        <v>52.122838000000002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x14ac:dyDescent="0.2">
      <c r="A362" s="12" t="s">
        <v>162</v>
      </c>
      <c r="B362" s="12" t="s">
        <v>568</v>
      </c>
      <c r="C362" s="12" t="s">
        <v>566</v>
      </c>
      <c r="D362" s="13">
        <v>1109</v>
      </c>
      <c r="E362" s="13">
        <v>1117.857998</v>
      </c>
      <c r="F362" s="13">
        <v>1116.1390530000001</v>
      </c>
      <c r="G362" s="13">
        <v>1141.4986269999999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x14ac:dyDescent="0.2">
      <c r="A363" s="12" t="s">
        <v>162</v>
      </c>
      <c r="B363" s="12" t="s">
        <v>569</v>
      </c>
      <c r="C363" s="12" t="s">
        <v>554</v>
      </c>
      <c r="D363" s="13">
        <v>6488</v>
      </c>
      <c r="E363" s="13">
        <v>6696.7677010000007</v>
      </c>
      <c r="F363" s="13">
        <v>7201.4039990000001</v>
      </c>
      <c r="G363" s="13">
        <v>7360.8092989999996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x14ac:dyDescent="0.2">
      <c r="A364" s="12" t="s">
        <v>162</v>
      </c>
      <c r="B364" s="12" t="s">
        <v>569</v>
      </c>
      <c r="C364" s="12" t="s">
        <v>555</v>
      </c>
      <c r="D364" s="13">
        <v>837</v>
      </c>
      <c r="E364" s="13">
        <v>697.68720099999996</v>
      </c>
      <c r="F364" s="13">
        <v>737.37989800000003</v>
      </c>
      <c r="G364" s="13">
        <v>804.76919900000007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 x14ac:dyDescent="0.2">
      <c r="A365" s="12" t="s">
        <v>162</v>
      </c>
      <c r="B365" s="12" t="s">
        <v>569</v>
      </c>
      <c r="C365" s="12" t="s">
        <v>556</v>
      </c>
      <c r="D365" s="13">
        <v>-2508</v>
      </c>
      <c r="E365" s="13">
        <v>-2799.064801</v>
      </c>
      <c r="F365" s="13">
        <v>-3020.1416989999998</v>
      </c>
      <c r="G365" s="13">
        <v>-2915.9342980000001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 x14ac:dyDescent="0.2">
      <c r="A366" s="12" t="s">
        <v>162</v>
      </c>
      <c r="B366" s="12" t="s">
        <v>569</v>
      </c>
      <c r="C366" s="12" t="s">
        <v>557</v>
      </c>
      <c r="D366" s="13">
        <v>4704</v>
      </c>
      <c r="E366" s="13">
        <v>4694.2506020000001</v>
      </c>
      <c r="F366" s="13">
        <v>4977.7857010000007</v>
      </c>
      <c r="G366" s="13">
        <v>5003.9495999999999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spans="1:19" x14ac:dyDescent="0.2">
      <c r="A367" s="12" t="s">
        <v>162</v>
      </c>
      <c r="B367" s="12" t="s">
        <v>569</v>
      </c>
      <c r="C367" s="12" t="s">
        <v>558</v>
      </c>
      <c r="D367" s="13">
        <v>-692</v>
      </c>
      <c r="E367" s="13">
        <v>-740.20769999999993</v>
      </c>
      <c r="F367" s="13">
        <v>-788.03459700000008</v>
      </c>
      <c r="G367" s="13">
        <v>-888.67620100000011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spans="1:19" x14ac:dyDescent="0.2">
      <c r="A368" s="12" t="s">
        <v>162</v>
      </c>
      <c r="B368" s="12" t="s">
        <v>569</v>
      </c>
      <c r="C368" s="12" t="s">
        <v>560</v>
      </c>
      <c r="D368" s="13">
        <v>0</v>
      </c>
      <c r="E368" s="13">
        <v>0</v>
      </c>
      <c r="F368" s="13">
        <v>0</v>
      </c>
      <c r="G368" s="13">
        <v>0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spans="1:19" x14ac:dyDescent="0.2">
      <c r="A369" s="12" t="s">
        <v>162</v>
      </c>
      <c r="B369" s="12" t="s">
        <v>569</v>
      </c>
      <c r="C369" s="12" t="s">
        <v>561</v>
      </c>
      <c r="D369" s="13">
        <v>2090</v>
      </c>
      <c r="E369" s="13">
        <v>2083.6016989999998</v>
      </c>
      <c r="F369" s="13">
        <v>2203.5374999999999</v>
      </c>
      <c r="G369" s="13">
        <v>2125.1727000000001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spans="1:19" x14ac:dyDescent="0.2">
      <c r="A370" s="12" t="s">
        <v>162</v>
      </c>
      <c r="B370" s="12" t="s">
        <v>569</v>
      </c>
      <c r="C370" s="12" t="s">
        <v>562</v>
      </c>
      <c r="D370" s="13">
        <v>636</v>
      </c>
      <c r="E370" s="13">
        <v>658.86119999999994</v>
      </c>
      <c r="F370" s="13">
        <v>698.91299900000001</v>
      </c>
      <c r="G370" s="13">
        <v>712.52280000000007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1:19" x14ac:dyDescent="0.2">
      <c r="A371" s="12" t="s">
        <v>162</v>
      </c>
      <c r="B371" s="12" t="s">
        <v>569</v>
      </c>
      <c r="C371" s="12" t="s">
        <v>563</v>
      </c>
      <c r="D371" s="13">
        <v>139</v>
      </c>
      <c r="E371" s="13">
        <v>156.798901</v>
      </c>
      <c r="F371" s="13">
        <v>181.211399</v>
      </c>
      <c r="G371" s="13">
        <v>173.25359800000001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1:19" x14ac:dyDescent="0.2">
      <c r="A372" s="12" t="s">
        <v>162</v>
      </c>
      <c r="B372" s="12" t="s">
        <v>569</v>
      </c>
      <c r="C372" s="12" t="s">
        <v>564</v>
      </c>
      <c r="D372" s="13">
        <v>595</v>
      </c>
      <c r="E372" s="13">
        <v>580.15170000000001</v>
      </c>
      <c r="F372" s="13">
        <v>605.94029899999998</v>
      </c>
      <c r="G372" s="13">
        <v>550.93950100000006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1:19" x14ac:dyDescent="0.2">
      <c r="A373" s="12" t="s">
        <v>162</v>
      </c>
      <c r="B373" s="12" t="s">
        <v>569</v>
      </c>
      <c r="C373" s="12" t="s">
        <v>565</v>
      </c>
      <c r="D373" s="13">
        <v>555</v>
      </c>
      <c r="E373" s="13">
        <v>513.704701</v>
      </c>
      <c r="F373" s="13">
        <v>547.78140199999996</v>
      </c>
      <c r="G373" s="13">
        <v>520.15409799999998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1:19" x14ac:dyDescent="0.2">
      <c r="A374" s="12" t="s">
        <v>162</v>
      </c>
      <c r="B374" s="12" t="s">
        <v>569</v>
      </c>
      <c r="C374" s="12" t="s">
        <v>566</v>
      </c>
      <c r="D374" s="13">
        <v>164</v>
      </c>
      <c r="E374" s="13">
        <v>174.08520100000001</v>
      </c>
      <c r="F374" s="13">
        <v>169.69140200000001</v>
      </c>
      <c r="G374" s="13">
        <v>168.30270300000001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1:19" x14ac:dyDescent="0.2">
      <c r="A375" s="12" t="s">
        <v>162</v>
      </c>
      <c r="B375" s="12" t="s">
        <v>570</v>
      </c>
      <c r="C375" s="12" t="s">
        <v>554</v>
      </c>
      <c r="D375" s="13">
        <v>1071</v>
      </c>
      <c r="E375" s="13">
        <v>1010.498181</v>
      </c>
      <c r="F375" s="13">
        <v>951.69818400000008</v>
      </c>
      <c r="G375" s="13">
        <v>971.42181700000003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1:19" x14ac:dyDescent="0.2">
      <c r="A376" s="12" t="s">
        <v>162</v>
      </c>
      <c r="B376" s="12" t="s">
        <v>570</v>
      </c>
      <c r="C376" s="12" t="s">
        <v>555</v>
      </c>
      <c r="D376" s="13">
        <v>0</v>
      </c>
      <c r="E376" s="13">
        <v>0</v>
      </c>
      <c r="F376" s="13">
        <v>0</v>
      </c>
      <c r="G376" s="13">
        <v>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1:19" x14ac:dyDescent="0.2">
      <c r="A377" s="12" t="s">
        <v>162</v>
      </c>
      <c r="B377" s="12" t="s">
        <v>570</v>
      </c>
      <c r="C377" s="12" t="s">
        <v>556</v>
      </c>
      <c r="D377" s="13">
        <v>0</v>
      </c>
      <c r="E377" s="13">
        <v>0</v>
      </c>
      <c r="F377" s="13">
        <v>0</v>
      </c>
      <c r="G377" s="13">
        <v>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1:19" x14ac:dyDescent="0.2">
      <c r="A378" s="12" t="s">
        <v>162</v>
      </c>
      <c r="B378" s="12" t="s">
        <v>570</v>
      </c>
      <c r="C378" s="12" t="s">
        <v>557</v>
      </c>
      <c r="D378" s="13">
        <v>1071</v>
      </c>
      <c r="E378" s="13">
        <v>1010.498181</v>
      </c>
      <c r="F378" s="13">
        <v>951.69818400000008</v>
      </c>
      <c r="G378" s="13">
        <v>971.42181700000003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1:19" x14ac:dyDescent="0.2">
      <c r="A379" s="12" t="s">
        <v>162</v>
      </c>
      <c r="B379" s="12" t="s">
        <v>570</v>
      </c>
      <c r="C379" s="12" t="s">
        <v>558</v>
      </c>
      <c r="D379" s="13">
        <v>-1071</v>
      </c>
      <c r="E379" s="13">
        <v>-1010.498181</v>
      </c>
      <c r="F379" s="13">
        <v>-951.69818400000008</v>
      </c>
      <c r="G379" s="13">
        <v>-971.42181700000003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1:19" x14ac:dyDescent="0.2">
      <c r="A380" s="12" t="s">
        <v>162</v>
      </c>
      <c r="B380" s="12" t="s">
        <v>570</v>
      </c>
      <c r="C380" s="12" t="s">
        <v>560</v>
      </c>
      <c r="D380" s="13">
        <v>0</v>
      </c>
      <c r="E380" s="13">
        <v>0</v>
      </c>
      <c r="F380" s="13">
        <v>0</v>
      </c>
      <c r="G380" s="13">
        <v>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1:19" x14ac:dyDescent="0.2">
      <c r="A381" s="12" t="s">
        <v>162</v>
      </c>
      <c r="B381" s="12" t="s">
        <v>570</v>
      </c>
      <c r="C381" s="12" t="s">
        <v>561</v>
      </c>
      <c r="D381" s="13">
        <v>0</v>
      </c>
      <c r="E381" s="13">
        <v>0</v>
      </c>
      <c r="F381" s="13">
        <v>0</v>
      </c>
      <c r="G381" s="13">
        <v>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1:19" x14ac:dyDescent="0.2">
      <c r="A382" s="12" t="s">
        <v>162</v>
      </c>
      <c r="B382" s="12" t="s">
        <v>570</v>
      </c>
      <c r="C382" s="12" t="s">
        <v>562</v>
      </c>
      <c r="D382" s="13">
        <v>0</v>
      </c>
      <c r="E382" s="13">
        <v>0</v>
      </c>
      <c r="F382" s="13">
        <v>0</v>
      </c>
      <c r="G382" s="13">
        <v>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 x14ac:dyDescent="0.2">
      <c r="A383" s="12" t="s">
        <v>162</v>
      </c>
      <c r="B383" s="12" t="s">
        <v>570</v>
      </c>
      <c r="C383" s="12" t="s">
        <v>563</v>
      </c>
      <c r="D383" s="13">
        <v>0</v>
      </c>
      <c r="E383" s="13">
        <v>0</v>
      </c>
      <c r="F383" s="13">
        <v>0</v>
      </c>
      <c r="G383" s="13">
        <v>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 x14ac:dyDescent="0.2">
      <c r="A384" s="12" t="s">
        <v>162</v>
      </c>
      <c r="B384" s="12" t="s">
        <v>570</v>
      </c>
      <c r="C384" s="12" t="s">
        <v>564</v>
      </c>
      <c r="D384" s="13">
        <v>0</v>
      </c>
      <c r="E384" s="13">
        <v>0</v>
      </c>
      <c r="F384" s="13">
        <v>0</v>
      </c>
      <c r="G384" s="13">
        <v>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1:19" x14ac:dyDescent="0.2">
      <c r="A385" s="12" t="s">
        <v>162</v>
      </c>
      <c r="B385" s="12" t="s">
        <v>570</v>
      </c>
      <c r="C385" s="12" t="s">
        <v>565</v>
      </c>
      <c r="D385" s="13">
        <v>0</v>
      </c>
      <c r="E385" s="13">
        <v>0</v>
      </c>
      <c r="F385" s="13">
        <v>0</v>
      </c>
      <c r="G385" s="13">
        <v>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 x14ac:dyDescent="0.2">
      <c r="A386" s="12" t="s">
        <v>162</v>
      </c>
      <c r="B386" s="12" t="s">
        <v>570</v>
      </c>
      <c r="C386" s="12" t="s">
        <v>566</v>
      </c>
      <c r="D386" s="13">
        <v>0</v>
      </c>
      <c r="E386" s="13">
        <v>0</v>
      </c>
      <c r="F386" s="13">
        <v>0</v>
      </c>
      <c r="G386" s="13">
        <v>0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 x14ac:dyDescent="0.2">
      <c r="A387" s="12" t="s">
        <v>162</v>
      </c>
      <c r="B387" s="12" t="s">
        <v>571</v>
      </c>
      <c r="C387" s="12" t="s">
        <v>554</v>
      </c>
      <c r="D387" s="13">
        <v>2066</v>
      </c>
      <c r="E387" s="13">
        <v>2082.069602</v>
      </c>
      <c r="F387" s="13">
        <v>2150.986805</v>
      </c>
      <c r="G387" s="13">
        <v>2003.222207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 x14ac:dyDescent="0.2">
      <c r="A388" s="12" t="s">
        <v>162</v>
      </c>
      <c r="B388" s="12" t="s">
        <v>571</v>
      </c>
      <c r="C388" s="12" t="s">
        <v>555</v>
      </c>
      <c r="D388" s="13">
        <v>49</v>
      </c>
      <c r="E388" s="13">
        <v>66.650138000000013</v>
      </c>
      <c r="F388" s="13">
        <v>87.689394000000007</v>
      </c>
      <c r="G388" s="13">
        <v>119.78127499999999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 x14ac:dyDescent="0.2">
      <c r="A389" s="12" t="s">
        <v>162</v>
      </c>
      <c r="B389" s="12" t="s">
        <v>571</v>
      </c>
      <c r="C389" s="12" t="s">
        <v>556</v>
      </c>
      <c r="D389" s="13">
        <v>-75</v>
      </c>
      <c r="E389" s="13">
        <v>-81.473896999999994</v>
      </c>
      <c r="F389" s="13">
        <v>-76.409104000000013</v>
      </c>
      <c r="G389" s="13">
        <v>-78.657809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 x14ac:dyDescent="0.2">
      <c r="A390" s="12" t="s">
        <v>162</v>
      </c>
      <c r="B390" s="12" t="s">
        <v>571</v>
      </c>
      <c r="C390" s="12" t="s">
        <v>557</v>
      </c>
      <c r="D390" s="13">
        <v>2039</v>
      </c>
      <c r="E390" s="13">
        <v>2069.2518690000002</v>
      </c>
      <c r="F390" s="13">
        <v>2160.9625639999999</v>
      </c>
      <c r="G390" s="13">
        <v>2042.930325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 x14ac:dyDescent="0.2">
      <c r="A391" s="12" t="s">
        <v>162</v>
      </c>
      <c r="B391" s="12" t="s">
        <v>571</v>
      </c>
      <c r="C391" s="12" t="s">
        <v>558</v>
      </c>
      <c r="D391" s="13">
        <v>-1652</v>
      </c>
      <c r="E391" s="13">
        <v>-1653.3044010000001</v>
      </c>
      <c r="F391" s="13">
        <v>-1708.732199</v>
      </c>
      <c r="G391" s="13">
        <v>-1587.1525959999999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spans="1:19" x14ac:dyDescent="0.2">
      <c r="A392" s="12" t="s">
        <v>162</v>
      </c>
      <c r="B392" s="12" t="s">
        <v>571</v>
      </c>
      <c r="C392" s="12" t="s">
        <v>560</v>
      </c>
      <c r="D392" s="13">
        <v>0</v>
      </c>
      <c r="E392" s="13">
        <v>0</v>
      </c>
      <c r="F392" s="13">
        <v>0</v>
      </c>
      <c r="G392" s="13">
        <v>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spans="1:19" x14ac:dyDescent="0.2">
      <c r="A393" s="12" t="s">
        <v>162</v>
      </c>
      <c r="B393" s="12" t="s">
        <v>571</v>
      </c>
      <c r="C393" s="12" t="s">
        <v>561</v>
      </c>
      <c r="D393" s="13">
        <v>393</v>
      </c>
      <c r="E393" s="13">
        <v>416.48255399999999</v>
      </c>
      <c r="F393" s="13">
        <v>441.43224300000003</v>
      </c>
      <c r="G393" s="13">
        <v>425.973523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spans="1:19" x14ac:dyDescent="0.2">
      <c r="A394" s="12" t="s">
        <v>162</v>
      </c>
      <c r="B394" s="12" t="s">
        <v>571</v>
      </c>
      <c r="C394" s="12" t="s">
        <v>562</v>
      </c>
      <c r="D394" s="13">
        <v>230</v>
      </c>
      <c r="E394" s="13">
        <v>249.74400199999999</v>
      </c>
      <c r="F394" s="13">
        <v>256.14499899999998</v>
      </c>
      <c r="G394" s="13">
        <v>230.421999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spans="1:19" x14ac:dyDescent="0.2">
      <c r="A395" s="12" t="s">
        <v>162</v>
      </c>
      <c r="B395" s="12" t="s">
        <v>571</v>
      </c>
      <c r="C395" s="12" t="s">
        <v>563</v>
      </c>
      <c r="D395" s="13">
        <v>81</v>
      </c>
      <c r="E395" s="13">
        <v>89.412551000000008</v>
      </c>
      <c r="F395" s="13">
        <v>103.499241</v>
      </c>
      <c r="G395" s="13">
        <v>116.606521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spans="1:19" x14ac:dyDescent="0.2">
      <c r="A396" s="12" t="s">
        <v>162</v>
      </c>
      <c r="B396" s="12" t="s">
        <v>571</v>
      </c>
      <c r="C396" s="12" t="s">
        <v>564</v>
      </c>
      <c r="D396" s="13">
        <v>80</v>
      </c>
      <c r="E396" s="13">
        <v>75.232998999999992</v>
      </c>
      <c r="F396" s="13">
        <v>79.746001000000007</v>
      </c>
      <c r="G396" s="13">
        <v>76.903000000000006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spans="1:19" x14ac:dyDescent="0.2">
      <c r="A397" s="12" t="s">
        <v>162</v>
      </c>
      <c r="B397" s="12" t="s">
        <v>571</v>
      </c>
      <c r="C397" s="12" t="s">
        <v>565</v>
      </c>
      <c r="D397" s="13">
        <v>1</v>
      </c>
      <c r="E397" s="13">
        <v>0.63800100000000004</v>
      </c>
      <c r="F397" s="13">
        <v>0.63800100000000004</v>
      </c>
      <c r="G397" s="13">
        <v>0.63800100000000004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spans="1:19" x14ac:dyDescent="0.2">
      <c r="A398" s="12" t="s">
        <v>162</v>
      </c>
      <c r="B398" s="12" t="s">
        <v>571</v>
      </c>
      <c r="C398" s="12" t="s">
        <v>566</v>
      </c>
      <c r="D398" s="13">
        <v>2</v>
      </c>
      <c r="E398" s="13">
        <v>1.455001</v>
      </c>
      <c r="F398" s="13">
        <v>1.4040010000000001</v>
      </c>
      <c r="G398" s="13">
        <v>1.4040010000000001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spans="1:19" x14ac:dyDescent="0.2">
      <c r="A399" s="12" t="s">
        <v>162</v>
      </c>
      <c r="B399" s="12" t="s">
        <v>572</v>
      </c>
      <c r="C399" s="12" t="s">
        <v>554</v>
      </c>
      <c r="D399" s="13">
        <v>0</v>
      </c>
      <c r="E399" s="13">
        <v>0</v>
      </c>
      <c r="F399" s="13">
        <v>0</v>
      </c>
      <c r="G399" s="13">
        <v>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spans="1:19" x14ac:dyDescent="0.2">
      <c r="A400" s="12" t="s">
        <v>162</v>
      </c>
      <c r="B400" s="12" t="s">
        <v>572</v>
      </c>
      <c r="C400" s="12" t="s">
        <v>555</v>
      </c>
      <c r="D400" s="13">
        <v>35</v>
      </c>
      <c r="E400" s="13">
        <v>46.364401000000001</v>
      </c>
      <c r="F400" s="13">
        <v>50.248801</v>
      </c>
      <c r="G400" s="13">
        <v>77.572800000000001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spans="1:19" x14ac:dyDescent="0.2">
      <c r="A401" s="12" t="s">
        <v>162</v>
      </c>
      <c r="B401" s="12" t="s">
        <v>572</v>
      </c>
      <c r="C401" s="12" t="s">
        <v>556</v>
      </c>
      <c r="D401" s="13">
        <v>-243</v>
      </c>
      <c r="E401" s="13">
        <v>-217.41480100000001</v>
      </c>
      <c r="F401" s="13">
        <v>-236.6028</v>
      </c>
      <c r="G401" s="13">
        <v>-178.66079999999999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spans="1:19" x14ac:dyDescent="0.2">
      <c r="A402" s="12" t="s">
        <v>162</v>
      </c>
      <c r="B402" s="12" t="s">
        <v>572</v>
      </c>
      <c r="C402" s="12" t="s">
        <v>557</v>
      </c>
      <c r="D402" s="13">
        <v>-207</v>
      </c>
      <c r="E402" s="13">
        <v>-171.050399</v>
      </c>
      <c r="F402" s="13">
        <v>-186.35399899999999</v>
      </c>
      <c r="G402" s="13">
        <v>-101.08799999999999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spans="1:19" x14ac:dyDescent="0.2">
      <c r="A403" s="12" t="s">
        <v>162</v>
      </c>
      <c r="B403" s="12" t="s">
        <v>572</v>
      </c>
      <c r="C403" s="12" t="s">
        <v>558</v>
      </c>
      <c r="D403" s="13">
        <v>2347</v>
      </c>
      <c r="E403" s="13">
        <v>2329.8479969999999</v>
      </c>
      <c r="F403" s="13">
        <v>2370.4812019999999</v>
      </c>
      <c r="G403" s="13">
        <v>2278.407604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spans="1:19" x14ac:dyDescent="0.2">
      <c r="A404" s="12" t="s">
        <v>162</v>
      </c>
      <c r="B404" s="12" t="s">
        <v>572</v>
      </c>
      <c r="C404" s="12" t="s">
        <v>560</v>
      </c>
      <c r="D404" s="13">
        <v>0</v>
      </c>
      <c r="E404" s="13">
        <v>0</v>
      </c>
      <c r="F404" s="13">
        <v>0</v>
      </c>
      <c r="G404" s="13">
        <v>0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spans="1:19" x14ac:dyDescent="0.2">
      <c r="A405" s="12" t="s">
        <v>162</v>
      </c>
      <c r="B405" s="12" t="s">
        <v>572</v>
      </c>
      <c r="C405" s="12" t="s">
        <v>561</v>
      </c>
      <c r="D405" s="13">
        <v>1865</v>
      </c>
      <c r="E405" s="13">
        <v>1889.801999</v>
      </c>
      <c r="F405" s="13">
        <v>1918.9655990000001</v>
      </c>
      <c r="G405" s="13">
        <v>1907.6472000000001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spans="1:19" x14ac:dyDescent="0.2">
      <c r="A406" s="12" t="s">
        <v>162</v>
      </c>
      <c r="B406" s="12" t="s">
        <v>572</v>
      </c>
      <c r="C406" s="12" t="s">
        <v>562</v>
      </c>
      <c r="D406" s="13">
        <v>638</v>
      </c>
      <c r="E406" s="13">
        <v>662.46119900000008</v>
      </c>
      <c r="F406" s="13">
        <v>672.28200000000004</v>
      </c>
      <c r="G406" s="13">
        <v>665.52120100000002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spans="1:19" x14ac:dyDescent="0.2">
      <c r="A407" s="12" t="s">
        <v>162</v>
      </c>
      <c r="B407" s="12" t="s">
        <v>572</v>
      </c>
      <c r="C407" s="12" t="s">
        <v>563</v>
      </c>
      <c r="D407" s="13">
        <v>27</v>
      </c>
      <c r="E407" s="13">
        <v>28.638000999999999</v>
      </c>
      <c r="F407" s="13">
        <v>30.419999000000001</v>
      </c>
      <c r="G407" s="13">
        <v>30.708000999999999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spans="1:19" x14ac:dyDescent="0.2">
      <c r="A408" s="12" t="s">
        <v>162</v>
      </c>
      <c r="B408" s="12" t="s">
        <v>572</v>
      </c>
      <c r="C408" s="12" t="s">
        <v>564</v>
      </c>
      <c r="D408" s="13">
        <v>636</v>
      </c>
      <c r="E408" s="13">
        <v>635.26320200000009</v>
      </c>
      <c r="F408" s="13">
        <v>644.976</v>
      </c>
      <c r="G408" s="13">
        <v>636.8148000000001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spans="1:19" x14ac:dyDescent="0.2">
      <c r="A409" s="12" t="s">
        <v>162</v>
      </c>
      <c r="B409" s="12" t="s">
        <v>572</v>
      </c>
      <c r="C409" s="12" t="s">
        <v>565</v>
      </c>
      <c r="D409" s="13">
        <v>526</v>
      </c>
      <c r="E409" s="13">
        <v>525.29399799999999</v>
      </c>
      <c r="F409" s="13">
        <v>533.15999899999997</v>
      </c>
      <c r="G409" s="13">
        <v>536.01839899999993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spans="1:19" x14ac:dyDescent="0.2">
      <c r="A410" s="12" t="s">
        <v>162</v>
      </c>
      <c r="B410" s="12" t="s">
        <v>572</v>
      </c>
      <c r="C410" s="12" t="s">
        <v>566</v>
      </c>
      <c r="D410" s="13">
        <v>38</v>
      </c>
      <c r="E410" s="13">
        <v>38.145600000000002</v>
      </c>
      <c r="F410" s="13">
        <v>38.127601000000013</v>
      </c>
      <c r="G410" s="13">
        <v>38.584798999999997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spans="1:19" x14ac:dyDescent="0.2">
      <c r="A411" s="12" t="s">
        <v>162</v>
      </c>
      <c r="B411" s="12" t="s">
        <v>573</v>
      </c>
      <c r="C411" s="12" t="s">
        <v>554</v>
      </c>
      <c r="D411" s="13">
        <v>0</v>
      </c>
      <c r="E411" s="13">
        <v>0</v>
      </c>
      <c r="F411" s="13">
        <v>0</v>
      </c>
      <c r="G411" s="13">
        <v>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spans="1:19" x14ac:dyDescent="0.2">
      <c r="A412" s="12" t="s">
        <v>162</v>
      </c>
      <c r="B412" s="12" t="s">
        <v>573</v>
      </c>
      <c r="C412" s="12" t="s">
        <v>555</v>
      </c>
      <c r="D412" s="13">
        <v>0</v>
      </c>
      <c r="E412" s="13">
        <v>0</v>
      </c>
      <c r="F412" s="13">
        <v>0</v>
      </c>
      <c r="G412" s="13">
        <v>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spans="1:19" x14ac:dyDescent="0.2">
      <c r="A413" s="12" t="s">
        <v>162</v>
      </c>
      <c r="B413" s="12" t="s">
        <v>573</v>
      </c>
      <c r="C413" s="12" t="s">
        <v>556</v>
      </c>
      <c r="D413" s="13">
        <v>0</v>
      </c>
      <c r="E413" s="13">
        <v>0</v>
      </c>
      <c r="F413" s="13">
        <v>0</v>
      </c>
      <c r="G413" s="13">
        <v>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spans="1:19" x14ac:dyDescent="0.2">
      <c r="A414" s="12" t="s">
        <v>162</v>
      </c>
      <c r="B414" s="12" t="s">
        <v>573</v>
      </c>
      <c r="C414" s="12" t="s">
        <v>557</v>
      </c>
      <c r="D414" s="13">
        <v>0</v>
      </c>
      <c r="E414" s="13">
        <v>0</v>
      </c>
      <c r="F414" s="13">
        <v>0</v>
      </c>
      <c r="G414" s="13">
        <v>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spans="1:19" x14ac:dyDescent="0.2">
      <c r="A415" s="12" t="s">
        <v>162</v>
      </c>
      <c r="B415" s="12" t="s">
        <v>573</v>
      </c>
      <c r="C415" s="12" t="s">
        <v>558</v>
      </c>
      <c r="D415" s="13">
        <v>24</v>
      </c>
      <c r="E415" s="13">
        <v>25.113997999999999</v>
      </c>
      <c r="F415" s="13">
        <v>25.001999999999999</v>
      </c>
      <c r="G415" s="13">
        <v>25.753999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spans="1:19" x14ac:dyDescent="0.2">
      <c r="A416" s="12" t="s">
        <v>162</v>
      </c>
      <c r="B416" s="12" t="s">
        <v>573</v>
      </c>
      <c r="C416" s="12" t="s">
        <v>560</v>
      </c>
      <c r="D416" s="13">
        <v>0</v>
      </c>
      <c r="E416" s="13">
        <v>0</v>
      </c>
      <c r="F416" s="13">
        <v>0</v>
      </c>
      <c r="G416" s="13">
        <v>0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spans="1:19" x14ac:dyDescent="0.2">
      <c r="A417" s="12" t="s">
        <v>162</v>
      </c>
      <c r="B417" s="12" t="s">
        <v>573</v>
      </c>
      <c r="C417" s="12" t="s">
        <v>561</v>
      </c>
      <c r="D417" s="13">
        <v>24</v>
      </c>
      <c r="E417" s="13">
        <v>25.114000999999998</v>
      </c>
      <c r="F417" s="13">
        <v>25.001999999999999</v>
      </c>
      <c r="G417" s="13">
        <v>25.753999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spans="1:19" x14ac:dyDescent="0.2">
      <c r="A418" s="12" t="s">
        <v>162</v>
      </c>
      <c r="B418" s="12" t="s">
        <v>573</v>
      </c>
      <c r="C418" s="12" t="s">
        <v>562</v>
      </c>
      <c r="D418" s="13">
        <v>21</v>
      </c>
      <c r="E418" s="13">
        <v>23.138998999999998</v>
      </c>
      <c r="F418" s="13">
        <v>24.085999000000001</v>
      </c>
      <c r="G418" s="13">
        <v>24.655002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spans="1:19" x14ac:dyDescent="0.2">
      <c r="A419" s="12" t="s">
        <v>162</v>
      </c>
      <c r="B419" s="12" t="s">
        <v>573</v>
      </c>
      <c r="C419" s="12" t="s">
        <v>563</v>
      </c>
      <c r="D419" s="13">
        <v>0</v>
      </c>
      <c r="E419" s="13">
        <v>0</v>
      </c>
      <c r="F419" s="13">
        <v>0</v>
      </c>
      <c r="G419" s="13">
        <v>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 x14ac:dyDescent="0.2">
      <c r="A420" s="12" t="s">
        <v>162</v>
      </c>
      <c r="B420" s="12" t="s">
        <v>573</v>
      </c>
      <c r="C420" s="12" t="s">
        <v>564</v>
      </c>
      <c r="D420" s="13">
        <v>0</v>
      </c>
      <c r="E420" s="13">
        <v>0</v>
      </c>
      <c r="F420" s="13">
        <v>0</v>
      </c>
      <c r="G420" s="13">
        <v>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 x14ac:dyDescent="0.2">
      <c r="A421" s="12" t="s">
        <v>162</v>
      </c>
      <c r="B421" s="12" t="s">
        <v>573</v>
      </c>
      <c r="C421" s="12" t="s">
        <v>565</v>
      </c>
      <c r="D421" s="13">
        <v>0</v>
      </c>
      <c r="E421" s="13">
        <v>0.44700000000000001</v>
      </c>
      <c r="F421" s="13">
        <v>0.54700099999999996</v>
      </c>
      <c r="G421" s="13">
        <v>0.73000199999999993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spans="1:19" x14ac:dyDescent="0.2">
      <c r="A422" s="12" t="s">
        <v>162</v>
      </c>
      <c r="B422" s="12" t="s">
        <v>573</v>
      </c>
      <c r="C422" s="12" t="s">
        <v>566</v>
      </c>
      <c r="D422" s="13">
        <v>2</v>
      </c>
      <c r="E422" s="13">
        <v>1.5280020000000001</v>
      </c>
      <c r="F422" s="13">
        <v>0.36899900000000002</v>
      </c>
      <c r="G422" s="13">
        <v>0.36899900000000002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 x14ac:dyDescent="0.2">
      <c r="A423" s="12" t="s">
        <v>162</v>
      </c>
      <c r="B423" s="12" t="s">
        <v>574</v>
      </c>
      <c r="C423" s="12" t="s">
        <v>554</v>
      </c>
      <c r="D423" s="13">
        <v>21739</v>
      </c>
      <c r="E423" s="13">
        <v>22552.309840999998</v>
      </c>
      <c r="F423" s="13">
        <v>23516.215393999999</v>
      </c>
      <c r="G423" s="13">
        <v>23792.630005999999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 x14ac:dyDescent="0.2">
      <c r="A424" s="12" t="s">
        <v>162</v>
      </c>
      <c r="B424" s="12" t="s">
        <v>574</v>
      </c>
      <c r="C424" s="12" t="s">
        <v>555</v>
      </c>
      <c r="D424" s="13">
        <v>3279</v>
      </c>
      <c r="E424" s="13">
        <v>2945.851572</v>
      </c>
      <c r="F424" s="13">
        <v>2931.9122790000001</v>
      </c>
      <c r="G424" s="13">
        <v>3043.8361399999999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 x14ac:dyDescent="0.2">
      <c r="A425" s="12" t="s">
        <v>162</v>
      </c>
      <c r="B425" s="12" t="s">
        <v>574</v>
      </c>
      <c r="C425" s="12" t="s">
        <v>556</v>
      </c>
      <c r="D425" s="13">
        <v>-12790</v>
      </c>
      <c r="E425" s="13">
        <v>-13497.315832</v>
      </c>
      <c r="F425" s="13">
        <v>-13986.788323000001</v>
      </c>
      <c r="G425" s="13">
        <v>-14078.151886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 x14ac:dyDescent="0.2">
      <c r="A426" s="12" t="s">
        <v>162</v>
      </c>
      <c r="B426" s="12" t="s">
        <v>574</v>
      </c>
      <c r="C426" s="12" t="s">
        <v>557</v>
      </c>
      <c r="D426" s="13">
        <v>11934</v>
      </c>
      <c r="E426" s="13">
        <v>12047.507345</v>
      </c>
      <c r="F426" s="13">
        <v>12353.460117000001</v>
      </c>
      <c r="G426" s="13">
        <v>12311.500241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 x14ac:dyDescent="0.2">
      <c r="A427" s="12" t="s">
        <v>162</v>
      </c>
      <c r="B427" s="12" t="s">
        <v>574</v>
      </c>
      <c r="C427" s="12" t="s">
        <v>558</v>
      </c>
      <c r="D427" s="13">
        <v>-1457</v>
      </c>
      <c r="E427" s="13">
        <v>-1419.406583</v>
      </c>
      <c r="F427" s="13">
        <v>-1371.8558310000001</v>
      </c>
      <c r="G427" s="13">
        <v>-1425.640296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 x14ac:dyDescent="0.2">
      <c r="A428" s="12" t="s">
        <v>162</v>
      </c>
      <c r="B428" s="12" t="s">
        <v>574</v>
      </c>
      <c r="C428" s="12" t="s">
        <v>560</v>
      </c>
      <c r="D428" s="13">
        <v>-174</v>
      </c>
      <c r="E428" s="13">
        <v>-215.094133</v>
      </c>
      <c r="F428" s="13">
        <v>-234.97902099999999</v>
      </c>
      <c r="G428" s="13">
        <v>-215.59197700000001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spans="1:19" x14ac:dyDescent="0.2">
      <c r="A429" s="12" t="s">
        <v>162</v>
      </c>
      <c r="B429" s="12" t="s">
        <v>574</v>
      </c>
      <c r="C429" s="12" t="s">
        <v>561</v>
      </c>
      <c r="D429" s="13">
        <v>7864</v>
      </c>
      <c r="E429" s="13">
        <v>8011.4251869999998</v>
      </c>
      <c r="F429" s="13">
        <v>8276.3849449999998</v>
      </c>
      <c r="G429" s="13">
        <v>8188.4672700000001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spans="1:19" x14ac:dyDescent="0.2">
      <c r="A430" s="12" t="s">
        <v>162</v>
      </c>
      <c r="B430" s="12" t="s">
        <v>574</v>
      </c>
      <c r="C430" s="12" t="s">
        <v>562</v>
      </c>
      <c r="D430" s="13">
        <v>1817</v>
      </c>
      <c r="E430" s="13">
        <v>1887.582238</v>
      </c>
      <c r="F430" s="13">
        <v>1942.132122</v>
      </c>
      <c r="G430" s="13">
        <v>1908.2316269999999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spans="1:19" x14ac:dyDescent="0.2">
      <c r="A431" s="12" t="s">
        <v>162</v>
      </c>
      <c r="B431" s="12" t="s">
        <v>574</v>
      </c>
      <c r="C431" s="12" t="s">
        <v>563</v>
      </c>
      <c r="D431" s="13">
        <v>2223</v>
      </c>
      <c r="E431" s="13">
        <v>2347.9040209999998</v>
      </c>
      <c r="F431" s="13">
        <v>2477.621447</v>
      </c>
      <c r="G431" s="13">
        <v>2501.0296239999998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spans="1:19" x14ac:dyDescent="0.2">
      <c r="A432" s="12" t="s">
        <v>162</v>
      </c>
      <c r="B432" s="12" t="s">
        <v>574</v>
      </c>
      <c r="C432" s="12" t="s">
        <v>564</v>
      </c>
      <c r="D432" s="13">
        <v>1369</v>
      </c>
      <c r="E432" s="13">
        <v>1345.6686910000001</v>
      </c>
      <c r="F432" s="13">
        <v>1388.3203550000001</v>
      </c>
      <c r="G432" s="13">
        <v>1315.852625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spans="1:19" x14ac:dyDescent="0.2">
      <c r="A433" s="12" t="s">
        <v>162</v>
      </c>
      <c r="B433" s="12" t="s">
        <v>574</v>
      </c>
      <c r="C433" s="12" t="s">
        <v>565</v>
      </c>
      <c r="D433" s="13">
        <v>1135</v>
      </c>
      <c r="E433" s="13">
        <v>1093.264447</v>
      </c>
      <c r="F433" s="13">
        <v>1138.925943</v>
      </c>
      <c r="G433" s="13">
        <v>1109.6633380000001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spans="1:19" x14ac:dyDescent="0.2">
      <c r="A434" s="12" t="s">
        <v>162</v>
      </c>
      <c r="B434" s="12" t="s">
        <v>574</v>
      </c>
      <c r="C434" s="12" t="s">
        <v>566</v>
      </c>
      <c r="D434" s="13">
        <v>1319</v>
      </c>
      <c r="E434" s="13">
        <v>1337.0057870000001</v>
      </c>
      <c r="F434" s="13">
        <v>1329.3850870000001</v>
      </c>
      <c r="G434" s="13">
        <v>1353.6900599999999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spans="1:19" x14ac:dyDescent="0.2">
      <c r="A435" s="12" t="s">
        <v>167</v>
      </c>
      <c r="B435" s="12" t="s">
        <v>553</v>
      </c>
      <c r="C435" s="12" t="s">
        <v>554</v>
      </c>
      <c r="D435" s="13">
        <v>8</v>
      </c>
      <c r="E435" s="13">
        <v>0.71771000000000007</v>
      </c>
      <c r="F435" s="13">
        <v>0.41624699999999998</v>
      </c>
      <c r="G435" s="13">
        <v>0.67573299999999992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spans="1:19" x14ac:dyDescent="0.2">
      <c r="A436" s="12" t="s">
        <v>167</v>
      </c>
      <c r="B436" s="12" t="s">
        <v>553</v>
      </c>
      <c r="C436" s="12" t="s">
        <v>555</v>
      </c>
      <c r="D436" s="13">
        <v>266</v>
      </c>
      <c r="E436" s="13">
        <v>273.38627100000002</v>
      </c>
      <c r="F436" s="13">
        <v>216.42581999999999</v>
      </c>
      <c r="G436" s="13">
        <v>121.042624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spans="1:19" x14ac:dyDescent="0.2">
      <c r="A437" s="12" t="s">
        <v>167</v>
      </c>
      <c r="B437" s="12" t="s">
        <v>553</v>
      </c>
      <c r="C437" s="12" t="s">
        <v>556</v>
      </c>
      <c r="D437" s="13">
        <v>-4</v>
      </c>
      <c r="E437" s="13">
        <v>-1.7403059999999999</v>
      </c>
      <c r="F437" s="13">
        <v>-0.83972100000000005</v>
      </c>
      <c r="G437" s="13">
        <v>-1.111156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spans="1:19" x14ac:dyDescent="0.2">
      <c r="A438" s="12" t="s">
        <v>167</v>
      </c>
      <c r="B438" s="12" t="s">
        <v>553</v>
      </c>
      <c r="C438" s="12" t="s">
        <v>557</v>
      </c>
      <c r="D438" s="13">
        <v>282</v>
      </c>
      <c r="E438" s="13">
        <v>264.676266</v>
      </c>
      <c r="F438" s="13">
        <v>220.55568400000001</v>
      </c>
      <c r="G438" s="13">
        <v>129.768957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spans="1:19" x14ac:dyDescent="0.2">
      <c r="A439" s="12" t="s">
        <v>167</v>
      </c>
      <c r="B439" s="12" t="s">
        <v>553</v>
      </c>
      <c r="C439" s="12" t="s">
        <v>558</v>
      </c>
      <c r="D439" s="13">
        <v>-295</v>
      </c>
      <c r="E439" s="13">
        <v>-252.87196399999999</v>
      </c>
      <c r="F439" s="13">
        <v>-209.995858</v>
      </c>
      <c r="G439" s="13">
        <v>-118.625354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spans="1:19" x14ac:dyDescent="0.2">
      <c r="A440" s="12" t="s">
        <v>167</v>
      </c>
      <c r="B440" s="12" t="s">
        <v>553</v>
      </c>
      <c r="C440" s="12" t="s">
        <v>560</v>
      </c>
      <c r="D440" s="13">
        <v>0</v>
      </c>
      <c r="E440" s="13">
        <v>0</v>
      </c>
      <c r="F440" s="13">
        <v>0</v>
      </c>
      <c r="G440" s="13">
        <v>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spans="1:19" x14ac:dyDescent="0.2">
      <c r="A441" s="12" t="s">
        <v>167</v>
      </c>
      <c r="B441" s="12" t="s">
        <v>553</v>
      </c>
      <c r="C441" s="12" t="s">
        <v>561</v>
      </c>
      <c r="D441" s="13">
        <v>6</v>
      </c>
      <c r="E441" s="13">
        <v>7.0768810000000002</v>
      </c>
      <c r="F441" s="13">
        <v>9.6612670000000005</v>
      </c>
      <c r="G441" s="13">
        <v>3.2273360000000002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spans="1:19" x14ac:dyDescent="0.2">
      <c r="A442" s="12" t="s">
        <v>167</v>
      </c>
      <c r="B442" s="12" t="s">
        <v>553</v>
      </c>
      <c r="C442" s="12" t="s">
        <v>562</v>
      </c>
      <c r="D442" s="13">
        <v>6</v>
      </c>
      <c r="E442" s="13">
        <v>7.0196519999999998</v>
      </c>
      <c r="F442" s="13">
        <v>9.0184840000000008</v>
      </c>
      <c r="G442" s="13">
        <v>3.0766200000000001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spans="1:19" x14ac:dyDescent="0.2">
      <c r="A443" s="12" t="s">
        <v>167</v>
      </c>
      <c r="B443" s="12" t="s">
        <v>553</v>
      </c>
      <c r="C443" s="12" t="s">
        <v>563</v>
      </c>
      <c r="D443" s="13">
        <v>0</v>
      </c>
      <c r="E443" s="13">
        <v>0</v>
      </c>
      <c r="F443" s="13">
        <v>0</v>
      </c>
      <c r="G443" s="13">
        <v>0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spans="1:19" x14ac:dyDescent="0.2">
      <c r="A444" s="12" t="s">
        <v>167</v>
      </c>
      <c r="B444" s="12" t="s">
        <v>553</v>
      </c>
      <c r="C444" s="12" t="s">
        <v>564</v>
      </c>
      <c r="D444" s="13">
        <v>0</v>
      </c>
      <c r="E444" s="13">
        <v>1.8898999999999999E-2</v>
      </c>
      <c r="F444" s="13">
        <v>0</v>
      </c>
      <c r="G444" s="13">
        <v>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 x14ac:dyDescent="0.2">
      <c r="A445" s="12" t="s">
        <v>167</v>
      </c>
      <c r="B445" s="12" t="s">
        <v>553</v>
      </c>
      <c r="C445" s="12" t="s">
        <v>565</v>
      </c>
      <c r="D445" s="13">
        <v>0</v>
      </c>
      <c r="E445" s="13">
        <v>1.2602E-2</v>
      </c>
      <c r="F445" s="13">
        <v>0</v>
      </c>
      <c r="G445" s="13">
        <v>0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 x14ac:dyDescent="0.2">
      <c r="A446" s="12" t="s">
        <v>167</v>
      </c>
      <c r="B446" s="12" t="s">
        <v>553</v>
      </c>
      <c r="C446" s="12" t="s">
        <v>566</v>
      </c>
      <c r="D446" s="13">
        <v>0</v>
      </c>
      <c r="E446" s="13">
        <v>2.5732000000000001E-2</v>
      </c>
      <c r="F446" s="13">
        <v>0.64278299999999999</v>
      </c>
      <c r="G446" s="13">
        <v>0.15072099999999999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spans="1:19" x14ac:dyDescent="0.2">
      <c r="A447" s="12" t="s">
        <v>167</v>
      </c>
      <c r="B447" s="12" t="s">
        <v>567</v>
      </c>
      <c r="C447" s="12" t="s">
        <v>554</v>
      </c>
      <c r="D447" s="13">
        <v>17</v>
      </c>
      <c r="E447" s="13">
        <v>16.176597999999998</v>
      </c>
      <c r="F447" s="13">
        <v>17.953462999999999</v>
      </c>
      <c r="G447" s="13">
        <v>20.211424999999998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 x14ac:dyDescent="0.2">
      <c r="A448" s="12" t="s">
        <v>167</v>
      </c>
      <c r="B448" s="12" t="s">
        <v>567</v>
      </c>
      <c r="C448" s="12" t="s">
        <v>555</v>
      </c>
      <c r="D448" s="13">
        <v>318</v>
      </c>
      <c r="E448" s="13">
        <v>348.32061199999998</v>
      </c>
      <c r="F448" s="13">
        <v>308.65076599999998</v>
      </c>
      <c r="G448" s="13">
        <v>374.21282200000002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 x14ac:dyDescent="0.2">
      <c r="A449" s="12" t="s">
        <v>167</v>
      </c>
      <c r="B449" s="12" t="s">
        <v>567</v>
      </c>
      <c r="C449" s="12" t="s">
        <v>556</v>
      </c>
      <c r="D449" s="13">
        <v>0</v>
      </c>
      <c r="E449" s="13">
        <v>0</v>
      </c>
      <c r="F449" s="13">
        <v>0</v>
      </c>
      <c r="G449" s="13">
        <v>0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 x14ac:dyDescent="0.2">
      <c r="A450" s="12" t="s">
        <v>167</v>
      </c>
      <c r="B450" s="12" t="s">
        <v>567</v>
      </c>
      <c r="C450" s="12" t="s">
        <v>557</v>
      </c>
      <c r="D450" s="13">
        <v>337</v>
      </c>
      <c r="E450" s="13">
        <v>363.03919900000011</v>
      </c>
      <c r="F450" s="13">
        <v>329.540457</v>
      </c>
      <c r="G450" s="13">
        <v>393.55141700000001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 x14ac:dyDescent="0.2">
      <c r="A451" s="12" t="s">
        <v>167</v>
      </c>
      <c r="B451" s="12" t="s">
        <v>567</v>
      </c>
      <c r="C451" s="12" t="s">
        <v>558</v>
      </c>
      <c r="D451" s="13">
        <v>0</v>
      </c>
      <c r="E451" s="13">
        <v>0</v>
      </c>
      <c r="F451" s="13">
        <v>0</v>
      </c>
      <c r="G451" s="13">
        <v>0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 x14ac:dyDescent="0.2">
      <c r="A452" s="12" t="s">
        <v>167</v>
      </c>
      <c r="B452" s="12" t="s">
        <v>567</v>
      </c>
      <c r="C452" s="12" t="s">
        <v>560</v>
      </c>
      <c r="D452" s="13">
        <v>-362</v>
      </c>
      <c r="E452" s="13">
        <v>-415.957491</v>
      </c>
      <c r="F452" s="13">
        <v>-397.00214</v>
      </c>
      <c r="G452" s="13">
        <v>-450.43737599999997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 x14ac:dyDescent="0.2">
      <c r="A453" s="12" t="s">
        <v>167</v>
      </c>
      <c r="B453" s="12" t="s">
        <v>567</v>
      </c>
      <c r="C453" s="12" t="s">
        <v>561</v>
      </c>
      <c r="D453" s="13">
        <v>0</v>
      </c>
      <c r="E453" s="13">
        <v>0</v>
      </c>
      <c r="F453" s="13">
        <v>0</v>
      </c>
      <c r="G453" s="13">
        <v>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spans="1:19" x14ac:dyDescent="0.2">
      <c r="A454" s="12" t="s">
        <v>167</v>
      </c>
      <c r="B454" s="12" t="s">
        <v>567</v>
      </c>
      <c r="C454" s="12" t="s">
        <v>562</v>
      </c>
      <c r="D454" s="13">
        <v>0</v>
      </c>
      <c r="E454" s="13">
        <v>0</v>
      </c>
      <c r="F454" s="13">
        <v>0</v>
      </c>
      <c r="G454" s="13">
        <v>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spans="1:19" x14ac:dyDescent="0.2">
      <c r="A455" s="12" t="s">
        <v>167</v>
      </c>
      <c r="B455" s="12" t="s">
        <v>567</v>
      </c>
      <c r="C455" s="12" t="s">
        <v>563</v>
      </c>
      <c r="D455" s="13">
        <v>0</v>
      </c>
      <c r="E455" s="13">
        <v>0</v>
      </c>
      <c r="F455" s="13">
        <v>0</v>
      </c>
      <c r="G455" s="13">
        <v>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spans="1:19" x14ac:dyDescent="0.2">
      <c r="A456" s="12" t="s">
        <v>167</v>
      </c>
      <c r="B456" s="12" t="s">
        <v>567</v>
      </c>
      <c r="C456" s="12" t="s">
        <v>564</v>
      </c>
      <c r="D456" s="13">
        <v>0</v>
      </c>
      <c r="E456" s="13">
        <v>0</v>
      </c>
      <c r="F456" s="13">
        <v>0</v>
      </c>
      <c r="G456" s="13">
        <v>0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spans="1:19" x14ac:dyDescent="0.2">
      <c r="A457" s="12" t="s">
        <v>167</v>
      </c>
      <c r="B457" s="12" t="s">
        <v>567</v>
      </c>
      <c r="C457" s="12" t="s">
        <v>565</v>
      </c>
      <c r="D457" s="13">
        <v>0</v>
      </c>
      <c r="E457" s="13">
        <v>0</v>
      </c>
      <c r="F457" s="13">
        <v>0</v>
      </c>
      <c r="G457" s="13">
        <v>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spans="1:19" x14ac:dyDescent="0.2">
      <c r="A458" s="12" t="s">
        <v>167</v>
      </c>
      <c r="B458" s="12" t="s">
        <v>567</v>
      </c>
      <c r="C458" s="12" t="s">
        <v>566</v>
      </c>
      <c r="D458" s="13">
        <v>0</v>
      </c>
      <c r="E458" s="13">
        <v>0</v>
      </c>
      <c r="F458" s="13">
        <v>0</v>
      </c>
      <c r="G458" s="13">
        <v>0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spans="1:19" x14ac:dyDescent="0.2">
      <c r="A459" s="12" t="s">
        <v>167</v>
      </c>
      <c r="B459" s="12" t="s">
        <v>568</v>
      </c>
      <c r="C459" s="12" t="s">
        <v>554</v>
      </c>
      <c r="D459" s="13">
        <v>0</v>
      </c>
      <c r="E459" s="13">
        <v>0</v>
      </c>
      <c r="F459" s="13">
        <v>0</v>
      </c>
      <c r="G459" s="13">
        <v>0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spans="1:19" x14ac:dyDescent="0.2">
      <c r="A460" s="12" t="s">
        <v>167</v>
      </c>
      <c r="B460" s="12" t="s">
        <v>568</v>
      </c>
      <c r="C460" s="12" t="s">
        <v>555</v>
      </c>
      <c r="D460" s="13">
        <v>339</v>
      </c>
      <c r="E460" s="13">
        <v>379.66730999999999</v>
      </c>
      <c r="F460" s="13">
        <v>483.757383</v>
      </c>
      <c r="G460" s="13">
        <v>420.11142899999999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spans="1:19" x14ac:dyDescent="0.2">
      <c r="A461" s="12" t="s">
        <v>167</v>
      </c>
      <c r="B461" s="12" t="s">
        <v>568</v>
      </c>
      <c r="C461" s="12" t="s">
        <v>556</v>
      </c>
      <c r="D461" s="13">
        <v>-25</v>
      </c>
      <c r="E461" s="13">
        <v>-37.379344000000003</v>
      </c>
      <c r="F461" s="13">
        <v>-42.510573000000001</v>
      </c>
      <c r="G461" s="13">
        <v>-54.113992000000003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spans="1:19" x14ac:dyDescent="0.2">
      <c r="A462" s="12" t="s">
        <v>167</v>
      </c>
      <c r="B462" s="12" t="s">
        <v>568</v>
      </c>
      <c r="C462" s="12" t="s">
        <v>557</v>
      </c>
      <c r="D462" s="13">
        <v>299</v>
      </c>
      <c r="E462" s="13">
        <v>322.18984699999999</v>
      </c>
      <c r="F462" s="13">
        <v>401.08459599999998</v>
      </c>
      <c r="G462" s="13">
        <v>345.98455799999999</v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spans="1:19" x14ac:dyDescent="0.2">
      <c r="A463" s="12" t="s">
        <v>167</v>
      </c>
      <c r="B463" s="12" t="s">
        <v>568</v>
      </c>
      <c r="C463" s="12" t="s">
        <v>558</v>
      </c>
      <c r="D463" s="13">
        <v>-16</v>
      </c>
      <c r="E463" s="13">
        <v>-27.371067</v>
      </c>
      <c r="F463" s="13">
        <v>-23.224665999999999</v>
      </c>
      <c r="G463" s="13">
        <v>-16.144027999999999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spans="1:19" x14ac:dyDescent="0.2">
      <c r="A464" s="12" t="s">
        <v>167</v>
      </c>
      <c r="B464" s="12" t="s">
        <v>568</v>
      </c>
      <c r="C464" s="12" t="s">
        <v>560</v>
      </c>
      <c r="D464" s="13">
        <v>367</v>
      </c>
      <c r="E464" s="13">
        <v>405.73757999999998</v>
      </c>
      <c r="F464" s="13">
        <v>378.62483800000001</v>
      </c>
      <c r="G464" s="13">
        <v>454.52977199999998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spans="1:19" x14ac:dyDescent="0.2">
      <c r="A465" s="12" t="s">
        <v>167</v>
      </c>
      <c r="B465" s="12" t="s">
        <v>568</v>
      </c>
      <c r="C465" s="12" t="s">
        <v>561</v>
      </c>
      <c r="D465" s="13">
        <v>607</v>
      </c>
      <c r="E465" s="13">
        <v>642.937363</v>
      </c>
      <c r="F465" s="13">
        <v>692.67732599999999</v>
      </c>
      <c r="G465" s="13">
        <v>692.76296300000001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spans="1:19" x14ac:dyDescent="0.2">
      <c r="A466" s="12" t="s">
        <v>167</v>
      </c>
      <c r="B466" s="12" t="s">
        <v>568</v>
      </c>
      <c r="C466" s="12" t="s">
        <v>562</v>
      </c>
      <c r="D466" s="13">
        <v>151</v>
      </c>
      <c r="E466" s="13">
        <v>152.90106900000001</v>
      </c>
      <c r="F466" s="13">
        <v>161.75329199999999</v>
      </c>
      <c r="G466" s="13">
        <v>167.658007</v>
      </c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spans="1:19" x14ac:dyDescent="0.2">
      <c r="A467" s="12" t="s">
        <v>167</v>
      </c>
      <c r="B467" s="12" t="s">
        <v>568</v>
      </c>
      <c r="C467" s="12" t="s">
        <v>563</v>
      </c>
      <c r="D467" s="13">
        <v>352</v>
      </c>
      <c r="E467" s="13">
        <v>385.58874300000002</v>
      </c>
      <c r="F467" s="13">
        <v>411.012608</v>
      </c>
      <c r="G467" s="13">
        <v>394.45048600000001</v>
      </c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spans="1:19" x14ac:dyDescent="0.2">
      <c r="A468" s="12" t="s">
        <v>167</v>
      </c>
      <c r="B468" s="12" t="s">
        <v>568</v>
      </c>
      <c r="C468" s="12" t="s">
        <v>564</v>
      </c>
      <c r="D468" s="13">
        <v>48</v>
      </c>
      <c r="E468" s="13">
        <v>50.098621000000001</v>
      </c>
      <c r="F468" s="13">
        <v>50.457773000000003</v>
      </c>
      <c r="G468" s="13">
        <v>45.068716000000002</v>
      </c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spans="1:19" x14ac:dyDescent="0.2">
      <c r="A469" s="12" t="s">
        <v>167</v>
      </c>
      <c r="B469" s="12" t="s">
        <v>568</v>
      </c>
      <c r="C469" s="12" t="s">
        <v>565</v>
      </c>
      <c r="D469" s="13">
        <v>22</v>
      </c>
      <c r="E469" s="13">
        <v>26.106310000000001</v>
      </c>
      <c r="F469" s="13">
        <v>26.420563000000001</v>
      </c>
      <c r="G469" s="13">
        <v>29.382982999999999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 x14ac:dyDescent="0.2">
      <c r="A470" s="12" t="s">
        <v>167</v>
      </c>
      <c r="B470" s="12" t="s">
        <v>568</v>
      </c>
      <c r="C470" s="12" t="s">
        <v>566</v>
      </c>
      <c r="D470" s="13">
        <v>34</v>
      </c>
      <c r="E470" s="13">
        <v>28.242619999999999</v>
      </c>
      <c r="F470" s="13">
        <v>43.033085999999997</v>
      </c>
      <c r="G470" s="13">
        <v>56.202770000000001</v>
      </c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 x14ac:dyDescent="0.2">
      <c r="A471" s="12" t="s">
        <v>167</v>
      </c>
      <c r="B471" s="12" t="s">
        <v>569</v>
      </c>
      <c r="C471" s="12" t="s">
        <v>554</v>
      </c>
      <c r="D471" s="13">
        <v>41</v>
      </c>
      <c r="E471" s="13">
        <v>41.953933999999997</v>
      </c>
      <c r="F471" s="13">
        <v>45.80968</v>
      </c>
      <c r="G471" s="13">
        <v>57.809367000000002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spans="1:19" x14ac:dyDescent="0.2">
      <c r="A472" s="12" t="s">
        <v>167</v>
      </c>
      <c r="B472" s="12" t="s">
        <v>569</v>
      </c>
      <c r="C472" s="12" t="s">
        <v>555</v>
      </c>
      <c r="D472" s="13">
        <v>159</v>
      </c>
      <c r="E472" s="13">
        <v>178.16343800000001</v>
      </c>
      <c r="F472" s="13">
        <v>193.538263</v>
      </c>
      <c r="G472" s="13">
        <v>186.606739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 x14ac:dyDescent="0.2">
      <c r="A473" s="12" t="s">
        <v>167</v>
      </c>
      <c r="B473" s="12" t="s">
        <v>569</v>
      </c>
      <c r="C473" s="12" t="s">
        <v>556</v>
      </c>
      <c r="D473" s="13">
        <v>0</v>
      </c>
      <c r="E473" s="13">
        <v>0</v>
      </c>
      <c r="F473" s="13">
        <v>0</v>
      </c>
      <c r="G473" s="13">
        <v>-1.417286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 x14ac:dyDescent="0.2">
      <c r="A474" s="12" t="s">
        <v>167</v>
      </c>
      <c r="B474" s="12" t="s">
        <v>569</v>
      </c>
      <c r="C474" s="12" t="s">
        <v>557</v>
      </c>
      <c r="D474" s="13">
        <v>202</v>
      </c>
      <c r="E474" s="13">
        <v>221.06295600000001</v>
      </c>
      <c r="F474" s="13">
        <v>234.46182999999999</v>
      </c>
      <c r="G474" s="13">
        <v>246.119778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 x14ac:dyDescent="0.2">
      <c r="A475" s="12" t="s">
        <v>167</v>
      </c>
      <c r="B475" s="12" t="s">
        <v>569</v>
      </c>
      <c r="C475" s="12" t="s">
        <v>558</v>
      </c>
      <c r="D475" s="13">
        <v>-106</v>
      </c>
      <c r="E475" s="13">
        <v>-120.075435</v>
      </c>
      <c r="F475" s="13">
        <v>-130.702853</v>
      </c>
      <c r="G475" s="13">
        <v>-132.344019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 x14ac:dyDescent="0.2">
      <c r="A476" s="12" t="s">
        <v>167</v>
      </c>
      <c r="B476" s="12" t="s">
        <v>569</v>
      </c>
      <c r="C476" s="12" t="s">
        <v>560</v>
      </c>
      <c r="D476" s="13">
        <v>0</v>
      </c>
      <c r="E476" s="13">
        <v>0</v>
      </c>
      <c r="F476" s="13">
        <v>0</v>
      </c>
      <c r="G476" s="13">
        <v>0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 x14ac:dyDescent="0.2">
      <c r="A477" s="12" t="s">
        <v>167</v>
      </c>
      <c r="B477" s="12" t="s">
        <v>569</v>
      </c>
      <c r="C477" s="12" t="s">
        <v>561</v>
      </c>
      <c r="D477" s="13">
        <v>88</v>
      </c>
      <c r="E477" s="13">
        <v>91.945808</v>
      </c>
      <c r="F477" s="13">
        <v>89.273984999999996</v>
      </c>
      <c r="G477" s="13">
        <v>101.68065799999999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 x14ac:dyDescent="0.2">
      <c r="A478" s="12" t="s">
        <v>167</v>
      </c>
      <c r="B478" s="12" t="s">
        <v>569</v>
      </c>
      <c r="C478" s="12" t="s">
        <v>562</v>
      </c>
      <c r="D478" s="13">
        <v>36</v>
      </c>
      <c r="E478" s="13">
        <v>39.084687000000002</v>
      </c>
      <c r="F478" s="13">
        <v>43.850990000000003</v>
      </c>
      <c r="G478" s="13">
        <v>40.017317000000013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spans="1:19" x14ac:dyDescent="0.2">
      <c r="A479" s="12" t="s">
        <v>167</v>
      </c>
      <c r="B479" s="12" t="s">
        <v>569</v>
      </c>
      <c r="C479" s="12" t="s">
        <v>563</v>
      </c>
      <c r="D479" s="13">
        <v>0</v>
      </c>
      <c r="E479" s="13">
        <v>0.325959</v>
      </c>
      <c r="F479" s="13">
        <v>0.34662100000000001</v>
      </c>
      <c r="G479" s="13">
        <v>0.64505600000000007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spans="1:19" x14ac:dyDescent="0.2">
      <c r="A480" s="12" t="s">
        <v>167</v>
      </c>
      <c r="B480" s="12" t="s">
        <v>569</v>
      </c>
      <c r="C480" s="12" t="s">
        <v>564</v>
      </c>
      <c r="D480" s="13">
        <v>21</v>
      </c>
      <c r="E480" s="13">
        <v>21.950801999999999</v>
      </c>
      <c r="F480" s="13">
        <v>22.885769</v>
      </c>
      <c r="G480" s="13">
        <v>22.815363999999999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spans="1:19" x14ac:dyDescent="0.2">
      <c r="A481" s="12" t="s">
        <v>167</v>
      </c>
      <c r="B481" s="12" t="s">
        <v>569</v>
      </c>
      <c r="C481" s="12" t="s">
        <v>565</v>
      </c>
      <c r="D481" s="13">
        <v>5</v>
      </c>
      <c r="E481" s="13">
        <v>5.8628720000000003</v>
      </c>
      <c r="F481" s="13">
        <v>6.3012009999999998</v>
      </c>
      <c r="G481" s="13">
        <v>6.4477140000000004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spans="1:19" x14ac:dyDescent="0.2">
      <c r="A482" s="12" t="s">
        <v>167</v>
      </c>
      <c r="B482" s="12" t="s">
        <v>569</v>
      </c>
      <c r="C482" s="12" t="s">
        <v>566</v>
      </c>
      <c r="D482" s="13">
        <v>26</v>
      </c>
      <c r="E482" s="13">
        <v>24.721491</v>
      </c>
      <c r="F482" s="13">
        <v>15.8894</v>
      </c>
      <c r="G482" s="13">
        <v>31.755206999999999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spans="1:19" x14ac:dyDescent="0.2">
      <c r="A483" s="12" t="s">
        <v>167</v>
      </c>
      <c r="B483" s="12" t="s">
        <v>570</v>
      </c>
      <c r="C483" s="12" t="s">
        <v>554</v>
      </c>
      <c r="D483" s="13">
        <v>0</v>
      </c>
      <c r="E483" s="13">
        <v>0</v>
      </c>
      <c r="F483" s="13">
        <v>0</v>
      </c>
      <c r="G483" s="13">
        <v>0</v>
      </c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spans="1:19" x14ac:dyDescent="0.2">
      <c r="A484" s="12" t="s">
        <v>167</v>
      </c>
      <c r="B484" s="12" t="s">
        <v>570</v>
      </c>
      <c r="C484" s="12" t="s">
        <v>555</v>
      </c>
      <c r="D484" s="13">
        <v>0</v>
      </c>
      <c r="E484" s="13">
        <v>0</v>
      </c>
      <c r="F484" s="13">
        <v>0</v>
      </c>
      <c r="G484" s="13">
        <v>0</v>
      </c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spans="1:19" x14ac:dyDescent="0.2">
      <c r="A485" s="12" t="s">
        <v>167</v>
      </c>
      <c r="B485" s="12" t="s">
        <v>570</v>
      </c>
      <c r="C485" s="12" t="s">
        <v>556</v>
      </c>
      <c r="D485" s="13">
        <v>0</v>
      </c>
      <c r="E485" s="13">
        <v>0</v>
      </c>
      <c r="F485" s="13">
        <v>0</v>
      </c>
      <c r="G485" s="13">
        <v>0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spans="1:19" x14ac:dyDescent="0.2">
      <c r="A486" s="12" t="s">
        <v>167</v>
      </c>
      <c r="B486" s="12" t="s">
        <v>570</v>
      </c>
      <c r="C486" s="12" t="s">
        <v>557</v>
      </c>
      <c r="D486" s="13">
        <v>0</v>
      </c>
      <c r="E486" s="13">
        <v>0</v>
      </c>
      <c r="F486" s="13">
        <v>0</v>
      </c>
      <c r="G486" s="13">
        <v>0</v>
      </c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1:19" x14ac:dyDescent="0.2">
      <c r="A487" s="12" t="s">
        <v>167</v>
      </c>
      <c r="B487" s="12" t="s">
        <v>570</v>
      </c>
      <c r="C487" s="12" t="s">
        <v>558</v>
      </c>
      <c r="D487" s="13">
        <v>0</v>
      </c>
      <c r="E487" s="13">
        <v>0</v>
      </c>
      <c r="F487" s="13">
        <v>0</v>
      </c>
      <c r="G487" s="13">
        <v>0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spans="1:19" x14ac:dyDescent="0.2">
      <c r="A488" s="12" t="s">
        <v>167</v>
      </c>
      <c r="B488" s="12" t="s">
        <v>570</v>
      </c>
      <c r="C488" s="12" t="s">
        <v>560</v>
      </c>
      <c r="D488" s="13">
        <v>0</v>
      </c>
      <c r="E488" s="13">
        <v>0</v>
      </c>
      <c r="F488" s="13">
        <v>0</v>
      </c>
      <c r="G488" s="13">
        <v>0</v>
      </c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spans="1:19" x14ac:dyDescent="0.2">
      <c r="A489" s="12" t="s">
        <v>167</v>
      </c>
      <c r="B489" s="12" t="s">
        <v>570</v>
      </c>
      <c r="C489" s="12" t="s">
        <v>561</v>
      </c>
      <c r="D489" s="13">
        <v>0</v>
      </c>
      <c r="E489" s="13">
        <v>0</v>
      </c>
      <c r="F489" s="13">
        <v>0</v>
      </c>
      <c r="G489" s="13">
        <v>0</v>
      </c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spans="1:19" x14ac:dyDescent="0.2">
      <c r="A490" s="12" t="s">
        <v>167</v>
      </c>
      <c r="B490" s="12" t="s">
        <v>570</v>
      </c>
      <c r="C490" s="12" t="s">
        <v>562</v>
      </c>
      <c r="D490" s="13">
        <v>0</v>
      </c>
      <c r="E490" s="13">
        <v>0</v>
      </c>
      <c r="F490" s="13">
        <v>0</v>
      </c>
      <c r="G490" s="13">
        <v>0</v>
      </c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spans="1:19" x14ac:dyDescent="0.2">
      <c r="A491" s="12" t="s">
        <v>167</v>
      </c>
      <c r="B491" s="12" t="s">
        <v>570</v>
      </c>
      <c r="C491" s="12" t="s">
        <v>563</v>
      </c>
      <c r="D491" s="13">
        <v>0</v>
      </c>
      <c r="E491" s="13">
        <v>0</v>
      </c>
      <c r="F491" s="13">
        <v>0</v>
      </c>
      <c r="G491" s="13">
        <v>0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spans="1:19" x14ac:dyDescent="0.2">
      <c r="A492" s="12" t="s">
        <v>167</v>
      </c>
      <c r="B492" s="12" t="s">
        <v>570</v>
      </c>
      <c r="C492" s="12" t="s">
        <v>564</v>
      </c>
      <c r="D492" s="13">
        <v>0</v>
      </c>
      <c r="E492" s="13">
        <v>0</v>
      </c>
      <c r="F492" s="13">
        <v>0</v>
      </c>
      <c r="G492" s="13">
        <v>0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spans="1:19" x14ac:dyDescent="0.2">
      <c r="A493" s="12" t="s">
        <v>167</v>
      </c>
      <c r="B493" s="12" t="s">
        <v>570</v>
      </c>
      <c r="C493" s="12" t="s">
        <v>565</v>
      </c>
      <c r="D493" s="13">
        <v>0</v>
      </c>
      <c r="E493" s="13">
        <v>0</v>
      </c>
      <c r="F493" s="13">
        <v>0</v>
      </c>
      <c r="G493" s="13">
        <v>0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spans="1:19" x14ac:dyDescent="0.2">
      <c r="A494" s="12" t="s">
        <v>167</v>
      </c>
      <c r="B494" s="12" t="s">
        <v>570</v>
      </c>
      <c r="C494" s="12" t="s">
        <v>566</v>
      </c>
      <c r="D494" s="13">
        <v>0</v>
      </c>
      <c r="E494" s="13">
        <v>0</v>
      </c>
      <c r="F494" s="13">
        <v>0</v>
      </c>
      <c r="G494" s="13">
        <v>0</v>
      </c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1:19" x14ac:dyDescent="0.2">
      <c r="A495" s="12" t="s">
        <v>167</v>
      </c>
      <c r="B495" s="12" t="s">
        <v>571</v>
      </c>
      <c r="C495" s="12" t="s">
        <v>554</v>
      </c>
      <c r="D495" s="13">
        <v>458</v>
      </c>
      <c r="E495" s="13">
        <v>484.223792</v>
      </c>
      <c r="F495" s="13">
        <v>517.90070500000002</v>
      </c>
      <c r="G495" s="13">
        <v>579.40894500000013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1:19" x14ac:dyDescent="0.2">
      <c r="A496" s="12" t="s">
        <v>167</v>
      </c>
      <c r="B496" s="12" t="s">
        <v>571</v>
      </c>
      <c r="C496" s="12" t="s">
        <v>555</v>
      </c>
      <c r="D496" s="13">
        <v>0</v>
      </c>
      <c r="E496" s="13">
        <v>0</v>
      </c>
      <c r="F496" s="13">
        <v>0</v>
      </c>
      <c r="G496" s="13">
        <v>0</v>
      </c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spans="1:19" x14ac:dyDescent="0.2">
      <c r="A497" s="12" t="s">
        <v>167</v>
      </c>
      <c r="B497" s="12" t="s">
        <v>571</v>
      </c>
      <c r="C497" s="12" t="s">
        <v>556</v>
      </c>
      <c r="D497" s="13">
        <v>0</v>
      </c>
      <c r="E497" s="13">
        <v>0</v>
      </c>
      <c r="F497" s="13">
        <v>0</v>
      </c>
      <c r="G497" s="13">
        <v>0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spans="1:19" x14ac:dyDescent="0.2">
      <c r="A498" s="12" t="s">
        <v>167</v>
      </c>
      <c r="B498" s="12" t="s">
        <v>571</v>
      </c>
      <c r="C498" s="12" t="s">
        <v>557</v>
      </c>
      <c r="D498" s="13">
        <v>458</v>
      </c>
      <c r="E498" s="13">
        <v>485.09429899999998</v>
      </c>
      <c r="F498" s="13">
        <v>518.77761299999997</v>
      </c>
      <c r="G498" s="13">
        <v>579.51653300000009</v>
      </c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spans="1:19" x14ac:dyDescent="0.2">
      <c r="A499" s="12" t="s">
        <v>167</v>
      </c>
      <c r="B499" s="12" t="s">
        <v>571</v>
      </c>
      <c r="C499" s="12" t="s">
        <v>558</v>
      </c>
      <c r="D499" s="13">
        <v>-316</v>
      </c>
      <c r="E499" s="13">
        <v>-359.56219900000002</v>
      </c>
      <c r="F499" s="13">
        <v>-372.55198200000001</v>
      </c>
      <c r="G499" s="13">
        <v>-399.26124399999998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spans="1:19" x14ac:dyDescent="0.2">
      <c r="A500" s="12" t="s">
        <v>167</v>
      </c>
      <c r="B500" s="12" t="s">
        <v>571</v>
      </c>
      <c r="C500" s="12" t="s">
        <v>560</v>
      </c>
      <c r="D500" s="13">
        <v>0</v>
      </c>
      <c r="E500" s="13">
        <v>0</v>
      </c>
      <c r="F500" s="13">
        <v>0</v>
      </c>
      <c r="G500" s="13">
        <v>0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spans="1:19" x14ac:dyDescent="0.2">
      <c r="A501" s="12" t="s">
        <v>167</v>
      </c>
      <c r="B501" s="12" t="s">
        <v>571</v>
      </c>
      <c r="C501" s="12" t="s">
        <v>561</v>
      </c>
      <c r="D501" s="13">
        <v>160</v>
      </c>
      <c r="E501" s="13">
        <v>134.93436299999999</v>
      </c>
      <c r="F501" s="13">
        <v>170.22930099999999</v>
      </c>
      <c r="G501" s="13">
        <v>186.29924800000001</v>
      </c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spans="1:19" x14ac:dyDescent="0.2">
      <c r="A502" s="12" t="s">
        <v>167</v>
      </c>
      <c r="B502" s="12" t="s">
        <v>571</v>
      </c>
      <c r="C502" s="12" t="s">
        <v>562</v>
      </c>
      <c r="D502" s="13">
        <v>76</v>
      </c>
      <c r="E502" s="13">
        <v>54.679474000000013</v>
      </c>
      <c r="F502" s="13">
        <v>59.975662999999997</v>
      </c>
      <c r="G502" s="13">
        <v>76.981832999999995</v>
      </c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spans="1:19" x14ac:dyDescent="0.2">
      <c r="A503" s="12" t="s">
        <v>167</v>
      </c>
      <c r="B503" s="12" t="s">
        <v>571</v>
      </c>
      <c r="C503" s="12" t="s">
        <v>563</v>
      </c>
      <c r="D503" s="13">
        <v>0</v>
      </c>
      <c r="E503" s="13">
        <v>0</v>
      </c>
      <c r="F503" s="13">
        <v>0</v>
      </c>
      <c r="G503" s="13">
        <v>0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spans="1:19" x14ac:dyDescent="0.2">
      <c r="A504" s="12" t="s">
        <v>167</v>
      </c>
      <c r="B504" s="12" t="s">
        <v>571</v>
      </c>
      <c r="C504" s="12" t="s">
        <v>564</v>
      </c>
      <c r="D504" s="13">
        <v>79</v>
      </c>
      <c r="E504" s="13">
        <v>76.076157000000009</v>
      </c>
      <c r="F504" s="13">
        <v>106.23522699999999</v>
      </c>
      <c r="G504" s="13">
        <v>105.092879</v>
      </c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spans="1:19" x14ac:dyDescent="0.2">
      <c r="A505" s="12" t="s">
        <v>167</v>
      </c>
      <c r="B505" s="12" t="s">
        <v>571</v>
      </c>
      <c r="C505" s="12" t="s">
        <v>565</v>
      </c>
      <c r="D505" s="13">
        <v>1</v>
      </c>
      <c r="E505" s="13">
        <v>0.61013800000000007</v>
      </c>
      <c r="F505" s="13">
        <v>0.62342300000000006</v>
      </c>
      <c r="G505" s="13">
        <v>0.45270199999999999</v>
      </c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spans="1:19" x14ac:dyDescent="0.2">
      <c r="A506" s="12" t="s">
        <v>167</v>
      </c>
      <c r="B506" s="12" t="s">
        <v>571</v>
      </c>
      <c r="C506" s="12" t="s">
        <v>566</v>
      </c>
      <c r="D506" s="13">
        <v>3</v>
      </c>
      <c r="E506" s="13">
        <v>3.5685980000000002</v>
      </c>
      <c r="F506" s="13">
        <v>3.3949850000000001</v>
      </c>
      <c r="G506" s="13">
        <v>3.7718240000000001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spans="1:19" x14ac:dyDescent="0.2">
      <c r="A507" s="12" t="s">
        <v>167</v>
      </c>
      <c r="B507" s="12" t="s">
        <v>572</v>
      </c>
      <c r="C507" s="12" t="s">
        <v>554</v>
      </c>
      <c r="D507" s="13">
        <v>0</v>
      </c>
      <c r="E507" s="13">
        <v>0</v>
      </c>
      <c r="F507" s="13">
        <v>0</v>
      </c>
      <c r="G507" s="13">
        <v>0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spans="1:19" x14ac:dyDescent="0.2">
      <c r="A508" s="12" t="s">
        <v>167</v>
      </c>
      <c r="B508" s="12" t="s">
        <v>572</v>
      </c>
      <c r="C508" s="12" t="s">
        <v>555</v>
      </c>
      <c r="D508" s="13">
        <v>0</v>
      </c>
      <c r="E508" s="13">
        <v>0</v>
      </c>
      <c r="F508" s="13">
        <v>0</v>
      </c>
      <c r="G508" s="13">
        <v>0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spans="1:19" x14ac:dyDescent="0.2">
      <c r="A509" s="12" t="s">
        <v>167</v>
      </c>
      <c r="B509" s="12" t="s">
        <v>572</v>
      </c>
      <c r="C509" s="12" t="s">
        <v>556</v>
      </c>
      <c r="D509" s="13">
        <v>0</v>
      </c>
      <c r="E509" s="13">
        <v>0</v>
      </c>
      <c r="F509" s="13">
        <v>0</v>
      </c>
      <c r="G509" s="13">
        <v>0</v>
      </c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spans="1:19" x14ac:dyDescent="0.2">
      <c r="A510" s="12" t="s">
        <v>167</v>
      </c>
      <c r="B510" s="12" t="s">
        <v>572</v>
      </c>
      <c r="C510" s="12" t="s">
        <v>557</v>
      </c>
      <c r="D510" s="13">
        <v>0</v>
      </c>
      <c r="E510" s="13">
        <v>0</v>
      </c>
      <c r="F510" s="13">
        <v>0</v>
      </c>
      <c r="G510" s="13">
        <v>0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spans="1:19" x14ac:dyDescent="0.2">
      <c r="A511" s="12" t="s">
        <v>167</v>
      </c>
      <c r="B511" s="12" t="s">
        <v>572</v>
      </c>
      <c r="C511" s="12" t="s">
        <v>558</v>
      </c>
      <c r="D511" s="13">
        <v>302</v>
      </c>
      <c r="E511" s="13">
        <v>316.86795999999998</v>
      </c>
      <c r="F511" s="13">
        <v>326.502185</v>
      </c>
      <c r="G511" s="13">
        <v>325.167936</v>
      </c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spans="1:19" x14ac:dyDescent="0.2">
      <c r="A512" s="12" t="s">
        <v>167</v>
      </c>
      <c r="B512" s="12" t="s">
        <v>572</v>
      </c>
      <c r="C512" s="12" t="s">
        <v>560</v>
      </c>
      <c r="D512" s="13">
        <v>0</v>
      </c>
      <c r="E512" s="13">
        <v>0</v>
      </c>
      <c r="F512" s="13">
        <v>0</v>
      </c>
      <c r="G512" s="13">
        <v>0</v>
      </c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spans="1:19" x14ac:dyDescent="0.2">
      <c r="A513" s="12" t="s">
        <v>167</v>
      </c>
      <c r="B513" s="12" t="s">
        <v>572</v>
      </c>
      <c r="C513" s="12" t="s">
        <v>561</v>
      </c>
      <c r="D513" s="13">
        <v>268</v>
      </c>
      <c r="E513" s="13">
        <v>274.75368400000002</v>
      </c>
      <c r="F513" s="13">
        <v>285.68568699999997</v>
      </c>
      <c r="G513" s="13">
        <v>303.66189700000001</v>
      </c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spans="1:19" x14ac:dyDescent="0.2">
      <c r="A514" s="12" t="s">
        <v>167</v>
      </c>
      <c r="B514" s="12" t="s">
        <v>572</v>
      </c>
      <c r="C514" s="12" t="s">
        <v>562</v>
      </c>
      <c r="D514" s="13">
        <v>161</v>
      </c>
      <c r="E514" s="13">
        <v>161.74846400000001</v>
      </c>
      <c r="F514" s="13">
        <v>168.837504</v>
      </c>
      <c r="G514" s="13">
        <v>177.83360999999999</v>
      </c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spans="1:19" x14ac:dyDescent="0.2">
      <c r="A515" s="12" t="s">
        <v>167</v>
      </c>
      <c r="B515" s="12" t="s">
        <v>572</v>
      </c>
      <c r="C515" s="12" t="s">
        <v>563</v>
      </c>
      <c r="D515" s="13">
        <v>5</v>
      </c>
      <c r="E515" s="13">
        <v>4.4784519999999999</v>
      </c>
      <c r="F515" s="13">
        <v>5.4267500000000002</v>
      </c>
      <c r="G515" s="13">
        <v>4.675052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spans="1:19" x14ac:dyDescent="0.2">
      <c r="A516" s="12" t="s">
        <v>167</v>
      </c>
      <c r="B516" s="12" t="s">
        <v>572</v>
      </c>
      <c r="C516" s="12" t="s">
        <v>564</v>
      </c>
      <c r="D516" s="13">
        <v>53</v>
      </c>
      <c r="E516" s="13">
        <v>53.855435999999997</v>
      </c>
      <c r="F516" s="13">
        <v>53.855435999999997</v>
      </c>
      <c r="G516" s="13">
        <v>63.576516000000012</v>
      </c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spans="1:19" x14ac:dyDescent="0.2">
      <c r="A517" s="12" t="s">
        <v>167</v>
      </c>
      <c r="B517" s="12" t="s">
        <v>572</v>
      </c>
      <c r="C517" s="12" t="s">
        <v>565</v>
      </c>
      <c r="D517" s="13">
        <v>40</v>
      </c>
      <c r="E517" s="13">
        <v>45.810521000000001</v>
      </c>
      <c r="F517" s="13">
        <v>45.538165999999997</v>
      </c>
      <c r="G517" s="13">
        <v>46.229691000000003</v>
      </c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spans="1:19" x14ac:dyDescent="0.2">
      <c r="A518" s="12" t="s">
        <v>167</v>
      </c>
      <c r="B518" s="12" t="s">
        <v>572</v>
      </c>
      <c r="C518" s="12" t="s">
        <v>566</v>
      </c>
      <c r="D518" s="13">
        <v>9</v>
      </c>
      <c r="E518" s="13">
        <v>8.8608130000000003</v>
      </c>
      <c r="F518" s="13">
        <v>12.027827</v>
      </c>
      <c r="G518" s="13">
        <v>11.347028</v>
      </c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spans="1:19" x14ac:dyDescent="0.2">
      <c r="A519" s="12" t="s">
        <v>167</v>
      </c>
      <c r="B519" s="12" t="s">
        <v>573</v>
      </c>
      <c r="C519" s="12" t="s">
        <v>554</v>
      </c>
      <c r="D519" s="13">
        <v>0</v>
      </c>
      <c r="E519" s="13">
        <v>0</v>
      </c>
      <c r="F519" s="13">
        <v>0</v>
      </c>
      <c r="G519" s="13">
        <v>0</v>
      </c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spans="1:19" x14ac:dyDescent="0.2">
      <c r="A520" s="12" t="s">
        <v>167</v>
      </c>
      <c r="B520" s="12" t="s">
        <v>573</v>
      </c>
      <c r="C520" s="12" t="s">
        <v>555</v>
      </c>
      <c r="D520" s="13">
        <v>0</v>
      </c>
      <c r="E520" s="13">
        <v>0</v>
      </c>
      <c r="F520" s="13">
        <v>0</v>
      </c>
      <c r="G520" s="13">
        <v>0</v>
      </c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spans="1:19" x14ac:dyDescent="0.2">
      <c r="A521" s="12" t="s">
        <v>167</v>
      </c>
      <c r="B521" s="12" t="s">
        <v>573</v>
      </c>
      <c r="C521" s="12" t="s">
        <v>556</v>
      </c>
      <c r="D521" s="13">
        <v>0</v>
      </c>
      <c r="E521" s="13">
        <v>0</v>
      </c>
      <c r="F521" s="13">
        <v>0</v>
      </c>
      <c r="G521" s="13">
        <v>0</v>
      </c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spans="1:19" x14ac:dyDescent="0.2">
      <c r="A522" s="12" t="s">
        <v>167</v>
      </c>
      <c r="B522" s="12" t="s">
        <v>573</v>
      </c>
      <c r="C522" s="12" t="s">
        <v>557</v>
      </c>
      <c r="D522" s="13">
        <v>0</v>
      </c>
      <c r="E522" s="13">
        <v>0</v>
      </c>
      <c r="F522" s="13">
        <v>0</v>
      </c>
      <c r="G522" s="13">
        <v>0</v>
      </c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spans="1:19" x14ac:dyDescent="0.2">
      <c r="A523" s="12" t="s">
        <v>167</v>
      </c>
      <c r="B523" s="12" t="s">
        <v>573</v>
      </c>
      <c r="C523" s="12" t="s">
        <v>558</v>
      </c>
      <c r="D523" s="13">
        <v>0</v>
      </c>
      <c r="E523" s="13">
        <v>0</v>
      </c>
      <c r="F523" s="13">
        <v>0</v>
      </c>
      <c r="G523" s="13">
        <v>0</v>
      </c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spans="1:19" x14ac:dyDescent="0.2">
      <c r="A524" s="12" t="s">
        <v>167</v>
      </c>
      <c r="B524" s="12" t="s">
        <v>573</v>
      </c>
      <c r="C524" s="12" t="s">
        <v>560</v>
      </c>
      <c r="D524" s="13">
        <v>0</v>
      </c>
      <c r="E524" s="13">
        <v>0</v>
      </c>
      <c r="F524" s="13">
        <v>0</v>
      </c>
      <c r="G524" s="13">
        <v>0</v>
      </c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spans="1:19" x14ac:dyDescent="0.2">
      <c r="A525" s="12" t="s">
        <v>167</v>
      </c>
      <c r="B525" s="12" t="s">
        <v>573</v>
      </c>
      <c r="C525" s="12" t="s">
        <v>561</v>
      </c>
      <c r="D525" s="13">
        <v>0</v>
      </c>
      <c r="E525" s="13">
        <v>0</v>
      </c>
      <c r="F525" s="13">
        <v>0</v>
      </c>
      <c r="G525" s="13">
        <v>0</v>
      </c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spans="1:19" x14ac:dyDescent="0.2">
      <c r="A526" s="12" t="s">
        <v>167</v>
      </c>
      <c r="B526" s="12" t="s">
        <v>573</v>
      </c>
      <c r="C526" s="12" t="s">
        <v>562</v>
      </c>
      <c r="D526" s="13">
        <v>0</v>
      </c>
      <c r="E526" s="13">
        <v>0</v>
      </c>
      <c r="F526" s="13">
        <v>0</v>
      </c>
      <c r="G526" s="13">
        <v>0</v>
      </c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spans="1:19" x14ac:dyDescent="0.2">
      <c r="A527" s="12" t="s">
        <v>167</v>
      </c>
      <c r="B527" s="12" t="s">
        <v>573</v>
      </c>
      <c r="C527" s="12" t="s">
        <v>563</v>
      </c>
      <c r="D527" s="13">
        <v>0</v>
      </c>
      <c r="E527" s="13">
        <v>0</v>
      </c>
      <c r="F527" s="13">
        <v>0</v>
      </c>
      <c r="G527" s="13">
        <v>0</v>
      </c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spans="1:19" x14ac:dyDescent="0.2">
      <c r="A528" s="12" t="s">
        <v>167</v>
      </c>
      <c r="B528" s="12" t="s">
        <v>573</v>
      </c>
      <c r="C528" s="12" t="s">
        <v>564</v>
      </c>
      <c r="D528" s="13">
        <v>0</v>
      </c>
      <c r="E528" s="13">
        <v>0</v>
      </c>
      <c r="F528" s="13">
        <v>0</v>
      </c>
      <c r="G528" s="13">
        <v>0</v>
      </c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spans="1:19" x14ac:dyDescent="0.2">
      <c r="A529" s="12" t="s">
        <v>167</v>
      </c>
      <c r="B529" s="12" t="s">
        <v>573</v>
      </c>
      <c r="C529" s="12" t="s">
        <v>565</v>
      </c>
      <c r="D529" s="13">
        <v>0</v>
      </c>
      <c r="E529" s="13">
        <v>0</v>
      </c>
      <c r="F529" s="13">
        <v>0</v>
      </c>
      <c r="G529" s="13">
        <v>0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spans="1:19" x14ac:dyDescent="0.2">
      <c r="A530" s="12" t="s">
        <v>167</v>
      </c>
      <c r="B530" s="12" t="s">
        <v>573</v>
      </c>
      <c r="C530" s="12" t="s">
        <v>566</v>
      </c>
      <c r="D530" s="13">
        <v>0</v>
      </c>
      <c r="E530" s="13">
        <v>0</v>
      </c>
      <c r="F530" s="13">
        <v>0</v>
      </c>
      <c r="G530" s="13">
        <v>0</v>
      </c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spans="1:19" x14ac:dyDescent="0.2">
      <c r="A531" s="12" t="s">
        <v>167</v>
      </c>
      <c r="B531" s="12" t="s">
        <v>574</v>
      </c>
      <c r="C531" s="12" t="s">
        <v>554</v>
      </c>
      <c r="D531" s="13">
        <v>525</v>
      </c>
      <c r="E531" s="13">
        <v>543.07203400000003</v>
      </c>
      <c r="F531" s="13">
        <v>582.08009400000003</v>
      </c>
      <c r="G531" s="13">
        <v>658.10547400000007</v>
      </c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spans="1:19" x14ac:dyDescent="0.2">
      <c r="A532" s="12" t="s">
        <v>167</v>
      </c>
      <c r="B532" s="12" t="s">
        <v>574</v>
      </c>
      <c r="C532" s="12" t="s">
        <v>555</v>
      </c>
      <c r="D532" s="13">
        <v>1082</v>
      </c>
      <c r="E532" s="13">
        <v>1179.5376309999999</v>
      </c>
      <c r="F532" s="13">
        <v>1202.3722330000001</v>
      </c>
      <c r="G532" s="13">
        <v>1101.9736190000001</v>
      </c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spans="1:19" x14ac:dyDescent="0.2">
      <c r="A533" s="12" t="s">
        <v>167</v>
      </c>
      <c r="B533" s="12" t="s">
        <v>574</v>
      </c>
      <c r="C533" s="12" t="s">
        <v>556</v>
      </c>
      <c r="D533" s="13">
        <v>-29</v>
      </c>
      <c r="E533" s="13">
        <v>-39.119655000000002</v>
      </c>
      <c r="F533" s="13">
        <v>-43.350295000000003</v>
      </c>
      <c r="G533" s="13">
        <v>-56.642434000000002</v>
      </c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spans="1:19" x14ac:dyDescent="0.2">
      <c r="A534" s="12" t="s">
        <v>167</v>
      </c>
      <c r="B534" s="12" t="s">
        <v>574</v>
      </c>
      <c r="C534" s="12" t="s">
        <v>557</v>
      </c>
      <c r="D534" s="13">
        <v>1578</v>
      </c>
      <c r="E534" s="13">
        <v>1656.0625729999999</v>
      </c>
      <c r="F534" s="13">
        <v>1704.420175</v>
      </c>
      <c r="G534" s="13">
        <v>1694.941239</v>
      </c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spans="1:19" x14ac:dyDescent="0.2">
      <c r="A535" s="12" t="s">
        <v>167</v>
      </c>
      <c r="B535" s="12" t="s">
        <v>574</v>
      </c>
      <c r="C535" s="12" t="s">
        <v>558</v>
      </c>
      <c r="D535" s="13">
        <v>-430</v>
      </c>
      <c r="E535" s="13">
        <v>-443.01270499999998</v>
      </c>
      <c r="F535" s="13">
        <v>-409.97317299999997</v>
      </c>
      <c r="G535" s="13">
        <v>-341.20671099999998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spans="1:19" x14ac:dyDescent="0.2">
      <c r="A536" s="12" t="s">
        <v>167</v>
      </c>
      <c r="B536" s="12" t="s">
        <v>574</v>
      </c>
      <c r="C536" s="12" t="s">
        <v>560</v>
      </c>
      <c r="D536" s="13">
        <v>4</v>
      </c>
      <c r="E536" s="13">
        <v>-10.219912000000001</v>
      </c>
      <c r="F536" s="13">
        <v>-18.377300999999999</v>
      </c>
      <c r="G536" s="13">
        <v>4.0923999999999996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spans="1:19" x14ac:dyDescent="0.2">
      <c r="A537" s="12" t="s">
        <v>167</v>
      </c>
      <c r="B537" s="12" t="s">
        <v>574</v>
      </c>
      <c r="C537" s="12" t="s">
        <v>561</v>
      </c>
      <c r="D537" s="13">
        <v>1130</v>
      </c>
      <c r="E537" s="13">
        <v>1151.6480959999999</v>
      </c>
      <c r="F537" s="13">
        <v>1247.52757</v>
      </c>
      <c r="G537" s="13">
        <v>1287.632106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spans="1:19" x14ac:dyDescent="0.2">
      <c r="A538" s="12" t="s">
        <v>167</v>
      </c>
      <c r="B538" s="12" t="s">
        <v>574</v>
      </c>
      <c r="C538" s="12" t="s">
        <v>562</v>
      </c>
      <c r="D538" s="13">
        <v>431</v>
      </c>
      <c r="E538" s="13">
        <v>415.43334199999998</v>
      </c>
      <c r="F538" s="13">
        <v>443.43593299999998</v>
      </c>
      <c r="G538" s="13">
        <v>465.56738300000001</v>
      </c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spans="1:19" x14ac:dyDescent="0.2">
      <c r="A539" s="12" t="s">
        <v>167</v>
      </c>
      <c r="B539" s="12" t="s">
        <v>574</v>
      </c>
      <c r="C539" s="12" t="s">
        <v>563</v>
      </c>
      <c r="D539" s="13">
        <v>357</v>
      </c>
      <c r="E539" s="13">
        <v>390.39314999999999</v>
      </c>
      <c r="F539" s="13">
        <v>416.78598399999998</v>
      </c>
      <c r="G539" s="13">
        <v>399.77059000000003</v>
      </c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spans="1:19" x14ac:dyDescent="0.2">
      <c r="A540" s="12" t="s">
        <v>167</v>
      </c>
      <c r="B540" s="12" t="s">
        <v>574</v>
      </c>
      <c r="C540" s="12" t="s">
        <v>564</v>
      </c>
      <c r="D540" s="13">
        <v>201</v>
      </c>
      <c r="E540" s="13">
        <v>201.99991600000001</v>
      </c>
      <c r="F540" s="13">
        <v>233.43420900000001</v>
      </c>
      <c r="G540" s="13">
        <v>236.55347599999999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spans="1:19" x14ac:dyDescent="0.2">
      <c r="A541" s="12" t="s">
        <v>167</v>
      </c>
      <c r="B541" s="12" t="s">
        <v>574</v>
      </c>
      <c r="C541" s="12" t="s">
        <v>565</v>
      </c>
      <c r="D541" s="13">
        <v>68</v>
      </c>
      <c r="E541" s="13">
        <v>78.402444000000003</v>
      </c>
      <c r="F541" s="13">
        <v>78.883356000000006</v>
      </c>
      <c r="G541" s="13">
        <v>82.513086000000001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spans="1:19" x14ac:dyDescent="0.2">
      <c r="A542" s="12" t="s">
        <v>167</v>
      </c>
      <c r="B542" s="12" t="s">
        <v>574</v>
      </c>
      <c r="C542" s="12" t="s">
        <v>566</v>
      </c>
      <c r="D542" s="13">
        <v>72</v>
      </c>
      <c r="E542" s="13">
        <v>65.419257000000002</v>
      </c>
      <c r="F542" s="13">
        <v>74.988078999999999</v>
      </c>
      <c r="G542" s="13">
        <v>103.22755100000001</v>
      </c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spans="1:19" x14ac:dyDescent="0.2">
      <c r="A543" s="12" t="s">
        <v>182</v>
      </c>
      <c r="B543" s="12" t="s">
        <v>553</v>
      </c>
      <c r="C543" s="12" t="s">
        <v>554</v>
      </c>
      <c r="D543" s="13">
        <v>1619</v>
      </c>
      <c r="E543" s="13">
        <v>1803.266918</v>
      </c>
      <c r="F543" s="13">
        <v>1860.7873959999999</v>
      </c>
      <c r="G543" s="13">
        <v>1849.495236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spans="1:19" x14ac:dyDescent="0.2">
      <c r="A544" s="12" t="s">
        <v>182</v>
      </c>
      <c r="B544" s="12" t="s">
        <v>553</v>
      </c>
      <c r="C544" s="12" t="s">
        <v>555</v>
      </c>
      <c r="D544" s="13">
        <v>0</v>
      </c>
      <c r="E544" s="13">
        <v>0</v>
      </c>
      <c r="F544" s="13">
        <v>1.0266000000000001E-2</v>
      </c>
      <c r="G544" s="13">
        <v>2.1766079999999999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spans="1:19" x14ac:dyDescent="0.2">
      <c r="A545" s="12" t="s">
        <v>182</v>
      </c>
      <c r="B545" s="12" t="s">
        <v>553</v>
      </c>
      <c r="C545" s="12" t="s">
        <v>556</v>
      </c>
      <c r="D545" s="13">
        <v>-2048</v>
      </c>
      <c r="E545" s="13">
        <v>-1711.692622</v>
      </c>
      <c r="F545" s="13">
        <v>-1749.4167620000001</v>
      </c>
      <c r="G545" s="13">
        <v>-1728.4074700000001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spans="1:19" x14ac:dyDescent="0.2">
      <c r="A546" s="12" t="s">
        <v>182</v>
      </c>
      <c r="B546" s="12" t="s">
        <v>553</v>
      </c>
      <c r="C546" s="12" t="s">
        <v>557</v>
      </c>
      <c r="D546" s="13">
        <v>225</v>
      </c>
      <c r="E546" s="13">
        <v>218.08729700000001</v>
      </c>
      <c r="F546" s="13">
        <v>197.66090500000001</v>
      </c>
      <c r="G546" s="13">
        <v>218.948894</v>
      </c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spans="1:19" x14ac:dyDescent="0.2">
      <c r="A547" s="12" t="s">
        <v>182</v>
      </c>
      <c r="B547" s="12" t="s">
        <v>553</v>
      </c>
      <c r="C547" s="12" t="s">
        <v>558</v>
      </c>
      <c r="D547" s="13">
        <v>-98</v>
      </c>
      <c r="E547" s="13">
        <v>-49.542777000000001</v>
      </c>
      <c r="F547" s="13">
        <v>-49.338776000000003</v>
      </c>
      <c r="G547" s="13">
        <v>-99.351423999999994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spans="1:19" x14ac:dyDescent="0.2">
      <c r="A548" s="12" t="s">
        <v>182</v>
      </c>
      <c r="B548" s="12" t="s">
        <v>553</v>
      </c>
      <c r="C548" s="12" t="s">
        <v>560</v>
      </c>
      <c r="D548" s="13">
        <v>0</v>
      </c>
      <c r="E548" s="13">
        <v>0</v>
      </c>
      <c r="F548" s="13">
        <v>0</v>
      </c>
      <c r="G548" s="13">
        <v>0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spans="1:19" x14ac:dyDescent="0.2">
      <c r="A549" s="12" t="s">
        <v>182</v>
      </c>
      <c r="B549" s="12" t="s">
        <v>553</v>
      </c>
      <c r="C549" s="12" t="s">
        <v>561</v>
      </c>
      <c r="D549" s="13">
        <v>89</v>
      </c>
      <c r="E549" s="13">
        <v>94.858430999999996</v>
      </c>
      <c r="F549" s="13">
        <v>68.884746000000007</v>
      </c>
      <c r="G549" s="13">
        <v>69.676202000000004</v>
      </c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spans="1:19" x14ac:dyDescent="0.2">
      <c r="A550" s="12" t="s">
        <v>182</v>
      </c>
      <c r="B550" s="12" t="s">
        <v>553</v>
      </c>
      <c r="C550" s="12" t="s">
        <v>562</v>
      </c>
      <c r="D550" s="13">
        <v>86</v>
      </c>
      <c r="E550" s="13">
        <v>92.471331000000006</v>
      </c>
      <c r="F550" s="13">
        <v>66.497645999999989</v>
      </c>
      <c r="G550" s="13">
        <v>67.105294000000001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spans="1:19" x14ac:dyDescent="0.2">
      <c r="A551" s="12" t="s">
        <v>182</v>
      </c>
      <c r="B551" s="12" t="s">
        <v>553</v>
      </c>
      <c r="C551" s="12" t="s">
        <v>563</v>
      </c>
      <c r="D551" s="13">
        <v>0</v>
      </c>
      <c r="E551" s="13">
        <v>0</v>
      </c>
      <c r="F551" s="13">
        <v>0</v>
      </c>
      <c r="G551" s="13">
        <v>0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spans="1:19" x14ac:dyDescent="0.2">
      <c r="A552" s="12" t="s">
        <v>182</v>
      </c>
      <c r="B552" s="12" t="s">
        <v>553</v>
      </c>
      <c r="C552" s="12" t="s">
        <v>564</v>
      </c>
      <c r="D552" s="13">
        <v>2</v>
      </c>
      <c r="E552" s="13">
        <v>2.3871000000000002</v>
      </c>
      <c r="F552" s="13">
        <v>2.3871000000000002</v>
      </c>
      <c r="G552" s="13">
        <v>2.5709050000000002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spans="1:19" x14ac:dyDescent="0.2">
      <c r="A553" s="12" t="s">
        <v>182</v>
      </c>
      <c r="B553" s="12" t="s">
        <v>553</v>
      </c>
      <c r="C553" s="12" t="s">
        <v>565</v>
      </c>
      <c r="D553" s="13">
        <v>0</v>
      </c>
      <c r="E553" s="13">
        <v>0</v>
      </c>
      <c r="F553" s="13">
        <v>0</v>
      </c>
      <c r="G553" s="13">
        <v>0</v>
      </c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spans="1:19" x14ac:dyDescent="0.2">
      <c r="A554" s="12" t="s">
        <v>182</v>
      </c>
      <c r="B554" s="12" t="s">
        <v>553</v>
      </c>
      <c r="C554" s="12" t="s">
        <v>566</v>
      </c>
      <c r="D554" s="13">
        <v>0</v>
      </c>
      <c r="E554" s="13">
        <v>0</v>
      </c>
      <c r="F554" s="13">
        <v>0</v>
      </c>
      <c r="G554" s="13">
        <v>0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spans="1:19" x14ac:dyDescent="0.2">
      <c r="A555" s="12" t="s">
        <v>182</v>
      </c>
      <c r="B555" s="12" t="s">
        <v>567</v>
      </c>
      <c r="C555" s="12" t="s">
        <v>554</v>
      </c>
      <c r="D555" s="13">
        <v>1759</v>
      </c>
      <c r="E555" s="13">
        <v>1661.8903130000001</v>
      </c>
      <c r="F555" s="13">
        <v>1702.2451490000001</v>
      </c>
      <c r="G555" s="13">
        <v>1862.4726619999999</v>
      </c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spans="1:19" x14ac:dyDescent="0.2">
      <c r="A556" s="12" t="s">
        <v>182</v>
      </c>
      <c r="B556" s="12" t="s">
        <v>567</v>
      </c>
      <c r="C556" s="12" t="s">
        <v>555</v>
      </c>
      <c r="D556" s="13">
        <v>3</v>
      </c>
      <c r="E556" s="13">
        <v>13.009577</v>
      </c>
      <c r="F556" s="13">
        <v>0</v>
      </c>
      <c r="G556" s="13">
        <v>54.456045000000003</v>
      </c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spans="1:19" x14ac:dyDescent="0.2">
      <c r="A557" s="12" t="s">
        <v>182</v>
      </c>
      <c r="B557" s="12" t="s">
        <v>567</v>
      </c>
      <c r="C557" s="12" t="s">
        <v>556</v>
      </c>
      <c r="D557" s="13">
        <v>-1211</v>
      </c>
      <c r="E557" s="13">
        <v>-1040.5146480000001</v>
      </c>
      <c r="F557" s="13">
        <v>-874.45876199999998</v>
      </c>
      <c r="G557" s="13">
        <v>-1075.286302</v>
      </c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spans="1:19" x14ac:dyDescent="0.2">
      <c r="A558" s="12" t="s">
        <v>182</v>
      </c>
      <c r="B558" s="12" t="s">
        <v>567</v>
      </c>
      <c r="C558" s="12" t="s">
        <v>557</v>
      </c>
      <c r="D558" s="13">
        <v>748</v>
      </c>
      <c r="E558" s="13">
        <v>857.73533400000008</v>
      </c>
      <c r="F558" s="13">
        <v>815.67691000000002</v>
      </c>
      <c r="G558" s="13">
        <v>841.64240599999994</v>
      </c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spans="1:19" x14ac:dyDescent="0.2">
      <c r="A559" s="12" t="s">
        <v>182</v>
      </c>
      <c r="B559" s="12" t="s">
        <v>567</v>
      </c>
      <c r="C559" s="12" t="s">
        <v>558</v>
      </c>
      <c r="D559" s="13">
        <v>-12</v>
      </c>
      <c r="E559" s="13">
        <v>-11.450018999999999</v>
      </c>
      <c r="F559" s="13">
        <v>-11.450018999999999</v>
      </c>
      <c r="G559" s="13">
        <v>-11.895013000000001</v>
      </c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spans="1:19" x14ac:dyDescent="0.2">
      <c r="A560" s="12" t="s">
        <v>182</v>
      </c>
      <c r="B560" s="12" t="s">
        <v>567</v>
      </c>
      <c r="C560" s="12" t="s">
        <v>560</v>
      </c>
      <c r="D560" s="13">
        <v>-769</v>
      </c>
      <c r="E560" s="13">
        <v>-901.56763000000001</v>
      </c>
      <c r="F560" s="13">
        <v>-859.05435199999999</v>
      </c>
      <c r="G560" s="13">
        <v>-885.34143600000004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spans="1:19" x14ac:dyDescent="0.2">
      <c r="A561" s="12" t="s">
        <v>182</v>
      </c>
      <c r="B561" s="12" t="s">
        <v>567</v>
      </c>
      <c r="C561" s="12" t="s">
        <v>561</v>
      </c>
      <c r="D561" s="13">
        <v>0</v>
      </c>
      <c r="E561" s="13">
        <v>0</v>
      </c>
      <c r="F561" s="13">
        <v>0</v>
      </c>
      <c r="G561" s="13">
        <v>0.41606300000000002</v>
      </c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spans="1:19" x14ac:dyDescent="0.2">
      <c r="A562" s="12" t="s">
        <v>182</v>
      </c>
      <c r="B562" s="12" t="s">
        <v>567</v>
      </c>
      <c r="C562" s="12" t="s">
        <v>562</v>
      </c>
      <c r="D562" s="13">
        <v>0</v>
      </c>
      <c r="E562" s="13">
        <v>0</v>
      </c>
      <c r="F562" s="13">
        <v>0</v>
      </c>
      <c r="G562" s="13">
        <v>0.41606300000000002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spans="1:19" x14ac:dyDescent="0.2">
      <c r="A563" s="12" t="s">
        <v>182</v>
      </c>
      <c r="B563" s="12" t="s">
        <v>567</v>
      </c>
      <c r="C563" s="12" t="s">
        <v>563</v>
      </c>
      <c r="D563" s="13">
        <v>0</v>
      </c>
      <c r="E563" s="13">
        <v>0</v>
      </c>
      <c r="F563" s="13">
        <v>0</v>
      </c>
      <c r="G563" s="13">
        <v>0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spans="1:19" x14ac:dyDescent="0.2">
      <c r="A564" s="12" t="s">
        <v>182</v>
      </c>
      <c r="B564" s="12" t="s">
        <v>567</v>
      </c>
      <c r="C564" s="12" t="s">
        <v>564</v>
      </c>
      <c r="D564" s="13">
        <v>0</v>
      </c>
      <c r="E564" s="13">
        <v>0</v>
      </c>
      <c r="F564" s="13">
        <v>0</v>
      </c>
      <c r="G564" s="13">
        <v>0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spans="1:19" x14ac:dyDescent="0.2">
      <c r="A565" s="12" t="s">
        <v>182</v>
      </c>
      <c r="B565" s="12" t="s">
        <v>567</v>
      </c>
      <c r="C565" s="12" t="s">
        <v>565</v>
      </c>
      <c r="D565" s="13">
        <v>0</v>
      </c>
      <c r="E565" s="13">
        <v>0</v>
      </c>
      <c r="F565" s="13">
        <v>0</v>
      </c>
      <c r="G565" s="13">
        <v>0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spans="1:19" x14ac:dyDescent="0.2">
      <c r="A566" s="12" t="s">
        <v>182</v>
      </c>
      <c r="B566" s="12" t="s">
        <v>567</v>
      </c>
      <c r="C566" s="12" t="s">
        <v>566</v>
      </c>
      <c r="D566" s="13">
        <v>0</v>
      </c>
      <c r="E566" s="13">
        <v>0</v>
      </c>
      <c r="F566" s="13">
        <v>0</v>
      </c>
      <c r="G566" s="13">
        <v>0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spans="1:19" x14ac:dyDescent="0.2">
      <c r="A567" s="12" t="s">
        <v>182</v>
      </c>
      <c r="B567" s="12" t="s">
        <v>568</v>
      </c>
      <c r="C567" s="12" t="s">
        <v>554</v>
      </c>
      <c r="D567" s="13">
        <v>0</v>
      </c>
      <c r="E567" s="13">
        <v>0</v>
      </c>
      <c r="F567" s="13">
        <v>0</v>
      </c>
      <c r="G567" s="13">
        <v>0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spans="1:19" x14ac:dyDescent="0.2">
      <c r="A568" s="12" t="s">
        <v>182</v>
      </c>
      <c r="B568" s="12" t="s">
        <v>568</v>
      </c>
      <c r="C568" s="12" t="s">
        <v>555</v>
      </c>
      <c r="D568" s="13">
        <v>166</v>
      </c>
      <c r="E568" s="13">
        <v>241.552921</v>
      </c>
      <c r="F568" s="13">
        <v>263.82748800000002</v>
      </c>
      <c r="G568" s="13">
        <v>281.99401399999999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spans="1:19" x14ac:dyDescent="0.2">
      <c r="A569" s="12" t="s">
        <v>182</v>
      </c>
      <c r="B569" s="12" t="s">
        <v>568</v>
      </c>
      <c r="C569" s="12" t="s">
        <v>556</v>
      </c>
      <c r="D569" s="13">
        <v>-239</v>
      </c>
      <c r="E569" s="13">
        <v>-221.27293299999999</v>
      </c>
      <c r="F569" s="13">
        <v>-206.426896</v>
      </c>
      <c r="G569" s="13">
        <v>-236.167587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spans="1:19" x14ac:dyDescent="0.2">
      <c r="A570" s="12" t="s">
        <v>182</v>
      </c>
      <c r="B570" s="12" t="s">
        <v>568</v>
      </c>
      <c r="C570" s="12" t="s">
        <v>557</v>
      </c>
      <c r="D570" s="13">
        <v>-97</v>
      </c>
      <c r="E570" s="13">
        <v>-34.579647999999999</v>
      </c>
      <c r="F570" s="13">
        <v>11.548258000000001</v>
      </c>
      <c r="G570" s="13">
        <v>2.6209790000000002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spans="1:19" x14ac:dyDescent="0.2">
      <c r="A571" s="12" t="s">
        <v>182</v>
      </c>
      <c r="B571" s="12" t="s">
        <v>568</v>
      </c>
      <c r="C571" s="12" t="s">
        <v>558</v>
      </c>
      <c r="D571" s="13">
        <v>-14</v>
      </c>
      <c r="E571" s="13">
        <v>-16.670719999999999</v>
      </c>
      <c r="F571" s="13">
        <v>-16.670719999999999</v>
      </c>
      <c r="G571" s="13">
        <v>-25.286785999999999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spans="1:19" x14ac:dyDescent="0.2">
      <c r="A572" s="12" t="s">
        <v>182</v>
      </c>
      <c r="B572" s="12" t="s">
        <v>568</v>
      </c>
      <c r="C572" s="12" t="s">
        <v>560</v>
      </c>
      <c r="D572" s="13">
        <v>666</v>
      </c>
      <c r="E572" s="13">
        <v>844.45287899999994</v>
      </c>
      <c r="F572" s="13">
        <v>787.06264899999996</v>
      </c>
      <c r="G572" s="13">
        <v>811.84672499999999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spans="1:19" x14ac:dyDescent="0.2">
      <c r="A573" s="12" t="s">
        <v>182</v>
      </c>
      <c r="B573" s="12" t="s">
        <v>568</v>
      </c>
      <c r="C573" s="12" t="s">
        <v>561</v>
      </c>
      <c r="D573" s="13">
        <v>510</v>
      </c>
      <c r="E573" s="13">
        <v>656.27202399999999</v>
      </c>
      <c r="F573" s="13">
        <v>698.67834600000003</v>
      </c>
      <c r="G573" s="13">
        <v>709.17521499999998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spans="1:19" x14ac:dyDescent="0.2">
      <c r="A574" s="12" t="s">
        <v>182</v>
      </c>
      <c r="B574" s="12" t="s">
        <v>568</v>
      </c>
      <c r="C574" s="12" t="s">
        <v>562</v>
      </c>
      <c r="D574" s="13">
        <v>39</v>
      </c>
      <c r="E574" s="13">
        <v>52.872782000000001</v>
      </c>
      <c r="F574" s="13">
        <v>59.005267000000003</v>
      </c>
      <c r="G574" s="13">
        <v>65.450101000000004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spans="1:19" x14ac:dyDescent="0.2">
      <c r="A575" s="12" t="s">
        <v>182</v>
      </c>
      <c r="B575" s="12" t="s">
        <v>568</v>
      </c>
      <c r="C575" s="12" t="s">
        <v>563</v>
      </c>
      <c r="D575" s="13">
        <v>369</v>
      </c>
      <c r="E575" s="13">
        <v>483.99965700000001</v>
      </c>
      <c r="F575" s="13">
        <v>518.52961600000003</v>
      </c>
      <c r="G575" s="13">
        <v>531.61750199999994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spans="1:19" x14ac:dyDescent="0.2">
      <c r="A576" s="12" t="s">
        <v>182</v>
      </c>
      <c r="B576" s="12" t="s">
        <v>568</v>
      </c>
      <c r="C576" s="12" t="s">
        <v>564</v>
      </c>
      <c r="D576" s="13">
        <v>19</v>
      </c>
      <c r="E576" s="13">
        <v>22.19792</v>
      </c>
      <c r="F576" s="13">
        <v>24.376483</v>
      </c>
      <c r="G576" s="13">
        <v>23.800229000000002</v>
      </c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spans="1:19" x14ac:dyDescent="0.2">
      <c r="A577" s="12" t="s">
        <v>182</v>
      </c>
      <c r="B577" s="12" t="s">
        <v>568</v>
      </c>
      <c r="C577" s="12" t="s">
        <v>565</v>
      </c>
      <c r="D577" s="13">
        <v>2</v>
      </c>
      <c r="E577" s="13">
        <v>3.0515409999999998</v>
      </c>
      <c r="F577" s="13">
        <v>3.338387</v>
      </c>
      <c r="G577" s="13">
        <v>2.6132209999999998</v>
      </c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spans="1:19" x14ac:dyDescent="0.2">
      <c r="A578" s="12" t="s">
        <v>182</v>
      </c>
      <c r="B578" s="12" t="s">
        <v>568</v>
      </c>
      <c r="C578" s="12" t="s">
        <v>566</v>
      </c>
      <c r="D578" s="13">
        <v>81</v>
      </c>
      <c r="E578" s="13">
        <v>94.150125000000003</v>
      </c>
      <c r="F578" s="13">
        <v>93.428596000000013</v>
      </c>
      <c r="G578" s="13">
        <v>85.69416200000002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spans="1:19" x14ac:dyDescent="0.2">
      <c r="A579" s="12" t="s">
        <v>182</v>
      </c>
      <c r="B579" s="12" t="s">
        <v>569</v>
      </c>
      <c r="C579" s="12" t="s">
        <v>554</v>
      </c>
      <c r="D579" s="13">
        <v>426</v>
      </c>
      <c r="E579" s="13">
        <v>396.54983499999997</v>
      </c>
      <c r="F579" s="13">
        <v>392.18778900000001</v>
      </c>
      <c r="G579" s="13">
        <v>382.77528000000001</v>
      </c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spans="1:19" x14ac:dyDescent="0.2">
      <c r="A580" s="12" t="s">
        <v>182</v>
      </c>
      <c r="B580" s="12" t="s">
        <v>569</v>
      </c>
      <c r="C580" s="12" t="s">
        <v>555</v>
      </c>
      <c r="D580" s="13">
        <v>12</v>
      </c>
      <c r="E580" s="13">
        <v>1.5609770000000001</v>
      </c>
      <c r="F580" s="13">
        <v>1.9307719999999999</v>
      </c>
      <c r="G580" s="13">
        <v>20.070941000000001</v>
      </c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spans="1:19" x14ac:dyDescent="0.2">
      <c r="A581" s="12" t="s">
        <v>182</v>
      </c>
      <c r="B581" s="12" t="s">
        <v>569</v>
      </c>
      <c r="C581" s="12" t="s">
        <v>556</v>
      </c>
      <c r="D581" s="13">
        <v>0</v>
      </c>
      <c r="E581" s="13">
        <v>0</v>
      </c>
      <c r="F581" s="13">
        <v>0</v>
      </c>
      <c r="G581" s="13">
        <v>0</v>
      </c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spans="1:19" x14ac:dyDescent="0.2">
      <c r="A582" s="12" t="s">
        <v>182</v>
      </c>
      <c r="B582" s="12" t="s">
        <v>569</v>
      </c>
      <c r="C582" s="12" t="s">
        <v>557</v>
      </c>
      <c r="D582" s="13">
        <v>438</v>
      </c>
      <c r="E582" s="13">
        <v>398.11081300000001</v>
      </c>
      <c r="F582" s="13">
        <v>394.11855600000001</v>
      </c>
      <c r="G582" s="13">
        <v>402.84622200000001</v>
      </c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spans="1:19" x14ac:dyDescent="0.2">
      <c r="A583" s="12" t="s">
        <v>182</v>
      </c>
      <c r="B583" s="12" t="s">
        <v>569</v>
      </c>
      <c r="C583" s="12" t="s">
        <v>558</v>
      </c>
      <c r="D583" s="13">
        <v>-125</v>
      </c>
      <c r="E583" s="13">
        <v>-86.114827000000005</v>
      </c>
      <c r="F583" s="13">
        <v>-101.071789</v>
      </c>
      <c r="G583" s="13">
        <v>-117.61795499999999</v>
      </c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spans="1:19" x14ac:dyDescent="0.2">
      <c r="A584" s="12" t="s">
        <v>182</v>
      </c>
      <c r="B584" s="12" t="s">
        <v>569</v>
      </c>
      <c r="C584" s="12" t="s">
        <v>560</v>
      </c>
      <c r="D584" s="13">
        <v>0</v>
      </c>
      <c r="E584" s="13">
        <v>0</v>
      </c>
      <c r="F584" s="13">
        <v>0</v>
      </c>
      <c r="G584" s="13">
        <v>0</v>
      </c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spans="1:19" x14ac:dyDescent="0.2">
      <c r="A585" s="12" t="s">
        <v>182</v>
      </c>
      <c r="B585" s="12" t="s">
        <v>569</v>
      </c>
      <c r="C585" s="12" t="s">
        <v>561</v>
      </c>
      <c r="D585" s="13">
        <v>143</v>
      </c>
      <c r="E585" s="13">
        <v>142.05532700000001</v>
      </c>
      <c r="F585" s="13">
        <v>165.54698500000001</v>
      </c>
      <c r="G585" s="13">
        <v>165.516178</v>
      </c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spans="1:19" x14ac:dyDescent="0.2">
      <c r="A586" s="12" t="s">
        <v>182</v>
      </c>
      <c r="B586" s="12" t="s">
        <v>569</v>
      </c>
      <c r="C586" s="12" t="s">
        <v>562</v>
      </c>
      <c r="D586" s="13">
        <v>51</v>
      </c>
      <c r="E586" s="13">
        <v>50.510111999999999</v>
      </c>
      <c r="F586" s="13">
        <v>59.545586999999998</v>
      </c>
      <c r="G586" s="13">
        <v>59.705509999999997</v>
      </c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spans="1:19" x14ac:dyDescent="0.2">
      <c r="A587" s="12" t="s">
        <v>182</v>
      </c>
      <c r="B587" s="12" t="s">
        <v>569</v>
      </c>
      <c r="C587" s="12" t="s">
        <v>563</v>
      </c>
      <c r="D587" s="13">
        <v>21</v>
      </c>
      <c r="E587" s="13">
        <v>20.784879</v>
      </c>
      <c r="F587" s="13">
        <v>20.936131</v>
      </c>
      <c r="G587" s="13">
        <v>20.214183999999999</v>
      </c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spans="1:19" x14ac:dyDescent="0.2">
      <c r="A588" s="12" t="s">
        <v>182</v>
      </c>
      <c r="B588" s="12" t="s">
        <v>569</v>
      </c>
      <c r="C588" s="12" t="s">
        <v>564</v>
      </c>
      <c r="D588" s="13">
        <v>52</v>
      </c>
      <c r="E588" s="13">
        <v>50.766043000000003</v>
      </c>
      <c r="F588" s="13">
        <v>61.157103000000014</v>
      </c>
      <c r="G588" s="13">
        <v>59.825709000000003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spans="1:19" x14ac:dyDescent="0.2">
      <c r="A589" s="12" t="s">
        <v>182</v>
      </c>
      <c r="B589" s="12" t="s">
        <v>569</v>
      </c>
      <c r="C589" s="12" t="s">
        <v>565</v>
      </c>
      <c r="D589" s="13">
        <v>13</v>
      </c>
      <c r="E589" s="13">
        <v>14.213855000000001</v>
      </c>
      <c r="F589" s="13">
        <v>17.705755</v>
      </c>
      <c r="G589" s="13">
        <v>19.531154000000001</v>
      </c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spans="1:19" x14ac:dyDescent="0.2">
      <c r="A590" s="12" t="s">
        <v>182</v>
      </c>
      <c r="B590" s="12" t="s">
        <v>569</v>
      </c>
      <c r="C590" s="12" t="s">
        <v>566</v>
      </c>
      <c r="D590" s="13">
        <v>5</v>
      </c>
      <c r="E590" s="13">
        <v>5.7804390000000003</v>
      </c>
      <c r="F590" s="13">
        <v>6.2024089999999994</v>
      </c>
      <c r="G590" s="13">
        <v>6.2396260000000003</v>
      </c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spans="1:19" x14ac:dyDescent="0.2">
      <c r="A591" s="12" t="s">
        <v>182</v>
      </c>
      <c r="B591" s="12" t="s">
        <v>570</v>
      </c>
      <c r="C591" s="12" t="s">
        <v>554</v>
      </c>
      <c r="D591" s="13">
        <v>0</v>
      </c>
      <c r="E591" s="13">
        <v>0</v>
      </c>
      <c r="F591" s="13">
        <v>0</v>
      </c>
      <c r="G591" s="13">
        <v>0</v>
      </c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spans="1:19" x14ac:dyDescent="0.2">
      <c r="A592" s="12" t="s">
        <v>182</v>
      </c>
      <c r="B592" s="12" t="s">
        <v>570</v>
      </c>
      <c r="C592" s="12" t="s">
        <v>555</v>
      </c>
      <c r="D592" s="13">
        <v>0</v>
      </c>
      <c r="E592" s="13">
        <v>0</v>
      </c>
      <c r="F592" s="13">
        <v>0</v>
      </c>
      <c r="G592" s="13">
        <v>0</v>
      </c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spans="1:19" x14ac:dyDescent="0.2">
      <c r="A593" s="12" t="s">
        <v>182</v>
      </c>
      <c r="B593" s="12" t="s">
        <v>570</v>
      </c>
      <c r="C593" s="12" t="s">
        <v>556</v>
      </c>
      <c r="D593" s="13">
        <v>0</v>
      </c>
      <c r="E593" s="13">
        <v>0</v>
      </c>
      <c r="F593" s="13">
        <v>0</v>
      </c>
      <c r="G593" s="13">
        <v>0</v>
      </c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spans="1:19" x14ac:dyDescent="0.2">
      <c r="A594" s="12" t="s">
        <v>182</v>
      </c>
      <c r="B594" s="12" t="s">
        <v>570</v>
      </c>
      <c r="C594" s="12" t="s">
        <v>557</v>
      </c>
      <c r="D594" s="13">
        <v>0</v>
      </c>
      <c r="E594" s="13">
        <v>0</v>
      </c>
      <c r="F594" s="13">
        <v>0</v>
      </c>
      <c r="G594" s="13">
        <v>0</v>
      </c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spans="1:19" x14ac:dyDescent="0.2">
      <c r="A595" s="12" t="s">
        <v>182</v>
      </c>
      <c r="B595" s="12" t="s">
        <v>570</v>
      </c>
      <c r="C595" s="12" t="s">
        <v>558</v>
      </c>
      <c r="D595" s="13">
        <v>0</v>
      </c>
      <c r="E595" s="13">
        <v>0</v>
      </c>
      <c r="F595" s="13">
        <v>0</v>
      </c>
      <c r="G595" s="13">
        <v>0</v>
      </c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spans="1:19" x14ac:dyDescent="0.2">
      <c r="A596" s="12" t="s">
        <v>182</v>
      </c>
      <c r="B596" s="12" t="s">
        <v>570</v>
      </c>
      <c r="C596" s="12" t="s">
        <v>560</v>
      </c>
      <c r="D596" s="13">
        <v>0</v>
      </c>
      <c r="E596" s="13">
        <v>0</v>
      </c>
      <c r="F596" s="13">
        <v>0</v>
      </c>
      <c r="G596" s="13">
        <v>0</v>
      </c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spans="1:19" x14ac:dyDescent="0.2">
      <c r="A597" s="12" t="s">
        <v>182</v>
      </c>
      <c r="B597" s="12" t="s">
        <v>570</v>
      </c>
      <c r="C597" s="12" t="s">
        <v>561</v>
      </c>
      <c r="D597" s="13">
        <v>0</v>
      </c>
      <c r="E597" s="13">
        <v>0</v>
      </c>
      <c r="F597" s="13">
        <v>0</v>
      </c>
      <c r="G597" s="13">
        <v>0</v>
      </c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spans="1:19" x14ac:dyDescent="0.2">
      <c r="A598" s="12" t="s">
        <v>182</v>
      </c>
      <c r="B598" s="12" t="s">
        <v>570</v>
      </c>
      <c r="C598" s="12" t="s">
        <v>562</v>
      </c>
      <c r="D598" s="13">
        <v>0</v>
      </c>
      <c r="E598" s="13">
        <v>0</v>
      </c>
      <c r="F598" s="13">
        <v>0</v>
      </c>
      <c r="G598" s="13">
        <v>0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spans="1:19" x14ac:dyDescent="0.2">
      <c r="A599" s="12" t="s">
        <v>182</v>
      </c>
      <c r="B599" s="12" t="s">
        <v>570</v>
      </c>
      <c r="C599" s="12" t="s">
        <v>563</v>
      </c>
      <c r="D599" s="13">
        <v>0</v>
      </c>
      <c r="E599" s="13">
        <v>0</v>
      </c>
      <c r="F599" s="13">
        <v>0</v>
      </c>
      <c r="G599" s="13">
        <v>0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spans="1:19" x14ac:dyDescent="0.2">
      <c r="A600" s="12" t="s">
        <v>182</v>
      </c>
      <c r="B600" s="12" t="s">
        <v>570</v>
      </c>
      <c r="C600" s="12" t="s">
        <v>564</v>
      </c>
      <c r="D600" s="13">
        <v>0</v>
      </c>
      <c r="E600" s="13">
        <v>0</v>
      </c>
      <c r="F600" s="13">
        <v>0</v>
      </c>
      <c r="G600" s="13">
        <v>0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spans="1:19" x14ac:dyDescent="0.2">
      <c r="A601" s="12" t="s">
        <v>182</v>
      </c>
      <c r="B601" s="12" t="s">
        <v>570</v>
      </c>
      <c r="C601" s="12" t="s">
        <v>565</v>
      </c>
      <c r="D601" s="13">
        <v>0</v>
      </c>
      <c r="E601" s="13">
        <v>0</v>
      </c>
      <c r="F601" s="13">
        <v>0</v>
      </c>
      <c r="G601" s="13">
        <v>0</v>
      </c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spans="1:19" x14ac:dyDescent="0.2">
      <c r="A602" s="12" t="s">
        <v>182</v>
      </c>
      <c r="B602" s="12" t="s">
        <v>570</v>
      </c>
      <c r="C602" s="12" t="s">
        <v>566</v>
      </c>
      <c r="D602" s="13">
        <v>0</v>
      </c>
      <c r="E602" s="13">
        <v>0</v>
      </c>
      <c r="F602" s="13">
        <v>0</v>
      </c>
      <c r="G602" s="13">
        <v>0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spans="1:19" x14ac:dyDescent="0.2">
      <c r="A603" s="12" t="s">
        <v>182</v>
      </c>
      <c r="B603" s="12" t="s">
        <v>571</v>
      </c>
      <c r="C603" s="12" t="s">
        <v>554</v>
      </c>
      <c r="D603" s="13">
        <v>406</v>
      </c>
      <c r="E603" s="13">
        <v>446.70453300000003</v>
      </c>
      <c r="F603" s="13">
        <v>452.6302</v>
      </c>
      <c r="G603" s="13">
        <v>443.35077300000012</v>
      </c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spans="1:19" x14ac:dyDescent="0.2">
      <c r="A604" s="12" t="s">
        <v>182</v>
      </c>
      <c r="B604" s="12" t="s">
        <v>571</v>
      </c>
      <c r="C604" s="12" t="s">
        <v>555</v>
      </c>
      <c r="D604" s="13">
        <v>3</v>
      </c>
      <c r="E604" s="13">
        <v>0.66536200000000001</v>
      </c>
      <c r="F604" s="13">
        <v>0.77318100000000001</v>
      </c>
      <c r="G604" s="13">
        <v>2.7146539999999999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spans="1:19" x14ac:dyDescent="0.2">
      <c r="A605" s="12" t="s">
        <v>182</v>
      </c>
      <c r="B605" s="12" t="s">
        <v>571</v>
      </c>
      <c r="C605" s="12" t="s">
        <v>556</v>
      </c>
      <c r="D605" s="13">
        <v>0</v>
      </c>
      <c r="E605" s="13">
        <v>-0.43212400000000001</v>
      </c>
      <c r="F605" s="13">
        <v>-0.46230599999999999</v>
      </c>
      <c r="G605" s="13">
        <v>-0.494587</v>
      </c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spans="1:19" x14ac:dyDescent="0.2">
      <c r="A606" s="12" t="s">
        <v>182</v>
      </c>
      <c r="B606" s="12" t="s">
        <v>571</v>
      </c>
      <c r="C606" s="12" t="s">
        <v>557</v>
      </c>
      <c r="D606" s="13">
        <v>408</v>
      </c>
      <c r="E606" s="13">
        <v>447.198756</v>
      </c>
      <c r="F606" s="13">
        <v>453.15051499999998</v>
      </c>
      <c r="G606" s="13">
        <v>449.37212</v>
      </c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spans="1:19" x14ac:dyDescent="0.2">
      <c r="A607" s="12" t="s">
        <v>182</v>
      </c>
      <c r="B607" s="12" t="s">
        <v>571</v>
      </c>
      <c r="C607" s="12" t="s">
        <v>558</v>
      </c>
      <c r="D607" s="13">
        <v>-203</v>
      </c>
      <c r="E607" s="13">
        <v>-248.944683</v>
      </c>
      <c r="F607" s="13">
        <v>-250.40141299999999</v>
      </c>
      <c r="G607" s="13">
        <v>-243.02390700000001</v>
      </c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spans="1:19" x14ac:dyDescent="0.2">
      <c r="A608" s="12" t="s">
        <v>182</v>
      </c>
      <c r="B608" s="12" t="s">
        <v>571</v>
      </c>
      <c r="C608" s="12" t="s">
        <v>560</v>
      </c>
      <c r="D608" s="13">
        <v>0</v>
      </c>
      <c r="E608" s="13">
        <v>0</v>
      </c>
      <c r="F608" s="13">
        <v>0</v>
      </c>
      <c r="G608" s="13">
        <v>0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spans="1:19" x14ac:dyDescent="0.2">
      <c r="A609" s="12" t="s">
        <v>182</v>
      </c>
      <c r="B609" s="12" t="s">
        <v>571</v>
      </c>
      <c r="C609" s="12" t="s">
        <v>561</v>
      </c>
      <c r="D609" s="13">
        <v>205</v>
      </c>
      <c r="E609" s="13">
        <v>188.165627</v>
      </c>
      <c r="F609" s="13">
        <v>193.335128</v>
      </c>
      <c r="G609" s="13">
        <v>195.65512200000001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spans="1:19" x14ac:dyDescent="0.2">
      <c r="A610" s="12" t="s">
        <v>182</v>
      </c>
      <c r="B610" s="12" t="s">
        <v>571</v>
      </c>
      <c r="C610" s="12" t="s">
        <v>562</v>
      </c>
      <c r="D610" s="13">
        <v>48</v>
      </c>
      <c r="E610" s="13">
        <v>51.114531000000007</v>
      </c>
      <c r="F610" s="13">
        <v>54.730155000000003</v>
      </c>
      <c r="G610" s="13">
        <v>47.149622999999998</v>
      </c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spans="1:19" x14ac:dyDescent="0.2">
      <c r="A611" s="12" t="s">
        <v>182</v>
      </c>
      <c r="B611" s="12" t="s">
        <v>571</v>
      </c>
      <c r="C611" s="12" t="s">
        <v>563</v>
      </c>
      <c r="D611" s="13">
        <v>29</v>
      </c>
      <c r="E611" s="13">
        <v>32.340663999999997</v>
      </c>
      <c r="F611" s="13">
        <v>33.932113000000001</v>
      </c>
      <c r="G611" s="13">
        <v>39.408858000000002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spans="1:19" x14ac:dyDescent="0.2">
      <c r="A612" s="12" t="s">
        <v>182</v>
      </c>
      <c r="B612" s="12" t="s">
        <v>571</v>
      </c>
      <c r="C612" s="12" t="s">
        <v>564</v>
      </c>
      <c r="D612" s="13">
        <v>93</v>
      </c>
      <c r="E612" s="13">
        <v>92.022120999999999</v>
      </c>
      <c r="F612" s="13">
        <v>91.287960999999996</v>
      </c>
      <c r="G612" s="13">
        <v>96.574361999999994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spans="1:19" x14ac:dyDescent="0.2">
      <c r="A613" s="12" t="s">
        <v>182</v>
      </c>
      <c r="B613" s="12" t="s">
        <v>571</v>
      </c>
      <c r="C613" s="12" t="s">
        <v>565</v>
      </c>
      <c r="D613" s="13">
        <v>0</v>
      </c>
      <c r="E613" s="13">
        <v>0</v>
      </c>
      <c r="F613" s="13">
        <v>0</v>
      </c>
      <c r="G613" s="13">
        <v>0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spans="1:19" x14ac:dyDescent="0.2">
      <c r="A614" s="12" t="s">
        <v>182</v>
      </c>
      <c r="B614" s="12" t="s">
        <v>571</v>
      </c>
      <c r="C614" s="12" t="s">
        <v>566</v>
      </c>
      <c r="D614" s="13">
        <v>36</v>
      </c>
      <c r="E614" s="13">
        <v>12.688311000000001</v>
      </c>
      <c r="F614" s="13">
        <v>13.384898</v>
      </c>
      <c r="G614" s="13">
        <v>12.522278999999999</v>
      </c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spans="1:19" x14ac:dyDescent="0.2">
      <c r="A615" s="12" t="s">
        <v>182</v>
      </c>
      <c r="B615" s="12" t="s">
        <v>572</v>
      </c>
      <c r="C615" s="12" t="s">
        <v>554</v>
      </c>
      <c r="D615" s="13">
        <v>0</v>
      </c>
      <c r="E615" s="13">
        <v>0</v>
      </c>
      <c r="F615" s="13">
        <v>0</v>
      </c>
      <c r="G615" s="13">
        <v>0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spans="1:19" x14ac:dyDescent="0.2">
      <c r="A616" s="12" t="s">
        <v>182</v>
      </c>
      <c r="B616" s="12" t="s">
        <v>572</v>
      </c>
      <c r="C616" s="12" t="s">
        <v>555</v>
      </c>
      <c r="D616" s="13">
        <v>5</v>
      </c>
      <c r="E616" s="13">
        <v>1.725916</v>
      </c>
      <c r="F616" s="13">
        <v>0.57294299999999998</v>
      </c>
      <c r="G616" s="13">
        <v>0.62466600000000005</v>
      </c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spans="1:19" x14ac:dyDescent="0.2">
      <c r="A617" s="12" t="s">
        <v>182</v>
      </c>
      <c r="B617" s="12" t="s">
        <v>572</v>
      </c>
      <c r="C617" s="12" t="s">
        <v>556</v>
      </c>
      <c r="D617" s="13">
        <v>-1</v>
      </c>
      <c r="E617" s="13">
        <v>-1.30969</v>
      </c>
      <c r="F617" s="13">
        <v>-1.675076</v>
      </c>
      <c r="G617" s="13">
        <v>-4.479813</v>
      </c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spans="1:19" x14ac:dyDescent="0.2">
      <c r="A618" s="12" t="s">
        <v>182</v>
      </c>
      <c r="B618" s="12" t="s">
        <v>572</v>
      </c>
      <c r="C618" s="12" t="s">
        <v>557</v>
      </c>
      <c r="D618" s="13">
        <v>4</v>
      </c>
      <c r="E618" s="13">
        <v>0.41622700000000001</v>
      </c>
      <c r="F618" s="13">
        <v>-1.102133</v>
      </c>
      <c r="G618" s="13">
        <v>-3.8551470000000001</v>
      </c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spans="1:19" x14ac:dyDescent="0.2">
      <c r="A619" s="12" t="s">
        <v>182</v>
      </c>
      <c r="B619" s="12" t="s">
        <v>572</v>
      </c>
      <c r="C619" s="12" t="s">
        <v>558</v>
      </c>
      <c r="D619" s="13">
        <v>286</v>
      </c>
      <c r="E619" s="13">
        <v>302.59556900000001</v>
      </c>
      <c r="F619" s="13">
        <v>309.52841599999999</v>
      </c>
      <c r="G619" s="13">
        <v>321.26095099999998</v>
      </c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spans="1:19" x14ac:dyDescent="0.2">
      <c r="A620" s="12" t="s">
        <v>182</v>
      </c>
      <c r="B620" s="12" t="s">
        <v>572</v>
      </c>
      <c r="C620" s="12" t="s">
        <v>560</v>
      </c>
      <c r="D620" s="13">
        <v>0</v>
      </c>
      <c r="E620" s="13">
        <v>0</v>
      </c>
      <c r="F620" s="13">
        <v>0</v>
      </c>
      <c r="G620" s="13">
        <v>0</v>
      </c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spans="1:19" x14ac:dyDescent="0.2">
      <c r="A621" s="12" t="s">
        <v>182</v>
      </c>
      <c r="B621" s="12" t="s">
        <v>572</v>
      </c>
      <c r="C621" s="12" t="s">
        <v>561</v>
      </c>
      <c r="D621" s="13">
        <v>237</v>
      </c>
      <c r="E621" s="13">
        <v>247.773325</v>
      </c>
      <c r="F621" s="13">
        <v>252.713548</v>
      </c>
      <c r="G621" s="13">
        <v>257.10265900000002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spans="1:19" x14ac:dyDescent="0.2">
      <c r="A622" s="12" t="s">
        <v>182</v>
      </c>
      <c r="B622" s="12" t="s">
        <v>572</v>
      </c>
      <c r="C622" s="12" t="s">
        <v>562</v>
      </c>
      <c r="D622" s="13">
        <v>74</v>
      </c>
      <c r="E622" s="13">
        <v>43.501781000000001</v>
      </c>
      <c r="F622" s="13">
        <v>44.945428</v>
      </c>
      <c r="G622" s="13">
        <v>44.528807999999998</v>
      </c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spans="1:19" x14ac:dyDescent="0.2">
      <c r="A623" s="12" t="s">
        <v>182</v>
      </c>
      <c r="B623" s="12" t="s">
        <v>572</v>
      </c>
      <c r="C623" s="12" t="s">
        <v>563</v>
      </c>
      <c r="D623" s="13">
        <v>0</v>
      </c>
      <c r="E623" s="13">
        <v>2.0506609999999998</v>
      </c>
      <c r="F623" s="13">
        <v>2.2061459999999999</v>
      </c>
      <c r="G623" s="13">
        <v>2.321949</v>
      </c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spans="1:19" x14ac:dyDescent="0.2">
      <c r="A624" s="12" t="s">
        <v>182</v>
      </c>
      <c r="B624" s="12" t="s">
        <v>572</v>
      </c>
      <c r="C624" s="12" t="s">
        <v>564</v>
      </c>
      <c r="D624" s="13">
        <v>88</v>
      </c>
      <c r="E624" s="13">
        <v>140.295783</v>
      </c>
      <c r="F624" s="13">
        <v>140.363764</v>
      </c>
      <c r="G624" s="13">
        <v>145.717668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spans="1:19" x14ac:dyDescent="0.2">
      <c r="A625" s="12" t="s">
        <v>182</v>
      </c>
      <c r="B625" s="12" t="s">
        <v>572</v>
      </c>
      <c r="C625" s="12" t="s">
        <v>565</v>
      </c>
      <c r="D625" s="13">
        <v>55</v>
      </c>
      <c r="E625" s="13">
        <v>58.869107999999997</v>
      </c>
      <c r="F625" s="13">
        <v>61.935479000000001</v>
      </c>
      <c r="G625" s="13">
        <v>61.068384000000002</v>
      </c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spans="1:19" x14ac:dyDescent="0.2">
      <c r="A626" s="12" t="s">
        <v>182</v>
      </c>
      <c r="B626" s="12" t="s">
        <v>572</v>
      </c>
      <c r="C626" s="12" t="s">
        <v>566</v>
      </c>
      <c r="D626" s="13">
        <v>20</v>
      </c>
      <c r="E626" s="13">
        <v>3.0559910000000001</v>
      </c>
      <c r="F626" s="13">
        <v>3.2627269999999999</v>
      </c>
      <c r="G626" s="13">
        <v>3.4658540000000002</v>
      </c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spans="1:19" x14ac:dyDescent="0.2">
      <c r="A627" s="12" t="s">
        <v>182</v>
      </c>
      <c r="B627" s="12" t="s">
        <v>573</v>
      </c>
      <c r="C627" s="12" t="s">
        <v>554</v>
      </c>
      <c r="D627" s="13">
        <v>0</v>
      </c>
      <c r="E627" s="13">
        <v>0</v>
      </c>
      <c r="F627" s="13">
        <v>0</v>
      </c>
      <c r="G627" s="13">
        <v>0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spans="1:19" x14ac:dyDescent="0.2">
      <c r="A628" s="12" t="s">
        <v>182</v>
      </c>
      <c r="B628" s="12" t="s">
        <v>573</v>
      </c>
      <c r="C628" s="12" t="s">
        <v>555</v>
      </c>
      <c r="D628" s="13">
        <v>0</v>
      </c>
      <c r="E628" s="13">
        <v>0</v>
      </c>
      <c r="F628" s="13">
        <v>0</v>
      </c>
      <c r="G628" s="13">
        <v>0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spans="1:19" x14ac:dyDescent="0.2">
      <c r="A629" s="12" t="s">
        <v>182</v>
      </c>
      <c r="B629" s="12" t="s">
        <v>573</v>
      </c>
      <c r="C629" s="12" t="s">
        <v>556</v>
      </c>
      <c r="D629" s="13">
        <v>0</v>
      </c>
      <c r="E629" s="13">
        <v>0</v>
      </c>
      <c r="F629" s="13">
        <v>0</v>
      </c>
      <c r="G629" s="13">
        <v>0</v>
      </c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spans="1:19" x14ac:dyDescent="0.2">
      <c r="A630" s="12" t="s">
        <v>182</v>
      </c>
      <c r="B630" s="12" t="s">
        <v>573</v>
      </c>
      <c r="C630" s="12" t="s">
        <v>557</v>
      </c>
      <c r="D630" s="13">
        <v>0</v>
      </c>
      <c r="E630" s="13">
        <v>0</v>
      </c>
      <c r="F630" s="13">
        <v>0</v>
      </c>
      <c r="G630" s="13">
        <v>0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spans="1:19" x14ac:dyDescent="0.2">
      <c r="A631" s="12" t="s">
        <v>182</v>
      </c>
      <c r="B631" s="12" t="s">
        <v>573</v>
      </c>
      <c r="C631" s="12" t="s">
        <v>558</v>
      </c>
      <c r="D631" s="13">
        <v>0</v>
      </c>
      <c r="E631" s="13">
        <v>0</v>
      </c>
      <c r="F631" s="13">
        <v>0</v>
      </c>
      <c r="G631" s="13">
        <v>0</v>
      </c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spans="1:19" x14ac:dyDescent="0.2">
      <c r="A632" s="12" t="s">
        <v>182</v>
      </c>
      <c r="B632" s="12" t="s">
        <v>573</v>
      </c>
      <c r="C632" s="12" t="s">
        <v>560</v>
      </c>
      <c r="D632" s="13">
        <v>0</v>
      </c>
      <c r="E632" s="13">
        <v>0</v>
      </c>
      <c r="F632" s="13">
        <v>0</v>
      </c>
      <c r="G632" s="13">
        <v>0</v>
      </c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spans="1:19" x14ac:dyDescent="0.2">
      <c r="A633" s="12" t="s">
        <v>182</v>
      </c>
      <c r="B633" s="12" t="s">
        <v>573</v>
      </c>
      <c r="C633" s="12" t="s">
        <v>561</v>
      </c>
      <c r="D633" s="13">
        <v>0</v>
      </c>
      <c r="E633" s="13">
        <v>0</v>
      </c>
      <c r="F633" s="13">
        <v>0</v>
      </c>
      <c r="G633" s="13">
        <v>0</v>
      </c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spans="1:19" x14ac:dyDescent="0.2">
      <c r="A634" s="12" t="s">
        <v>182</v>
      </c>
      <c r="B634" s="12" t="s">
        <v>573</v>
      </c>
      <c r="C634" s="12" t="s">
        <v>562</v>
      </c>
      <c r="D634" s="13">
        <v>0</v>
      </c>
      <c r="E634" s="13">
        <v>0</v>
      </c>
      <c r="F634" s="13">
        <v>0</v>
      </c>
      <c r="G634" s="13">
        <v>0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spans="1:19" x14ac:dyDescent="0.2">
      <c r="A635" s="12" t="s">
        <v>182</v>
      </c>
      <c r="B635" s="12" t="s">
        <v>573</v>
      </c>
      <c r="C635" s="12" t="s">
        <v>563</v>
      </c>
      <c r="D635" s="13">
        <v>0</v>
      </c>
      <c r="E635" s="13">
        <v>0</v>
      </c>
      <c r="F635" s="13">
        <v>0</v>
      </c>
      <c r="G635" s="13">
        <v>0</v>
      </c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spans="1:19" x14ac:dyDescent="0.2">
      <c r="A636" s="12" t="s">
        <v>182</v>
      </c>
      <c r="B636" s="12" t="s">
        <v>573</v>
      </c>
      <c r="C636" s="12" t="s">
        <v>564</v>
      </c>
      <c r="D636" s="13">
        <v>0</v>
      </c>
      <c r="E636" s="13">
        <v>0</v>
      </c>
      <c r="F636" s="13">
        <v>0</v>
      </c>
      <c r="G636" s="13">
        <v>0</v>
      </c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spans="1:19" x14ac:dyDescent="0.2">
      <c r="A637" s="12" t="s">
        <v>182</v>
      </c>
      <c r="B637" s="12" t="s">
        <v>573</v>
      </c>
      <c r="C637" s="12" t="s">
        <v>565</v>
      </c>
      <c r="D637" s="13">
        <v>0</v>
      </c>
      <c r="E637" s="13">
        <v>0</v>
      </c>
      <c r="F637" s="13">
        <v>0</v>
      </c>
      <c r="G637" s="13">
        <v>0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spans="1:19" x14ac:dyDescent="0.2">
      <c r="A638" s="12" t="s">
        <v>182</v>
      </c>
      <c r="B638" s="12" t="s">
        <v>573</v>
      </c>
      <c r="C638" s="12" t="s">
        <v>566</v>
      </c>
      <c r="D638" s="13">
        <v>0</v>
      </c>
      <c r="E638" s="13">
        <v>0</v>
      </c>
      <c r="F638" s="13">
        <v>0</v>
      </c>
      <c r="G638" s="13">
        <v>0</v>
      </c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spans="1:19" x14ac:dyDescent="0.2">
      <c r="A639" s="12" t="s">
        <v>182</v>
      </c>
      <c r="B639" s="12" t="s">
        <v>574</v>
      </c>
      <c r="C639" s="12" t="s">
        <v>554</v>
      </c>
      <c r="D639" s="13">
        <v>4210</v>
      </c>
      <c r="E639" s="13">
        <v>4308.4116009999998</v>
      </c>
      <c r="F639" s="13">
        <v>4407.8505340000002</v>
      </c>
      <c r="G639" s="13">
        <v>4538.0939519999993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spans="1:19" x14ac:dyDescent="0.2">
      <c r="A640" s="12" t="s">
        <v>182</v>
      </c>
      <c r="B640" s="12" t="s">
        <v>574</v>
      </c>
      <c r="C640" s="12" t="s">
        <v>555</v>
      </c>
      <c r="D640" s="13">
        <v>189</v>
      </c>
      <c r="E640" s="13">
        <v>258.51474899999999</v>
      </c>
      <c r="F640" s="13">
        <v>267.114645</v>
      </c>
      <c r="G640" s="13">
        <v>362.036925</v>
      </c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spans="1:19" x14ac:dyDescent="0.2">
      <c r="A641" s="12" t="s">
        <v>182</v>
      </c>
      <c r="B641" s="12" t="s">
        <v>574</v>
      </c>
      <c r="C641" s="12" t="s">
        <v>556</v>
      </c>
      <c r="D641" s="13">
        <v>-3500</v>
      </c>
      <c r="E641" s="13">
        <v>-2975.2220160000002</v>
      </c>
      <c r="F641" s="13">
        <v>-2832.439797</v>
      </c>
      <c r="G641" s="13">
        <v>-3044.8357590000001</v>
      </c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spans="1:19" x14ac:dyDescent="0.2">
      <c r="A642" s="12" t="s">
        <v>182</v>
      </c>
      <c r="B642" s="12" t="s">
        <v>574</v>
      </c>
      <c r="C642" s="12" t="s">
        <v>557</v>
      </c>
      <c r="D642" s="13">
        <v>1726</v>
      </c>
      <c r="E642" s="13">
        <v>1886.9687750000001</v>
      </c>
      <c r="F642" s="13">
        <v>1871.053011</v>
      </c>
      <c r="G642" s="13">
        <v>1911.57547</v>
      </c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spans="1:19" x14ac:dyDescent="0.2">
      <c r="A643" s="12" t="s">
        <v>182</v>
      </c>
      <c r="B643" s="12" t="s">
        <v>574</v>
      </c>
      <c r="C643" s="12" t="s">
        <v>558</v>
      </c>
      <c r="D643" s="13">
        <v>-166</v>
      </c>
      <c r="E643" s="13">
        <v>-110.12745200000001</v>
      </c>
      <c r="F643" s="13">
        <v>-119.404296</v>
      </c>
      <c r="G643" s="13">
        <v>-175.91413399999999</v>
      </c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spans="1:19" x14ac:dyDescent="0.2">
      <c r="A644" s="12" t="s">
        <v>182</v>
      </c>
      <c r="B644" s="12" t="s">
        <v>574</v>
      </c>
      <c r="C644" s="12" t="s">
        <v>560</v>
      </c>
      <c r="D644" s="13">
        <v>-103</v>
      </c>
      <c r="E644" s="13">
        <v>-57.114756</v>
      </c>
      <c r="F644" s="13">
        <v>-71.991703999999999</v>
      </c>
      <c r="G644" s="13">
        <v>-73.494710000000012</v>
      </c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spans="1:19" x14ac:dyDescent="0.2">
      <c r="A645" s="12" t="s">
        <v>182</v>
      </c>
      <c r="B645" s="12" t="s">
        <v>574</v>
      </c>
      <c r="C645" s="12" t="s">
        <v>561</v>
      </c>
      <c r="D645" s="13">
        <v>1184</v>
      </c>
      <c r="E645" s="13">
        <v>1329.1247350000001</v>
      </c>
      <c r="F645" s="13">
        <v>1379.1587569999999</v>
      </c>
      <c r="G645" s="13">
        <v>1397.5414430000001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spans="1:19" x14ac:dyDescent="0.2">
      <c r="A646" s="12" t="s">
        <v>182</v>
      </c>
      <c r="B646" s="12" t="s">
        <v>574</v>
      </c>
      <c r="C646" s="12" t="s">
        <v>562</v>
      </c>
      <c r="D646" s="13">
        <v>298</v>
      </c>
      <c r="E646" s="13">
        <v>290.47053799999998</v>
      </c>
      <c r="F646" s="13">
        <v>284.72408300000001</v>
      </c>
      <c r="G646" s="13">
        <v>284.35539399999999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spans="1:19" x14ac:dyDescent="0.2">
      <c r="A647" s="12" t="s">
        <v>182</v>
      </c>
      <c r="B647" s="12" t="s">
        <v>574</v>
      </c>
      <c r="C647" s="12" t="s">
        <v>563</v>
      </c>
      <c r="D647" s="13">
        <v>419</v>
      </c>
      <c r="E647" s="13">
        <v>539.17586100000005</v>
      </c>
      <c r="F647" s="13">
        <v>575.60400600000003</v>
      </c>
      <c r="G647" s="13">
        <v>593.56249400000002</v>
      </c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spans="1:19" x14ac:dyDescent="0.2">
      <c r="A648" s="12" t="s">
        <v>182</v>
      </c>
      <c r="B648" s="12" t="s">
        <v>574</v>
      </c>
      <c r="C648" s="12" t="s">
        <v>564</v>
      </c>
      <c r="D648" s="13">
        <v>255</v>
      </c>
      <c r="E648" s="13">
        <v>307.66896600000001</v>
      </c>
      <c r="F648" s="13">
        <v>319.57241099999999</v>
      </c>
      <c r="G648" s="13">
        <v>328.48887500000001</v>
      </c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spans="1:19" x14ac:dyDescent="0.2">
      <c r="A649" s="12" t="s">
        <v>182</v>
      </c>
      <c r="B649" s="12" t="s">
        <v>574</v>
      </c>
      <c r="C649" s="12" t="s">
        <v>565</v>
      </c>
      <c r="D649" s="13">
        <v>70</v>
      </c>
      <c r="E649" s="13">
        <v>76.134505000000004</v>
      </c>
      <c r="F649" s="13">
        <v>82.979620999999995</v>
      </c>
      <c r="G649" s="13">
        <v>83.212759000000005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spans="1:19" x14ac:dyDescent="0.2">
      <c r="A650" s="12" t="s">
        <v>182</v>
      </c>
      <c r="B650" s="12" t="s">
        <v>574</v>
      </c>
      <c r="C650" s="12" t="s">
        <v>566</v>
      </c>
      <c r="D650" s="13">
        <v>143</v>
      </c>
      <c r="E650" s="13">
        <v>115.674865</v>
      </c>
      <c r="F650" s="13">
        <v>116.278632</v>
      </c>
      <c r="G650" s="13">
        <v>107.921921</v>
      </c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spans="1:19" x14ac:dyDescent="0.2">
      <c r="A651" s="12" t="s">
        <v>188</v>
      </c>
      <c r="B651" s="12" t="s">
        <v>553</v>
      </c>
      <c r="C651" s="12" t="s">
        <v>554</v>
      </c>
      <c r="D651" s="13">
        <v>0</v>
      </c>
      <c r="E651" s="13">
        <v>0</v>
      </c>
      <c r="F651" s="13">
        <v>0</v>
      </c>
      <c r="G651" s="13">
        <v>0</v>
      </c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spans="1:19" x14ac:dyDescent="0.2">
      <c r="A652" s="12" t="s">
        <v>188</v>
      </c>
      <c r="B652" s="12" t="s">
        <v>553</v>
      </c>
      <c r="C652" s="12" t="s">
        <v>555</v>
      </c>
      <c r="D652" s="13">
        <v>0</v>
      </c>
      <c r="E652" s="13">
        <v>0.56791800000000003</v>
      </c>
      <c r="F652" s="13">
        <v>7.2430000000000003E-3</v>
      </c>
      <c r="G652" s="13">
        <v>7.1850000000000004E-3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spans="1:19" x14ac:dyDescent="0.2">
      <c r="A653" s="12" t="s">
        <v>188</v>
      </c>
      <c r="B653" s="12" t="s">
        <v>553</v>
      </c>
      <c r="C653" s="12" t="s">
        <v>556</v>
      </c>
      <c r="D653" s="13">
        <v>0</v>
      </c>
      <c r="E653" s="13">
        <v>0</v>
      </c>
      <c r="F653" s="13">
        <v>0</v>
      </c>
      <c r="G653" s="13">
        <v>0</v>
      </c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spans="1:19" x14ac:dyDescent="0.2">
      <c r="A654" s="12" t="s">
        <v>188</v>
      </c>
      <c r="B654" s="12" t="s">
        <v>553</v>
      </c>
      <c r="C654" s="12" t="s">
        <v>557</v>
      </c>
      <c r="D654" s="13">
        <v>0</v>
      </c>
      <c r="E654" s="13">
        <v>0.56791800000000003</v>
      </c>
      <c r="F654" s="13">
        <v>7.2430000000000003E-3</v>
      </c>
      <c r="G654" s="13">
        <v>7.1850000000000004E-3</v>
      </c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spans="1:19" x14ac:dyDescent="0.2">
      <c r="A655" s="12" t="s">
        <v>188</v>
      </c>
      <c r="B655" s="12" t="s">
        <v>553</v>
      </c>
      <c r="C655" s="12" t="s">
        <v>558</v>
      </c>
      <c r="D655" s="13">
        <v>0</v>
      </c>
      <c r="E655" s="13">
        <v>0</v>
      </c>
      <c r="F655" s="13">
        <v>0</v>
      </c>
      <c r="G655" s="13">
        <v>0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spans="1:19" x14ac:dyDescent="0.2">
      <c r="A656" s="12" t="s">
        <v>188</v>
      </c>
      <c r="B656" s="12" t="s">
        <v>553</v>
      </c>
      <c r="C656" s="12" t="s">
        <v>560</v>
      </c>
      <c r="D656" s="13">
        <v>0</v>
      </c>
      <c r="E656" s="13">
        <v>0</v>
      </c>
      <c r="F656" s="13">
        <v>0</v>
      </c>
      <c r="G656" s="13">
        <v>0</v>
      </c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spans="1:19" x14ac:dyDescent="0.2">
      <c r="A657" s="12" t="s">
        <v>188</v>
      </c>
      <c r="B657" s="12" t="s">
        <v>553</v>
      </c>
      <c r="C657" s="12" t="s">
        <v>561</v>
      </c>
      <c r="D657" s="13">
        <v>0</v>
      </c>
      <c r="E657" s="13">
        <v>0.56795600000000002</v>
      </c>
      <c r="F657" s="13">
        <v>7.2430000000000003E-3</v>
      </c>
      <c r="G657" s="13">
        <v>7.2259999999999998E-3</v>
      </c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spans="1:19" x14ac:dyDescent="0.2">
      <c r="A658" s="12" t="s">
        <v>188</v>
      </c>
      <c r="B658" s="12" t="s">
        <v>553</v>
      </c>
      <c r="C658" s="12" t="s">
        <v>562</v>
      </c>
      <c r="D658" s="13">
        <v>0</v>
      </c>
      <c r="E658" s="13">
        <v>0.56442300000000001</v>
      </c>
      <c r="F658" s="13">
        <v>6.6819999999999996E-3</v>
      </c>
      <c r="G658" s="13">
        <v>5.7359999999999998E-3</v>
      </c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spans="1:19" x14ac:dyDescent="0.2">
      <c r="A659" s="12" t="s">
        <v>188</v>
      </c>
      <c r="B659" s="12" t="s">
        <v>553</v>
      </c>
      <c r="C659" s="12" t="s">
        <v>563</v>
      </c>
      <c r="D659" s="13">
        <v>0</v>
      </c>
      <c r="E659" s="13">
        <v>0</v>
      </c>
      <c r="F659" s="13">
        <v>0</v>
      </c>
      <c r="G659" s="13">
        <v>0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spans="1:19" x14ac:dyDescent="0.2">
      <c r="A660" s="12" t="s">
        <v>188</v>
      </c>
      <c r="B660" s="12" t="s">
        <v>553</v>
      </c>
      <c r="C660" s="12" t="s">
        <v>564</v>
      </c>
      <c r="D660" s="13">
        <v>0</v>
      </c>
      <c r="E660" s="13">
        <v>0</v>
      </c>
      <c r="F660" s="13">
        <v>0</v>
      </c>
      <c r="G660" s="13">
        <v>0</v>
      </c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spans="1:19" x14ac:dyDescent="0.2">
      <c r="A661" s="12" t="s">
        <v>188</v>
      </c>
      <c r="B661" s="12" t="s">
        <v>553</v>
      </c>
      <c r="C661" s="12" t="s">
        <v>565</v>
      </c>
      <c r="D661" s="13">
        <v>0</v>
      </c>
      <c r="E661" s="13">
        <v>0</v>
      </c>
      <c r="F661" s="13">
        <v>0</v>
      </c>
      <c r="G661" s="13">
        <v>0</v>
      </c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spans="1:19" x14ac:dyDescent="0.2">
      <c r="A662" s="12" t="s">
        <v>188</v>
      </c>
      <c r="B662" s="12" t="s">
        <v>553</v>
      </c>
      <c r="C662" s="12" t="s">
        <v>566</v>
      </c>
      <c r="D662" s="13">
        <v>0</v>
      </c>
      <c r="E662" s="13">
        <v>3.5339999999999998E-3</v>
      </c>
      <c r="F662" s="13">
        <v>5.6100000000000008E-4</v>
      </c>
      <c r="G662" s="13">
        <v>1.4909999999999999E-3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spans="1:19" x14ac:dyDescent="0.2">
      <c r="A663" s="12" t="s">
        <v>188</v>
      </c>
      <c r="B663" s="12" t="s">
        <v>567</v>
      </c>
      <c r="C663" s="12" t="s">
        <v>554</v>
      </c>
      <c r="D663" s="13">
        <v>0</v>
      </c>
      <c r="E663" s="13">
        <v>0</v>
      </c>
      <c r="F663" s="13">
        <v>0</v>
      </c>
      <c r="G663" s="13">
        <v>0</v>
      </c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spans="1:19" x14ac:dyDescent="0.2">
      <c r="A664" s="12" t="s">
        <v>188</v>
      </c>
      <c r="B664" s="12" t="s">
        <v>567</v>
      </c>
      <c r="C664" s="12" t="s">
        <v>555</v>
      </c>
      <c r="D664" s="13">
        <v>0</v>
      </c>
      <c r="E664" s="13">
        <v>0.213862</v>
      </c>
      <c r="F664" s="13">
        <v>0</v>
      </c>
      <c r="G664" s="13">
        <v>0</v>
      </c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spans="1:19" x14ac:dyDescent="0.2">
      <c r="A665" s="12" t="s">
        <v>188</v>
      </c>
      <c r="B665" s="12" t="s">
        <v>567</v>
      </c>
      <c r="C665" s="12" t="s">
        <v>556</v>
      </c>
      <c r="D665" s="13">
        <v>0</v>
      </c>
      <c r="E665" s="13">
        <v>0</v>
      </c>
      <c r="F665" s="13">
        <v>0</v>
      </c>
      <c r="G665" s="13">
        <v>0</v>
      </c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spans="1:19" x14ac:dyDescent="0.2">
      <c r="A666" s="12" t="s">
        <v>188</v>
      </c>
      <c r="B666" s="12" t="s">
        <v>567</v>
      </c>
      <c r="C666" s="12" t="s">
        <v>557</v>
      </c>
      <c r="D666" s="13">
        <v>0</v>
      </c>
      <c r="E666" s="13">
        <v>9.3742000000000006E-2</v>
      </c>
      <c r="F666" s="13">
        <v>0</v>
      </c>
      <c r="G666" s="13">
        <v>0</v>
      </c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spans="1:19" x14ac:dyDescent="0.2">
      <c r="A667" s="12" t="s">
        <v>188</v>
      </c>
      <c r="B667" s="12" t="s">
        <v>567</v>
      </c>
      <c r="C667" s="12" t="s">
        <v>558</v>
      </c>
      <c r="D667" s="13">
        <v>0</v>
      </c>
      <c r="E667" s="13">
        <v>0</v>
      </c>
      <c r="F667" s="13">
        <v>0</v>
      </c>
      <c r="G667" s="13">
        <v>0</v>
      </c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spans="1:19" x14ac:dyDescent="0.2">
      <c r="A668" s="12" t="s">
        <v>188</v>
      </c>
      <c r="B668" s="12" t="s">
        <v>567</v>
      </c>
      <c r="C668" s="12" t="s">
        <v>560</v>
      </c>
      <c r="D668" s="13">
        <v>0</v>
      </c>
      <c r="E668" s="13">
        <v>0</v>
      </c>
      <c r="F668" s="13">
        <v>0</v>
      </c>
      <c r="G668" s="13">
        <v>0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spans="1:19" x14ac:dyDescent="0.2">
      <c r="A669" s="12" t="s">
        <v>188</v>
      </c>
      <c r="B669" s="12" t="s">
        <v>567</v>
      </c>
      <c r="C669" s="12" t="s">
        <v>561</v>
      </c>
      <c r="D669" s="13">
        <v>0</v>
      </c>
      <c r="E669" s="13">
        <v>0</v>
      </c>
      <c r="F669" s="13">
        <v>0</v>
      </c>
      <c r="G669" s="13">
        <v>0</v>
      </c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spans="1:19" x14ac:dyDescent="0.2">
      <c r="A670" s="12" t="s">
        <v>188</v>
      </c>
      <c r="B670" s="12" t="s">
        <v>567</v>
      </c>
      <c r="C670" s="12" t="s">
        <v>562</v>
      </c>
      <c r="D670" s="13">
        <v>0</v>
      </c>
      <c r="E670" s="13">
        <v>0</v>
      </c>
      <c r="F670" s="13">
        <v>0</v>
      </c>
      <c r="G670" s="13">
        <v>0</v>
      </c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spans="1:19" x14ac:dyDescent="0.2">
      <c r="A671" s="12" t="s">
        <v>188</v>
      </c>
      <c r="B671" s="12" t="s">
        <v>567</v>
      </c>
      <c r="C671" s="12" t="s">
        <v>563</v>
      </c>
      <c r="D671" s="13">
        <v>0</v>
      </c>
      <c r="E671" s="13">
        <v>0</v>
      </c>
      <c r="F671" s="13">
        <v>0</v>
      </c>
      <c r="G671" s="13">
        <v>0</v>
      </c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spans="1:19" x14ac:dyDescent="0.2">
      <c r="A672" s="12" t="s">
        <v>188</v>
      </c>
      <c r="B672" s="12" t="s">
        <v>567</v>
      </c>
      <c r="C672" s="12" t="s">
        <v>564</v>
      </c>
      <c r="D672" s="13">
        <v>0</v>
      </c>
      <c r="E672" s="13">
        <v>0</v>
      </c>
      <c r="F672" s="13">
        <v>0</v>
      </c>
      <c r="G672" s="13">
        <v>0</v>
      </c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spans="1:19" x14ac:dyDescent="0.2">
      <c r="A673" s="12" t="s">
        <v>188</v>
      </c>
      <c r="B673" s="12" t="s">
        <v>567</v>
      </c>
      <c r="C673" s="12" t="s">
        <v>565</v>
      </c>
      <c r="D673" s="13">
        <v>0</v>
      </c>
      <c r="E673" s="13">
        <v>0</v>
      </c>
      <c r="F673" s="13">
        <v>0</v>
      </c>
      <c r="G673" s="13">
        <v>0</v>
      </c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spans="1:19" x14ac:dyDescent="0.2">
      <c r="A674" s="12" t="s">
        <v>188</v>
      </c>
      <c r="B674" s="12" t="s">
        <v>567</v>
      </c>
      <c r="C674" s="12" t="s">
        <v>566</v>
      </c>
      <c r="D674" s="13">
        <v>0</v>
      </c>
      <c r="E674" s="13">
        <v>0</v>
      </c>
      <c r="F674" s="13">
        <v>0</v>
      </c>
      <c r="G674" s="13">
        <v>0</v>
      </c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spans="1:19" x14ac:dyDescent="0.2">
      <c r="A675" s="12" t="s">
        <v>188</v>
      </c>
      <c r="B675" s="12" t="s">
        <v>568</v>
      </c>
      <c r="C675" s="12" t="s">
        <v>554</v>
      </c>
      <c r="D675" s="13">
        <v>0</v>
      </c>
      <c r="E675" s="13">
        <v>0</v>
      </c>
      <c r="F675" s="13">
        <v>0</v>
      </c>
      <c r="G675" s="13">
        <v>0</v>
      </c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spans="1:19" x14ac:dyDescent="0.2">
      <c r="A676" s="12" t="s">
        <v>188</v>
      </c>
      <c r="B676" s="12" t="s">
        <v>568</v>
      </c>
      <c r="C676" s="12" t="s">
        <v>555</v>
      </c>
      <c r="D676" s="13">
        <v>96</v>
      </c>
      <c r="E676" s="13">
        <v>116.11685799999999</v>
      </c>
      <c r="F676" s="13">
        <v>116.560416</v>
      </c>
      <c r="G676" s="13">
        <v>131.379435</v>
      </c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spans="1:19" x14ac:dyDescent="0.2">
      <c r="A677" s="12" t="s">
        <v>188</v>
      </c>
      <c r="B677" s="12" t="s">
        <v>568</v>
      </c>
      <c r="C677" s="12" t="s">
        <v>556</v>
      </c>
      <c r="D677" s="13">
        <v>0</v>
      </c>
      <c r="E677" s="13">
        <v>0</v>
      </c>
      <c r="F677" s="13">
        <v>0</v>
      </c>
      <c r="G677" s="13">
        <v>-0.24765799999999999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spans="1:19" x14ac:dyDescent="0.2">
      <c r="A678" s="12" t="s">
        <v>188</v>
      </c>
      <c r="B678" s="12" t="s">
        <v>568</v>
      </c>
      <c r="C678" s="12" t="s">
        <v>557</v>
      </c>
      <c r="D678" s="13">
        <v>94</v>
      </c>
      <c r="E678" s="13">
        <v>105.269248</v>
      </c>
      <c r="F678" s="13">
        <v>108.873053</v>
      </c>
      <c r="G678" s="13">
        <v>118.05664</v>
      </c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spans="1:19" x14ac:dyDescent="0.2">
      <c r="A679" s="12" t="s">
        <v>188</v>
      </c>
      <c r="B679" s="12" t="s">
        <v>568</v>
      </c>
      <c r="C679" s="12" t="s">
        <v>558</v>
      </c>
      <c r="D679" s="13">
        <v>0</v>
      </c>
      <c r="E679" s="13">
        <v>-6.5385000000000013E-2</v>
      </c>
      <c r="F679" s="13">
        <v>-0.79318499999999992</v>
      </c>
      <c r="G679" s="13">
        <v>-5.8870800000000001</v>
      </c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spans="1:19" x14ac:dyDescent="0.2">
      <c r="A680" s="12" t="s">
        <v>188</v>
      </c>
      <c r="B680" s="12" t="s">
        <v>568</v>
      </c>
      <c r="C680" s="12" t="s">
        <v>560</v>
      </c>
      <c r="D680" s="13">
        <v>0</v>
      </c>
      <c r="E680" s="13">
        <v>0</v>
      </c>
      <c r="F680" s="13">
        <v>0</v>
      </c>
      <c r="G680" s="13">
        <v>0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spans="1:19" x14ac:dyDescent="0.2">
      <c r="A681" s="12" t="s">
        <v>188</v>
      </c>
      <c r="B681" s="12" t="s">
        <v>568</v>
      </c>
      <c r="C681" s="12" t="s">
        <v>561</v>
      </c>
      <c r="D681" s="13">
        <v>94</v>
      </c>
      <c r="E681" s="13">
        <v>105.363497</v>
      </c>
      <c r="F681" s="13">
        <v>106.38502200000001</v>
      </c>
      <c r="G681" s="13">
        <v>112.16448099999999</v>
      </c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spans="1:19" x14ac:dyDescent="0.2">
      <c r="A682" s="12" t="s">
        <v>188</v>
      </c>
      <c r="B682" s="12" t="s">
        <v>568</v>
      </c>
      <c r="C682" s="12" t="s">
        <v>562</v>
      </c>
      <c r="D682" s="13">
        <v>14</v>
      </c>
      <c r="E682" s="13">
        <v>14.669860999999999</v>
      </c>
      <c r="F682" s="13">
        <v>15.055904</v>
      </c>
      <c r="G682" s="13">
        <v>10.995877</v>
      </c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spans="1:19" x14ac:dyDescent="0.2">
      <c r="A683" s="12" t="s">
        <v>188</v>
      </c>
      <c r="B683" s="12" t="s">
        <v>568</v>
      </c>
      <c r="C683" s="12" t="s">
        <v>563</v>
      </c>
      <c r="D683" s="13">
        <v>70</v>
      </c>
      <c r="E683" s="13">
        <v>79.609904</v>
      </c>
      <c r="F683" s="13">
        <v>79.874245999999999</v>
      </c>
      <c r="G683" s="13">
        <v>84.383367000000007</v>
      </c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spans="1:19" x14ac:dyDescent="0.2">
      <c r="A684" s="12" t="s">
        <v>188</v>
      </c>
      <c r="B684" s="12" t="s">
        <v>568</v>
      </c>
      <c r="C684" s="12" t="s">
        <v>564</v>
      </c>
      <c r="D684" s="13">
        <v>3</v>
      </c>
      <c r="E684" s="13">
        <v>3.827334</v>
      </c>
      <c r="F684" s="13">
        <v>4.2139639999999998</v>
      </c>
      <c r="G684" s="13">
        <v>3.724167</v>
      </c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spans="1:19" x14ac:dyDescent="0.2">
      <c r="A685" s="12" t="s">
        <v>188</v>
      </c>
      <c r="B685" s="12" t="s">
        <v>568</v>
      </c>
      <c r="C685" s="12" t="s">
        <v>565</v>
      </c>
      <c r="D685" s="13">
        <v>2</v>
      </c>
      <c r="E685" s="13">
        <v>2.2810359999999998</v>
      </c>
      <c r="F685" s="13">
        <v>2.3979059999999999</v>
      </c>
      <c r="G685" s="13">
        <v>2.1164860000000001</v>
      </c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spans="1:19" x14ac:dyDescent="0.2">
      <c r="A686" s="12" t="s">
        <v>188</v>
      </c>
      <c r="B686" s="12" t="s">
        <v>568</v>
      </c>
      <c r="C686" s="12" t="s">
        <v>566</v>
      </c>
      <c r="D686" s="13">
        <v>5</v>
      </c>
      <c r="E686" s="13">
        <v>4.9753670000000003</v>
      </c>
      <c r="F686" s="13">
        <v>4.8430010000000001</v>
      </c>
      <c r="G686" s="13">
        <v>10.944592</v>
      </c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spans="1:19" x14ac:dyDescent="0.2">
      <c r="A687" s="12" t="s">
        <v>188</v>
      </c>
      <c r="B687" s="12" t="s">
        <v>569</v>
      </c>
      <c r="C687" s="12" t="s">
        <v>554</v>
      </c>
      <c r="D687" s="13">
        <v>0</v>
      </c>
      <c r="E687" s="13">
        <v>0</v>
      </c>
      <c r="F687" s="13">
        <v>0</v>
      </c>
      <c r="G687" s="13">
        <v>0</v>
      </c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spans="1:19" x14ac:dyDescent="0.2">
      <c r="A688" s="12" t="s">
        <v>188</v>
      </c>
      <c r="B688" s="12" t="s">
        <v>569</v>
      </c>
      <c r="C688" s="12" t="s">
        <v>555</v>
      </c>
      <c r="D688" s="13">
        <v>0</v>
      </c>
      <c r="E688" s="13">
        <v>0</v>
      </c>
      <c r="F688" s="13">
        <v>0</v>
      </c>
      <c r="G688" s="13">
        <v>0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spans="1:19" x14ac:dyDescent="0.2">
      <c r="A689" s="12" t="s">
        <v>188</v>
      </c>
      <c r="B689" s="12" t="s">
        <v>569</v>
      </c>
      <c r="C689" s="12" t="s">
        <v>556</v>
      </c>
      <c r="D689" s="13">
        <v>0</v>
      </c>
      <c r="E689" s="13">
        <v>0</v>
      </c>
      <c r="F689" s="13">
        <v>0</v>
      </c>
      <c r="G689" s="13">
        <v>0</v>
      </c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spans="1:19" x14ac:dyDescent="0.2">
      <c r="A690" s="12" t="s">
        <v>188</v>
      </c>
      <c r="B690" s="12" t="s">
        <v>569</v>
      </c>
      <c r="C690" s="12" t="s">
        <v>557</v>
      </c>
      <c r="D690" s="13">
        <v>0</v>
      </c>
      <c r="E690" s="13">
        <v>0</v>
      </c>
      <c r="F690" s="13">
        <v>0</v>
      </c>
      <c r="G690" s="13">
        <v>0</v>
      </c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spans="1:19" x14ac:dyDescent="0.2">
      <c r="A691" s="12" t="s">
        <v>188</v>
      </c>
      <c r="B691" s="12" t="s">
        <v>569</v>
      </c>
      <c r="C691" s="12" t="s">
        <v>558</v>
      </c>
      <c r="D691" s="13">
        <v>0</v>
      </c>
      <c r="E691" s="13">
        <v>0</v>
      </c>
      <c r="F691" s="13">
        <v>0</v>
      </c>
      <c r="G691" s="13">
        <v>0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spans="1:19" x14ac:dyDescent="0.2">
      <c r="A692" s="12" t="s">
        <v>188</v>
      </c>
      <c r="B692" s="12" t="s">
        <v>569</v>
      </c>
      <c r="C692" s="12" t="s">
        <v>560</v>
      </c>
      <c r="D692" s="13">
        <v>0</v>
      </c>
      <c r="E692" s="13">
        <v>0</v>
      </c>
      <c r="F692" s="13">
        <v>0</v>
      </c>
      <c r="G692" s="13">
        <v>0</v>
      </c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spans="1:19" x14ac:dyDescent="0.2">
      <c r="A693" s="12" t="s">
        <v>188</v>
      </c>
      <c r="B693" s="12" t="s">
        <v>569</v>
      </c>
      <c r="C693" s="12" t="s">
        <v>561</v>
      </c>
      <c r="D693" s="13">
        <v>0</v>
      </c>
      <c r="E693" s="13">
        <v>0</v>
      </c>
      <c r="F693" s="13">
        <v>0</v>
      </c>
      <c r="G693" s="13">
        <v>0</v>
      </c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spans="1:19" x14ac:dyDescent="0.2">
      <c r="A694" s="12" t="s">
        <v>188</v>
      </c>
      <c r="B694" s="12" t="s">
        <v>569</v>
      </c>
      <c r="C694" s="12" t="s">
        <v>562</v>
      </c>
      <c r="D694" s="13">
        <v>0</v>
      </c>
      <c r="E694" s="13">
        <v>0</v>
      </c>
      <c r="F694" s="13">
        <v>0</v>
      </c>
      <c r="G694" s="13">
        <v>0</v>
      </c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spans="1:19" x14ac:dyDescent="0.2">
      <c r="A695" s="12" t="s">
        <v>188</v>
      </c>
      <c r="B695" s="12" t="s">
        <v>569</v>
      </c>
      <c r="C695" s="12" t="s">
        <v>563</v>
      </c>
      <c r="D695" s="13">
        <v>0</v>
      </c>
      <c r="E695" s="13">
        <v>0</v>
      </c>
      <c r="F695" s="13">
        <v>0</v>
      </c>
      <c r="G695" s="13">
        <v>0</v>
      </c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spans="1:19" x14ac:dyDescent="0.2">
      <c r="A696" s="12" t="s">
        <v>188</v>
      </c>
      <c r="B696" s="12" t="s">
        <v>569</v>
      </c>
      <c r="C696" s="12" t="s">
        <v>564</v>
      </c>
      <c r="D696" s="13">
        <v>0</v>
      </c>
      <c r="E696" s="13">
        <v>0</v>
      </c>
      <c r="F696" s="13">
        <v>0</v>
      </c>
      <c r="G696" s="13">
        <v>0</v>
      </c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spans="1:19" x14ac:dyDescent="0.2">
      <c r="A697" s="12" t="s">
        <v>188</v>
      </c>
      <c r="B697" s="12" t="s">
        <v>569</v>
      </c>
      <c r="C697" s="12" t="s">
        <v>565</v>
      </c>
      <c r="D697" s="13">
        <v>0</v>
      </c>
      <c r="E697" s="13">
        <v>0</v>
      </c>
      <c r="F697" s="13">
        <v>0</v>
      </c>
      <c r="G697" s="13">
        <v>0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spans="1:19" x14ac:dyDescent="0.2">
      <c r="A698" s="12" t="s">
        <v>188</v>
      </c>
      <c r="B698" s="12" t="s">
        <v>569</v>
      </c>
      <c r="C698" s="12" t="s">
        <v>566</v>
      </c>
      <c r="D698" s="13">
        <v>0</v>
      </c>
      <c r="E698" s="13">
        <v>0</v>
      </c>
      <c r="F698" s="13">
        <v>0</v>
      </c>
      <c r="G698" s="13">
        <v>0</v>
      </c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spans="1:19" x14ac:dyDescent="0.2">
      <c r="A699" s="12" t="s">
        <v>188</v>
      </c>
      <c r="B699" s="12" t="s">
        <v>570</v>
      </c>
      <c r="C699" s="12" t="s">
        <v>554</v>
      </c>
      <c r="D699" s="13">
        <v>0</v>
      </c>
      <c r="E699" s="13">
        <v>0</v>
      </c>
      <c r="F699" s="13">
        <v>0</v>
      </c>
      <c r="G699" s="13">
        <v>0</v>
      </c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spans="1:19" x14ac:dyDescent="0.2">
      <c r="A700" s="12" t="s">
        <v>188</v>
      </c>
      <c r="B700" s="12" t="s">
        <v>570</v>
      </c>
      <c r="C700" s="12" t="s">
        <v>555</v>
      </c>
      <c r="D700" s="13">
        <v>0</v>
      </c>
      <c r="E700" s="13">
        <v>0</v>
      </c>
      <c r="F700" s="13">
        <v>0</v>
      </c>
      <c r="G700" s="13">
        <v>0</v>
      </c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spans="1:19" x14ac:dyDescent="0.2">
      <c r="A701" s="12" t="s">
        <v>188</v>
      </c>
      <c r="B701" s="12" t="s">
        <v>570</v>
      </c>
      <c r="C701" s="12" t="s">
        <v>556</v>
      </c>
      <c r="D701" s="13">
        <v>0</v>
      </c>
      <c r="E701" s="13">
        <v>0</v>
      </c>
      <c r="F701" s="13">
        <v>0</v>
      </c>
      <c r="G701" s="13">
        <v>0</v>
      </c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spans="1:19" x14ac:dyDescent="0.2">
      <c r="A702" s="12" t="s">
        <v>188</v>
      </c>
      <c r="B702" s="12" t="s">
        <v>570</v>
      </c>
      <c r="C702" s="12" t="s">
        <v>557</v>
      </c>
      <c r="D702" s="13">
        <v>0</v>
      </c>
      <c r="E702" s="13">
        <v>0</v>
      </c>
      <c r="F702" s="13">
        <v>0</v>
      </c>
      <c r="G702" s="13">
        <v>0</v>
      </c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spans="1:19" x14ac:dyDescent="0.2">
      <c r="A703" s="12" t="s">
        <v>188</v>
      </c>
      <c r="B703" s="12" t="s">
        <v>570</v>
      </c>
      <c r="C703" s="12" t="s">
        <v>558</v>
      </c>
      <c r="D703" s="13">
        <v>0</v>
      </c>
      <c r="E703" s="13">
        <v>0</v>
      </c>
      <c r="F703" s="13">
        <v>0</v>
      </c>
      <c r="G703" s="13">
        <v>0</v>
      </c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spans="1:19" x14ac:dyDescent="0.2">
      <c r="A704" s="12" t="s">
        <v>188</v>
      </c>
      <c r="B704" s="12" t="s">
        <v>570</v>
      </c>
      <c r="C704" s="12" t="s">
        <v>560</v>
      </c>
      <c r="D704" s="13">
        <v>0</v>
      </c>
      <c r="E704" s="13">
        <v>0</v>
      </c>
      <c r="F704" s="13">
        <v>0</v>
      </c>
      <c r="G704" s="13">
        <v>0</v>
      </c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spans="1:19" x14ac:dyDescent="0.2">
      <c r="A705" s="12" t="s">
        <v>188</v>
      </c>
      <c r="B705" s="12" t="s">
        <v>570</v>
      </c>
      <c r="C705" s="12" t="s">
        <v>561</v>
      </c>
      <c r="D705" s="13">
        <v>0</v>
      </c>
      <c r="E705" s="13">
        <v>0</v>
      </c>
      <c r="F705" s="13">
        <v>0</v>
      </c>
      <c r="G705" s="13">
        <v>0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spans="1:19" x14ac:dyDescent="0.2">
      <c r="A706" s="12" t="s">
        <v>188</v>
      </c>
      <c r="B706" s="12" t="s">
        <v>570</v>
      </c>
      <c r="C706" s="12" t="s">
        <v>562</v>
      </c>
      <c r="D706" s="13">
        <v>0</v>
      </c>
      <c r="E706" s="13">
        <v>0</v>
      </c>
      <c r="F706" s="13">
        <v>0</v>
      </c>
      <c r="G706" s="13">
        <v>0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spans="1:19" x14ac:dyDescent="0.2">
      <c r="A707" s="12" t="s">
        <v>188</v>
      </c>
      <c r="B707" s="12" t="s">
        <v>570</v>
      </c>
      <c r="C707" s="12" t="s">
        <v>563</v>
      </c>
      <c r="D707" s="13">
        <v>0</v>
      </c>
      <c r="E707" s="13">
        <v>0</v>
      </c>
      <c r="F707" s="13">
        <v>0</v>
      </c>
      <c r="G707" s="13">
        <v>0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spans="1:19" x14ac:dyDescent="0.2">
      <c r="A708" s="12" t="s">
        <v>188</v>
      </c>
      <c r="B708" s="12" t="s">
        <v>570</v>
      </c>
      <c r="C708" s="12" t="s">
        <v>564</v>
      </c>
      <c r="D708" s="13">
        <v>0</v>
      </c>
      <c r="E708" s="13">
        <v>0</v>
      </c>
      <c r="F708" s="13">
        <v>0</v>
      </c>
      <c r="G708" s="13">
        <v>0</v>
      </c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spans="1:19" x14ac:dyDescent="0.2">
      <c r="A709" s="12" t="s">
        <v>188</v>
      </c>
      <c r="B709" s="12" t="s">
        <v>570</v>
      </c>
      <c r="C709" s="12" t="s">
        <v>565</v>
      </c>
      <c r="D709" s="13">
        <v>0</v>
      </c>
      <c r="E709" s="13">
        <v>0</v>
      </c>
      <c r="F709" s="13">
        <v>0</v>
      </c>
      <c r="G709" s="13">
        <v>0</v>
      </c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spans="1:19" x14ac:dyDescent="0.2">
      <c r="A710" s="12" t="s">
        <v>188</v>
      </c>
      <c r="B710" s="12" t="s">
        <v>570</v>
      </c>
      <c r="C710" s="12" t="s">
        <v>566</v>
      </c>
      <c r="D710" s="13">
        <v>0</v>
      </c>
      <c r="E710" s="13">
        <v>0</v>
      </c>
      <c r="F710" s="13">
        <v>0</v>
      </c>
      <c r="G710" s="13">
        <v>0</v>
      </c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spans="1:19" x14ac:dyDescent="0.2">
      <c r="A711" s="12" t="s">
        <v>188</v>
      </c>
      <c r="B711" s="12" t="s">
        <v>571</v>
      </c>
      <c r="C711" s="12" t="s">
        <v>554</v>
      </c>
      <c r="D711" s="13">
        <v>109</v>
      </c>
      <c r="E711" s="13">
        <v>109.38942400000001</v>
      </c>
      <c r="F711" s="13">
        <v>108.43503800000001</v>
      </c>
      <c r="G711" s="13">
        <v>99.805847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spans="1:19" x14ac:dyDescent="0.2">
      <c r="A712" s="12" t="s">
        <v>188</v>
      </c>
      <c r="B712" s="12" t="s">
        <v>571</v>
      </c>
      <c r="C712" s="12" t="s">
        <v>555</v>
      </c>
      <c r="D712" s="13">
        <v>0</v>
      </c>
      <c r="E712" s="13">
        <v>5.3834000000000007E-2</v>
      </c>
      <c r="F712" s="13">
        <v>0</v>
      </c>
      <c r="G712" s="13">
        <v>0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spans="1:19" x14ac:dyDescent="0.2">
      <c r="A713" s="12" t="s">
        <v>188</v>
      </c>
      <c r="B713" s="12" t="s">
        <v>571</v>
      </c>
      <c r="C713" s="12" t="s">
        <v>556</v>
      </c>
      <c r="D713" s="13">
        <v>-1</v>
      </c>
      <c r="E713" s="13">
        <v>-0.63424999999999998</v>
      </c>
      <c r="F713" s="13">
        <v>0</v>
      </c>
      <c r="G713" s="13">
        <v>0</v>
      </c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spans="1:19" x14ac:dyDescent="0.2">
      <c r="A714" s="12" t="s">
        <v>188</v>
      </c>
      <c r="B714" s="12" t="s">
        <v>571</v>
      </c>
      <c r="C714" s="12" t="s">
        <v>557</v>
      </c>
      <c r="D714" s="13">
        <v>108</v>
      </c>
      <c r="E714" s="13">
        <v>108.809811</v>
      </c>
      <c r="F714" s="13">
        <v>108.435147</v>
      </c>
      <c r="G714" s="13">
        <v>99.805847000000014</v>
      </c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spans="1:19" x14ac:dyDescent="0.2">
      <c r="A715" s="12" t="s">
        <v>188</v>
      </c>
      <c r="B715" s="12" t="s">
        <v>571</v>
      </c>
      <c r="C715" s="12" t="s">
        <v>558</v>
      </c>
      <c r="D715" s="13">
        <v>-91</v>
      </c>
      <c r="E715" s="13">
        <v>-92.637681000000015</v>
      </c>
      <c r="F715" s="13">
        <v>-91.528338000000005</v>
      </c>
      <c r="G715" s="13">
        <v>-83.305278999999999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spans="1:19" x14ac:dyDescent="0.2">
      <c r="A716" s="12" t="s">
        <v>188</v>
      </c>
      <c r="B716" s="12" t="s">
        <v>571</v>
      </c>
      <c r="C716" s="12" t="s">
        <v>560</v>
      </c>
      <c r="D716" s="13">
        <v>0</v>
      </c>
      <c r="E716" s="13">
        <v>0</v>
      </c>
      <c r="F716" s="13">
        <v>0</v>
      </c>
      <c r="G716" s="13">
        <v>0</v>
      </c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spans="1:19" x14ac:dyDescent="0.2">
      <c r="A717" s="12" t="s">
        <v>188</v>
      </c>
      <c r="B717" s="12" t="s">
        <v>571</v>
      </c>
      <c r="C717" s="12" t="s">
        <v>561</v>
      </c>
      <c r="D717" s="13">
        <v>16</v>
      </c>
      <c r="E717" s="13">
        <v>16.144656999999999</v>
      </c>
      <c r="F717" s="13">
        <v>16.601579000000001</v>
      </c>
      <c r="G717" s="13">
        <v>16.113451999999999</v>
      </c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spans="1:19" x14ac:dyDescent="0.2">
      <c r="A718" s="12" t="s">
        <v>188</v>
      </c>
      <c r="B718" s="12" t="s">
        <v>571</v>
      </c>
      <c r="C718" s="12" t="s">
        <v>562</v>
      </c>
      <c r="D718" s="13">
        <v>13</v>
      </c>
      <c r="E718" s="13">
        <v>13.138282999999999</v>
      </c>
      <c r="F718" s="13">
        <v>13.533927</v>
      </c>
      <c r="G718" s="13">
        <v>13.010540000000001</v>
      </c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spans="1:19" x14ac:dyDescent="0.2">
      <c r="A719" s="12" t="s">
        <v>188</v>
      </c>
      <c r="B719" s="12" t="s">
        <v>571</v>
      </c>
      <c r="C719" s="12" t="s">
        <v>563</v>
      </c>
      <c r="D719" s="13">
        <v>0</v>
      </c>
      <c r="E719" s="13">
        <v>0</v>
      </c>
      <c r="F719" s="13">
        <v>0</v>
      </c>
      <c r="G719" s="13">
        <v>0</v>
      </c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spans="1:19" x14ac:dyDescent="0.2">
      <c r="A720" s="12" t="s">
        <v>188</v>
      </c>
      <c r="B720" s="12" t="s">
        <v>571</v>
      </c>
      <c r="C720" s="12" t="s">
        <v>564</v>
      </c>
      <c r="D720" s="13">
        <v>3</v>
      </c>
      <c r="E720" s="13">
        <v>2.7797170000000002</v>
      </c>
      <c r="F720" s="13">
        <v>2.80382</v>
      </c>
      <c r="G720" s="13">
        <v>2.8298459999999999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spans="1:19" x14ac:dyDescent="0.2">
      <c r="A721" s="12" t="s">
        <v>188</v>
      </c>
      <c r="B721" s="12" t="s">
        <v>571</v>
      </c>
      <c r="C721" s="12" t="s">
        <v>565</v>
      </c>
      <c r="D721" s="13">
        <v>0</v>
      </c>
      <c r="E721" s="13">
        <v>0.226661</v>
      </c>
      <c r="F721" s="13">
        <v>0.26383099999999998</v>
      </c>
      <c r="G721" s="13">
        <v>0.273063</v>
      </c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spans="1:19" x14ac:dyDescent="0.2">
      <c r="A722" s="12" t="s">
        <v>188</v>
      </c>
      <c r="B722" s="12" t="s">
        <v>571</v>
      </c>
      <c r="C722" s="12" t="s">
        <v>566</v>
      </c>
      <c r="D722" s="13">
        <v>0</v>
      </c>
      <c r="E722" s="13">
        <v>0</v>
      </c>
      <c r="F722" s="13">
        <v>0</v>
      </c>
      <c r="G722" s="13">
        <v>0</v>
      </c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spans="1:19" x14ac:dyDescent="0.2">
      <c r="A723" s="12" t="s">
        <v>188</v>
      </c>
      <c r="B723" s="12" t="s">
        <v>572</v>
      </c>
      <c r="C723" s="12" t="s">
        <v>554</v>
      </c>
      <c r="D723" s="13">
        <v>0</v>
      </c>
      <c r="E723" s="13">
        <v>0</v>
      </c>
      <c r="F723" s="13">
        <v>0</v>
      </c>
      <c r="G723" s="13">
        <v>0</v>
      </c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spans="1:19" x14ac:dyDescent="0.2">
      <c r="A724" s="12" t="s">
        <v>188</v>
      </c>
      <c r="B724" s="12" t="s">
        <v>572</v>
      </c>
      <c r="C724" s="12" t="s">
        <v>555</v>
      </c>
      <c r="D724" s="13">
        <v>0</v>
      </c>
      <c r="E724" s="13">
        <v>2.2658999999999999E-2</v>
      </c>
      <c r="F724" s="13">
        <v>0.195243</v>
      </c>
      <c r="G724" s="13">
        <v>1.6642779999999999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spans="1:19" x14ac:dyDescent="0.2">
      <c r="A725" s="12" t="s">
        <v>188</v>
      </c>
      <c r="B725" s="12" t="s">
        <v>572</v>
      </c>
      <c r="C725" s="12" t="s">
        <v>556</v>
      </c>
      <c r="D725" s="13">
        <v>-2</v>
      </c>
      <c r="E725" s="13">
        <v>-3.6325509999999999</v>
      </c>
      <c r="F725" s="13">
        <v>-2.7863530000000001</v>
      </c>
      <c r="G725" s="13">
        <v>-0.39922800000000003</v>
      </c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spans="1:19" x14ac:dyDescent="0.2">
      <c r="A726" s="12" t="s">
        <v>188</v>
      </c>
      <c r="B726" s="12" t="s">
        <v>572</v>
      </c>
      <c r="C726" s="12" t="s">
        <v>557</v>
      </c>
      <c r="D726" s="13">
        <v>-2</v>
      </c>
      <c r="E726" s="13">
        <v>-3.6098919999999999</v>
      </c>
      <c r="F726" s="13">
        <v>-2.59111</v>
      </c>
      <c r="G726" s="13">
        <v>1.26505</v>
      </c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spans="1:19" x14ac:dyDescent="0.2">
      <c r="A727" s="12" t="s">
        <v>188</v>
      </c>
      <c r="B727" s="12" t="s">
        <v>572</v>
      </c>
      <c r="C727" s="12" t="s">
        <v>558</v>
      </c>
      <c r="D727" s="13">
        <v>42</v>
      </c>
      <c r="E727" s="13">
        <v>45.853372999999998</v>
      </c>
      <c r="F727" s="13">
        <v>45.624370999999996</v>
      </c>
      <c r="G727" s="13">
        <v>43.246450000000003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spans="1:19" x14ac:dyDescent="0.2">
      <c r="A728" s="12" t="s">
        <v>188</v>
      </c>
      <c r="B728" s="12" t="s">
        <v>572</v>
      </c>
      <c r="C728" s="12" t="s">
        <v>560</v>
      </c>
      <c r="D728" s="13">
        <v>0</v>
      </c>
      <c r="E728" s="13">
        <v>0</v>
      </c>
      <c r="F728" s="13">
        <v>0</v>
      </c>
      <c r="G728" s="13">
        <v>0</v>
      </c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spans="1:19" x14ac:dyDescent="0.2">
      <c r="A729" s="12" t="s">
        <v>188</v>
      </c>
      <c r="B729" s="12" t="s">
        <v>572</v>
      </c>
      <c r="C729" s="12" t="s">
        <v>561</v>
      </c>
      <c r="D729" s="13">
        <v>36</v>
      </c>
      <c r="E729" s="13">
        <v>37.306406000000003</v>
      </c>
      <c r="F729" s="13">
        <v>37.547235000000001</v>
      </c>
      <c r="G729" s="13">
        <v>38.901832000000013</v>
      </c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spans="1:19" x14ac:dyDescent="0.2">
      <c r="A730" s="12" t="s">
        <v>188</v>
      </c>
      <c r="B730" s="12" t="s">
        <v>572</v>
      </c>
      <c r="C730" s="12" t="s">
        <v>562</v>
      </c>
      <c r="D730" s="13">
        <v>7</v>
      </c>
      <c r="E730" s="13">
        <v>7.6098020000000002</v>
      </c>
      <c r="F730" s="13">
        <v>6.7077560000000007</v>
      </c>
      <c r="G730" s="13">
        <v>6.9486809999999997</v>
      </c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spans="1:19" x14ac:dyDescent="0.2">
      <c r="A731" s="12" t="s">
        <v>188</v>
      </c>
      <c r="B731" s="12" t="s">
        <v>572</v>
      </c>
      <c r="C731" s="12" t="s">
        <v>563</v>
      </c>
      <c r="D731" s="13">
        <v>0</v>
      </c>
      <c r="E731" s="13">
        <v>0</v>
      </c>
      <c r="F731" s="13">
        <v>0</v>
      </c>
      <c r="G731" s="13">
        <v>0</v>
      </c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spans="1:19" x14ac:dyDescent="0.2">
      <c r="A732" s="12" t="s">
        <v>188</v>
      </c>
      <c r="B732" s="12" t="s">
        <v>572</v>
      </c>
      <c r="C732" s="12" t="s">
        <v>564</v>
      </c>
      <c r="D732" s="13">
        <v>15</v>
      </c>
      <c r="E732" s="13">
        <v>14.966822000000001</v>
      </c>
      <c r="F732" s="13">
        <v>15.213737999999999</v>
      </c>
      <c r="G732" s="13">
        <v>15.763135</v>
      </c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spans="1:19" x14ac:dyDescent="0.2">
      <c r="A733" s="12" t="s">
        <v>188</v>
      </c>
      <c r="B733" s="12" t="s">
        <v>572</v>
      </c>
      <c r="C733" s="12" t="s">
        <v>565</v>
      </c>
      <c r="D733" s="13">
        <v>13</v>
      </c>
      <c r="E733" s="13">
        <v>13.501446</v>
      </c>
      <c r="F733" s="13">
        <v>14.322695</v>
      </c>
      <c r="G733" s="13">
        <v>14.839916000000001</v>
      </c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spans="1:19" x14ac:dyDescent="0.2">
      <c r="A734" s="12" t="s">
        <v>188</v>
      </c>
      <c r="B734" s="12" t="s">
        <v>572</v>
      </c>
      <c r="C734" s="12" t="s">
        <v>566</v>
      </c>
      <c r="D734" s="13">
        <v>1</v>
      </c>
      <c r="E734" s="13">
        <v>1.228332</v>
      </c>
      <c r="F734" s="13">
        <v>1.303045</v>
      </c>
      <c r="G734" s="13">
        <v>1.350101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spans="1:19" x14ac:dyDescent="0.2">
      <c r="A735" s="12" t="s">
        <v>188</v>
      </c>
      <c r="B735" s="12" t="s">
        <v>573</v>
      </c>
      <c r="C735" s="12" t="s">
        <v>554</v>
      </c>
      <c r="D735" s="13">
        <v>0</v>
      </c>
      <c r="E735" s="13">
        <v>0</v>
      </c>
      <c r="F735" s="13">
        <v>0</v>
      </c>
      <c r="G735" s="13">
        <v>0</v>
      </c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spans="1:19" x14ac:dyDescent="0.2">
      <c r="A736" s="12" t="s">
        <v>188</v>
      </c>
      <c r="B736" s="12" t="s">
        <v>573</v>
      </c>
      <c r="C736" s="12" t="s">
        <v>555</v>
      </c>
      <c r="D736" s="13">
        <v>0</v>
      </c>
      <c r="E736" s="13">
        <v>0</v>
      </c>
      <c r="F736" s="13">
        <v>0</v>
      </c>
      <c r="G736" s="13">
        <v>0</v>
      </c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spans="1:19" x14ac:dyDescent="0.2">
      <c r="A737" s="12" t="s">
        <v>188</v>
      </c>
      <c r="B737" s="12" t="s">
        <v>573</v>
      </c>
      <c r="C737" s="12" t="s">
        <v>556</v>
      </c>
      <c r="D737" s="13">
        <v>0</v>
      </c>
      <c r="E737" s="13">
        <v>0</v>
      </c>
      <c r="F737" s="13">
        <v>0</v>
      </c>
      <c r="G737" s="13">
        <v>0</v>
      </c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spans="1:19" x14ac:dyDescent="0.2">
      <c r="A738" s="12" t="s">
        <v>188</v>
      </c>
      <c r="B738" s="12" t="s">
        <v>573</v>
      </c>
      <c r="C738" s="12" t="s">
        <v>557</v>
      </c>
      <c r="D738" s="13">
        <v>0</v>
      </c>
      <c r="E738" s="13">
        <v>0</v>
      </c>
      <c r="F738" s="13">
        <v>0</v>
      </c>
      <c r="G738" s="13">
        <v>0</v>
      </c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spans="1:19" x14ac:dyDescent="0.2">
      <c r="A739" s="12" t="s">
        <v>188</v>
      </c>
      <c r="B739" s="12" t="s">
        <v>573</v>
      </c>
      <c r="C739" s="12" t="s">
        <v>558</v>
      </c>
      <c r="D739" s="13">
        <v>0</v>
      </c>
      <c r="E739" s="13">
        <v>0</v>
      </c>
      <c r="F739" s="13">
        <v>0</v>
      </c>
      <c r="G739" s="13">
        <v>0</v>
      </c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spans="1:19" x14ac:dyDescent="0.2">
      <c r="A740" s="12" t="s">
        <v>188</v>
      </c>
      <c r="B740" s="12" t="s">
        <v>573</v>
      </c>
      <c r="C740" s="12" t="s">
        <v>560</v>
      </c>
      <c r="D740" s="13">
        <v>0</v>
      </c>
      <c r="E740" s="13">
        <v>0</v>
      </c>
      <c r="F740" s="13">
        <v>0</v>
      </c>
      <c r="G740" s="13">
        <v>0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spans="1:19" x14ac:dyDescent="0.2">
      <c r="A741" s="12" t="s">
        <v>188</v>
      </c>
      <c r="B741" s="12" t="s">
        <v>573</v>
      </c>
      <c r="C741" s="12" t="s">
        <v>561</v>
      </c>
      <c r="D741" s="13">
        <v>0</v>
      </c>
      <c r="E741" s="13">
        <v>0</v>
      </c>
      <c r="F741" s="13">
        <v>0</v>
      </c>
      <c r="G741" s="13">
        <v>0</v>
      </c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spans="1:19" x14ac:dyDescent="0.2">
      <c r="A742" s="12" t="s">
        <v>188</v>
      </c>
      <c r="B742" s="12" t="s">
        <v>573</v>
      </c>
      <c r="C742" s="12" t="s">
        <v>562</v>
      </c>
      <c r="D742" s="13">
        <v>0</v>
      </c>
      <c r="E742" s="13">
        <v>0</v>
      </c>
      <c r="F742" s="13">
        <v>0</v>
      </c>
      <c r="G742" s="13">
        <v>0</v>
      </c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spans="1:19" x14ac:dyDescent="0.2">
      <c r="A743" s="12" t="s">
        <v>188</v>
      </c>
      <c r="B743" s="12" t="s">
        <v>573</v>
      </c>
      <c r="C743" s="12" t="s">
        <v>563</v>
      </c>
      <c r="D743" s="13">
        <v>0</v>
      </c>
      <c r="E743" s="13">
        <v>0</v>
      </c>
      <c r="F743" s="13">
        <v>0</v>
      </c>
      <c r="G743" s="13">
        <v>0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spans="1:19" x14ac:dyDescent="0.2">
      <c r="A744" s="12" t="s">
        <v>188</v>
      </c>
      <c r="B744" s="12" t="s">
        <v>573</v>
      </c>
      <c r="C744" s="12" t="s">
        <v>564</v>
      </c>
      <c r="D744" s="13">
        <v>0</v>
      </c>
      <c r="E744" s="13">
        <v>0</v>
      </c>
      <c r="F744" s="13">
        <v>0</v>
      </c>
      <c r="G744" s="13">
        <v>0</v>
      </c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spans="1:19" x14ac:dyDescent="0.2">
      <c r="A745" s="12" t="s">
        <v>188</v>
      </c>
      <c r="B745" s="12" t="s">
        <v>573</v>
      </c>
      <c r="C745" s="12" t="s">
        <v>565</v>
      </c>
      <c r="D745" s="13">
        <v>0</v>
      </c>
      <c r="E745" s="13">
        <v>0</v>
      </c>
      <c r="F745" s="13">
        <v>0</v>
      </c>
      <c r="G745" s="13">
        <v>0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spans="1:19" x14ac:dyDescent="0.2">
      <c r="A746" s="12" t="s">
        <v>188</v>
      </c>
      <c r="B746" s="12" t="s">
        <v>573</v>
      </c>
      <c r="C746" s="12" t="s">
        <v>566</v>
      </c>
      <c r="D746" s="13">
        <v>0</v>
      </c>
      <c r="E746" s="13">
        <v>0</v>
      </c>
      <c r="F746" s="13">
        <v>0</v>
      </c>
      <c r="G746" s="13">
        <v>0</v>
      </c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spans="1:19" x14ac:dyDescent="0.2">
      <c r="A747" s="12" t="s">
        <v>188</v>
      </c>
      <c r="B747" s="12" t="s">
        <v>574</v>
      </c>
      <c r="C747" s="12" t="s">
        <v>554</v>
      </c>
      <c r="D747" s="13">
        <v>109</v>
      </c>
      <c r="E747" s="13">
        <v>109.38942400000001</v>
      </c>
      <c r="F747" s="13">
        <v>108.435039</v>
      </c>
      <c r="G747" s="13">
        <v>99.805847</v>
      </c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spans="1:19" x14ac:dyDescent="0.2">
      <c r="A748" s="12" t="s">
        <v>188</v>
      </c>
      <c r="B748" s="12" t="s">
        <v>574</v>
      </c>
      <c r="C748" s="12" t="s">
        <v>555</v>
      </c>
      <c r="D748" s="13">
        <v>97</v>
      </c>
      <c r="E748" s="13">
        <v>116.975127</v>
      </c>
      <c r="F748" s="13">
        <v>116.762906</v>
      </c>
      <c r="G748" s="13">
        <v>133.05089799999999</v>
      </c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spans="1:19" x14ac:dyDescent="0.2">
      <c r="A749" s="12" t="s">
        <v>188</v>
      </c>
      <c r="B749" s="12" t="s">
        <v>574</v>
      </c>
      <c r="C749" s="12" t="s">
        <v>556</v>
      </c>
      <c r="D749" s="13">
        <v>-3</v>
      </c>
      <c r="E749" s="13">
        <v>-4.2668010000000001</v>
      </c>
      <c r="F749" s="13">
        <v>-2.7863530000000001</v>
      </c>
      <c r="G749" s="13">
        <v>-0.64688599999999996</v>
      </c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spans="1:19" x14ac:dyDescent="0.2">
      <c r="A750" s="12" t="s">
        <v>188</v>
      </c>
      <c r="B750" s="12" t="s">
        <v>574</v>
      </c>
      <c r="C750" s="12" t="s">
        <v>557</v>
      </c>
      <c r="D750" s="13">
        <v>200</v>
      </c>
      <c r="E750" s="13">
        <v>211.13082800000001</v>
      </c>
      <c r="F750" s="13">
        <v>214.724334</v>
      </c>
      <c r="G750" s="13">
        <v>219.13471699999999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spans="1:19" x14ac:dyDescent="0.2">
      <c r="A751" s="12" t="s">
        <v>188</v>
      </c>
      <c r="B751" s="12" t="s">
        <v>574</v>
      </c>
      <c r="C751" s="12" t="s">
        <v>558</v>
      </c>
      <c r="D751" s="13">
        <v>-49</v>
      </c>
      <c r="E751" s="13">
        <v>-46.849692999999988</v>
      </c>
      <c r="F751" s="13">
        <v>-46.697147000000001</v>
      </c>
      <c r="G751" s="13">
        <v>-45.945909</v>
      </c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spans="1:19" x14ac:dyDescent="0.2">
      <c r="A752" s="12" t="s">
        <v>188</v>
      </c>
      <c r="B752" s="12" t="s">
        <v>574</v>
      </c>
      <c r="C752" s="12" t="s">
        <v>560</v>
      </c>
      <c r="D752" s="13">
        <v>0</v>
      </c>
      <c r="E752" s="13">
        <v>0</v>
      </c>
      <c r="F752" s="13">
        <v>0</v>
      </c>
      <c r="G752" s="13">
        <v>0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spans="1:19" x14ac:dyDescent="0.2">
      <c r="A753" s="12" t="s">
        <v>188</v>
      </c>
      <c r="B753" s="12" t="s">
        <v>574</v>
      </c>
      <c r="C753" s="12" t="s">
        <v>561</v>
      </c>
      <c r="D753" s="13">
        <v>146</v>
      </c>
      <c r="E753" s="13">
        <v>159.38251199999999</v>
      </c>
      <c r="F753" s="13">
        <v>160.54107500000001</v>
      </c>
      <c r="G753" s="13">
        <v>167.186992</v>
      </c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spans="1:19" x14ac:dyDescent="0.2">
      <c r="A754" s="12" t="s">
        <v>188</v>
      </c>
      <c r="B754" s="12" t="s">
        <v>574</v>
      </c>
      <c r="C754" s="12" t="s">
        <v>562</v>
      </c>
      <c r="D754" s="13">
        <v>34</v>
      </c>
      <c r="E754" s="13">
        <v>35.982368000000001</v>
      </c>
      <c r="F754" s="13">
        <v>35.304270000000002</v>
      </c>
      <c r="G754" s="13">
        <v>30.960829</v>
      </c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spans="1:19" x14ac:dyDescent="0.2">
      <c r="A755" s="12" t="s">
        <v>188</v>
      </c>
      <c r="B755" s="12" t="s">
        <v>574</v>
      </c>
      <c r="C755" s="12" t="s">
        <v>563</v>
      </c>
      <c r="D755" s="13">
        <v>70</v>
      </c>
      <c r="E755" s="13">
        <v>79.609904</v>
      </c>
      <c r="F755" s="13">
        <v>79.874245999999999</v>
      </c>
      <c r="G755" s="13">
        <v>84.383363000000003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spans="1:19" x14ac:dyDescent="0.2">
      <c r="A756" s="12" t="s">
        <v>188</v>
      </c>
      <c r="B756" s="12" t="s">
        <v>574</v>
      </c>
      <c r="C756" s="12" t="s">
        <v>564</v>
      </c>
      <c r="D756" s="13">
        <v>21</v>
      </c>
      <c r="E756" s="13">
        <v>21.573872999999999</v>
      </c>
      <c r="F756" s="13">
        <v>22.231527</v>
      </c>
      <c r="G756" s="13">
        <v>22.317146999999999</v>
      </c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spans="1:19" x14ac:dyDescent="0.2">
      <c r="A757" s="12" t="s">
        <v>188</v>
      </c>
      <c r="B757" s="12" t="s">
        <v>574</v>
      </c>
      <c r="C757" s="12" t="s">
        <v>565</v>
      </c>
      <c r="D757" s="13">
        <v>15</v>
      </c>
      <c r="E757" s="13">
        <v>16.009143000000002</v>
      </c>
      <c r="F757" s="13">
        <v>16.984432000000002</v>
      </c>
      <c r="G757" s="13">
        <v>17.229469000000002</v>
      </c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spans="1:19" x14ac:dyDescent="0.2">
      <c r="A758" s="12" t="s">
        <v>188</v>
      </c>
      <c r="B758" s="12" t="s">
        <v>574</v>
      </c>
      <c r="C758" s="12" t="s">
        <v>566</v>
      </c>
      <c r="D758" s="13">
        <v>6</v>
      </c>
      <c r="E758" s="13">
        <v>6.2072280000000006</v>
      </c>
      <c r="F758" s="13">
        <v>6.1466120000000011</v>
      </c>
      <c r="G758" s="13">
        <v>12.296184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spans="1:19" x14ac:dyDescent="0.2">
      <c r="A759" s="12" t="s">
        <v>196</v>
      </c>
      <c r="B759" s="12" t="s">
        <v>553</v>
      </c>
      <c r="C759" s="12" t="s">
        <v>554</v>
      </c>
      <c r="D759" s="13">
        <v>427</v>
      </c>
      <c r="E759" s="13">
        <v>440.517223</v>
      </c>
      <c r="F759" s="13">
        <v>477.51601599999998</v>
      </c>
      <c r="G759" s="13">
        <v>410.10298899999998</v>
      </c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spans="1:19" x14ac:dyDescent="0.2">
      <c r="A760" s="12" t="s">
        <v>196</v>
      </c>
      <c r="B760" s="12" t="s">
        <v>553</v>
      </c>
      <c r="C760" s="12" t="s">
        <v>555</v>
      </c>
      <c r="D760" s="13">
        <v>116</v>
      </c>
      <c r="E760" s="13">
        <v>145.589619</v>
      </c>
      <c r="F760" s="13">
        <v>143.735896</v>
      </c>
      <c r="G760" s="13">
        <v>118.42168700000001</v>
      </c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spans="1:19" x14ac:dyDescent="0.2">
      <c r="A761" s="12" t="s">
        <v>196</v>
      </c>
      <c r="B761" s="12" t="s">
        <v>553</v>
      </c>
      <c r="C761" s="12" t="s">
        <v>556</v>
      </c>
      <c r="D761" s="13">
        <v>-51</v>
      </c>
      <c r="E761" s="13">
        <v>-70.423906000000002</v>
      </c>
      <c r="F761" s="13">
        <v>-64.288995999999997</v>
      </c>
      <c r="G761" s="13">
        <v>-51.686422999999998</v>
      </c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spans="1:19" x14ac:dyDescent="0.2">
      <c r="A762" s="12" t="s">
        <v>196</v>
      </c>
      <c r="B762" s="12" t="s">
        <v>553</v>
      </c>
      <c r="C762" s="12" t="s">
        <v>557</v>
      </c>
      <c r="D762" s="13">
        <v>513</v>
      </c>
      <c r="E762" s="13">
        <v>537.00647900000001</v>
      </c>
      <c r="F762" s="13">
        <v>562.51640000000009</v>
      </c>
      <c r="G762" s="13">
        <v>453.09445799999997</v>
      </c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spans="1:19" x14ac:dyDescent="0.2">
      <c r="A763" s="12" t="s">
        <v>196</v>
      </c>
      <c r="B763" s="12" t="s">
        <v>553</v>
      </c>
      <c r="C763" s="12" t="s">
        <v>558</v>
      </c>
      <c r="D763" s="13">
        <v>-374</v>
      </c>
      <c r="E763" s="13">
        <v>-394.26152400000001</v>
      </c>
      <c r="F763" s="13">
        <v>-414.82421299999999</v>
      </c>
      <c r="G763" s="13">
        <v>-338.19569899999999</v>
      </c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spans="1:19" x14ac:dyDescent="0.2">
      <c r="A764" s="12" t="s">
        <v>196</v>
      </c>
      <c r="B764" s="12" t="s">
        <v>553</v>
      </c>
      <c r="C764" s="12" t="s">
        <v>560</v>
      </c>
      <c r="D764" s="13">
        <v>0</v>
      </c>
      <c r="E764" s="13">
        <v>0</v>
      </c>
      <c r="F764" s="13">
        <v>0</v>
      </c>
      <c r="G764" s="13">
        <v>0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spans="1:19" x14ac:dyDescent="0.2">
      <c r="A765" s="12" t="s">
        <v>196</v>
      </c>
      <c r="B765" s="12" t="s">
        <v>553</v>
      </c>
      <c r="C765" s="12" t="s">
        <v>561</v>
      </c>
      <c r="D765" s="13">
        <v>82</v>
      </c>
      <c r="E765" s="13">
        <v>86.823351000000002</v>
      </c>
      <c r="F765" s="13">
        <v>81.669517000000013</v>
      </c>
      <c r="G765" s="13">
        <v>66.06231600000001</v>
      </c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spans="1:19" x14ac:dyDescent="0.2">
      <c r="A766" s="12" t="s">
        <v>196</v>
      </c>
      <c r="B766" s="12" t="s">
        <v>553</v>
      </c>
      <c r="C766" s="12" t="s">
        <v>562</v>
      </c>
      <c r="D766" s="13">
        <v>43</v>
      </c>
      <c r="E766" s="13">
        <v>45.203138000000003</v>
      </c>
      <c r="F766" s="13">
        <v>40.324250999999997</v>
      </c>
      <c r="G766" s="13">
        <v>35.219563000000001</v>
      </c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spans="1:19" x14ac:dyDescent="0.2">
      <c r="A767" s="12" t="s">
        <v>196</v>
      </c>
      <c r="B767" s="12" t="s">
        <v>553</v>
      </c>
      <c r="C767" s="12" t="s">
        <v>563</v>
      </c>
      <c r="D767" s="13">
        <v>0</v>
      </c>
      <c r="E767" s="13">
        <v>1.0969E-2</v>
      </c>
      <c r="F767" s="13">
        <v>1.3162999999999999E-2</v>
      </c>
      <c r="G767" s="13">
        <v>1.0722000000000001E-2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spans="1:19" x14ac:dyDescent="0.2">
      <c r="A768" s="12" t="s">
        <v>196</v>
      </c>
      <c r="B768" s="12" t="s">
        <v>553</v>
      </c>
      <c r="C768" s="12" t="s">
        <v>564</v>
      </c>
      <c r="D768" s="13">
        <v>27</v>
      </c>
      <c r="E768" s="13">
        <v>26.646805000000001</v>
      </c>
      <c r="F768" s="13">
        <v>27.972446000000001</v>
      </c>
      <c r="G768" s="13">
        <v>17.917448</v>
      </c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spans="1:19" x14ac:dyDescent="0.2">
      <c r="A769" s="12" t="s">
        <v>196</v>
      </c>
      <c r="B769" s="12" t="s">
        <v>553</v>
      </c>
      <c r="C769" s="12" t="s">
        <v>565</v>
      </c>
      <c r="D769" s="13">
        <v>1</v>
      </c>
      <c r="E769" s="13">
        <v>0.996973</v>
      </c>
      <c r="F769" s="13">
        <v>0.99360300000000001</v>
      </c>
      <c r="G769" s="13">
        <v>0.46611200000000003</v>
      </c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spans="1:19" x14ac:dyDescent="0.2">
      <c r="A770" s="12" t="s">
        <v>196</v>
      </c>
      <c r="B770" s="12" t="s">
        <v>553</v>
      </c>
      <c r="C770" s="12" t="s">
        <v>566</v>
      </c>
      <c r="D770" s="13">
        <v>12</v>
      </c>
      <c r="E770" s="13">
        <v>13.965465999999999</v>
      </c>
      <c r="F770" s="13">
        <v>12.366057</v>
      </c>
      <c r="G770" s="13">
        <v>12.448466</v>
      </c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spans="1:19" x14ac:dyDescent="0.2">
      <c r="A771" s="12" t="s">
        <v>196</v>
      </c>
      <c r="B771" s="12" t="s">
        <v>567</v>
      </c>
      <c r="C771" s="12" t="s">
        <v>554</v>
      </c>
      <c r="D771" s="13">
        <v>5</v>
      </c>
      <c r="E771" s="13">
        <v>5.2685020000000007</v>
      </c>
      <c r="F771" s="13">
        <v>4.8494989999999998</v>
      </c>
      <c r="G771" s="13">
        <v>4.5914999999999999</v>
      </c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spans="1:19" x14ac:dyDescent="0.2">
      <c r="A772" s="12" t="s">
        <v>196</v>
      </c>
      <c r="B772" s="12" t="s">
        <v>567</v>
      </c>
      <c r="C772" s="12" t="s">
        <v>555</v>
      </c>
      <c r="D772" s="13">
        <v>263</v>
      </c>
      <c r="E772" s="13">
        <v>290.94069900000011</v>
      </c>
      <c r="F772" s="13">
        <v>315.96379999999999</v>
      </c>
      <c r="G772" s="13">
        <v>314.79450200000002</v>
      </c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spans="1:19" x14ac:dyDescent="0.2">
      <c r="A773" s="12" t="s">
        <v>196</v>
      </c>
      <c r="B773" s="12" t="s">
        <v>567</v>
      </c>
      <c r="C773" s="12" t="s">
        <v>556</v>
      </c>
      <c r="D773" s="13">
        <v>0</v>
      </c>
      <c r="E773" s="13">
        <v>0</v>
      </c>
      <c r="F773" s="13">
        <v>0</v>
      </c>
      <c r="G773" s="13">
        <v>0</v>
      </c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spans="1:19" x14ac:dyDescent="0.2">
      <c r="A774" s="12" t="s">
        <v>196</v>
      </c>
      <c r="B774" s="12" t="s">
        <v>567</v>
      </c>
      <c r="C774" s="12" t="s">
        <v>557</v>
      </c>
      <c r="D774" s="13">
        <v>260</v>
      </c>
      <c r="E774" s="13">
        <v>303.97970400000003</v>
      </c>
      <c r="F774" s="13">
        <v>319.30509999999998</v>
      </c>
      <c r="G774" s="13">
        <v>320.03204599999998</v>
      </c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spans="1:19" x14ac:dyDescent="0.2">
      <c r="A775" s="12" t="s">
        <v>196</v>
      </c>
      <c r="B775" s="12" t="s">
        <v>567</v>
      </c>
      <c r="C775" s="12" t="s">
        <v>558</v>
      </c>
      <c r="D775" s="13">
        <v>0</v>
      </c>
      <c r="E775" s="13">
        <v>0</v>
      </c>
      <c r="F775" s="13">
        <v>0</v>
      </c>
      <c r="G775" s="13">
        <v>0</v>
      </c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spans="1:19" x14ac:dyDescent="0.2">
      <c r="A776" s="12" t="s">
        <v>196</v>
      </c>
      <c r="B776" s="12" t="s">
        <v>567</v>
      </c>
      <c r="C776" s="12" t="s">
        <v>560</v>
      </c>
      <c r="D776" s="13">
        <v>-269</v>
      </c>
      <c r="E776" s="13">
        <v>-314.55394899999999</v>
      </c>
      <c r="F776" s="13">
        <v>-328.53634499999998</v>
      </c>
      <c r="G776" s="13">
        <v>-328.55712499999998</v>
      </c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spans="1:19" x14ac:dyDescent="0.2">
      <c r="A777" s="12" t="s">
        <v>196</v>
      </c>
      <c r="B777" s="12" t="s">
        <v>567</v>
      </c>
      <c r="C777" s="12" t="s">
        <v>561</v>
      </c>
      <c r="D777" s="13">
        <v>0</v>
      </c>
      <c r="E777" s="13">
        <v>0</v>
      </c>
      <c r="F777" s="13">
        <v>0</v>
      </c>
      <c r="G777" s="13">
        <v>0</v>
      </c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spans="1:19" x14ac:dyDescent="0.2">
      <c r="A778" s="12" t="s">
        <v>196</v>
      </c>
      <c r="B778" s="12" t="s">
        <v>567</v>
      </c>
      <c r="C778" s="12" t="s">
        <v>562</v>
      </c>
      <c r="D778" s="13">
        <v>0</v>
      </c>
      <c r="E778" s="13">
        <v>0</v>
      </c>
      <c r="F778" s="13">
        <v>0</v>
      </c>
      <c r="G778" s="13">
        <v>0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spans="1:19" x14ac:dyDescent="0.2">
      <c r="A779" s="12" t="s">
        <v>196</v>
      </c>
      <c r="B779" s="12" t="s">
        <v>567</v>
      </c>
      <c r="C779" s="12" t="s">
        <v>563</v>
      </c>
      <c r="D779" s="13">
        <v>0</v>
      </c>
      <c r="E779" s="13">
        <v>0</v>
      </c>
      <c r="F779" s="13">
        <v>0</v>
      </c>
      <c r="G779" s="13">
        <v>0</v>
      </c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spans="1:19" x14ac:dyDescent="0.2">
      <c r="A780" s="12" t="s">
        <v>196</v>
      </c>
      <c r="B780" s="12" t="s">
        <v>567</v>
      </c>
      <c r="C780" s="12" t="s">
        <v>564</v>
      </c>
      <c r="D780" s="13">
        <v>0</v>
      </c>
      <c r="E780" s="13">
        <v>0</v>
      </c>
      <c r="F780" s="13">
        <v>0</v>
      </c>
      <c r="G780" s="13">
        <v>0</v>
      </c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spans="1:19" x14ac:dyDescent="0.2">
      <c r="A781" s="12" t="s">
        <v>196</v>
      </c>
      <c r="B781" s="12" t="s">
        <v>567</v>
      </c>
      <c r="C781" s="12" t="s">
        <v>565</v>
      </c>
      <c r="D781" s="13">
        <v>0</v>
      </c>
      <c r="E781" s="13">
        <v>0</v>
      </c>
      <c r="F781" s="13">
        <v>0</v>
      </c>
      <c r="G781" s="13">
        <v>0</v>
      </c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spans="1:19" x14ac:dyDescent="0.2">
      <c r="A782" s="12" t="s">
        <v>196</v>
      </c>
      <c r="B782" s="12" t="s">
        <v>567</v>
      </c>
      <c r="C782" s="12" t="s">
        <v>566</v>
      </c>
      <c r="D782" s="13">
        <v>0</v>
      </c>
      <c r="E782" s="13">
        <v>0</v>
      </c>
      <c r="F782" s="13">
        <v>0</v>
      </c>
      <c r="G782" s="13">
        <v>0</v>
      </c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spans="1:19" x14ac:dyDescent="0.2">
      <c r="A783" s="12" t="s">
        <v>196</v>
      </c>
      <c r="B783" s="12" t="s">
        <v>568</v>
      </c>
      <c r="C783" s="12" t="s">
        <v>554</v>
      </c>
      <c r="D783" s="13">
        <v>0</v>
      </c>
      <c r="E783" s="13">
        <v>0</v>
      </c>
      <c r="F783" s="13">
        <v>0</v>
      </c>
      <c r="G783" s="13">
        <v>0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spans="1:19" x14ac:dyDescent="0.2">
      <c r="A784" s="12" t="s">
        <v>196</v>
      </c>
      <c r="B784" s="12" t="s">
        <v>568</v>
      </c>
      <c r="C784" s="12" t="s">
        <v>555</v>
      </c>
      <c r="D784" s="13">
        <v>177</v>
      </c>
      <c r="E784" s="13">
        <v>184.220598</v>
      </c>
      <c r="F784" s="13">
        <v>166.546198</v>
      </c>
      <c r="G784" s="13">
        <v>170.927998</v>
      </c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spans="1:19" x14ac:dyDescent="0.2">
      <c r="A785" s="12" t="s">
        <v>196</v>
      </c>
      <c r="B785" s="12" t="s">
        <v>568</v>
      </c>
      <c r="C785" s="12" t="s">
        <v>556</v>
      </c>
      <c r="D785" s="13">
        <v>-75</v>
      </c>
      <c r="E785" s="13">
        <v>-91.434001000000009</v>
      </c>
      <c r="F785" s="13">
        <v>-76.78</v>
      </c>
      <c r="G785" s="13">
        <v>-86.289001999999996</v>
      </c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spans="1:19" x14ac:dyDescent="0.2">
      <c r="A786" s="12" t="s">
        <v>196</v>
      </c>
      <c r="B786" s="12" t="s">
        <v>568</v>
      </c>
      <c r="C786" s="12" t="s">
        <v>557</v>
      </c>
      <c r="D786" s="13">
        <v>97</v>
      </c>
      <c r="E786" s="13">
        <v>86.626198000000002</v>
      </c>
      <c r="F786" s="13">
        <v>76.863597999999996</v>
      </c>
      <c r="G786" s="13">
        <v>68.850800000000007</v>
      </c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spans="1:19" x14ac:dyDescent="0.2">
      <c r="A787" s="12" t="s">
        <v>196</v>
      </c>
      <c r="B787" s="12" t="s">
        <v>568</v>
      </c>
      <c r="C787" s="12" t="s">
        <v>558</v>
      </c>
      <c r="D787" s="13">
        <v>-2</v>
      </c>
      <c r="E787" s="13">
        <v>-2.0083030000000002</v>
      </c>
      <c r="F787" s="13">
        <v>-2.1720039999999998</v>
      </c>
      <c r="G787" s="13">
        <v>-2.152002</v>
      </c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spans="1:19" x14ac:dyDescent="0.2">
      <c r="A788" s="12" t="s">
        <v>196</v>
      </c>
      <c r="B788" s="12" t="s">
        <v>568</v>
      </c>
      <c r="C788" s="12" t="s">
        <v>560</v>
      </c>
      <c r="D788" s="13">
        <v>270</v>
      </c>
      <c r="E788" s="13">
        <v>316.41489799999999</v>
      </c>
      <c r="F788" s="13">
        <v>328.92830099999998</v>
      </c>
      <c r="G788" s="13">
        <v>329.10670099999999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spans="1:19" x14ac:dyDescent="0.2">
      <c r="A789" s="12" t="s">
        <v>196</v>
      </c>
      <c r="B789" s="12" t="s">
        <v>568</v>
      </c>
      <c r="C789" s="12" t="s">
        <v>561</v>
      </c>
      <c r="D789" s="13">
        <v>348</v>
      </c>
      <c r="E789" s="13">
        <v>382.008602</v>
      </c>
      <c r="F789" s="13">
        <v>386.38780200000002</v>
      </c>
      <c r="G789" s="13">
        <v>379.69779799999998</v>
      </c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spans="1:19" x14ac:dyDescent="0.2">
      <c r="A790" s="12" t="s">
        <v>196</v>
      </c>
      <c r="B790" s="12" t="s">
        <v>568</v>
      </c>
      <c r="C790" s="12" t="s">
        <v>562</v>
      </c>
      <c r="D790" s="13">
        <v>8</v>
      </c>
      <c r="E790" s="13">
        <v>9.2426000000000013</v>
      </c>
      <c r="F790" s="13">
        <v>9.1331990000000012</v>
      </c>
      <c r="G790" s="13">
        <v>8.9978020000000001</v>
      </c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spans="1:19" x14ac:dyDescent="0.2">
      <c r="A791" s="12" t="s">
        <v>196</v>
      </c>
      <c r="B791" s="12" t="s">
        <v>568</v>
      </c>
      <c r="C791" s="12" t="s">
        <v>563</v>
      </c>
      <c r="D791" s="13">
        <v>238</v>
      </c>
      <c r="E791" s="13">
        <v>254.622398</v>
      </c>
      <c r="F791" s="13">
        <v>261.72820200000001</v>
      </c>
      <c r="G791" s="13">
        <v>268.81719900000002</v>
      </c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spans="1:19" x14ac:dyDescent="0.2">
      <c r="A792" s="12" t="s">
        <v>196</v>
      </c>
      <c r="B792" s="12" t="s">
        <v>568</v>
      </c>
      <c r="C792" s="12" t="s">
        <v>564</v>
      </c>
      <c r="D792" s="13">
        <v>2</v>
      </c>
      <c r="E792" s="13">
        <v>2.1160000000000001</v>
      </c>
      <c r="F792" s="13">
        <v>1.9779990000000001</v>
      </c>
      <c r="G792" s="13">
        <v>2.3459979999999998</v>
      </c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spans="1:19" x14ac:dyDescent="0.2">
      <c r="A793" s="12" t="s">
        <v>196</v>
      </c>
      <c r="B793" s="12" t="s">
        <v>568</v>
      </c>
      <c r="C793" s="12" t="s">
        <v>565</v>
      </c>
      <c r="D793" s="13">
        <v>1</v>
      </c>
      <c r="E793" s="13">
        <v>1.1633990000000001</v>
      </c>
      <c r="F793" s="13">
        <v>0.86019899999999994</v>
      </c>
      <c r="G793" s="13">
        <v>1.1233979999999999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spans="1:19" x14ac:dyDescent="0.2">
      <c r="A794" s="12" t="s">
        <v>196</v>
      </c>
      <c r="B794" s="12" t="s">
        <v>568</v>
      </c>
      <c r="C794" s="12" t="s">
        <v>566</v>
      </c>
      <c r="D794" s="13">
        <v>99</v>
      </c>
      <c r="E794" s="13">
        <v>114.86420099999999</v>
      </c>
      <c r="F794" s="13">
        <v>112.688199</v>
      </c>
      <c r="G794" s="13">
        <v>98.413396000000006</v>
      </c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spans="1:19" x14ac:dyDescent="0.2">
      <c r="A795" s="12" t="s">
        <v>196</v>
      </c>
      <c r="B795" s="12" t="s">
        <v>569</v>
      </c>
      <c r="C795" s="12" t="s">
        <v>554</v>
      </c>
      <c r="D795" s="13">
        <v>7</v>
      </c>
      <c r="E795" s="13">
        <v>6.987832</v>
      </c>
      <c r="F795" s="13">
        <v>7.7109680000000003</v>
      </c>
      <c r="G795" s="13">
        <v>5.5754740000000007</v>
      </c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spans="1:19" x14ac:dyDescent="0.2">
      <c r="A796" s="12" t="s">
        <v>196</v>
      </c>
      <c r="B796" s="12" t="s">
        <v>569</v>
      </c>
      <c r="C796" s="12" t="s">
        <v>555</v>
      </c>
      <c r="D796" s="13">
        <v>262</v>
      </c>
      <c r="E796" s="13">
        <v>300.73791499999999</v>
      </c>
      <c r="F796" s="13">
        <v>301.02616</v>
      </c>
      <c r="G796" s="13">
        <v>241.23543599999999</v>
      </c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spans="1:19" x14ac:dyDescent="0.2">
      <c r="A797" s="12" t="s">
        <v>196</v>
      </c>
      <c r="B797" s="12" t="s">
        <v>569</v>
      </c>
      <c r="C797" s="12" t="s">
        <v>556</v>
      </c>
      <c r="D797" s="13">
        <v>0</v>
      </c>
      <c r="E797" s="13">
        <v>0</v>
      </c>
      <c r="F797" s="13">
        <v>0</v>
      </c>
      <c r="G797" s="13">
        <v>0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spans="1:19" x14ac:dyDescent="0.2">
      <c r="A798" s="12" t="s">
        <v>196</v>
      </c>
      <c r="B798" s="12" t="s">
        <v>569</v>
      </c>
      <c r="C798" s="12" t="s">
        <v>557</v>
      </c>
      <c r="D798" s="13">
        <v>305</v>
      </c>
      <c r="E798" s="13">
        <v>326.430385</v>
      </c>
      <c r="F798" s="13">
        <v>265.51235300000002</v>
      </c>
      <c r="G798" s="13">
        <v>241.01181500000001</v>
      </c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spans="1:19" x14ac:dyDescent="0.2">
      <c r="A799" s="12" t="s">
        <v>196</v>
      </c>
      <c r="B799" s="12" t="s">
        <v>569</v>
      </c>
      <c r="C799" s="12" t="s">
        <v>558</v>
      </c>
      <c r="D799" s="13">
        <v>-78</v>
      </c>
      <c r="E799" s="13">
        <v>-86.150636000000006</v>
      </c>
      <c r="F799" s="13">
        <v>-58.798875000000002</v>
      </c>
      <c r="G799" s="13">
        <v>-52.325028000000003</v>
      </c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spans="1:19" x14ac:dyDescent="0.2">
      <c r="A800" s="12" t="s">
        <v>196</v>
      </c>
      <c r="B800" s="12" t="s">
        <v>569</v>
      </c>
      <c r="C800" s="12" t="s">
        <v>560</v>
      </c>
      <c r="D800" s="13">
        <v>0</v>
      </c>
      <c r="E800" s="13">
        <v>0</v>
      </c>
      <c r="F800" s="13">
        <v>0</v>
      </c>
      <c r="G800" s="13">
        <v>0</v>
      </c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spans="1:19" x14ac:dyDescent="0.2">
      <c r="A801" s="12" t="s">
        <v>196</v>
      </c>
      <c r="B801" s="12" t="s">
        <v>569</v>
      </c>
      <c r="C801" s="12" t="s">
        <v>561</v>
      </c>
      <c r="D801" s="13">
        <v>220</v>
      </c>
      <c r="E801" s="13">
        <v>233.80976100000001</v>
      </c>
      <c r="F801" s="13">
        <v>200.05395799999999</v>
      </c>
      <c r="G801" s="13">
        <v>178.330231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spans="1:19" x14ac:dyDescent="0.2">
      <c r="A802" s="12" t="s">
        <v>196</v>
      </c>
      <c r="B802" s="12" t="s">
        <v>569</v>
      </c>
      <c r="C802" s="12" t="s">
        <v>562</v>
      </c>
      <c r="D802" s="13">
        <v>85</v>
      </c>
      <c r="E802" s="13">
        <v>93.444896</v>
      </c>
      <c r="F802" s="13">
        <v>83.851690000000005</v>
      </c>
      <c r="G802" s="13">
        <v>74.358799000000005</v>
      </c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spans="1:19" x14ac:dyDescent="0.2">
      <c r="A803" s="12" t="s">
        <v>196</v>
      </c>
      <c r="B803" s="12" t="s">
        <v>569</v>
      </c>
      <c r="C803" s="12" t="s">
        <v>563</v>
      </c>
      <c r="D803" s="13">
        <v>5</v>
      </c>
      <c r="E803" s="13">
        <v>4.2648710000000003</v>
      </c>
      <c r="F803" s="13">
        <v>3.5745269999999998</v>
      </c>
      <c r="G803" s="13">
        <v>3.2549190000000001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spans="1:19" x14ac:dyDescent="0.2">
      <c r="A804" s="12" t="s">
        <v>196</v>
      </c>
      <c r="B804" s="12" t="s">
        <v>569</v>
      </c>
      <c r="C804" s="12" t="s">
        <v>564</v>
      </c>
      <c r="D804" s="13">
        <v>78</v>
      </c>
      <c r="E804" s="13">
        <v>87.152051999999998</v>
      </c>
      <c r="F804" s="13">
        <v>69.585998000000004</v>
      </c>
      <c r="G804" s="13">
        <v>62.219168000000003</v>
      </c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spans="1:19" x14ac:dyDescent="0.2">
      <c r="A805" s="12" t="s">
        <v>196</v>
      </c>
      <c r="B805" s="12" t="s">
        <v>569</v>
      </c>
      <c r="C805" s="12" t="s">
        <v>565</v>
      </c>
      <c r="D805" s="13">
        <v>44</v>
      </c>
      <c r="E805" s="13">
        <v>41.804130000000001</v>
      </c>
      <c r="F805" s="13">
        <v>38.571472999999997</v>
      </c>
      <c r="G805" s="13">
        <v>34.666428000000003</v>
      </c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spans="1:19" x14ac:dyDescent="0.2">
      <c r="A806" s="12" t="s">
        <v>196</v>
      </c>
      <c r="B806" s="12" t="s">
        <v>569</v>
      </c>
      <c r="C806" s="12" t="s">
        <v>566</v>
      </c>
      <c r="D806" s="13">
        <v>8</v>
      </c>
      <c r="E806" s="13">
        <v>7.1438079999999999</v>
      </c>
      <c r="F806" s="13">
        <v>4.4702710000000003</v>
      </c>
      <c r="G806" s="13">
        <v>3.830916999999999</v>
      </c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spans="1:19" x14ac:dyDescent="0.2">
      <c r="A807" s="12" t="s">
        <v>196</v>
      </c>
      <c r="B807" s="12" t="s">
        <v>570</v>
      </c>
      <c r="C807" s="12" t="s">
        <v>554</v>
      </c>
      <c r="D807" s="13">
        <v>329</v>
      </c>
      <c r="E807" s="13">
        <v>336.112728</v>
      </c>
      <c r="F807" s="13">
        <v>339.28561500000001</v>
      </c>
      <c r="G807" s="13">
        <v>332.87675100000001</v>
      </c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spans="1:19" x14ac:dyDescent="0.2">
      <c r="A808" s="12" t="s">
        <v>196</v>
      </c>
      <c r="B808" s="12" t="s">
        <v>570</v>
      </c>
      <c r="C808" s="12" t="s">
        <v>555</v>
      </c>
      <c r="D808" s="13">
        <v>0</v>
      </c>
      <c r="E808" s="13">
        <v>0</v>
      </c>
      <c r="F808" s="13">
        <v>0</v>
      </c>
      <c r="G808" s="13">
        <v>0</v>
      </c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spans="1:19" x14ac:dyDescent="0.2">
      <c r="A809" s="12" t="s">
        <v>196</v>
      </c>
      <c r="B809" s="12" t="s">
        <v>570</v>
      </c>
      <c r="C809" s="12" t="s">
        <v>556</v>
      </c>
      <c r="D809" s="13">
        <v>0</v>
      </c>
      <c r="E809" s="13">
        <v>0</v>
      </c>
      <c r="F809" s="13">
        <v>0</v>
      </c>
      <c r="G809" s="13">
        <v>0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spans="1:19" x14ac:dyDescent="0.2">
      <c r="A810" s="12" t="s">
        <v>196</v>
      </c>
      <c r="B810" s="12" t="s">
        <v>570</v>
      </c>
      <c r="C810" s="12" t="s">
        <v>557</v>
      </c>
      <c r="D810" s="13">
        <v>329</v>
      </c>
      <c r="E810" s="13">
        <v>336.112728</v>
      </c>
      <c r="F810" s="13">
        <v>339.28561500000001</v>
      </c>
      <c r="G810" s="13">
        <v>332.87675100000001</v>
      </c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spans="1:19" x14ac:dyDescent="0.2">
      <c r="A811" s="12" t="s">
        <v>196</v>
      </c>
      <c r="B811" s="12" t="s">
        <v>570</v>
      </c>
      <c r="C811" s="12" t="s">
        <v>558</v>
      </c>
      <c r="D811" s="13">
        <v>-329</v>
      </c>
      <c r="E811" s="13">
        <v>-336.112728</v>
      </c>
      <c r="F811" s="13">
        <v>-339.28561899999988</v>
      </c>
      <c r="G811" s="13">
        <v>-332.87675000000002</v>
      </c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spans="1:19" x14ac:dyDescent="0.2">
      <c r="A812" s="12" t="s">
        <v>196</v>
      </c>
      <c r="B812" s="12" t="s">
        <v>570</v>
      </c>
      <c r="C812" s="12" t="s">
        <v>560</v>
      </c>
      <c r="D812" s="13">
        <v>0</v>
      </c>
      <c r="E812" s="13">
        <v>0</v>
      </c>
      <c r="F812" s="13">
        <v>0</v>
      </c>
      <c r="G812" s="13">
        <v>0</v>
      </c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spans="1:19" x14ac:dyDescent="0.2">
      <c r="A813" s="12" t="s">
        <v>196</v>
      </c>
      <c r="B813" s="12" t="s">
        <v>570</v>
      </c>
      <c r="C813" s="12" t="s">
        <v>561</v>
      </c>
      <c r="D813" s="13">
        <v>0</v>
      </c>
      <c r="E813" s="13">
        <v>0</v>
      </c>
      <c r="F813" s="13">
        <v>0</v>
      </c>
      <c r="G813" s="13">
        <v>0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spans="1:19" x14ac:dyDescent="0.2">
      <c r="A814" s="12" t="s">
        <v>196</v>
      </c>
      <c r="B814" s="12" t="s">
        <v>570</v>
      </c>
      <c r="C814" s="12" t="s">
        <v>562</v>
      </c>
      <c r="D814" s="13">
        <v>0</v>
      </c>
      <c r="E814" s="13">
        <v>0</v>
      </c>
      <c r="F814" s="13">
        <v>0</v>
      </c>
      <c r="G814" s="13">
        <v>0</v>
      </c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spans="1:19" x14ac:dyDescent="0.2">
      <c r="A815" s="12" t="s">
        <v>196</v>
      </c>
      <c r="B815" s="12" t="s">
        <v>570</v>
      </c>
      <c r="C815" s="12" t="s">
        <v>563</v>
      </c>
      <c r="D815" s="13">
        <v>0</v>
      </c>
      <c r="E815" s="13">
        <v>0</v>
      </c>
      <c r="F815" s="13">
        <v>0</v>
      </c>
      <c r="G815" s="13">
        <v>0</v>
      </c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spans="1:19" x14ac:dyDescent="0.2">
      <c r="A816" s="12" t="s">
        <v>196</v>
      </c>
      <c r="B816" s="12" t="s">
        <v>570</v>
      </c>
      <c r="C816" s="12" t="s">
        <v>564</v>
      </c>
      <c r="D816" s="13">
        <v>0</v>
      </c>
      <c r="E816" s="13">
        <v>0</v>
      </c>
      <c r="F816" s="13">
        <v>0</v>
      </c>
      <c r="G816" s="13">
        <v>0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spans="1:19" x14ac:dyDescent="0.2">
      <c r="A817" s="12" t="s">
        <v>196</v>
      </c>
      <c r="B817" s="12" t="s">
        <v>570</v>
      </c>
      <c r="C817" s="12" t="s">
        <v>565</v>
      </c>
      <c r="D817" s="13">
        <v>0</v>
      </c>
      <c r="E817" s="13">
        <v>0</v>
      </c>
      <c r="F817" s="13">
        <v>0</v>
      </c>
      <c r="G817" s="13">
        <v>0</v>
      </c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spans="1:19" x14ac:dyDescent="0.2">
      <c r="A818" s="12" t="s">
        <v>196</v>
      </c>
      <c r="B818" s="12" t="s">
        <v>570</v>
      </c>
      <c r="C818" s="12" t="s">
        <v>566</v>
      </c>
      <c r="D818" s="13">
        <v>0</v>
      </c>
      <c r="E818" s="13">
        <v>0</v>
      </c>
      <c r="F818" s="13">
        <v>0</v>
      </c>
      <c r="G818" s="13">
        <v>0</v>
      </c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spans="1:19" x14ac:dyDescent="0.2">
      <c r="A819" s="12" t="s">
        <v>196</v>
      </c>
      <c r="B819" s="12" t="s">
        <v>571</v>
      </c>
      <c r="C819" s="12" t="s">
        <v>554</v>
      </c>
      <c r="D819" s="13">
        <v>223</v>
      </c>
      <c r="E819" s="13">
        <v>238.85176899999999</v>
      </c>
      <c r="F819" s="13">
        <v>231.16195400000001</v>
      </c>
      <c r="G819" s="13">
        <v>218.055037</v>
      </c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spans="1:19" x14ac:dyDescent="0.2">
      <c r="A820" s="12" t="s">
        <v>196</v>
      </c>
      <c r="B820" s="12" t="s">
        <v>571</v>
      </c>
      <c r="C820" s="12" t="s">
        <v>555</v>
      </c>
      <c r="D820" s="13">
        <v>19</v>
      </c>
      <c r="E820" s="13">
        <v>19.270333000000001</v>
      </c>
      <c r="F820" s="13">
        <v>16.244001000000001</v>
      </c>
      <c r="G820" s="13">
        <v>13.714613</v>
      </c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spans="1:19" x14ac:dyDescent="0.2">
      <c r="A821" s="12" t="s">
        <v>196</v>
      </c>
      <c r="B821" s="12" t="s">
        <v>571</v>
      </c>
      <c r="C821" s="12" t="s">
        <v>556</v>
      </c>
      <c r="D821" s="13">
        <v>-21</v>
      </c>
      <c r="E821" s="13">
        <v>-24.863249</v>
      </c>
      <c r="F821" s="13">
        <v>-22.287956999999999</v>
      </c>
      <c r="G821" s="13">
        <v>-18.051196000000001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spans="1:19" x14ac:dyDescent="0.2">
      <c r="A822" s="12" t="s">
        <v>196</v>
      </c>
      <c r="B822" s="12" t="s">
        <v>571</v>
      </c>
      <c r="C822" s="12" t="s">
        <v>557</v>
      </c>
      <c r="D822" s="13">
        <v>220</v>
      </c>
      <c r="E822" s="13">
        <v>233.30706000000001</v>
      </c>
      <c r="F822" s="13">
        <v>225.27126000000001</v>
      </c>
      <c r="G822" s="13">
        <v>213.25256400000001</v>
      </c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spans="1:19" x14ac:dyDescent="0.2">
      <c r="A823" s="12" t="s">
        <v>196</v>
      </c>
      <c r="B823" s="12" t="s">
        <v>571</v>
      </c>
      <c r="C823" s="12" t="s">
        <v>558</v>
      </c>
      <c r="D823" s="13">
        <v>-76</v>
      </c>
      <c r="E823" s="13">
        <v>-79.164872000000003</v>
      </c>
      <c r="F823" s="13">
        <v>-79.249366000000009</v>
      </c>
      <c r="G823" s="13">
        <v>-81.462541999999999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spans="1:19" x14ac:dyDescent="0.2">
      <c r="A824" s="12" t="s">
        <v>196</v>
      </c>
      <c r="B824" s="12" t="s">
        <v>571</v>
      </c>
      <c r="C824" s="12" t="s">
        <v>560</v>
      </c>
      <c r="D824" s="13">
        <v>0</v>
      </c>
      <c r="E824" s="13">
        <v>0</v>
      </c>
      <c r="F824" s="13">
        <v>0</v>
      </c>
      <c r="G824" s="13">
        <v>0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spans="1:19" x14ac:dyDescent="0.2">
      <c r="A825" s="12" t="s">
        <v>196</v>
      </c>
      <c r="B825" s="12" t="s">
        <v>571</v>
      </c>
      <c r="C825" s="12" t="s">
        <v>561</v>
      </c>
      <c r="D825" s="13">
        <v>144</v>
      </c>
      <c r="E825" s="13">
        <v>154.103397</v>
      </c>
      <c r="F825" s="13">
        <v>145.97873100000001</v>
      </c>
      <c r="G825" s="13">
        <v>131.695865</v>
      </c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spans="1:19" x14ac:dyDescent="0.2">
      <c r="A826" s="12" t="s">
        <v>196</v>
      </c>
      <c r="B826" s="12" t="s">
        <v>571</v>
      </c>
      <c r="C826" s="12" t="s">
        <v>562</v>
      </c>
      <c r="D826" s="13">
        <v>33</v>
      </c>
      <c r="E826" s="13">
        <v>32.947319000000007</v>
      </c>
      <c r="F826" s="13">
        <v>31.630462000000001</v>
      </c>
      <c r="G826" s="13">
        <v>28.083521999999999</v>
      </c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spans="1:19" x14ac:dyDescent="0.2">
      <c r="A827" s="12" t="s">
        <v>196</v>
      </c>
      <c r="B827" s="12" t="s">
        <v>571</v>
      </c>
      <c r="C827" s="12" t="s">
        <v>563</v>
      </c>
      <c r="D827" s="13">
        <v>16</v>
      </c>
      <c r="E827" s="13">
        <v>14.347</v>
      </c>
      <c r="F827" s="13">
        <v>13.523999999999999</v>
      </c>
      <c r="G827" s="13">
        <v>12.723606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spans="1:19" x14ac:dyDescent="0.2">
      <c r="A828" s="12" t="s">
        <v>196</v>
      </c>
      <c r="B828" s="12" t="s">
        <v>571</v>
      </c>
      <c r="C828" s="12" t="s">
        <v>564</v>
      </c>
      <c r="D828" s="13">
        <v>87</v>
      </c>
      <c r="E828" s="13">
        <v>96.610275999999999</v>
      </c>
      <c r="F828" s="13">
        <v>90.66902300000001</v>
      </c>
      <c r="G828" s="13">
        <v>81.175052000000008</v>
      </c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spans="1:19" x14ac:dyDescent="0.2">
      <c r="A829" s="12" t="s">
        <v>196</v>
      </c>
      <c r="B829" s="12" t="s">
        <v>571</v>
      </c>
      <c r="C829" s="12" t="s">
        <v>565</v>
      </c>
      <c r="D829" s="13">
        <v>4</v>
      </c>
      <c r="E829" s="13">
        <v>3.7654570000000001</v>
      </c>
      <c r="F829" s="13">
        <v>3.7232919999999998</v>
      </c>
      <c r="G829" s="13">
        <v>3.340538</v>
      </c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spans="1:19" x14ac:dyDescent="0.2">
      <c r="A830" s="12" t="s">
        <v>196</v>
      </c>
      <c r="B830" s="12" t="s">
        <v>571</v>
      </c>
      <c r="C830" s="12" t="s">
        <v>566</v>
      </c>
      <c r="D830" s="13">
        <v>6</v>
      </c>
      <c r="E830" s="13">
        <v>6.4333530000000003</v>
      </c>
      <c r="F830" s="13">
        <v>6.4319630000000014</v>
      </c>
      <c r="G830" s="13">
        <v>6.3731559999999998</v>
      </c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spans="1:19" x14ac:dyDescent="0.2">
      <c r="A831" s="12" t="s">
        <v>196</v>
      </c>
      <c r="B831" s="12" t="s">
        <v>572</v>
      </c>
      <c r="C831" s="12" t="s">
        <v>554</v>
      </c>
      <c r="D831" s="13">
        <v>0</v>
      </c>
      <c r="E831" s="13">
        <v>0</v>
      </c>
      <c r="F831" s="13">
        <v>0</v>
      </c>
      <c r="G831" s="13">
        <v>0</v>
      </c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spans="1:19" x14ac:dyDescent="0.2">
      <c r="A832" s="12" t="s">
        <v>196</v>
      </c>
      <c r="B832" s="12" t="s">
        <v>572</v>
      </c>
      <c r="C832" s="12" t="s">
        <v>555</v>
      </c>
      <c r="D832" s="13">
        <v>48</v>
      </c>
      <c r="E832" s="13">
        <v>54.550730000000001</v>
      </c>
      <c r="F832" s="13">
        <v>60.213870999999997</v>
      </c>
      <c r="G832" s="13">
        <v>48.472270999999999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spans="1:19" x14ac:dyDescent="0.2">
      <c r="A833" s="12" t="s">
        <v>196</v>
      </c>
      <c r="B833" s="12" t="s">
        <v>572</v>
      </c>
      <c r="C833" s="12" t="s">
        <v>556</v>
      </c>
      <c r="D833" s="13">
        <v>-85</v>
      </c>
      <c r="E833" s="13">
        <v>-94.421684999999997</v>
      </c>
      <c r="F833" s="13">
        <v>-108.917689</v>
      </c>
      <c r="G833" s="13">
        <v>-81.533135999999999</v>
      </c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spans="1:19" x14ac:dyDescent="0.2">
      <c r="A834" s="12" t="s">
        <v>196</v>
      </c>
      <c r="B834" s="12" t="s">
        <v>572</v>
      </c>
      <c r="C834" s="12" t="s">
        <v>557</v>
      </c>
      <c r="D834" s="13">
        <v>-37</v>
      </c>
      <c r="E834" s="13">
        <v>-39.870955000000002</v>
      </c>
      <c r="F834" s="13">
        <v>-48.703817999999998</v>
      </c>
      <c r="G834" s="13">
        <v>-33.060861000000003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spans="1:19" x14ac:dyDescent="0.2">
      <c r="A835" s="12" t="s">
        <v>196</v>
      </c>
      <c r="B835" s="12" t="s">
        <v>572</v>
      </c>
      <c r="C835" s="12" t="s">
        <v>558</v>
      </c>
      <c r="D835" s="13">
        <v>289</v>
      </c>
      <c r="E835" s="13">
        <v>301.53201699999988</v>
      </c>
      <c r="F835" s="13">
        <v>301.74403599999999</v>
      </c>
      <c r="G835" s="13">
        <v>273.253692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spans="1:19" x14ac:dyDescent="0.2">
      <c r="A836" s="12" t="s">
        <v>196</v>
      </c>
      <c r="B836" s="12" t="s">
        <v>572</v>
      </c>
      <c r="C836" s="12" t="s">
        <v>560</v>
      </c>
      <c r="D836" s="13">
        <v>0</v>
      </c>
      <c r="E836" s="13">
        <v>0</v>
      </c>
      <c r="F836" s="13">
        <v>0</v>
      </c>
      <c r="G836" s="13">
        <v>0</v>
      </c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spans="1:19" x14ac:dyDescent="0.2">
      <c r="A837" s="12" t="s">
        <v>196</v>
      </c>
      <c r="B837" s="12" t="s">
        <v>572</v>
      </c>
      <c r="C837" s="12" t="s">
        <v>561</v>
      </c>
      <c r="D837" s="13">
        <v>206</v>
      </c>
      <c r="E837" s="13">
        <v>215.96334200000001</v>
      </c>
      <c r="F837" s="13">
        <v>208.69526999999999</v>
      </c>
      <c r="G837" s="13">
        <v>200.35950700000001</v>
      </c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spans="1:19" x14ac:dyDescent="0.2">
      <c r="A838" s="12" t="s">
        <v>196</v>
      </c>
      <c r="B838" s="12" t="s">
        <v>572</v>
      </c>
      <c r="C838" s="12" t="s">
        <v>562</v>
      </c>
      <c r="D838" s="13">
        <v>83</v>
      </c>
      <c r="E838" s="13">
        <v>88.451392000000013</v>
      </c>
      <c r="F838" s="13">
        <v>86.361584000000008</v>
      </c>
      <c r="G838" s="13">
        <v>82.024918000000014</v>
      </c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spans="1:19" x14ac:dyDescent="0.2">
      <c r="A839" s="12" t="s">
        <v>196</v>
      </c>
      <c r="B839" s="12" t="s">
        <v>572</v>
      </c>
      <c r="C839" s="12" t="s">
        <v>563</v>
      </c>
      <c r="D839" s="13">
        <v>6</v>
      </c>
      <c r="E839" s="13">
        <v>6.2113900000000006</v>
      </c>
      <c r="F839" s="13">
        <v>6.4667760000000003</v>
      </c>
      <c r="G839" s="13">
        <v>6.5020119999999997</v>
      </c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spans="1:19" x14ac:dyDescent="0.2">
      <c r="A840" s="12" t="s">
        <v>196</v>
      </c>
      <c r="B840" s="12" t="s">
        <v>572</v>
      </c>
      <c r="C840" s="12" t="s">
        <v>564</v>
      </c>
      <c r="D840" s="13">
        <v>58</v>
      </c>
      <c r="E840" s="13">
        <v>62.135841999999997</v>
      </c>
      <c r="F840" s="13">
        <v>56.527913000000012</v>
      </c>
      <c r="G840" s="13">
        <v>55.716008000000002</v>
      </c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spans="1:19" x14ac:dyDescent="0.2">
      <c r="A841" s="12" t="s">
        <v>196</v>
      </c>
      <c r="B841" s="12" t="s">
        <v>572</v>
      </c>
      <c r="C841" s="12" t="s">
        <v>565</v>
      </c>
      <c r="D841" s="13">
        <v>55</v>
      </c>
      <c r="E841" s="13">
        <v>54.945013000000003</v>
      </c>
      <c r="F841" s="13">
        <v>55.494464000000001</v>
      </c>
      <c r="G841" s="13">
        <v>52.533881000000001</v>
      </c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spans="1:19" x14ac:dyDescent="0.2">
      <c r="A842" s="12" t="s">
        <v>196</v>
      </c>
      <c r="B842" s="12" t="s">
        <v>572</v>
      </c>
      <c r="C842" s="12" t="s">
        <v>566</v>
      </c>
      <c r="D842" s="13">
        <v>4</v>
      </c>
      <c r="E842" s="13">
        <v>4.219704000000001</v>
      </c>
      <c r="F842" s="13">
        <v>3.8445339999999999</v>
      </c>
      <c r="G842" s="13">
        <v>3.582687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spans="1:19" x14ac:dyDescent="0.2">
      <c r="A843" s="12" t="s">
        <v>196</v>
      </c>
      <c r="B843" s="12" t="s">
        <v>573</v>
      </c>
      <c r="C843" s="12" t="s">
        <v>554</v>
      </c>
      <c r="D843" s="13">
        <v>1</v>
      </c>
      <c r="E843" s="13">
        <v>0.62700300000000009</v>
      </c>
      <c r="F843" s="13">
        <v>0.57312699999999994</v>
      </c>
      <c r="G843" s="13">
        <v>0.170097</v>
      </c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spans="1:19" x14ac:dyDescent="0.2">
      <c r="A844" s="12" t="s">
        <v>196</v>
      </c>
      <c r="B844" s="12" t="s">
        <v>573</v>
      </c>
      <c r="C844" s="12" t="s">
        <v>555</v>
      </c>
      <c r="D844" s="13">
        <v>0</v>
      </c>
      <c r="E844" s="13">
        <v>5.0200000000000002E-2</v>
      </c>
      <c r="F844" s="13">
        <v>6.5049999999999997E-2</v>
      </c>
      <c r="G844" s="13">
        <v>6.0801000000000001E-2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spans="1:19" x14ac:dyDescent="0.2">
      <c r="A845" s="12" t="s">
        <v>196</v>
      </c>
      <c r="B845" s="12" t="s">
        <v>573</v>
      </c>
      <c r="C845" s="12" t="s">
        <v>556</v>
      </c>
      <c r="D845" s="13">
        <v>0</v>
      </c>
      <c r="E845" s="13">
        <v>-7.3805000000000009E-2</v>
      </c>
      <c r="F845" s="13">
        <v>-4.1746999999999999E-2</v>
      </c>
      <c r="G845" s="13">
        <v>-4.0474000000000003E-2</v>
      </c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spans="1:19" x14ac:dyDescent="0.2">
      <c r="A846" s="12" t="s">
        <v>196</v>
      </c>
      <c r="B846" s="12" t="s">
        <v>573</v>
      </c>
      <c r="C846" s="12" t="s">
        <v>557</v>
      </c>
      <c r="D846" s="13">
        <v>1</v>
      </c>
      <c r="E846" s="13">
        <v>0.60339700000000007</v>
      </c>
      <c r="F846" s="13">
        <v>0.59643100000000004</v>
      </c>
      <c r="G846" s="13">
        <v>0.19042000000000001</v>
      </c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spans="1:19" x14ac:dyDescent="0.2">
      <c r="A847" s="12" t="s">
        <v>196</v>
      </c>
      <c r="B847" s="12" t="s">
        <v>573</v>
      </c>
      <c r="C847" s="12" t="s">
        <v>558</v>
      </c>
      <c r="D847" s="13">
        <v>112</v>
      </c>
      <c r="E847" s="13">
        <v>120.691208</v>
      </c>
      <c r="F847" s="13">
        <v>109.49503199999999</v>
      </c>
      <c r="G847" s="13">
        <v>100.461353</v>
      </c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spans="1:19" x14ac:dyDescent="0.2">
      <c r="A848" s="12" t="s">
        <v>196</v>
      </c>
      <c r="B848" s="12" t="s">
        <v>573</v>
      </c>
      <c r="C848" s="12" t="s">
        <v>560</v>
      </c>
      <c r="D848" s="13">
        <v>0</v>
      </c>
      <c r="E848" s="13">
        <v>0</v>
      </c>
      <c r="F848" s="13">
        <v>0</v>
      </c>
      <c r="G848" s="13">
        <v>0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spans="1:19" x14ac:dyDescent="0.2">
      <c r="A849" s="12" t="s">
        <v>196</v>
      </c>
      <c r="B849" s="12" t="s">
        <v>573</v>
      </c>
      <c r="C849" s="12" t="s">
        <v>561</v>
      </c>
      <c r="D849" s="13">
        <v>83</v>
      </c>
      <c r="E849" s="13">
        <v>90.16499499999999</v>
      </c>
      <c r="F849" s="13">
        <v>82.643873000000013</v>
      </c>
      <c r="G849" s="13">
        <v>72.549419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spans="1:19" x14ac:dyDescent="0.2">
      <c r="A850" s="12" t="s">
        <v>196</v>
      </c>
      <c r="B850" s="12" t="s">
        <v>573</v>
      </c>
      <c r="C850" s="12" t="s">
        <v>562</v>
      </c>
      <c r="D850" s="13">
        <v>23</v>
      </c>
      <c r="E850" s="13">
        <v>23.564972999999998</v>
      </c>
      <c r="F850" s="13">
        <v>22.203249</v>
      </c>
      <c r="G850" s="13">
        <v>19.323677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spans="1:19" x14ac:dyDescent="0.2">
      <c r="A851" s="12" t="s">
        <v>196</v>
      </c>
      <c r="B851" s="12" t="s">
        <v>573</v>
      </c>
      <c r="C851" s="12" t="s">
        <v>563</v>
      </c>
      <c r="D851" s="13">
        <v>0</v>
      </c>
      <c r="E851" s="13">
        <v>0</v>
      </c>
      <c r="F851" s="13">
        <v>0</v>
      </c>
      <c r="G851" s="13">
        <v>0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spans="1:19" x14ac:dyDescent="0.2">
      <c r="A852" s="12" t="s">
        <v>196</v>
      </c>
      <c r="B852" s="12" t="s">
        <v>573</v>
      </c>
      <c r="C852" s="12" t="s">
        <v>564</v>
      </c>
      <c r="D852" s="13">
        <v>41</v>
      </c>
      <c r="E852" s="13">
        <v>45.658243000000013</v>
      </c>
      <c r="F852" s="13">
        <v>40.103414999999998</v>
      </c>
      <c r="G852" s="13">
        <v>33.873251000000003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spans="1:19" x14ac:dyDescent="0.2">
      <c r="A853" s="12" t="s">
        <v>196</v>
      </c>
      <c r="B853" s="12" t="s">
        <v>573</v>
      </c>
      <c r="C853" s="12" t="s">
        <v>565</v>
      </c>
      <c r="D853" s="13">
        <v>19</v>
      </c>
      <c r="E853" s="13">
        <v>20.428091999999999</v>
      </c>
      <c r="F853" s="13">
        <v>19.744638999999999</v>
      </c>
      <c r="G853" s="13">
        <v>18.717081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spans="1:19" x14ac:dyDescent="0.2">
      <c r="A854" s="12" t="s">
        <v>196</v>
      </c>
      <c r="B854" s="12" t="s">
        <v>573</v>
      </c>
      <c r="C854" s="12" t="s">
        <v>566</v>
      </c>
      <c r="D854" s="13">
        <v>0</v>
      </c>
      <c r="E854" s="13">
        <v>0.513687</v>
      </c>
      <c r="F854" s="13">
        <v>0.59256999999999993</v>
      </c>
      <c r="G854" s="13">
        <v>0.635405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spans="1:19" x14ac:dyDescent="0.2">
      <c r="A855" s="12" t="s">
        <v>196</v>
      </c>
      <c r="B855" s="12" t="s">
        <v>574</v>
      </c>
      <c r="C855" s="12" t="s">
        <v>554</v>
      </c>
      <c r="D855" s="13">
        <v>991</v>
      </c>
      <c r="E855" s="13">
        <v>1028.365057</v>
      </c>
      <c r="F855" s="13">
        <v>1061.097178</v>
      </c>
      <c r="G855" s="13">
        <v>971.371848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spans="1:19" x14ac:dyDescent="0.2">
      <c r="A856" s="12" t="s">
        <v>196</v>
      </c>
      <c r="B856" s="12" t="s">
        <v>574</v>
      </c>
      <c r="C856" s="12" t="s">
        <v>555</v>
      </c>
      <c r="D856" s="13">
        <v>885</v>
      </c>
      <c r="E856" s="13">
        <v>995.36009799999999</v>
      </c>
      <c r="F856" s="13">
        <v>1003.794967</v>
      </c>
      <c r="G856" s="13">
        <v>907.62730299999998</v>
      </c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spans="1:19" x14ac:dyDescent="0.2">
      <c r="A857" s="12" t="s">
        <v>196</v>
      </c>
      <c r="B857" s="12" t="s">
        <v>574</v>
      </c>
      <c r="C857" s="12" t="s">
        <v>556</v>
      </c>
      <c r="D857" s="13">
        <v>-231</v>
      </c>
      <c r="E857" s="13">
        <v>-281.21664199999998</v>
      </c>
      <c r="F857" s="13">
        <v>-272.31638900000002</v>
      </c>
      <c r="G857" s="13">
        <v>-237.600234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spans="1:19" x14ac:dyDescent="0.2">
      <c r="A858" s="12" t="s">
        <v>196</v>
      </c>
      <c r="B858" s="12" t="s">
        <v>574</v>
      </c>
      <c r="C858" s="12" t="s">
        <v>557</v>
      </c>
      <c r="D858" s="13">
        <v>1686</v>
      </c>
      <c r="E858" s="13">
        <v>1784.1949979999999</v>
      </c>
      <c r="F858" s="13">
        <v>1740.6469440000001</v>
      </c>
      <c r="G858" s="13">
        <v>1596.2479920000001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spans="1:19" x14ac:dyDescent="0.2">
      <c r="A859" s="12" t="s">
        <v>196</v>
      </c>
      <c r="B859" s="12" t="s">
        <v>574</v>
      </c>
      <c r="C859" s="12" t="s">
        <v>558</v>
      </c>
      <c r="D859" s="13">
        <v>-458</v>
      </c>
      <c r="E859" s="13">
        <v>-475.47484200000002</v>
      </c>
      <c r="F859" s="13">
        <v>-483.09100799999999</v>
      </c>
      <c r="G859" s="13">
        <v>-433.29697599999997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spans="1:19" x14ac:dyDescent="0.2">
      <c r="A860" s="12" t="s">
        <v>196</v>
      </c>
      <c r="B860" s="12" t="s">
        <v>574</v>
      </c>
      <c r="C860" s="12" t="s">
        <v>560</v>
      </c>
      <c r="D860" s="13">
        <v>1</v>
      </c>
      <c r="E860" s="13">
        <v>1.860957</v>
      </c>
      <c r="F860" s="13">
        <v>0.39195099999999999</v>
      </c>
      <c r="G860" s="13">
        <v>0.54958000000000007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spans="1:19" x14ac:dyDescent="0.2">
      <c r="A861" s="12" t="s">
        <v>196</v>
      </c>
      <c r="B861" s="12" t="s">
        <v>574</v>
      </c>
      <c r="C861" s="12" t="s">
        <v>561</v>
      </c>
      <c r="D861" s="13">
        <v>1083</v>
      </c>
      <c r="E861" s="13">
        <v>1162.8734469999999</v>
      </c>
      <c r="F861" s="13">
        <v>1105.4291519999999</v>
      </c>
      <c r="G861" s="13">
        <v>1028.695136</v>
      </c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spans="1:19" x14ac:dyDescent="0.2">
      <c r="A862" s="12" t="s">
        <v>196</v>
      </c>
      <c r="B862" s="12" t="s">
        <v>574</v>
      </c>
      <c r="C862" s="12" t="s">
        <v>562</v>
      </c>
      <c r="D862" s="13">
        <v>274</v>
      </c>
      <c r="E862" s="13">
        <v>292.85431699999998</v>
      </c>
      <c r="F862" s="13">
        <v>273.504435</v>
      </c>
      <c r="G862" s="13">
        <v>248.00828000000001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spans="1:19" x14ac:dyDescent="0.2">
      <c r="A863" s="12" t="s">
        <v>196</v>
      </c>
      <c r="B863" s="12" t="s">
        <v>574</v>
      </c>
      <c r="C863" s="12" t="s">
        <v>563</v>
      </c>
      <c r="D863" s="13">
        <v>265</v>
      </c>
      <c r="E863" s="13">
        <v>279.45662800000002</v>
      </c>
      <c r="F863" s="13">
        <v>285.30666000000002</v>
      </c>
      <c r="G863" s="13">
        <v>291.30845900000003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spans="1:19" x14ac:dyDescent="0.2">
      <c r="A864" s="12" t="s">
        <v>196</v>
      </c>
      <c r="B864" s="12" t="s">
        <v>574</v>
      </c>
      <c r="C864" s="12" t="s">
        <v>564</v>
      </c>
      <c r="D864" s="13">
        <v>292</v>
      </c>
      <c r="E864" s="13">
        <v>320.31921899999998</v>
      </c>
      <c r="F864" s="13">
        <v>286.836793</v>
      </c>
      <c r="G864" s="13">
        <v>253.246926</v>
      </c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spans="1:19" x14ac:dyDescent="0.2">
      <c r="A865" s="12" t="s">
        <v>196</v>
      </c>
      <c r="B865" s="12" t="s">
        <v>574</v>
      </c>
      <c r="C865" s="12" t="s">
        <v>565</v>
      </c>
      <c r="D865" s="13">
        <v>124</v>
      </c>
      <c r="E865" s="13">
        <v>123.103069</v>
      </c>
      <c r="F865" s="13">
        <v>119.38767</v>
      </c>
      <c r="G865" s="13">
        <v>110.847443</v>
      </c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spans="1:19" x14ac:dyDescent="0.2">
      <c r="A866" s="12" t="s">
        <v>196</v>
      </c>
      <c r="B866" s="12" t="s">
        <v>574</v>
      </c>
      <c r="C866" s="12" t="s">
        <v>566</v>
      </c>
      <c r="D866" s="13">
        <v>129</v>
      </c>
      <c r="E866" s="13">
        <v>147.140208</v>
      </c>
      <c r="F866" s="13">
        <v>140.39359400000001</v>
      </c>
      <c r="G866" s="13">
        <v>125.284037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spans="1:19" x14ac:dyDescent="0.2">
      <c r="A867" s="12" t="s">
        <v>204</v>
      </c>
      <c r="B867" s="12" t="s">
        <v>553</v>
      </c>
      <c r="C867" s="12" t="s">
        <v>554</v>
      </c>
      <c r="D867" s="13">
        <v>0</v>
      </c>
      <c r="E867" s="13">
        <v>0</v>
      </c>
      <c r="F867" s="13">
        <v>0</v>
      </c>
      <c r="G867" s="13">
        <v>0</v>
      </c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spans="1:19" x14ac:dyDescent="0.2">
      <c r="A868" s="12" t="s">
        <v>204</v>
      </c>
      <c r="B868" s="12" t="s">
        <v>553</v>
      </c>
      <c r="C868" s="12" t="s">
        <v>555</v>
      </c>
      <c r="D868" s="13">
        <v>28</v>
      </c>
      <c r="E868" s="13">
        <v>19.659064999999998</v>
      </c>
      <c r="F868" s="13">
        <v>47.512161999999996</v>
      </c>
      <c r="G868" s="13">
        <v>32.136378000000001</v>
      </c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spans="1:19" x14ac:dyDescent="0.2">
      <c r="A869" s="12" t="s">
        <v>204</v>
      </c>
      <c r="B869" s="12" t="s">
        <v>553</v>
      </c>
      <c r="C869" s="12" t="s">
        <v>556</v>
      </c>
      <c r="D869" s="13">
        <v>-5</v>
      </c>
      <c r="E869" s="13">
        <v>-14.527936</v>
      </c>
      <c r="F869" s="13">
        <v>0</v>
      </c>
      <c r="G869" s="13">
        <v>-0.24057400000000001</v>
      </c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spans="1:19" x14ac:dyDescent="0.2">
      <c r="A870" s="12" t="s">
        <v>204</v>
      </c>
      <c r="B870" s="12" t="s">
        <v>553</v>
      </c>
      <c r="C870" s="12" t="s">
        <v>557</v>
      </c>
      <c r="D870" s="13">
        <v>34</v>
      </c>
      <c r="E870" s="13">
        <v>46.092716000000003</v>
      </c>
      <c r="F870" s="13">
        <v>45.107653999999997</v>
      </c>
      <c r="G870" s="13">
        <v>29.284362999999999</v>
      </c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spans="1:19" x14ac:dyDescent="0.2">
      <c r="A871" s="12" t="s">
        <v>204</v>
      </c>
      <c r="B871" s="12" t="s">
        <v>553</v>
      </c>
      <c r="C871" s="12" t="s">
        <v>558</v>
      </c>
      <c r="D871" s="13">
        <v>-29</v>
      </c>
      <c r="E871" s="13">
        <v>-39.125328000000003</v>
      </c>
      <c r="F871" s="13">
        <v>-39.736567000000001</v>
      </c>
      <c r="G871" s="13">
        <v>-24.355311</v>
      </c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spans="1:19" x14ac:dyDescent="0.2">
      <c r="A872" s="12" t="s">
        <v>204</v>
      </c>
      <c r="B872" s="12" t="s">
        <v>553</v>
      </c>
      <c r="C872" s="12" t="s">
        <v>560</v>
      </c>
      <c r="D872" s="13">
        <v>0</v>
      </c>
      <c r="E872" s="13">
        <v>0</v>
      </c>
      <c r="F872" s="13">
        <v>0</v>
      </c>
      <c r="G872" s="13">
        <v>0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spans="1:19" x14ac:dyDescent="0.2">
      <c r="A873" s="12" t="s">
        <v>204</v>
      </c>
      <c r="B873" s="12" t="s">
        <v>553</v>
      </c>
      <c r="C873" s="12" t="s">
        <v>561</v>
      </c>
      <c r="D873" s="13">
        <v>5</v>
      </c>
      <c r="E873" s="13">
        <v>5.8206280000000001</v>
      </c>
      <c r="F873" s="13">
        <v>4.4609560000000004</v>
      </c>
      <c r="G873" s="13">
        <v>3.6256140000000001</v>
      </c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spans="1:19" x14ac:dyDescent="0.2">
      <c r="A874" s="12" t="s">
        <v>204</v>
      </c>
      <c r="B874" s="12" t="s">
        <v>553</v>
      </c>
      <c r="C874" s="12" t="s">
        <v>562</v>
      </c>
      <c r="D874" s="13">
        <v>5</v>
      </c>
      <c r="E874" s="13">
        <v>5.6933490000000004</v>
      </c>
      <c r="F874" s="13">
        <v>4.3290050000000004</v>
      </c>
      <c r="G874" s="13">
        <v>3.5503230000000001</v>
      </c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spans="1:19" x14ac:dyDescent="0.2">
      <c r="A875" s="12" t="s">
        <v>204</v>
      </c>
      <c r="B875" s="12" t="s">
        <v>553</v>
      </c>
      <c r="C875" s="12" t="s">
        <v>563</v>
      </c>
      <c r="D875" s="13">
        <v>0</v>
      </c>
      <c r="E875" s="13">
        <v>0</v>
      </c>
      <c r="F875" s="13">
        <v>0</v>
      </c>
      <c r="G875" s="13">
        <v>0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spans="1:19" x14ac:dyDescent="0.2">
      <c r="A876" s="12" t="s">
        <v>204</v>
      </c>
      <c r="B876" s="12" t="s">
        <v>553</v>
      </c>
      <c r="C876" s="12" t="s">
        <v>564</v>
      </c>
      <c r="D876" s="13">
        <v>0</v>
      </c>
      <c r="E876" s="13">
        <v>0</v>
      </c>
      <c r="F876" s="13">
        <v>0</v>
      </c>
      <c r="G876" s="13">
        <v>0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spans="1:19" x14ac:dyDescent="0.2">
      <c r="A877" s="12" t="s">
        <v>204</v>
      </c>
      <c r="B877" s="12" t="s">
        <v>553</v>
      </c>
      <c r="C877" s="12" t="s">
        <v>565</v>
      </c>
      <c r="D877" s="13">
        <v>0</v>
      </c>
      <c r="E877" s="13">
        <v>0</v>
      </c>
      <c r="F877" s="13">
        <v>0</v>
      </c>
      <c r="G877" s="13">
        <v>0</v>
      </c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spans="1:19" x14ac:dyDescent="0.2">
      <c r="A878" s="12" t="s">
        <v>204</v>
      </c>
      <c r="B878" s="12" t="s">
        <v>553</v>
      </c>
      <c r="C878" s="12" t="s">
        <v>566</v>
      </c>
      <c r="D878" s="13">
        <v>0</v>
      </c>
      <c r="E878" s="13">
        <v>0.127279</v>
      </c>
      <c r="F878" s="13">
        <v>0.13195100000000001</v>
      </c>
      <c r="G878" s="13">
        <v>7.5290999999999997E-2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spans="1:19" x14ac:dyDescent="0.2">
      <c r="A879" s="12" t="s">
        <v>204</v>
      </c>
      <c r="B879" s="12" t="s">
        <v>567</v>
      </c>
      <c r="C879" s="12" t="s">
        <v>554</v>
      </c>
      <c r="D879" s="13">
        <v>151</v>
      </c>
      <c r="E879" s="13">
        <v>139.18033500000001</v>
      </c>
      <c r="F879" s="13">
        <v>136.94898000000001</v>
      </c>
      <c r="G879" s="13">
        <v>125.646601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spans="1:19" x14ac:dyDescent="0.2">
      <c r="A880" s="12" t="s">
        <v>204</v>
      </c>
      <c r="B880" s="12" t="s">
        <v>567</v>
      </c>
      <c r="C880" s="12" t="s">
        <v>555</v>
      </c>
      <c r="D880" s="13">
        <v>201</v>
      </c>
      <c r="E880" s="13">
        <v>222.92920100000001</v>
      </c>
      <c r="F880" s="13">
        <v>192.34096400000001</v>
      </c>
      <c r="G880" s="13">
        <v>205.25066000000001</v>
      </c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spans="1:19" x14ac:dyDescent="0.2">
      <c r="A881" s="12" t="s">
        <v>204</v>
      </c>
      <c r="B881" s="12" t="s">
        <v>567</v>
      </c>
      <c r="C881" s="12" t="s">
        <v>556</v>
      </c>
      <c r="D881" s="13">
        <v>-49</v>
      </c>
      <c r="E881" s="13">
        <v>-40.156816999999997</v>
      </c>
      <c r="F881" s="13">
        <v>-27.297915</v>
      </c>
      <c r="G881" s="13">
        <v>-12.892585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spans="1:19" x14ac:dyDescent="0.2">
      <c r="A882" s="12" t="s">
        <v>204</v>
      </c>
      <c r="B882" s="12" t="s">
        <v>567</v>
      </c>
      <c r="C882" s="12" t="s">
        <v>557</v>
      </c>
      <c r="D882" s="13">
        <v>304</v>
      </c>
      <c r="E882" s="13">
        <v>324.61972800000001</v>
      </c>
      <c r="F882" s="13">
        <v>308.27121599999998</v>
      </c>
      <c r="G882" s="13">
        <v>320.131056</v>
      </c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spans="1:19" x14ac:dyDescent="0.2">
      <c r="A883" s="12" t="s">
        <v>204</v>
      </c>
      <c r="B883" s="12" t="s">
        <v>567</v>
      </c>
      <c r="C883" s="12" t="s">
        <v>558</v>
      </c>
      <c r="D883" s="13">
        <v>0</v>
      </c>
      <c r="E883" s="13">
        <v>0</v>
      </c>
      <c r="F883" s="13">
        <v>0</v>
      </c>
      <c r="G883" s="13">
        <v>0</v>
      </c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spans="1:19" x14ac:dyDescent="0.2">
      <c r="A884" s="12" t="s">
        <v>204</v>
      </c>
      <c r="B884" s="12" t="s">
        <v>567</v>
      </c>
      <c r="C884" s="12" t="s">
        <v>560</v>
      </c>
      <c r="D884" s="13">
        <v>-352</v>
      </c>
      <c r="E884" s="13">
        <v>-356.09408500000001</v>
      </c>
      <c r="F884" s="13">
        <v>-351.76823700000011</v>
      </c>
      <c r="G884" s="13">
        <v>-362.95714600000002</v>
      </c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spans="1:19" x14ac:dyDescent="0.2">
      <c r="A885" s="12" t="s">
        <v>204</v>
      </c>
      <c r="B885" s="12" t="s">
        <v>567</v>
      </c>
      <c r="C885" s="12" t="s">
        <v>561</v>
      </c>
      <c r="D885" s="13">
        <v>0</v>
      </c>
      <c r="E885" s="13">
        <v>0</v>
      </c>
      <c r="F885" s="13">
        <v>0</v>
      </c>
      <c r="G885" s="13">
        <v>0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spans="1:19" x14ac:dyDescent="0.2">
      <c r="A886" s="12" t="s">
        <v>204</v>
      </c>
      <c r="B886" s="12" t="s">
        <v>567</v>
      </c>
      <c r="C886" s="12" t="s">
        <v>562</v>
      </c>
      <c r="D886" s="13">
        <v>0</v>
      </c>
      <c r="E886" s="13">
        <v>0</v>
      </c>
      <c r="F886" s="13">
        <v>0</v>
      </c>
      <c r="G886" s="13">
        <v>0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spans="1:19" x14ac:dyDescent="0.2">
      <c r="A887" s="12" t="s">
        <v>204</v>
      </c>
      <c r="B887" s="12" t="s">
        <v>567</v>
      </c>
      <c r="C887" s="12" t="s">
        <v>563</v>
      </c>
      <c r="D887" s="13">
        <v>0</v>
      </c>
      <c r="E887" s="13">
        <v>0</v>
      </c>
      <c r="F887" s="13">
        <v>0</v>
      </c>
      <c r="G887" s="13">
        <v>0</v>
      </c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spans="1:19" x14ac:dyDescent="0.2">
      <c r="A888" s="12" t="s">
        <v>204</v>
      </c>
      <c r="B888" s="12" t="s">
        <v>567</v>
      </c>
      <c r="C888" s="12" t="s">
        <v>564</v>
      </c>
      <c r="D888" s="13">
        <v>0</v>
      </c>
      <c r="E888" s="13">
        <v>0</v>
      </c>
      <c r="F888" s="13">
        <v>0</v>
      </c>
      <c r="G888" s="13">
        <v>0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spans="1:19" x14ac:dyDescent="0.2">
      <c r="A889" s="12" t="s">
        <v>204</v>
      </c>
      <c r="B889" s="12" t="s">
        <v>567</v>
      </c>
      <c r="C889" s="12" t="s">
        <v>565</v>
      </c>
      <c r="D889" s="13">
        <v>0</v>
      </c>
      <c r="E889" s="13">
        <v>0</v>
      </c>
      <c r="F889" s="13">
        <v>0</v>
      </c>
      <c r="G889" s="13">
        <v>0</v>
      </c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spans="1:19" x14ac:dyDescent="0.2">
      <c r="A890" s="12" t="s">
        <v>204</v>
      </c>
      <c r="B890" s="12" t="s">
        <v>567</v>
      </c>
      <c r="C890" s="12" t="s">
        <v>566</v>
      </c>
      <c r="D890" s="13">
        <v>0</v>
      </c>
      <c r="E890" s="13">
        <v>0</v>
      </c>
      <c r="F890" s="13">
        <v>0</v>
      </c>
      <c r="G890" s="13">
        <v>0</v>
      </c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spans="1:19" x14ac:dyDescent="0.2">
      <c r="A891" s="12" t="s">
        <v>204</v>
      </c>
      <c r="B891" s="12" t="s">
        <v>568</v>
      </c>
      <c r="C891" s="12" t="s">
        <v>554</v>
      </c>
      <c r="D891" s="13">
        <v>0</v>
      </c>
      <c r="E891" s="13">
        <v>0</v>
      </c>
      <c r="F891" s="13">
        <v>0</v>
      </c>
      <c r="G891" s="13">
        <v>0</v>
      </c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spans="1:19" x14ac:dyDescent="0.2">
      <c r="A892" s="12" t="s">
        <v>204</v>
      </c>
      <c r="B892" s="12" t="s">
        <v>568</v>
      </c>
      <c r="C892" s="12" t="s">
        <v>555</v>
      </c>
      <c r="D892" s="13">
        <v>287</v>
      </c>
      <c r="E892" s="13">
        <v>194.45492100000001</v>
      </c>
      <c r="F892" s="13">
        <v>238.77318700000001</v>
      </c>
      <c r="G892" s="13">
        <v>211.49614299999999</v>
      </c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spans="1:19" x14ac:dyDescent="0.2">
      <c r="A893" s="12" t="s">
        <v>204</v>
      </c>
      <c r="B893" s="12" t="s">
        <v>568</v>
      </c>
      <c r="C893" s="12" t="s">
        <v>556</v>
      </c>
      <c r="D893" s="13">
        <v>-290</v>
      </c>
      <c r="E893" s="13">
        <v>-293.78625699999998</v>
      </c>
      <c r="F893" s="13">
        <v>-250.06965099999999</v>
      </c>
      <c r="G893" s="13">
        <v>-260.99143400000003</v>
      </c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spans="1:19" x14ac:dyDescent="0.2">
      <c r="A894" s="12" t="s">
        <v>204</v>
      </c>
      <c r="B894" s="12" t="s">
        <v>568</v>
      </c>
      <c r="C894" s="12" t="s">
        <v>557</v>
      </c>
      <c r="D894" s="13">
        <v>-72</v>
      </c>
      <c r="E894" s="13">
        <v>-89.985825000000006</v>
      </c>
      <c r="F894" s="13">
        <v>-72.25550100000001</v>
      </c>
      <c r="G894" s="13">
        <v>-94.609974000000008</v>
      </c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spans="1:19" x14ac:dyDescent="0.2">
      <c r="A895" s="12" t="s">
        <v>204</v>
      </c>
      <c r="B895" s="12" t="s">
        <v>568</v>
      </c>
      <c r="C895" s="12" t="s">
        <v>558</v>
      </c>
      <c r="D895" s="13">
        <v>-3</v>
      </c>
      <c r="E895" s="13">
        <v>-3.8199519999999998</v>
      </c>
      <c r="F895" s="13">
        <v>-5.9254359999999986</v>
      </c>
      <c r="G895" s="13">
        <v>-3.518729</v>
      </c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spans="1:19" x14ac:dyDescent="0.2">
      <c r="A896" s="12" t="s">
        <v>204</v>
      </c>
      <c r="B896" s="12" t="s">
        <v>568</v>
      </c>
      <c r="C896" s="12" t="s">
        <v>560</v>
      </c>
      <c r="D896" s="13">
        <v>350</v>
      </c>
      <c r="E896" s="13">
        <v>353.53709700000002</v>
      </c>
      <c r="F896" s="13">
        <v>345.39465100000001</v>
      </c>
      <c r="G896" s="13">
        <v>355.44089000000002</v>
      </c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spans="1:19" x14ac:dyDescent="0.2">
      <c r="A897" s="12" t="s">
        <v>204</v>
      </c>
      <c r="B897" s="12" t="s">
        <v>568</v>
      </c>
      <c r="C897" s="12" t="s">
        <v>561</v>
      </c>
      <c r="D897" s="13">
        <v>207</v>
      </c>
      <c r="E897" s="13">
        <v>210.25859199999999</v>
      </c>
      <c r="F897" s="13">
        <v>212.971082</v>
      </c>
      <c r="G897" s="13">
        <v>206.52674300000001</v>
      </c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spans="1:19" x14ac:dyDescent="0.2">
      <c r="A898" s="12" t="s">
        <v>204</v>
      </c>
      <c r="B898" s="12" t="s">
        <v>568</v>
      </c>
      <c r="C898" s="12" t="s">
        <v>562</v>
      </c>
      <c r="D898" s="13">
        <v>19</v>
      </c>
      <c r="E898" s="13">
        <v>20.955318999999999</v>
      </c>
      <c r="F898" s="13">
        <v>23.724053999999999</v>
      </c>
      <c r="G898" s="13">
        <v>18.776164999999999</v>
      </c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spans="1:19" x14ac:dyDescent="0.2">
      <c r="A899" s="12" t="s">
        <v>204</v>
      </c>
      <c r="B899" s="12" t="s">
        <v>568</v>
      </c>
      <c r="C899" s="12" t="s">
        <v>563</v>
      </c>
      <c r="D899" s="13">
        <v>152</v>
      </c>
      <c r="E899" s="13">
        <v>154.642301</v>
      </c>
      <c r="F899" s="13">
        <v>153.20266100000001</v>
      </c>
      <c r="G899" s="13">
        <v>152.55053000000001</v>
      </c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spans="1:19" x14ac:dyDescent="0.2">
      <c r="A900" s="12" t="s">
        <v>204</v>
      </c>
      <c r="B900" s="12" t="s">
        <v>568</v>
      </c>
      <c r="C900" s="12" t="s">
        <v>564</v>
      </c>
      <c r="D900" s="13">
        <v>7</v>
      </c>
      <c r="E900" s="13">
        <v>6.6010220000000004</v>
      </c>
      <c r="F900" s="13">
        <v>6.7926940000000009</v>
      </c>
      <c r="G900" s="13">
        <v>6.2355649999999994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spans="1:19" x14ac:dyDescent="0.2">
      <c r="A901" s="12" t="s">
        <v>204</v>
      </c>
      <c r="B901" s="12" t="s">
        <v>568</v>
      </c>
      <c r="C901" s="12" t="s">
        <v>565</v>
      </c>
      <c r="D901" s="13">
        <v>2</v>
      </c>
      <c r="E901" s="13">
        <v>1.2947599999999999</v>
      </c>
      <c r="F901" s="13">
        <v>1.666145</v>
      </c>
      <c r="G901" s="13">
        <v>1.4393720000000001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spans="1:19" x14ac:dyDescent="0.2">
      <c r="A902" s="12" t="s">
        <v>204</v>
      </c>
      <c r="B902" s="12" t="s">
        <v>568</v>
      </c>
      <c r="C902" s="12" t="s">
        <v>566</v>
      </c>
      <c r="D902" s="13">
        <v>27</v>
      </c>
      <c r="E902" s="13">
        <v>26.765186</v>
      </c>
      <c r="F902" s="13">
        <v>27.585526999999999</v>
      </c>
      <c r="G902" s="13">
        <v>27.525112</v>
      </c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spans="1:19" x14ac:dyDescent="0.2">
      <c r="A903" s="12" t="s">
        <v>204</v>
      </c>
      <c r="B903" s="12" t="s">
        <v>569</v>
      </c>
      <c r="C903" s="12" t="s">
        <v>554</v>
      </c>
      <c r="D903" s="13">
        <v>50</v>
      </c>
      <c r="E903" s="13">
        <v>53.112631</v>
      </c>
      <c r="F903" s="13">
        <v>53.124881999999999</v>
      </c>
      <c r="G903" s="13">
        <v>48.426286999999988</v>
      </c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spans="1:19" x14ac:dyDescent="0.2">
      <c r="A904" s="12" t="s">
        <v>204</v>
      </c>
      <c r="B904" s="12" t="s">
        <v>569</v>
      </c>
      <c r="C904" s="12" t="s">
        <v>555</v>
      </c>
      <c r="D904" s="13">
        <v>93</v>
      </c>
      <c r="E904" s="13">
        <v>86.839909000000006</v>
      </c>
      <c r="F904" s="13">
        <v>96.783763999999991</v>
      </c>
      <c r="G904" s="13">
        <v>309.13769100000002</v>
      </c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spans="1:19" x14ac:dyDescent="0.2">
      <c r="A905" s="12" t="s">
        <v>204</v>
      </c>
      <c r="B905" s="12" t="s">
        <v>569</v>
      </c>
      <c r="C905" s="12" t="s">
        <v>556</v>
      </c>
      <c r="D905" s="13">
        <v>-60</v>
      </c>
      <c r="E905" s="13">
        <v>-64.369241000000002</v>
      </c>
      <c r="F905" s="13">
        <v>-80.311311000000003</v>
      </c>
      <c r="G905" s="13">
        <v>-301.71338100000003</v>
      </c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spans="1:19" x14ac:dyDescent="0.2">
      <c r="A906" s="12" t="s">
        <v>204</v>
      </c>
      <c r="B906" s="12" t="s">
        <v>569</v>
      </c>
      <c r="C906" s="12" t="s">
        <v>557</v>
      </c>
      <c r="D906" s="13">
        <v>88</v>
      </c>
      <c r="E906" s="13">
        <v>80.796000000000006</v>
      </c>
      <c r="F906" s="13">
        <v>60.863114000000003</v>
      </c>
      <c r="G906" s="13">
        <v>55.379779000000013</v>
      </c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spans="1:19" x14ac:dyDescent="0.2">
      <c r="A907" s="12" t="s">
        <v>204</v>
      </c>
      <c r="B907" s="12" t="s">
        <v>569</v>
      </c>
      <c r="C907" s="12" t="s">
        <v>558</v>
      </c>
      <c r="D907" s="13">
        <v>-21</v>
      </c>
      <c r="E907" s="13">
        <v>-22.238368000000001</v>
      </c>
      <c r="F907" s="13">
        <v>-14.020856999999999</v>
      </c>
      <c r="G907" s="13">
        <v>-15.880716</v>
      </c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spans="1:19" x14ac:dyDescent="0.2">
      <c r="A908" s="12" t="s">
        <v>204</v>
      </c>
      <c r="B908" s="12" t="s">
        <v>569</v>
      </c>
      <c r="C908" s="12" t="s">
        <v>560</v>
      </c>
      <c r="D908" s="13">
        <v>0</v>
      </c>
      <c r="E908" s="13">
        <v>0</v>
      </c>
      <c r="F908" s="13">
        <v>0</v>
      </c>
      <c r="G908" s="13">
        <v>0</v>
      </c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spans="1:19" x14ac:dyDescent="0.2">
      <c r="A909" s="12" t="s">
        <v>204</v>
      </c>
      <c r="B909" s="12" t="s">
        <v>569</v>
      </c>
      <c r="C909" s="12" t="s">
        <v>561</v>
      </c>
      <c r="D909" s="13">
        <v>63</v>
      </c>
      <c r="E909" s="13">
        <v>68.360948000000008</v>
      </c>
      <c r="F909" s="13">
        <v>55.336449999999999</v>
      </c>
      <c r="G909" s="13">
        <v>54.725445000000001</v>
      </c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spans="1:19" x14ac:dyDescent="0.2">
      <c r="A910" s="12" t="s">
        <v>204</v>
      </c>
      <c r="B910" s="12" t="s">
        <v>569</v>
      </c>
      <c r="C910" s="12" t="s">
        <v>562</v>
      </c>
      <c r="D910" s="13">
        <v>28</v>
      </c>
      <c r="E910" s="13">
        <v>30.422288999999999</v>
      </c>
      <c r="F910" s="13">
        <v>24.809737999999999</v>
      </c>
      <c r="G910" s="13">
        <v>25.697703000000001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spans="1:19" x14ac:dyDescent="0.2">
      <c r="A911" s="12" t="s">
        <v>204</v>
      </c>
      <c r="B911" s="12" t="s">
        <v>569</v>
      </c>
      <c r="C911" s="12" t="s">
        <v>563</v>
      </c>
      <c r="D911" s="13">
        <v>0</v>
      </c>
      <c r="E911" s="13">
        <v>0.54738599999999993</v>
      </c>
      <c r="F911" s="13">
        <v>0.61255800000000005</v>
      </c>
      <c r="G911" s="13">
        <v>0.63256699999999999</v>
      </c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spans="1:19" x14ac:dyDescent="0.2">
      <c r="A912" s="12" t="s">
        <v>204</v>
      </c>
      <c r="B912" s="12" t="s">
        <v>569</v>
      </c>
      <c r="C912" s="12" t="s">
        <v>564</v>
      </c>
      <c r="D912" s="13">
        <v>25</v>
      </c>
      <c r="E912" s="13">
        <v>24.249116999999998</v>
      </c>
      <c r="F912" s="13">
        <v>19.745677000000001</v>
      </c>
      <c r="G912" s="13">
        <v>18.467099999999999</v>
      </c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spans="1:19" x14ac:dyDescent="0.2">
      <c r="A913" s="12" t="s">
        <v>204</v>
      </c>
      <c r="B913" s="12" t="s">
        <v>569</v>
      </c>
      <c r="C913" s="12" t="s">
        <v>565</v>
      </c>
      <c r="D913" s="13">
        <v>8</v>
      </c>
      <c r="E913" s="13">
        <v>11.440443999999999</v>
      </c>
      <c r="F913" s="13">
        <v>9.3415040000000005</v>
      </c>
      <c r="G913" s="13">
        <v>9.0827059999999999</v>
      </c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spans="1:19" x14ac:dyDescent="0.2">
      <c r="A914" s="12" t="s">
        <v>204</v>
      </c>
      <c r="B914" s="12" t="s">
        <v>569</v>
      </c>
      <c r="C914" s="12" t="s">
        <v>566</v>
      </c>
      <c r="D914" s="13">
        <v>2</v>
      </c>
      <c r="E914" s="13">
        <v>1.7017169999999999</v>
      </c>
      <c r="F914" s="13">
        <v>0.82697300000000007</v>
      </c>
      <c r="G914" s="13">
        <v>0.84536599999999995</v>
      </c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spans="1:19" x14ac:dyDescent="0.2">
      <c r="A915" s="12" t="s">
        <v>204</v>
      </c>
      <c r="B915" s="12" t="s">
        <v>570</v>
      </c>
      <c r="C915" s="12" t="s">
        <v>554</v>
      </c>
      <c r="D915" s="13">
        <v>0</v>
      </c>
      <c r="E915" s="13">
        <v>0</v>
      </c>
      <c r="F915" s="13">
        <v>0</v>
      </c>
      <c r="G915" s="13">
        <v>0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spans="1:19" x14ac:dyDescent="0.2">
      <c r="A916" s="12" t="s">
        <v>204</v>
      </c>
      <c r="B916" s="12" t="s">
        <v>570</v>
      </c>
      <c r="C916" s="12" t="s">
        <v>555</v>
      </c>
      <c r="D916" s="13">
        <v>0</v>
      </c>
      <c r="E916" s="13">
        <v>0</v>
      </c>
      <c r="F916" s="13">
        <v>0</v>
      </c>
      <c r="G916" s="13">
        <v>0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spans="1:19" x14ac:dyDescent="0.2">
      <c r="A917" s="12" t="s">
        <v>204</v>
      </c>
      <c r="B917" s="12" t="s">
        <v>570</v>
      </c>
      <c r="C917" s="12" t="s">
        <v>556</v>
      </c>
      <c r="D917" s="13">
        <v>0</v>
      </c>
      <c r="E917" s="13">
        <v>0</v>
      </c>
      <c r="F917" s="13">
        <v>0</v>
      </c>
      <c r="G917" s="13">
        <v>0</v>
      </c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spans="1:19" x14ac:dyDescent="0.2">
      <c r="A918" s="12" t="s">
        <v>204</v>
      </c>
      <c r="B918" s="12" t="s">
        <v>570</v>
      </c>
      <c r="C918" s="12" t="s">
        <v>557</v>
      </c>
      <c r="D918" s="13">
        <v>0</v>
      </c>
      <c r="E918" s="13">
        <v>0</v>
      </c>
      <c r="F918" s="13">
        <v>0</v>
      </c>
      <c r="G918" s="13">
        <v>0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spans="1:19" x14ac:dyDescent="0.2">
      <c r="A919" s="12" t="s">
        <v>204</v>
      </c>
      <c r="B919" s="12" t="s">
        <v>570</v>
      </c>
      <c r="C919" s="12" t="s">
        <v>558</v>
      </c>
      <c r="D919" s="13">
        <v>0</v>
      </c>
      <c r="E919" s="13">
        <v>0</v>
      </c>
      <c r="F919" s="13">
        <v>0</v>
      </c>
      <c r="G919" s="13">
        <v>0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spans="1:19" x14ac:dyDescent="0.2">
      <c r="A920" s="12" t="s">
        <v>204</v>
      </c>
      <c r="B920" s="12" t="s">
        <v>570</v>
      </c>
      <c r="C920" s="12" t="s">
        <v>560</v>
      </c>
      <c r="D920" s="13">
        <v>0</v>
      </c>
      <c r="E920" s="13">
        <v>0</v>
      </c>
      <c r="F920" s="13">
        <v>0</v>
      </c>
      <c r="G920" s="13">
        <v>0</v>
      </c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spans="1:19" x14ac:dyDescent="0.2">
      <c r="A921" s="12" t="s">
        <v>204</v>
      </c>
      <c r="B921" s="12" t="s">
        <v>570</v>
      </c>
      <c r="C921" s="12" t="s">
        <v>561</v>
      </c>
      <c r="D921" s="13">
        <v>0</v>
      </c>
      <c r="E921" s="13">
        <v>0</v>
      </c>
      <c r="F921" s="13">
        <v>0</v>
      </c>
      <c r="G921" s="13">
        <v>0</v>
      </c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spans="1:19" x14ac:dyDescent="0.2">
      <c r="A922" s="12" t="s">
        <v>204</v>
      </c>
      <c r="B922" s="12" t="s">
        <v>570</v>
      </c>
      <c r="C922" s="12" t="s">
        <v>562</v>
      </c>
      <c r="D922" s="13">
        <v>0</v>
      </c>
      <c r="E922" s="13">
        <v>0</v>
      </c>
      <c r="F922" s="13">
        <v>0</v>
      </c>
      <c r="G922" s="13">
        <v>0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spans="1:19" x14ac:dyDescent="0.2">
      <c r="A923" s="12" t="s">
        <v>204</v>
      </c>
      <c r="B923" s="12" t="s">
        <v>570</v>
      </c>
      <c r="C923" s="12" t="s">
        <v>563</v>
      </c>
      <c r="D923" s="13">
        <v>0</v>
      </c>
      <c r="E923" s="13">
        <v>0</v>
      </c>
      <c r="F923" s="13">
        <v>0</v>
      </c>
      <c r="G923" s="13">
        <v>0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spans="1:19" x14ac:dyDescent="0.2">
      <c r="A924" s="12" t="s">
        <v>204</v>
      </c>
      <c r="B924" s="12" t="s">
        <v>570</v>
      </c>
      <c r="C924" s="12" t="s">
        <v>564</v>
      </c>
      <c r="D924" s="13">
        <v>0</v>
      </c>
      <c r="E924" s="13">
        <v>0</v>
      </c>
      <c r="F924" s="13">
        <v>0</v>
      </c>
      <c r="G924" s="13">
        <v>0</v>
      </c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spans="1:19" x14ac:dyDescent="0.2">
      <c r="A925" s="12" t="s">
        <v>204</v>
      </c>
      <c r="B925" s="12" t="s">
        <v>570</v>
      </c>
      <c r="C925" s="12" t="s">
        <v>565</v>
      </c>
      <c r="D925" s="13">
        <v>0</v>
      </c>
      <c r="E925" s="13">
        <v>0</v>
      </c>
      <c r="F925" s="13">
        <v>0</v>
      </c>
      <c r="G925" s="13">
        <v>0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spans="1:19" x14ac:dyDescent="0.2">
      <c r="A926" s="12" t="s">
        <v>204</v>
      </c>
      <c r="B926" s="12" t="s">
        <v>570</v>
      </c>
      <c r="C926" s="12" t="s">
        <v>566</v>
      </c>
      <c r="D926" s="13">
        <v>0</v>
      </c>
      <c r="E926" s="13">
        <v>0</v>
      </c>
      <c r="F926" s="13">
        <v>0</v>
      </c>
      <c r="G926" s="13">
        <v>0</v>
      </c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spans="1:19" x14ac:dyDescent="0.2">
      <c r="A927" s="12" t="s">
        <v>204</v>
      </c>
      <c r="B927" s="12" t="s">
        <v>571</v>
      </c>
      <c r="C927" s="12" t="s">
        <v>554</v>
      </c>
      <c r="D927" s="13">
        <v>183</v>
      </c>
      <c r="E927" s="13">
        <v>190.617368</v>
      </c>
      <c r="F927" s="13">
        <v>208.28276099999999</v>
      </c>
      <c r="G927" s="13">
        <v>216.58167700000001</v>
      </c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spans="1:19" x14ac:dyDescent="0.2">
      <c r="A928" s="12" t="s">
        <v>204</v>
      </c>
      <c r="B928" s="12" t="s">
        <v>571</v>
      </c>
      <c r="C928" s="12" t="s">
        <v>555</v>
      </c>
      <c r="D928" s="13">
        <v>84</v>
      </c>
      <c r="E928" s="13">
        <v>109.406481</v>
      </c>
      <c r="F928" s="13">
        <v>84.935722999999996</v>
      </c>
      <c r="G928" s="13">
        <v>81.065960000000004</v>
      </c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spans="1:19" x14ac:dyDescent="0.2">
      <c r="A929" s="12" t="s">
        <v>204</v>
      </c>
      <c r="B929" s="12" t="s">
        <v>571</v>
      </c>
      <c r="C929" s="12" t="s">
        <v>556</v>
      </c>
      <c r="D929" s="13">
        <v>-2</v>
      </c>
      <c r="E929" s="13">
        <v>-2.6928030000000001</v>
      </c>
      <c r="F929" s="13">
        <v>-5.3950979999999999</v>
      </c>
      <c r="G929" s="13">
        <v>-3.9503249999999999</v>
      </c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spans="1:19" x14ac:dyDescent="0.2">
      <c r="A930" s="12" t="s">
        <v>204</v>
      </c>
      <c r="B930" s="12" t="s">
        <v>571</v>
      </c>
      <c r="C930" s="12" t="s">
        <v>557</v>
      </c>
      <c r="D930" s="13">
        <v>264</v>
      </c>
      <c r="E930" s="13">
        <v>295.18411300000002</v>
      </c>
      <c r="F930" s="13">
        <v>289.14847500000002</v>
      </c>
      <c r="G930" s="13">
        <v>294.29128500000002</v>
      </c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spans="1:19" x14ac:dyDescent="0.2">
      <c r="A931" s="12" t="s">
        <v>204</v>
      </c>
      <c r="B931" s="12" t="s">
        <v>571</v>
      </c>
      <c r="C931" s="12" t="s">
        <v>558</v>
      </c>
      <c r="D931" s="13">
        <v>-194</v>
      </c>
      <c r="E931" s="13">
        <v>-217.570776</v>
      </c>
      <c r="F931" s="13">
        <v>-216.110018</v>
      </c>
      <c r="G931" s="13">
        <v>-217.41636700000001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spans="1:19" x14ac:dyDescent="0.2">
      <c r="A932" s="12" t="s">
        <v>204</v>
      </c>
      <c r="B932" s="12" t="s">
        <v>571</v>
      </c>
      <c r="C932" s="12" t="s">
        <v>560</v>
      </c>
      <c r="D932" s="13">
        <v>0</v>
      </c>
      <c r="E932" s="13">
        <v>0</v>
      </c>
      <c r="F932" s="13">
        <v>0</v>
      </c>
      <c r="G932" s="13">
        <v>0</v>
      </c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spans="1:19" x14ac:dyDescent="0.2">
      <c r="A933" s="12" t="s">
        <v>204</v>
      </c>
      <c r="B933" s="12" t="s">
        <v>571</v>
      </c>
      <c r="C933" s="12" t="s">
        <v>561</v>
      </c>
      <c r="D933" s="13">
        <v>56</v>
      </c>
      <c r="E933" s="13">
        <v>57.274315000000001</v>
      </c>
      <c r="F933" s="13">
        <v>49.093052</v>
      </c>
      <c r="G933" s="13">
        <v>50.613822999999996</v>
      </c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spans="1:19" x14ac:dyDescent="0.2">
      <c r="A934" s="12" t="s">
        <v>204</v>
      </c>
      <c r="B934" s="12" t="s">
        <v>571</v>
      </c>
      <c r="C934" s="12" t="s">
        <v>562</v>
      </c>
      <c r="D934" s="13">
        <v>8</v>
      </c>
      <c r="E934" s="13">
        <v>7.5025529999999998</v>
      </c>
      <c r="F934" s="13">
        <v>7.3780749999999999</v>
      </c>
      <c r="G934" s="13">
        <v>7.1528919999999996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spans="1:19" x14ac:dyDescent="0.2">
      <c r="A935" s="12" t="s">
        <v>204</v>
      </c>
      <c r="B935" s="12" t="s">
        <v>571</v>
      </c>
      <c r="C935" s="12" t="s">
        <v>563</v>
      </c>
      <c r="D935" s="13">
        <v>10</v>
      </c>
      <c r="E935" s="13">
        <v>10.208323</v>
      </c>
      <c r="F935" s="13">
        <v>9.3101489999999991</v>
      </c>
      <c r="G935" s="13">
        <v>9.072578</v>
      </c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spans="1:19" x14ac:dyDescent="0.2">
      <c r="A936" s="12" t="s">
        <v>204</v>
      </c>
      <c r="B936" s="12" t="s">
        <v>571</v>
      </c>
      <c r="C936" s="12" t="s">
        <v>564</v>
      </c>
      <c r="D936" s="13">
        <v>34</v>
      </c>
      <c r="E936" s="13">
        <v>34.665875</v>
      </c>
      <c r="F936" s="13">
        <v>27.979865</v>
      </c>
      <c r="G936" s="13">
        <v>30.015377999999998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spans="1:19" x14ac:dyDescent="0.2">
      <c r="A937" s="12" t="s">
        <v>204</v>
      </c>
      <c r="B937" s="12" t="s">
        <v>571</v>
      </c>
      <c r="C937" s="12" t="s">
        <v>565</v>
      </c>
      <c r="D937" s="13">
        <v>2</v>
      </c>
      <c r="E937" s="13">
        <v>2.5210189999999999</v>
      </c>
      <c r="F937" s="13">
        <v>2.128209</v>
      </c>
      <c r="G937" s="13">
        <v>2.074417</v>
      </c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spans="1:19" x14ac:dyDescent="0.2">
      <c r="A938" s="12" t="s">
        <v>204</v>
      </c>
      <c r="B938" s="12" t="s">
        <v>571</v>
      </c>
      <c r="C938" s="12" t="s">
        <v>566</v>
      </c>
      <c r="D938" s="13">
        <v>2</v>
      </c>
      <c r="E938" s="13">
        <v>2.376541</v>
      </c>
      <c r="F938" s="13">
        <v>2.2967650000000002</v>
      </c>
      <c r="G938" s="13">
        <v>2.298562</v>
      </c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spans="1:19" x14ac:dyDescent="0.2">
      <c r="A939" s="12" t="s">
        <v>204</v>
      </c>
      <c r="B939" s="12" t="s">
        <v>572</v>
      </c>
      <c r="C939" s="12" t="s">
        <v>554</v>
      </c>
      <c r="D939" s="13">
        <v>0</v>
      </c>
      <c r="E939" s="13">
        <v>0</v>
      </c>
      <c r="F939" s="13">
        <v>0</v>
      </c>
      <c r="G939" s="13">
        <v>0</v>
      </c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spans="1:19" x14ac:dyDescent="0.2">
      <c r="A940" s="12" t="s">
        <v>204</v>
      </c>
      <c r="B940" s="12" t="s">
        <v>572</v>
      </c>
      <c r="C940" s="12" t="s">
        <v>555</v>
      </c>
      <c r="D940" s="13">
        <v>67</v>
      </c>
      <c r="E940" s="13">
        <v>72.431460000000001</v>
      </c>
      <c r="F940" s="13">
        <v>67.507946000000004</v>
      </c>
      <c r="G940" s="13">
        <v>71.390785000000008</v>
      </c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spans="1:19" x14ac:dyDescent="0.2">
      <c r="A941" s="12" t="s">
        <v>204</v>
      </c>
      <c r="B941" s="12" t="s">
        <v>572</v>
      </c>
      <c r="C941" s="12" t="s">
        <v>556</v>
      </c>
      <c r="D941" s="13">
        <v>-42</v>
      </c>
      <c r="E941" s="13">
        <v>-54.903647999999997</v>
      </c>
      <c r="F941" s="13">
        <v>-62.602255999999997</v>
      </c>
      <c r="G941" s="13">
        <v>-60.111035000000008</v>
      </c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spans="1:19" x14ac:dyDescent="0.2">
      <c r="A942" s="12" t="s">
        <v>204</v>
      </c>
      <c r="B942" s="12" t="s">
        <v>572</v>
      </c>
      <c r="C942" s="12" t="s">
        <v>557</v>
      </c>
      <c r="D942" s="13">
        <v>25</v>
      </c>
      <c r="E942" s="13">
        <v>17.527812000000001</v>
      </c>
      <c r="F942" s="13">
        <v>4.9056860000000002</v>
      </c>
      <c r="G942" s="13">
        <v>11.27975</v>
      </c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spans="1:19" x14ac:dyDescent="0.2">
      <c r="A943" s="12" t="s">
        <v>204</v>
      </c>
      <c r="B943" s="12" t="s">
        <v>572</v>
      </c>
      <c r="C943" s="12" t="s">
        <v>558</v>
      </c>
      <c r="D943" s="13">
        <v>103</v>
      </c>
      <c r="E943" s="13">
        <v>118.982253</v>
      </c>
      <c r="F943" s="13">
        <v>126.445995</v>
      </c>
      <c r="G943" s="13">
        <v>121.438548</v>
      </c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spans="1:19" x14ac:dyDescent="0.2">
      <c r="A944" s="12" t="s">
        <v>204</v>
      </c>
      <c r="B944" s="12" t="s">
        <v>572</v>
      </c>
      <c r="C944" s="12" t="s">
        <v>560</v>
      </c>
      <c r="D944" s="13">
        <v>0</v>
      </c>
      <c r="E944" s="13">
        <v>0</v>
      </c>
      <c r="F944" s="13">
        <v>0</v>
      </c>
      <c r="G944" s="13">
        <v>0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spans="1:19" x14ac:dyDescent="0.2">
      <c r="A945" s="12" t="s">
        <v>204</v>
      </c>
      <c r="B945" s="12" t="s">
        <v>572</v>
      </c>
      <c r="C945" s="12" t="s">
        <v>561</v>
      </c>
      <c r="D945" s="13">
        <v>109</v>
      </c>
      <c r="E945" s="13">
        <v>116.09562200000001</v>
      </c>
      <c r="F945" s="13">
        <v>110.927796</v>
      </c>
      <c r="G945" s="13">
        <v>109.48577</v>
      </c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spans="1:19" x14ac:dyDescent="0.2">
      <c r="A946" s="12" t="s">
        <v>204</v>
      </c>
      <c r="B946" s="12" t="s">
        <v>572</v>
      </c>
      <c r="C946" s="12" t="s">
        <v>562</v>
      </c>
      <c r="D946" s="13">
        <v>31</v>
      </c>
      <c r="E946" s="13">
        <v>32.628151000000003</v>
      </c>
      <c r="F946" s="13">
        <v>31.712288999999998</v>
      </c>
      <c r="G946" s="13">
        <v>30.584205999999998</v>
      </c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spans="1:19" x14ac:dyDescent="0.2">
      <c r="A947" s="12" t="s">
        <v>204</v>
      </c>
      <c r="B947" s="12" t="s">
        <v>572</v>
      </c>
      <c r="C947" s="12" t="s">
        <v>563</v>
      </c>
      <c r="D947" s="13">
        <v>2</v>
      </c>
      <c r="E947" s="13">
        <v>2.4520499999999998</v>
      </c>
      <c r="F947" s="13">
        <v>3.1876329999999999</v>
      </c>
      <c r="G947" s="13">
        <v>3.527768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spans="1:19" x14ac:dyDescent="0.2">
      <c r="A948" s="12" t="s">
        <v>204</v>
      </c>
      <c r="B948" s="12" t="s">
        <v>572</v>
      </c>
      <c r="C948" s="12" t="s">
        <v>564</v>
      </c>
      <c r="D948" s="13">
        <v>37</v>
      </c>
      <c r="E948" s="13">
        <v>39.341659999999997</v>
      </c>
      <c r="F948" s="13">
        <v>34.888461999999997</v>
      </c>
      <c r="G948" s="13">
        <v>35.107871000000003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spans="1:19" x14ac:dyDescent="0.2">
      <c r="A949" s="12" t="s">
        <v>204</v>
      </c>
      <c r="B949" s="12" t="s">
        <v>572</v>
      </c>
      <c r="C949" s="12" t="s">
        <v>565</v>
      </c>
      <c r="D949" s="13">
        <v>33</v>
      </c>
      <c r="E949" s="13">
        <v>35.033588999999999</v>
      </c>
      <c r="F949" s="13">
        <v>35.154361999999999</v>
      </c>
      <c r="G949" s="13">
        <v>34.288234000000003</v>
      </c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spans="1:19" x14ac:dyDescent="0.2">
      <c r="A950" s="12" t="s">
        <v>204</v>
      </c>
      <c r="B950" s="12" t="s">
        <v>572</v>
      </c>
      <c r="C950" s="12" t="s">
        <v>566</v>
      </c>
      <c r="D950" s="13">
        <v>7</v>
      </c>
      <c r="E950" s="13">
        <v>6.6401770000000004</v>
      </c>
      <c r="F950" s="13">
        <v>5.9850560000000002</v>
      </c>
      <c r="G950" s="13">
        <v>5.9776910000000001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spans="1:19" x14ac:dyDescent="0.2">
      <c r="A951" s="12" t="s">
        <v>204</v>
      </c>
      <c r="B951" s="12" t="s">
        <v>573</v>
      </c>
      <c r="C951" s="12" t="s">
        <v>554</v>
      </c>
      <c r="D951" s="13">
        <v>1</v>
      </c>
      <c r="E951" s="13">
        <v>1.483006</v>
      </c>
      <c r="F951" s="13">
        <v>1.634401</v>
      </c>
      <c r="G951" s="13">
        <v>2.329297</v>
      </c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spans="1:19" x14ac:dyDescent="0.2">
      <c r="A952" s="12" t="s">
        <v>204</v>
      </c>
      <c r="B952" s="12" t="s">
        <v>573</v>
      </c>
      <c r="C952" s="12" t="s">
        <v>555</v>
      </c>
      <c r="D952" s="13">
        <v>0</v>
      </c>
      <c r="E952" s="13">
        <v>0.110959</v>
      </c>
      <c r="F952" s="13">
        <v>0.102062</v>
      </c>
      <c r="G952" s="13">
        <v>0.11393499999999999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spans="1:19" x14ac:dyDescent="0.2">
      <c r="A953" s="12" t="s">
        <v>204</v>
      </c>
      <c r="B953" s="12" t="s">
        <v>573</v>
      </c>
      <c r="C953" s="12" t="s">
        <v>556</v>
      </c>
      <c r="D953" s="13">
        <v>0</v>
      </c>
      <c r="E953" s="13">
        <v>0</v>
      </c>
      <c r="F953" s="13">
        <v>0</v>
      </c>
      <c r="G953" s="13">
        <v>0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spans="1:19" x14ac:dyDescent="0.2">
      <c r="A954" s="12" t="s">
        <v>204</v>
      </c>
      <c r="B954" s="12" t="s">
        <v>573</v>
      </c>
      <c r="C954" s="12" t="s">
        <v>557</v>
      </c>
      <c r="D954" s="13">
        <v>1</v>
      </c>
      <c r="E954" s="13">
        <v>1.593969</v>
      </c>
      <c r="F954" s="13">
        <v>1.7364630000000001</v>
      </c>
      <c r="G954" s="13">
        <v>2.443228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spans="1:19" x14ac:dyDescent="0.2">
      <c r="A955" s="12" t="s">
        <v>204</v>
      </c>
      <c r="B955" s="12" t="s">
        <v>573</v>
      </c>
      <c r="C955" s="12" t="s">
        <v>558</v>
      </c>
      <c r="D955" s="13">
        <v>125</v>
      </c>
      <c r="E955" s="13">
        <v>135.27051800000001</v>
      </c>
      <c r="F955" s="13">
        <v>123.049645</v>
      </c>
      <c r="G955" s="13">
        <v>123.60682199999999</v>
      </c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spans="1:19" x14ac:dyDescent="0.2">
      <c r="A956" s="12" t="s">
        <v>204</v>
      </c>
      <c r="B956" s="12" t="s">
        <v>573</v>
      </c>
      <c r="C956" s="12" t="s">
        <v>560</v>
      </c>
      <c r="D956" s="13">
        <v>0</v>
      </c>
      <c r="E956" s="13">
        <v>0</v>
      </c>
      <c r="F956" s="13">
        <v>0</v>
      </c>
      <c r="G956" s="13">
        <v>0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spans="1:19" x14ac:dyDescent="0.2">
      <c r="A957" s="12" t="s">
        <v>204</v>
      </c>
      <c r="B957" s="12" t="s">
        <v>573</v>
      </c>
      <c r="C957" s="12" t="s">
        <v>561</v>
      </c>
      <c r="D957" s="13">
        <v>102</v>
      </c>
      <c r="E957" s="13">
        <v>112.559736</v>
      </c>
      <c r="F957" s="13">
        <v>103.06082000000001</v>
      </c>
      <c r="G957" s="13">
        <v>107.197902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spans="1:19" x14ac:dyDescent="0.2">
      <c r="A958" s="12" t="s">
        <v>204</v>
      </c>
      <c r="B958" s="12" t="s">
        <v>573</v>
      </c>
      <c r="C958" s="12" t="s">
        <v>562</v>
      </c>
      <c r="D958" s="13">
        <v>4</v>
      </c>
      <c r="E958" s="13">
        <v>3.7103709999999999</v>
      </c>
      <c r="F958" s="13">
        <v>3.915613</v>
      </c>
      <c r="G958" s="13">
        <v>3.915613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spans="1:19" x14ac:dyDescent="0.2">
      <c r="A959" s="12" t="s">
        <v>204</v>
      </c>
      <c r="B959" s="12" t="s">
        <v>573</v>
      </c>
      <c r="C959" s="12" t="s">
        <v>563</v>
      </c>
      <c r="D959" s="13">
        <v>0</v>
      </c>
      <c r="E959" s="13">
        <v>0</v>
      </c>
      <c r="F959" s="13">
        <v>0</v>
      </c>
      <c r="G959" s="13">
        <v>0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spans="1:19" x14ac:dyDescent="0.2">
      <c r="A960" s="12" t="s">
        <v>204</v>
      </c>
      <c r="B960" s="12" t="s">
        <v>573</v>
      </c>
      <c r="C960" s="12" t="s">
        <v>564</v>
      </c>
      <c r="D960" s="13">
        <v>66</v>
      </c>
      <c r="E960" s="13">
        <v>73.33513099999999</v>
      </c>
      <c r="F960" s="13">
        <v>66.751672000000013</v>
      </c>
      <c r="G960" s="13">
        <v>69.57033100000001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spans="1:19" x14ac:dyDescent="0.2">
      <c r="A961" s="12" t="s">
        <v>204</v>
      </c>
      <c r="B961" s="12" t="s">
        <v>573</v>
      </c>
      <c r="C961" s="12" t="s">
        <v>565</v>
      </c>
      <c r="D961" s="13">
        <v>31</v>
      </c>
      <c r="E961" s="13">
        <v>34.032688999999998</v>
      </c>
      <c r="F961" s="13">
        <v>30.978075</v>
      </c>
      <c r="G961" s="13">
        <v>32.281073999999997</v>
      </c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spans="1:19" x14ac:dyDescent="0.2">
      <c r="A962" s="12" t="s">
        <v>204</v>
      </c>
      <c r="B962" s="12" t="s">
        <v>573</v>
      </c>
      <c r="C962" s="12" t="s">
        <v>566</v>
      </c>
      <c r="D962" s="13">
        <v>2</v>
      </c>
      <c r="E962" s="13">
        <v>1.4815449999999999</v>
      </c>
      <c r="F962" s="13">
        <v>1.415465</v>
      </c>
      <c r="G962" s="13">
        <v>1.430885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spans="1:19" x14ac:dyDescent="0.2">
      <c r="A963" s="12" t="s">
        <v>204</v>
      </c>
      <c r="B963" s="12" t="s">
        <v>574</v>
      </c>
      <c r="C963" s="12" t="s">
        <v>554</v>
      </c>
      <c r="D963" s="13">
        <v>385</v>
      </c>
      <c r="E963" s="13">
        <v>384.39334000000002</v>
      </c>
      <c r="F963" s="13">
        <v>399.99102499999998</v>
      </c>
      <c r="G963" s="13">
        <v>392.98386299999999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spans="1:19" x14ac:dyDescent="0.2">
      <c r="A964" s="12" t="s">
        <v>204</v>
      </c>
      <c r="B964" s="12" t="s">
        <v>574</v>
      </c>
      <c r="C964" s="12" t="s">
        <v>555</v>
      </c>
      <c r="D964" s="13">
        <v>759</v>
      </c>
      <c r="E964" s="13">
        <v>705.83199999999999</v>
      </c>
      <c r="F964" s="13">
        <v>727.95580900000004</v>
      </c>
      <c r="G964" s="13">
        <v>910.59154500000011</v>
      </c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spans="1:19" x14ac:dyDescent="0.2">
      <c r="A965" s="12" t="s">
        <v>204</v>
      </c>
      <c r="B965" s="12" t="s">
        <v>574</v>
      </c>
      <c r="C965" s="12" t="s">
        <v>556</v>
      </c>
      <c r="D965" s="13">
        <v>-448</v>
      </c>
      <c r="E965" s="13">
        <v>-470.43669799999998</v>
      </c>
      <c r="F965" s="13">
        <v>-425.67622699999998</v>
      </c>
      <c r="G965" s="13">
        <v>-639.89932900000008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spans="1:19" x14ac:dyDescent="0.2">
      <c r="A966" s="12" t="s">
        <v>204</v>
      </c>
      <c r="B966" s="12" t="s">
        <v>574</v>
      </c>
      <c r="C966" s="12" t="s">
        <v>557</v>
      </c>
      <c r="D966" s="13">
        <v>644</v>
      </c>
      <c r="E966" s="13">
        <v>675.82851200000005</v>
      </c>
      <c r="F966" s="13">
        <v>637.77709900000002</v>
      </c>
      <c r="G966" s="13">
        <v>618.19949600000007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spans="1:19" x14ac:dyDescent="0.2">
      <c r="A967" s="12" t="s">
        <v>204</v>
      </c>
      <c r="B967" s="12" t="s">
        <v>574</v>
      </c>
      <c r="C967" s="12" t="s">
        <v>558</v>
      </c>
      <c r="D967" s="13">
        <v>-19</v>
      </c>
      <c r="E967" s="13">
        <v>-28.501657999999999</v>
      </c>
      <c r="F967" s="13">
        <v>-26.297228</v>
      </c>
      <c r="G967" s="13">
        <v>-16.125748999999999</v>
      </c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spans="1:19" x14ac:dyDescent="0.2">
      <c r="A968" s="12" t="s">
        <v>204</v>
      </c>
      <c r="B968" s="12" t="s">
        <v>574</v>
      </c>
      <c r="C968" s="12" t="s">
        <v>560</v>
      </c>
      <c r="D968" s="13">
        <v>-2</v>
      </c>
      <c r="E968" s="13">
        <v>-2.5569790000000001</v>
      </c>
      <c r="F968" s="13">
        <v>-6.3735870000000006</v>
      </c>
      <c r="G968" s="13">
        <v>-7.5162560000000003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spans="1:19" x14ac:dyDescent="0.2">
      <c r="A969" s="12" t="s">
        <v>204</v>
      </c>
      <c r="B969" s="12" t="s">
        <v>574</v>
      </c>
      <c r="C969" s="12" t="s">
        <v>561</v>
      </c>
      <c r="D969" s="13">
        <v>543</v>
      </c>
      <c r="E969" s="13">
        <v>570.36984100000006</v>
      </c>
      <c r="F969" s="13">
        <v>535.85015199999998</v>
      </c>
      <c r="G969" s="13">
        <v>532.175297</v>
      </c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spans="1:19" x14ac:dyDescent="0.2">
      <c r="A970" s="12" t="s">
        <v>204</v>
      </c>
      <c r="B970" s="12" t="s">
        <v>574</v>
      </c>
      <c r="C970" s="12" t="s">
        <v>562</v>
      </c>
      <c r="D970" s="13">
        <v>94</v>
      </c>
      <c r="E970" s="13">
        <v>100.912037</v>
      </c>
      <c r="F970" s="13">
        <v>95.868769</v>
      </c>
      <c r="G970" s="13">
        <v>89.676898000000008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spans="1:19" x14ac:dyDescent="0.2">
      <c r="A971" s="12" t="s">
        <v>204</v>
      </c>
      <c r="B971" s="12" t="s">
        <v>574</v>
      </c>
      <c r="C971" s="12" t="s">
        <v>563</v>
      </c>
      <c r="D971" s="13">
        <v>164</v>
      </c>
      <c r="E971" s="13">
        <v>167.85006000000001</v>
      </c>
      <c r="F971" s="13">
        <v>166.31300200000001</v>
      </c>
      <c r="G971" s="13">
        <v>165.783447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spans="1:19" x14ac:dyDescent="0.2">
      <c r="A972" s="12" t="s">
        <v>204</v>
      </c>
      <c r="B972" s="12" t="s">
        <v>574</v>
      </c>
      <c r="C972" s="12" t="s">
        <v>564</v>
      </c>
      <c r="D972" s="13">
        <v>170</v>
      </c>
      <c r="E972" s="13">
        <v>178.192804</v>
      </c>
      <c r="F972" s="13">
        <v>156.15836999999999</v>
      </c>
      <c r="G972" s="13">
        <v>159.39624499999999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spans="1:19" x14ac:dyDescent="0.2">
      <c r="A973" s="12" t="s">
        <v>204</v>
      </c>
      <c r="B973" s="12" t="s">
        <v>574</v>
      </c>
      <c r="C973" s="12" t="s">
        <v>565</v>
      </c>
      <c r="D973" s="13">
        <v>76</v>
      </c>
      <c r="E973" s="13">
        <v>84.322504000000009</v>
      </c>
      <c r="F973" s="13">
        <v>79.268294999999995</v>
      </c>
      <c r="G973" s="13">
        <v>79.165793999999991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spans="1:19" x14ac:dyDescent="0.2">
      <c r="A974" s="12" t="s">
        <v>204</v>
      </c>
      <c r="B974" s="12" t="s">
        <v>574</v>
      </c>
      <c r="C974" s="12" t="s">
        <v>566</v>
      </c>
      <c r="D974" s="13">
        <v>39</v>
      </c>
      <c r="E974" s="13">
        <v>39.092443999999993</v>
      </c>
      <c r="F974" s="13">
        <v>38.241736000000003</v>
      </c>
      <c r="G974" s="13">
        <v>38.152901999999997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spans="1:19" x14ac:dyDescent="0.2">
      <c r="A975" s="12" t="s">
        <v>221</v>
      </c>
      <c r="B975" s="12" t="s">
        <v>553</v>
      </c>
      <c r="C975" s="12" t="s">
        <v>554</v>
      </c>
      <c r="D975" s="13">
        <v>105</v>
      </c>
      <c r="E975" s="13">
        <v>101.696237</v>
      </c>
      <c r="F975" s="13">
        <v>114.740878</v>
      </c>
      <c r="G975" s="13">
        <v>111.230569</v>
      </c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spans="1:19" x14ac:dyDescent="0.2">
      <c r="A976" s="12" t="s">
        <v>221</v>
      </c>
      <c r="B976" s="12" t="s">
        <v>553</v>
      </c>
      <c r="C976" s="12" t="s">
        <v>555</v>
      </c>
      <c r="D976" s="13">
        <v>0</v>
      </c>
      <c r="E976" s="13">
        <v>0.13218099999999999</v>
      </c>
      <c r="F976" s="13">
        <v>7.4817999999999996E-2</v>
      </c>
      <c r="G976" s="13">
        <v>0.126697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spans="1:19" x14ac:dyDescent="0.2">
      <c r="A977" s="12" t="s">
        <v>221</v>
      </c>
      <c r="B977" s="12" t="s">
        <v>553</v>
      </c>
      <c r="C977" s="12" t="s">
        <v>556</v>
      </c>
      <c r="D977" s="13">
        <v>-1</v>
      </c>
      <c r="E977" s="13">
        <v>-0.490199</v>
      </c>
      <c r="F977" s="13">
        <v>-0.69371900000000009</v>
      </c>
      <c r="G977" s="13">
        <v>-0.41502499999999998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spans="1:19" x14ac:dyDescent="0.2">
      <c r="A978" s="12" t="s">
        <v>221</v>
      </c>
      <c r="B978" s="12" t="s">
        <v>553</v>
      </c>
      <c r="C978" s="12" t="s">
        <v>557</v>
      </c>
      <c r="D978" s="13">
        <v>105</v>
      </c>
      <c r="E978" s="13">
        <v>113.61894599999999</v>
      </c>
      <c r="F978" s="13">
        <v>123.123434</v>
      </c>
      <c r="G978" s="13">
        <v>99.791319000000001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spans="1:19" x14ac:dyDescent="0.2">
      <c r="A979" s="12" t="s">
        <v>221</v>
      </c>
      <c r="B979" s="12" t="s">
        <v>553</v>
      </c>
      <c r="C979" s="12" t="s">
        <v>558</v>
      </c>
      <c r="D979" s="13">
        <v>-36</v>
      </c>
      <c r="E979" s="13">
        <v>-47.216071999999997</v>
      </c>
      <c r="F979" s="13">
        <v>-62.126877999999998</v>
      </c>
      <c r="G979" s="13">
        <v>-32.391941000000003</v>
      </c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spans="1:19" x14ac:dyDescent="0.2">
      <c r="A980" s="12" t="s">
        <v>221</v>
      </c>
      <c r="B980" s="12" t="s">
        <v>553</v>
      </c>
      <c r="C980" s="12" t="s">
        <v>560</v>
      </c>
      <c r="D980" s="13">
        <v>0</v>
      </c>
      <c r="E980" s="13">
        <v>0</v>
      </c>
      <c r="F980" s="13">
        <v>0</v>
      </c>
      <c r="G980" s="13">
        <v>0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spans="1:19" x14ac:dyDescent="0.2">
      <c r="A981" s="12" t="s">
        <v>221</v>
      </c>
      <c r="B981" s="12" t="s">
        <v>553</v>
      </c>
      <c r="C981" s="12" t="s">
        <v>561</v>
      </c>
      <c r="D981" s="13">
        <v>3</v>
      </c>
      <c r="E981" s="13">
        <v>2.7358060000000002</v>
      </c>
      <c r="F981" s="13">
        <v>2.478891</v>
      </c>
      <c r="G981" s="13">
        <v>3.2923070000000001</v>
      </c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spans="1:19" x14ac:dyDescent="0.2">
      <c r="A982" s="12" t="s">
        <v>221</v>
      </c>
      <c r="B982" s="12" t="s">
        <v>553</v>
      </c>
      <c r="C982" s="12" t="s">
        <v>562</v>
      </c>
      <c r="D982" s="13">
        <v>0</v>
      </c>
      <c r="E982" s="13">
        <v>7.4819999999999999E-3</v>
      </c>
      <c r="F982" s="13">
        <v>0.106692</v>
      </c>
      <c r="G982" s="13">
        <v>0.20061100000000001</v>
      </c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spans="1:19" x14ac:dyDescent="0.2">
      <c r="A983" s="12" t="s">
        <v>221</v>
      </c>
      <c r="B983" s="12" t="s">
        <v>553</v>
      </c>
      <c r="C983" s="12" t="s">
        <v>563</v>
      </c>
      <c r="D983" s="13">
        <v>0</v>
      </c>
      <c r="E983" s="13">
        <v>0</v>
      </c>
      <c r="F983" s="13">
        <v>0</v>
      </c>
      <c r="G983" s="13">
        <v>0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spans="1:19" x14ac:dyDescent="0.2">
      <c r="A984" s="12" t="s">
        <v>221</v>
      </c>
      <c r="B984" s="12" t="s">
        <v>553</v>
      </c>
      <c r="C984" s="12" t="s">
        <v>564</v>
      </c>
      <c r="D984" s="13">
        <v>0</v>
      </c>
      <c r="E984" s="13">
        <v>2.4941000000000001E-2</v>
      </c>
      <c r="F984" s="13">
        <v>0</v>
      </c>
      <c r="G984" s="13">
        <v>9.9769999999999998E-3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spans="1:19" x14ac:dyDescent="0.2">
      <c r="A985" s="12" t="s">
        <v>221</v>
      </c>
      <c r="B985" s="12" t="s">
        <v>553</v>
      </c>
      <c r="C985" s="12" t="s">
        <v>565</v>
      </c>
      <c r="D985" s="13">
        <v>0</v>
      </c>
      <c r="E985" s="13">
        <v>4.24E-2</v>
      </c>
      <c r="F985" s="13">
        <v>4.1320000000000003E-2</v>
      </c>
      <c r="G985" s="13">
        <v>1.9949999999999999E-2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spans="1:19" x14ac:dyDescent="0.2">
      <c r="A986" s="12" t="s">
        <v>221</v>
      </c>
      <c r="B986" s="12" t="s">
        <v>553</v>
      </c>
      <c r="C986" s="12" t="s">
        <v>566</v>
      </c>
      <c r="D986" s="13">
        <v>3</v>
      </c>
      <c r="E986" s="13">
        <v>2.6609829999999999</v>
      </c>
      <c r="F986" s="13">
        <v>2.3308789999999999</v>
      </c>
      <c r="G986" s="13">
        <v>3.061769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spans="1:19" x14ac:dyDescent="0.2">
      <c r="A987" s="12" t="s">
        <v>221</v>
      </c>
      <c r="B987" s="12" t="s">
        <v>567</v>
      </c>
      <c r="C987" s="12" t="s">
        <v>554</v>
      </c>
      <c r="D987" s="13">
        <v>0</v>
      </c>
      <c r="E987" s="13">
        <v>0</v>
      </c>
      <c r="F987" s="13">
        <v>0</v>
      </c>
      <c r="G987" s="13">
        <v>0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spans="1:19" x14ac:dyDescent="0.2">
      <c r="A988" s="12" t="s">
        <v>221</v>
      </c>
      <c r="B988" s="12" t="s">
        <v>567</v>
      </c>
      <c r="C988" s="12" t="s">
        <v>555</v>
      </c>
      <c r="D988" s="13">
        <v>0</v>
      </c>
      <c r="E988" s="13">
        <v>0</v>
      </c>
      <c r="F988" s="13">
        <v>0</v>
      </c>
      <c r="G988" s="13">
        <v>0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spans="1:19" x14ac:dyDescent="0.2">
      <c r="A989" s="12" t="s">
        <v>221</v>
      </c>
      <c r="B989" s="12" t="s">
        <v>567</v>
      </c>
      <c r="C989" s="12" t="s">
        <v>556</v>
      </c>
      <c r="D989" s="13">
        <v>-44</v>
      </c>
      <c r="E989" s="13">
        <v>-45.889225000000003</v>
      </c>
      <c r="F989" s="13">
        <v>-37.182794999999999</v>
      </c>
      <c r="G989" s="13">
        <v>-46.518048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spans="1:19" x14ac:dyDescent="0.2">
      <c r="A990" s="12" t="s">
        <v>221</v>
      </c>
      <c r="B990" s="12" t="s">
        <v>567</v>
      </c>
      <c r="C990" s="12" t="s">
        <v>557</v>
      </c>
      <c r="D990" s="13">
        <v>-44</v>
      </c>
      <c r="E990" s="13">
        <v>-45.889225000000003</v>
      </c>
      <c r="F990" s="13">
        <v>-37.182794999999999</v>
      </c>
      <c r="G990" s="13">
        <v>-46.518048</v>
      </c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spans="1:19" x14ac:dyDescent="0.2">
      <c r="A991" s="12" t="s">
        <v>221</v>
      </c>
      <c r="B991" s="12" t="s">
        <v>567</v>
      </c>
      <c r="C991" s="12" t="s">
        <v>558</v>
      </c>
      <c r="D991" s="13">
        <v>0</v>
      </c>
      <c r="E991" s="13">
        <v>0</v>
      </c>
      <c r="F991" s="13">
        <v>0</v>
      </c>
      <c r="G991" s="13">
        <v>0</v>
      </c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spans="1:19" x14ac:dyDescent="0.2">
      <c r="A992" s="12" t="s">
        <v>221</v>
      </c>
      <c r="B992" s="12" t="s">
        <v>567</v>
      </c>
      <c r="C992" s="12" t="s">
        <v>560</v>
      </c>
      <c r="D992" s="13">
        <v>0</v>
      </c>
      <c r="E992" s="13">
        <v>0</v>
      </c>
      <c r="F992" s="13">
        <v>0</v>
      </c>
      <c r="G992" s="13">
        <v>0</v>
      </c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spans="1:19" x14ac:dyDescent="0.2">
      <c r="A993" s="12" t="s">
        <v>221</v>
      </c>
      <c r="B993" s="12" t="s">
        <v>567</v>
      </c>
      <c r="C993" s="12" t="s">
        <v>561</v>
      </c>
      <c r="D993" s="13">
        <v>0</v>
      </c>
      <c r="E993" s="13">
        <v>0</v>
      </c>
      <c r="F993" s="13">
        <v>0</v>
      </c>
      <c r="G993" s="13">
        <v>0</v>
      </c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spans="1:19" x14ac:dyDescent="0.2">
      <c r="A994" s="12" t="s">
        <v>221</v>
      </c>
      <c r="B994" s="12" t="s">
        <v>567</v>
      </c>
      <c r="C994" s="12" t="s">
        <v>562</v>
      </c>
      <c r="D994" s="13">
        <v>0</v>
      </c>
      <c r="E994" s="13">
        <v>0</v>
      </c>
      <c r="F994" s="13">
        <v>0</v>
      </c>
      <c r="G994" s="13">
        <v>0</v>
      </c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spans="1:19" x14ac:dyDescent="0.2">
      <c r="A995" s="12" t="s">
        <v>221</v>
      </c>
      <c r="B995" s="12" t="s">
        <v>567</v>
      </c>
      <c r="C995" s="12" t="s">
        <v>563</v>
      </c>
      <c r="D995" s="13">
        <v>0</v>
      </c>
      <c r="E995" s="13">
        <v>0</v>
      </c>
      <c r="F995" s="13">
        <v>0</v>
      </c>
      <c r="G995" s="13">
        <v>0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spans="1:19" x14ac:dyDescent="0.2">
      <c r="A996" s="12" t="s">
        <v>221</v>
      </c>
      <c r="B996" s="12" t="s">
        <v>567</v>
      </c>
      <c r="C996" s="12" t="s">
        <v>564</v>
      </c>
      <c r="D996" s="13">
        <v>0</v>
      </c>
      <c r="E996" s="13">
        <v>0</v>
      </c>
      <c r="F996" s="13">
        <v>0</v>
      </c>
      <c r="G996" s="13">
        <v>0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spans="1:19" x14ac:dyDescent="0.2">
      <c r="A997" s="12" t="s">
        <v>221</v>
      </c>
      <c r="B997" s="12" t="s">
        <v>567</v>
      </c>
      <c r="C997" s="12" t="s">
        <v>565</v>
      </c>
      <c r="D997" s="13">
        <v>0</v>
      </c>
      <c r="E997" s="13">
        <v>0</v>
      </c>
      <c r="F997" s="13">
        <v>0</v>
      </c>
      <c r="G997" s="13">
        <v>0</v>
      </c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spans="1:19" x14ac:dyDescent="0.2">
      <c r="A998" s="12" t="s">
        <v>221</v>
      </c>
      <c r="B998" s="12" t="s">
        <v>567</v>
      </c>
      <c r="C998" s="12" t="s">
        <v>566</v>
      </c>
      <c r="D998" s="13">
        <v>0</v>
      </c>
      <c r="E998" s="13">
        <v>0</v>
      </c>
      <c r="F998" s="13">
        <v>0</v>
      </c>
      <c r="G998" s="13">
        <v>0</v>
      </c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spans="1:19" x14ac:dyDescent="0.2">
      <c r="A999" s="12" t="s">
        <v>221</v>
      </c>
      <c r="B999" s="12" t="s">
        <v>568</v>
      </c>
      <c r="C999" s="12" t="s">
        <v>554</v>
      </c>
      <c r="D999" s="13">
        <v>0</v>
      </c>
      <c r="E999" s="13">
        <v>0</v>
      </c>
      <c r="F999" s="13">
        <v>0</v>
      </c>
      <c r="G999" s="13">
        <v>0</v>
      </c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spans="1:19" x14ac:dyDescent="0.2">
      <c r="A1000" s="12" t="s">
        <v>221</v>
      </c>
      <c r="B1000" s="12" t="s">
        <v>568</v>
      </c>
      <c r="C1000" s="12" t="s">
        <v>555</v>
      </c>
      <c r="D1000" s="13">
        <v>92</v>
      </c>
      <c r="E1000" s="13">
        <v>84.663153999999992</v>
      </c>
      <c r="F1000" s="13">
        <v>70.87293600000001</v>
      </c>
      <c r="G1000" s="13">
        <v>58.391368999999997</v>
      </c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  <row r="1001" spans="1:19" x14ac:dyDescent="0.2">
      <c r="A1001" s="12" t="s">
        <v>221</v>
      </c>
      <c r="B1001" s="12" t="s">
        <v>568</v>
      </c>
      <c r="C1001" s="12" t="s">
        <v>556</v>
      </c>
      <c r="D1001" s="13">
        <v>-34</v>
      </c>
      <c r="E1001" s="13">
        <v>-34.123399999999997</v>
      </c>
      <c r="F1001" s="13">
        <v>-13.690200000000001</v>
      </c>
      <c r="G1001" s="13">
        <v>-6.9471989999999986</v>
      </c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 spans="1:19" x14ac:dyDescent="0.2">
      <c r="A1002" s="12" t="s">
        <v>221</v>
      </c>
      <c r="B1002" s="12" t="s">
        <v>568</v>
      </c>
      <c r="C1002" s="12" t="s">
        <v>557</v>
      </c>
      <c r="D1002" s="13">
        <v>42</v>
      </c>
      <c r="E1002" s="13">
        <v>40.510798999999999</v>
      </c>
      <c r="F1002" s="13">
        <v>42.403760000000013</v>
      </c>
      <c r="G1002" s="13">
        <v>41.408633000000002</v>
      </c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 spans="1:19" x14ac:dyDescent="0.2">
      <c r="A1003" s="12" t="s">
        <v>221</v>
      </c>
      <c r="B1003" s="12" t="s">
        <v>568</v>
      </c>
      <c r="C1003" s="12" t="s">
        <v>558</v>
      </c>
      <c r="D1003" s="13">
        <v>0</v>
      </c>
      <c r="E1003" s="13">
        <v>-0.58332100000000009</v>
      </c>
      <c r="F1003" s="13">
        <v>-1.1870419999999999</v>
      </c>
      <c r="G1003" s="13">
        <v>-1.0684800000000001</v>
      </c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 spans="1:19" x14ac:dyDescent="0.2">
      <c r="A1004" s="12" t="s">
        <v>221</v>
      </c>
      <c r="B1004" s="12" t="s">
        <v>568</v>
      </c>
      <c r="C1004" s="12" t="s">
        <v>560</v>
      </c>
      <c r="D1004" s="13">
        <v>0</v>
      </c>
      <c r="E1004" s="13">
        <v>0</v>
      </c>
      <c r="F1004" s="13">
        <v>0</v>
      </c>
      <c r="G1004" s="13">
        <v>0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 spans="1:19" x14ac:dyDescent="0.2">
      <c r="A1005" s="12" t="s">
        <v>221</v>
      </c>
      <c r="B1005" s="12" t="s">
        <v>568</v>
      </c>
      <c r="C1005" s="12" t="s">
        <v>561</v>
      </c>
      <c r="D1005" s="13">
        <v>43</v>
      </c>
      <c r="E1005" s="13">
        <v>41.383018</v>
      </c>
      <c r="F1005" s="13">
        <v>43.056213999999997</v>
      </c>
      <c r="G1005" s="13">
        <v>42.566153</v>
      </c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 spans="1:19" x14ac:dyDescent="0.2">
      <c r="A1006" s="12" t="s">
        <v>221</v>
      </c>
      <c r="B1006" s="12" t="s">
        <v>568</v>
      </c>
      <c r="C1006" s="12" t="s">
        <v>562</v>
      </c>
      <c r="D1006" s="13">
        <v>3</v>
      </c>
      <c r="E1006" s="13">
        <v>1.5528919999999999</v>
      </c>
      <c r="F1006" s="13">
        <v>2.0999150000000002</v>
      </c>
      <c r="G1006" s="13">
        <v>2.1010740000000001</v>
      </c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 spans="1:19" x14ac:dyDescent="0.2">
      <c r="A1007" s="12" t="s">
        <v>221</v>
      </c>
      <c r="B1007" s="12" t="s">
        <v>568</v>
      </c>
      <c r="C1007" s="12" t="s">
        <v>563</v>
      </c>
      <c r="D1007" s="13">
        <v>31</v>
      </c>
      <c r="E1007" s="13">
        <v>32.161616000000002</v>
      </c>
      <c r="F1007" s="13">
        <v>33.389415999999997</v>
      </c>
      <c r="G1007" s="13">
        <v>33.317407000000003</v>
      </c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 spans="1:19" x14ac:dyDescent="0.2">
      <c r="A1008" s="12" t="s">
        <v>221</v>
      </c>
      <c r="B1008" s="12" t="s">
        <v>568</v>
      </c>
      <c r="C1008" s="12" t="s">
        <v>564</v>
      </c>
      <c r="D1008" s="13">
        <v>0</v>
      </c>
      <c r="E1008" s="13">
        <v>0.19899900000000001</v>
      </c>
      <c r="F1008" s="13">
        <v>0.134601</v>
      </c>
      <c r="G1008" s="13">
        <v>0.18060200000000001</v>
      </c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 spans="1:19" x14ac:dyDescent="0.2">
      <c r="A1009" s="12" t="s">
        <v>221</v>
      </c>
      <c r="B1009" s="12" t="s">
        <v>568</v>
      </c>
      <c r="C1009" s="12" t="s">
        <v>565</v>
      </c>
      <c r="D1009" s="13">
        <v>1</v>
      </c>
      <c r="E1009" s="13">
        <v>0.88271100000000002</v>
      </c>
      <c r="F1009" s="13">
        <v>0.97840099999999997</v>
      </c>
      <c r="G1009" s="13">
        <v>1.1602539999999999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 spans="1:19" x14ac:dyDescent="0.2">
      <c r="A1010" s="12" t="s">
        <v>221</v>
      </c>
      <c r="B1010" s="12" t="s">
        <v>568</v>
      </c>
      <c r="C1010" s="12" t="s">
        <v>566</v>
      </c>
      <c r="D1010" s="13">
        <v>8</v>
      </c>
      <c r="E1010" s="13">
        <v>6.5867990000000001</v>
      </c>
      <c r="F1010" s="13">
        <v>6.453881</v>
      </c>
      <c r="G1010" s="13">
        <v>5.8068160000000004</v>
      </c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</row>
    <row r="1011" spans="1:19" x14ac:dyDescent="0.2">
      <c r="A1011" s="12" t="s">
        <v>221</v>
      </c>
      <c r="B1011" s="12" t="s">
        <v>569</v>
      </c>
      <c r="C1011" s="12" t="s">
        <v>554</v>
      </c>
      <c r="D1011" s="13">
        <v>0</v>
      </c>
      <c r="E1011" s="13">
        <v>0</v>
      </c>
      <c r="F1011" s="13">
        <v>0</v>
      </c>
      <c r="G1011" s="13">
        <v>0</v>
      </c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</row>
    <row r="1012" spans="1:19" x14ac:dyDescent="0.2">
      <c r="A1012" s="12" t="s">
        <v>221</v>
      </c>
      <c r="B1012" s="12" t="s">
        <v>569</v>
      </c>
      <c r="C1012" s="12" t="s">
        <v>555</v>
      </c>
      <c r="D1012" s="13">
        <v>15</v>
      </c>
      <c r="E1012" s="13">
        <v>17.508482000000001</v>
      </c>
      <c r="F1012" s="13">
        <v>14.573790000000001</v>
      </c>
      <c r="G1012" s="13">
        <v>11.266830000000001</v>
      </c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</row>
    <row r="1013" spans="1:19" x14ac:dyDescent="0.2">
      <c r="A1013" s="12" t="s">
        <v>221</v>
      </c>
      <c r="B1013" s="12" t="s">
        <v>569</v>
      </c>
      <c r="C1013" s="12" t="s">
        <v>556</v>
      </c>
      <c r="D1013" s="13">
        <v>0</v>
      </c>
      <c r="E1013" s="13">
        <v>0</v>
      </c>
      <c r="F1013" s="13">
        <v>0</v>
      </c>
      <c r="G1013" s="13">
        <v>0</v>
      </c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</row>
    <row r="1014" spans="1:19" x14ac:dyDescent="0.2">
      <c r="A1014" s="12" t="s">
        <v>221</v>
      </c>
      <c r="B1014" s="12" t="s">
        <v>569</v>
      </c>
      <c r="C1014" s="12" t="s">
        <v>557</v>
      </c>
      <c r="D1014" s="13">
        <v>15</v>
      </c>
      <c r="E1014" s="13">
        <v>16.5123</v>
      </c>
      <c r="F1014" s="13">
        <v>12.268006</v>
      </c>
      <c r="G1014" s="13">
        <v>10.606316</v>
      </c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</row>
    <row r="1015" spans="1:19" x14ac:dyDescent="0.2">
      <c r="A1015" s="12" t="s">
        <v>221</v>
      </c>
      <c r="B1015" s="12" t="s">
        <v>569</v>
      </c>
      <c r="C1015" s="12" t="s">
        <v>558</v>
      </c>
      <c r="D1015" s="13">
        <v>-4</v>
      </c>
      <c r="E1015" s="13">
        <v>-4.8383289999999999</v>
      </c>
      <c r="F1015" s="13">
        <v>-4.7639129999999996</v>
      </c>
      <c r="G1015" s="13">
        <v>-3.946574</v>
      </c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</row>
    <row r="1016" spans="1:19" x14ac:dyDescent="0.2">
      <c r="A1016" s="12" t="s">
        <v>221</v>
      </c>
      <c r="B1016" s="12" t="s">
        <v>569</v>
      </c>
      <c r="C1016" s="12" t="s">
        <v>560</v>
      </c>
      <c r="D1016" s="13">
        <v>0</v>
      </c>
      <c r="E1016" s="13">
        <v>0</v>
      </c>
      <c r="F1016" s="13">
        <v>0</v>
      </c>
      <c r="G1016" s="13">
        <v>0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</row>
    <row r="1017" spans="1:19" x14ac:dyDescent="0.2">
      <c r="A1017" s="12" t="s">
        <v>221</v>
      </c>
      <c r="B1017" s="12" t="s">
        <v>569</v>
      </c>
      <c r="C1017" s="12" t="s">
        <v>561</v>
      </c>
      <c r="D1017" s="13">
        <v>10</v>
      </c>
      <c r="E1017" s="13">
        <v>11.07898</v>
      </c>
      <c r="F1017" s="13">
        <v>7.4952050000000003</v>
      </c>
      <c r="G1017" s="13">
        <v>6.7616360000000002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</row>
    <row r="1018" spans="1:19" x14ac:dyDescent="0.2">
      <c r="A1018" s="12" t="s">
        <v>221</v>
      </c>
      <c r="B1018" s="12" t="s">
        <v>569</v>
      </c>
      <c r="C1018" s="12" t="s">
        <v>562</v>
      </c>
      <c r="D1018" s="13">
        <v>4</v>
      </c>
      <c r="E1018" s="13">
        <v>4.1302030000000007</v>
      </c>
      <c r="F1018" s="13">
        <v>2.6891440000000002</v>
      </c>
      <c r="G1018" s="13">
        <v>1.9667330000000001</v>
      </c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</row>
    <row r="1019" spans="1:19" x14ac:dyDescent="0.2">
      <c r="A1019" s="12" t="s">
        <v>221</v>
      </c>
      <c r="B1019" s="12" t="s">
        <v>569</v>
      </c>
      <c r="C1019" s="12" t="s">
        <v>563</v>
      </c>
      <c r="D1019" s="13">
        <v>1</v>
      </c>
      <c r="E1019" s="13">
        <v>0.96769500000000008</v>
      </c>
      <c r="F1019" s="13">
        <v>0.69469500000000006</v>
      </c>
      <c r="G1019" s="13">
        <v>0.79330600000000007</v>
      </c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</row>
    <row r="1020" spans="1:19" x14ac:dyDescent="0.2">
      <c r="A1020" s="12" t="s">
        <v>221</v>
      </c>
      <c r="B1020" s="12" t="s">
        <v>569</v>
      </c>
      <c r="C1020" s="12" t="s">
        <v>564</v>
      </c>
      <c r="D1020" s="13">
        <v>2</v>
      </c>
      <c r="E1020" s="13">
        <v>2.5249169999999999</v>
      </c>
      <c r="F1020" s="13">
        <v>2.0472700000000001</v>
      </c>
      <c r="G1020" s="13">
        <v>2.3094049999999999</v>
      </c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</row>
    <row r="1021" spans="1:19" x14ac:dyDescent="0.2">
      <c r="A1021" s="12" t="s">
        <v>221</v>
      </c>
      <c r="B1021" s="12" t="s">
        <v>569</v>
      </c>
      <c r="C1021" s="12" t="s">
        <v>565</v>
      </c>
      <c r="D1021" s="13">
        <v>3</v>
      </c>
      <c r="E1021" s="13">
        <v>3.3319220000000001</v>
      </c>
      <c r="F1021" s="13">
        <v>1.9612560000000001</v>
      </c>
      <c r="G1021" s="13">
        <v>1.6272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</row>
    <row r="1022" spans="1:19" x14ac:dyDescent="0.2">
      <c r="A1022" s="12" t="s">
        <v>221</v>
      </c>
      <c r="B1022" s="12" t="s">
        <v>569</v>
      </c>
      <c r="C1022" s="12" t="s">
        <v>566</v>
      </c>
      <c r="D1022" s="13">
        <v>0</v>
      </c>
      <c r="E1022" s="13">
        <v>0.12424300000000001</v>
      </c>
      <c r="F1022" s="13">
        <v>0.10284</v>
      </c>
      <c r="G1022" s="13">
        <v>6.4992000000000008E-2</v>
      </c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</row>
    <row r="1023" spans="1:19" x14ac:dyDescent="0.2">
      <c r="A1023" s="12" t="s">
        <v>221</v>
      </c>
      <c r="B1023" s="12" t="s">
        <v>570</v>
      </c>
      <c r="C1023" s="12" t="s">
        <v>554</v>
      </c>
      <c r="D1023" s="13">
        <v>0</v>
      </c>
      <c r="E1023" s="13">
        <v>0</v>
      </c>
      <c r="F1023" s="13">
        <v>0</v>
      </c>
      <c r="G1023" s="13">
        <v>0</v>
      </c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</row>
    <row r="1024" spans="1:19" x14ac:dyDescent="0.2">
      <c r="A1024" s="12" t="s">
        <v>221</v>
      </c>
      <c r="B1024" s="12" t="s">
        <v>570</v>
      </c>
      <c r="C1024" s="12" t="s">
        <v>555</v>
      </c>
      <c r="D1024" s="13">
        <v>0</v>
      </c>
      <c r="E1024" s="13">
        <v>0</v>
      </c>
      <c r="F1024" s="13">
        <v>0</v>
      </c>
      <c r="G1024" s="13">
        <v>0</v>
      </c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</row>
    <row r="1025" spans="1:19" x14ac:dyDescent="0.2">
      <c r="A1025" s="12" t="s">
        <v>221</v>
      </c>
      <c r="B1025" s="12" t="s">
        <v>570</v>
      </c>
      <c r="C1025" s="12" t="s">
        <v>556</v>
      </c>
      <c r="D1025" s="13">
        <v>0</v>
      </c>
      <c r="E1025" s="13">
        <v>0</v>
      </c>
      <c r="F1025" s="13">
        <v>0</v>
      </c>
      <c r="G1025" s="13">
        <v>0</v>
      </c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</row>
    <row r="1026" spans="1:19" x14ac:dyDescent="0.2">
      <c r="A1026" s="12" t="s">
        <v>221</v>
      </c>
      <c r="B1026" s="12" t="s">
        <v>570</v>
      </c>
      <c r="C1026" s="12" t="s">
        <v>557</v>
      </c>
      <c r="D1026" s="13">
        <v>0</v>
      </c>
      <c r="E1026" s="13">
        <v>0</v>
      </c>
      <c r="F1026" s="13">
        <v>0</v>
      </c>
      <c r="G1026" s="13">
        <v>0</v>
      </c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</row>
    <row r="1027" spans="1:19" x14ac:dyDescent="0.2">
      <c r="A1027" s="12" t="s">
        <v>221</v>
      </c>
      <c r="B1027" s="12" t="s">
        <v>570</v>
      </c>
      <c r="C1027" s="12" t="s">
        <v>558</v>
      </c>
      <c r="D1027" s="13">
        <v>0</v>
      </c>
      <c r="E1027" s="13">
        <v>0</v>
      </c>
      <c r="F1027" s="13">
        <v>0</v>
      </c>
      <c r="G1027" s="13">
        <v>0</v>
      </c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</row>
    <row r="1028" spans="1:19" x14ac:dyDescent="0.2">
      <c r="A1028" s="12" t="s">
        <v>221</v>
      </c>
      <c r="B1028" s="12" t="s">
        <v>570</v>
      </c>
      <c r="C1028" s="12" t="s">
        <v>560</v>
      </c>
      <c r="D1028" s="13">
        <v>0</v>
      </c>
      <c r="E1028" s="13">
        <v>0</v>
      </c>
      <c r="F1028" s="13">
        <v>0</v>
      </c>
      <c r="G1028" s="13">
        <v>0</v>
      </c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 spans="1:19" x14ac:dyDescent="0.2">
      <c r="A1029" s="12" t="s">
        <v>221</v>
      </c>
      <c r="B1029" s="12" t="s">
        <v>570</v>
      </c>
      <c r="C1029" s="12" t="s">
        <v>561</v>
      </c>
      <c r="D1029" s="13">
        <v>0</v>
      </c>
      <c r="E1029" s="13">
        <v>0</v>
      </c>
      <c r="F1029" s="13">
        <v>0</v>
      </c>
      <c r="G1029" s="13">
        <v>0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</row>
    <row r="1030" spans="1:19" x14ac:dyDescent="0.2">
      <c r="A1030" s="12" t="s">
        <v>221</v>
      </c>
      <c r="B1030" s="12" t="s">
        <v>570</v>
      </c>
      <c r="C1030" s="12" t="s">
        <v>562</v>
      </c>
      <c r="D1030" s="13">
        <v>0</v>
      </c>
      <c r="E1030" s="13">
        <v>0</v>
      </c>
      <c r="F1030" s="13">
        <v>0</v>
      </c>
      <c r="G1030" s="13">
        <v>0</v>
      </c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</row>
    <row r="1031" spans="1:19" x14ac:dyDescent="0.2">
      <c r="A1031" s="12" t="s">
        <v>221</v>
      </c>
      <c r="B1031" s="12" t="s">
        <v>570</v>
      </c>
      <c r="C1031" s="12" t="s">
        <v>563</v>
      </c>
      <c r="D1031" s="13">
        <v>0</v>
      </c>
      <c r="E1031" s="13">
        <v>0</v>
      </c>
      <c r="F1031" s="13">
        <v>0</v>
      </c>
      <c r="G1031" s="13">
        <v>0</v>
      </c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</row>
    <row r="1032" spans="1:19" x14ac:dyDescent="0.2">
      <c r="A1032" s="12" t="s">
        <v>221</v>
      </c>
      <c r="B1032" s="12" t="s">
        <v>570</v>
      </c>
      <c r="C1032" s="12" t="s">
        <v>564</v>
      </c>
      <c r="D1032" s="13">
        <v>0</v>
      </c>
      <c r="E1032" s="13">
        <v>0</v>
      </c>
      <c r="F1032" s="13">
        <v>0</v>
      </c>
      <c r="G1032" s="13">
        <v>0</v>
      </c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 spans="1:19" x14ac:dyDescent="0.2">
      <c r="A1033" s="12" t="s">
        <v>221</v>
      </c>
      <c r="B1033" s="12" t="s">
        <v>570</v>
      </c>
      <c r="C1033" s="12" t="s">
        <v>565</v>
      </c>
      <c r="D1033" s="13">
        <v>0</v>
      </c>
      <c r="E1033" s="13">
        <v>0</v>
      </c>
      <c r="F1033" s="13">
        <v>0</v>
      </c>
      <c r="G1033" s="13">
        <v>0</v>
      </c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 spans="1:19" x14ac:dyDescent="0.2">
      <c r="A1034" s="12" t="s">
        <v>221</v>
      </c>
      <c r="B1034" s="12" t="s">
        <v>570</v>
      </c>
      <c r="C1034" s="12" t="s">
        <v>566</v>
      </c>
      <c r="D1034" s="13">
        <v>0</v>
      </c>
      <c r="E1034" s="13">
        <v>0</v>
      </c>
      <c r="F1034" s="13">
        <v>0</v>
      </c>
      <c r="G1034" s="13">
        <v>0</v>
      </c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 spans="1:19" x14ac:dyDescent="0.2">
      <c r="A1035" s="12" t="s">
        <v>221</v>
      </c>
      <c r="B1035" s="12" t="s">
        <v>571</v>
      </c>
      <c r="C1035" s="12" t="s">
        <v>554</v>
      </c>
      <c r="D1035" s="13">
        <v>78</v>
      </c>
      <c r="E1035" s="13">
        <v>82.835913000000005</v>
      </c>
      <c r="F1035" s="13">
        <v>81.710523000000009</v>
      </c>
      <c r="G1035" s="13">
        <v>81.385245999999995</v>
      </c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 spans="1:19" x14ac:dyDescent="0.2">
      <c r="A1036" s="12" t="s">
        <v>221</v>
      </c>
      <c r="B1036" s="12" t="s">
        <v>571</v>
      </c>
      <c r="C1036" s="12" t="s">
        <v>555</v>
      </c>
      <c r="D1036" s="13">
        <v>4</v>
      </c>
      <c r="E1036" s="13">
        <v>3.9803359999999999</v>
      </c>
      <c r="F1036" s="13">
        <v>2.6244079999999999</v>
      </c>
      <c r="G1036" s="13">
        <v>1.9583550000000001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 spans="1:19" x14ac:dyDescent="0.2">
      <c r="A1037" s="12" t="s">
        <v>221</v>
      </c>
      <c r="B1037" s="12" t="s">
        <v>571</v>
      </c>
      <c r="C1037" s="12" t="s">
        <v>556</v>
      </c>
      <c r="D1037" s="13">
        <v>-25</v>
      </c>
      <c r="E1037" s="13">
        <v>-32.014395999999998</v>
      </c>
      <c r="F1037" s="13">
        <v>-26.48385</v>
      </c>
      <c r="G1037" s="13">
        <v>-23.074999999999999</v>
      </c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</row>
    <row r="1038" spans="1:19" x14ac:dyDescent="0.2">
      <c r="A1038" s="12" t="s">
        <v>221</v>
      </c>
      <c r="B1038" s="12" t="s">
        <v>571</v>
      </c>
      <c r="C1038" s="12" t="s">
        <v>557</v>
      </c>
      <c r="D1038" s="13">
        <v>57</v>
      </c>
      <c r="E1038" s="13">
        <v>56.763851000000003</v>
      </c>
      <c r="F1038" s="13">
        <v>56.739652</v>
      </c>
      <c r="G1038" s="13">
        <v>60.059278000000013</v>
      </c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</row>
    <row r="1039" spans="1:19" x14ac:dyDescent="0.2">
      <c r="A1039" s="12" t="s">
        <v>221</v>
      </c>
      <c r="B1039" s="12" t="s">
        <v>571</v>
      </c>
      <c r="C1039" s="12" t="s">
        <v>558</v>
      </c>
      <c r="D1039" s="13">
        <v>-36</v>
      </c>
      <c r="E1039" s="13">
        <v>-36.589562999999998</v>
      </c>
      <c r="F1039" s="13">
        <v>-36.281530999999987</v>
      </c>
      <c r="G1039" s="13">
        <v>-40.563501000000002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</row>
    <row r="1040" spans="1:19" x14ac:dyDescent="0.2">
      <c r="A1040" s="12" t="s">
        <v>221</v>
      </c>
      <c r="B1040" s="12" t="s">
        <v>571</v>
      </c>
      <c r="C1040" s="12" t="s">
        <v>560</v>
      </c>
      <c r="D1040" s="13">
        <v>0</v>
      </c>
      <c r="E1040" s="13">
        <v>0</v>
      </c>
      <c r="F1040" s="13">
        <v>0</v>
      </c>
      <c r="G1040" s="13">
        <v>0</v>
      </c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</row>
    <row r="1041" spans="1:19" x14ac:dyDescent="0.2">
      <c r="A1041" s="12" t="s">
        <v>221</v>
      </c>
      <c r="B1041" s="12" t="s">
        <v>571</v>
      </c>
      <c r="C1041" s="12" t="s">
        <v>561</v>
      </c>
      <c r="D1041" s="13">
        <v>20</v>
      </c>
      <c r="E1041" s="13">
        <v>19.887229000000001</v>
      </c>
      <c r="F1041" s="13">
        <v>20.123380999999998</v>
      </c>
      <c r="G1041" s="13">
        <v>19.059301999999999</v>
      </c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</row>
    <row r="1042" spans="1:19" x14ac:dyDescent="0.2">
      <c r="A1042" s="12" t="s">
        <v>221</v>
      </c>
      <c r="B1042" s="12" t="s">
        <v>571</v>
      </c>
      <c r="C1042" s="12" t="s">
        <v>562</v>
      </c>
      <c r="D1042" s="13">
        <v>1</v>
      </c>
      <c r="E1042" s="13">
        <v>0.71281899999999998</v>
      </c>
      <c r="F1042" s="13">
        <v>0.85156200000000004</v>
      </c>
      <c r="G1042" s="13">
        <v>1.8959969999999999</v>
      </c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</row>
    <row r="1043" spans="1:19" x14ac:dyDescent="0.2">
      <c r="A1043" s="12" t="s">
        <v>221</v>
      </c>
      <c r="B1043" s="12" t="s">
        <v>571</v>
      </c>
      <c r="C1043" s="12" t="s">
        <v>563</v>
      </c>
      <c r="D1043" s="13">
        <v>2</v>
      </c>
      <c r="E1043" s="13">
        <v>2.110398</v>
      </c>
      <c r="F1043" s="13">
        <v>1.3856930000000001</v>
      </c>
      <c r="G1043" s="13">
        <v>1.25972</v>
      </c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</row>
    <row r="1044" spans="1:19" x14ac:dyDescent="0.2">
      <c r="A1044" s="12" t="s">
        <v>221</v>
      </c>
      <c r="B1044" s="12" t="s">
        <v>571</v>
      </c>
      <c r="C1044" s="12" t="s">
        <v>564</v>
      </c>
      <c r="D1044" s="13">
        <v>17</v>
      </c>
      <c r="E1044" s="13">
        <v>16.239930999999999</v>
      </c>
      <c r="F1044" s="13">
        <v>17.102471000000001</v>
      </c>
      <c r="G1044" s="13">
        <v>15.457636000000001</v>
      </c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</row>
    <row r="1045" spans="1:19" x14ac:dyDescent="0.2">
      <c r="A1045" s="12" t="s">
        <v>221</v>
      </c>
      <c r="B1045" s="12" t="s">
        <v>571</v>
      </c>
      <c r="C1045" s="12" t="s">
        <v>565</v>
      </c>
      <c r="D1045" s="13">
        <v>1</v>
      </c>
      <c r="E1045" s="13">
        <v>0.58278200000000002</v>
      </c>
      <c r="F1045" s="13">
        <v>0.55928099999999992</v>
      </c>
      <c r="G1045" s="13">
        <v>0.35768699999999998</v>
      </c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</row>
    <row r="1046" spans="1:19" x14ac:dyDescent="0.2">
      <c r="A1046" s="12" t="s">
        <v>221</v>
      </c>
      <c r="B1046" s="12" t="s">
        <v>571</v>
      </c>
      <c r="C1046" s="12" t="s">
        <v>566</v>
      </c>
      <c r="D1046" s="13">
        <v>0</v>
      </c>
      <c r="E1046" s="13">
        <v>0.24130199999999999</v>
      </c>
      <c r="F1046" s="13">
        <v>0.224379</v>
      </c>
      <c r="G1046" s="13">
        <v>8.8262000000000007E-2</v>
      </c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</row>
    <row r="1047" spans="1:19" x14ac:dyDescent="0.2">
      <c r="A1047" s="12" t="s">
        <v>221</v>
      </c>
      <c r="B1047" s="12" t="s">
        <v>572</v>
      </c>
      <c r="C1047" s="12" t="s">
        <v>554</v>
      </c>
      <c r="D1047" s="13">
        <v>0</v>
      </c>
      <c r="E1047" s="13">
        <v>0</v>
      </c>
      <c r="F1047" s="13">
        <v>0</v>
      </c>
      <c r="G1047" s="13">
        <v>0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</row>
    <row r="1048" spans="1:19" x14ac:dyDescent="0.2">
      <c r="A1048" s="12" t="s">
        <v>221</v>
      </c>
      <c r="B1048" s="12" t="s">
        <v>572</v>
      </c>
      <c r="C1048" s="12" t="s">
        <v>555</v>
      </c>
      <c r="D1048" s="13">
        <v>27</v>
      </c>
      <c r="E1048" s="13">
        <v>26.396778000000001</v>
      </c>
      <c r="F1048" s="13">
        <v>25.858799000000001</v>
      </c>
      <c r="G1048" s="13">
        <v>27.574897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</row>
    <row r="1049" spans="1:19" x14ac:dyDescent="0.2">
      <c r="A1049" s="12" t="s">
        <v>221</v>
      </c>
      <c r="B1049" s="12" t="s">
        <v>572</v>
      </c>
      <c r="C1049" s="12" t="s">
        <v>556</v>
      </c>
      <c r="D1049" s="13">
        <v>-13</v>
      </c>
      <c r="E1049" s="13">
        <v>-16.932257</v>
      </c>
      <c r="F1049" s="13">
        <v>-22.219201000000002</v>
      </c>
      <c r="G1049" s="13">
        <v>-15.679453000000001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</row>
    <row r="1050" spans="1:19" x14ac:dyDescent="0.2">
      <c r="A1050" s="12" t="s">
        <v>221</v>
      </c>
      <c r="B1050" s="12" t="s">
        <v>572</v>
      </c>
      <c r="C1050" s="12" t="s">
        <v>557</v>
      </c>
      <c r="D1050" s="13">
        <v>13</v>
      </c>
      <c r="E1050" s="13">
        <v>9.4645170000000007</v>
      </c>
      <c r="F1050" s="13">
        <v>3.639602</v>
      </c>
      <c r="G1050" s="13">
        <v>11.895443999999999</v>
      </c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</row>
    <row r="1051" spans="1:19" x14ac:dyDescent="0.2">
      <c r="A1051" s="12" t="s">
        <v>221</v>
      </c>
      <c r="B1051" s="12" t="s">
        <v>572</v>
      </c>
      <c r="C1051" s="12" t="s">
        <v>558</v>
      </c>
      <c r="D1051" s="13">
        <v>22</v>
      </c>
      <c r="E1051" s="13">
        <v>25.936053000000001</v>
      </c>
      <c r="F1051" s="13">
        <v>32.172652999999997</v>
      </c>
      <c r="G1051" s="13">
        <v>20.682155999999999</v>
      </c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</row>
    <row r="1052" spans="1:19" x14ac:dyDescent="0.2">
      <c r="A1052" s="12" t="s">
        <v>221</v>
      </c>
      <c r="B1052" s="12" t="s">
        <v>572</v>
      </c>
      <c r="C1052" s="12" t="s">
        <v>560</v>
      </c>
      <c r="D1052" s="13">
        <v>0</v>
      </c>
      <c r="E1052" s="13">
        <v>0</v>
      </c>
      <c r="F1052" s="13">
        <v>0</v>
      </c>
      <c r="G1052" s="13">
        <v>0</v>
      </c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</row>
    <row r="1053" spans="1:19" x14ac:dyDescent="0.2">
      <c r="A1053" s="12" t="s">
        <v>221</v>
      </c>
      <c r="B1053" s="12" t="s">
        <v>572</v>
      </c>
      <c r="C1053" s="12" t="s">
        <v>561</v>
      </c>
      <c r="D1053" s="13">
        <v>26</v>
      </c>
      <c r="E1053" s="13">
        <v>28.380906</v>
      </c>
      <c r="F1053" s="13">
        <v>25.710335000000001</v>
      </c>
      <c r="G1053" s="13">
        <v>21.606480000000001</v>
      </c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</row>
    <row r="1054" spans="1:19" x14ac:dyDescent="0.2">
      <c r="A1054" s="12" t="s">
        <v>221</v>
      </c>
      <c r="B1054" s="12" t="s">
        <v>572</v>
      </c>
      <c r="C1054" s="12" t="s">
        <v>562</v>
      </c>
      <c r="D1054" s="13">
        <v>8</v>
      </c>
      <c r="E1054" s="13">
        <v>7.9547400000000001</v>
      </c>
      <c r="F1054" s="13">
        <v>7.518815</v>
      </c>
      <c r="G1054" s="13">
        <v>6.4199470000000014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</row>
    <row r="1055" spans="1:19" x14ac:dyDescent="0.2">
      <c r="A1055" s="12" t="s">
        <v>221</v>
      </c>
      <c r="B1055" s="12" t="s">
        <v>572</v>
      </c>
      <c r="C1055" s="12" t="s">
        <v>563</v>
      </c>
      <c r="D1055" s="13">
        <v>0</v>
      </c>
      <c r="E1055" s="13">
        <v>0.107764</v>
      </c>
      <c r="F1055" s="13">
        <v>0.116828</v>
      </c>
      <c r="G1055" s="13">
        <v>0.21465699999999999</v>
      </c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</row>
    <row r="1056" spans="1:19" x14ac:dyDescent="0.2">
      <c r="A1056" s="12" t="s">
        <v>221</v>
      </c>
      <c r="B1056" s="12" t="s">
        <v>572</v>
      </c>
      <c r="C1056" s="12" t="s">
        <v>564</v>
      </c>
      <c r="D1056" s="13">
        <v>7</v>
      </c>
      <c r="E1056" s="13">
        <v>8.0244</v>
      </c>
      <c r="F1056" s="13">
        <v>7.080762</v>
      </c>
      <c r="G1056" s="13">
        <v>7.7876200000000004</v>
      </c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</row>
    <row r="1057" spans="1:19" x14ac:dyDescent="0.2">
      <c r="A1057" s="12" t="s">
        <v>221</v>
      </c>
      <c r="B1057" s="12" t="s">
        <v>572</v>
      </c>
      <c r="C1057" s="12" t="s">
        <v>565</v>
      </c>
      <c r="D1057" s="13">
        <v>10</v>
      </c>
      <c r="E1057" s="13">
        <v>11.7216</v>
      </c>
      <c r="F1057" s="13">
        <v>10.461599</v>
      </c>
      <c r="G1057" s="13">
        <v>6.6608850000000004</v>
      </c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</row>
    <row r="1058" spans="1:19" x14ac:dyDescent="0.2">
      <c r="A1058" s="12" t="s">
        <v>221</v>
      </c>
      <c r="B1058" s="12" t="s">
        <v>572</v>
      </c>
      <c r="C1058" s="12" t="s">
        <v>566</v>
      </c>
      <c r="D1058" s="13">
        <v>1</v>
      </c>
      <c r="E1058" s="13">
        <v>0.572403</v>
      </c>
      <c r="F1058" s="13">
        <v>0.532335</v>
      </c>
      <c r="G1058" s="13">
        <v>0.52337100000000003</v>
      </c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</row>
    <row r="1059" spans="1:19" x14ac:dyDescent="0.2">
      <c r="A1059" s="12" t="s">
        <v>221</v>
      </c>
      <c r="B1059" s="12" t="s">
        <v>573</v>
      </c>
      <c r="C1059" s="12" t="s">
        <v>554</v>
      </c>
      <c r="D1059" s="13">
        <v>0</v>
      </c>
      <c r="E1059" s="13">
        <v>0</v>
      </c>
      <c r="F1059" s="13">
        <v>0</v>
      </c>
      <c r="G1059" s="13">
        <v>0</v>
      </c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</row>
    <row r="1060" spans="1:19" x14ac:dyDescent="0.2">
      <c r="A1060" s="12" t="s">
        <v>221</v>
      </c>
      <c r="B1060" s="12" t="s">
        <v>573</v>
      </c>
      <c r="C1060" s="12" t="s">
        <v>555</v>
      </c>
      <c r="D1060" s="13">
        <v>0</v>
      </c>
      <c r="E1060" s="13">
        <v>0</v>
      </c>
      <c r="F1060" s="13">
        <v>0</v>
      </c>
      <c r="G1060" s="13">
        <v>0</v>
      </c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</row>
    <row r="1061" spans="1:19" x14ac:dyDescent="0.2">
      <c r="A1061" s="12" t="s">
        <v>221</v>
      </c>
      <c r="B1061" s="12" t="s">
        <v>573</v>
      </c>
      <c r="C1061" s="12" t="s">
        <v>556</v>
      </c>
      <c r="D1061" s="13">
        <v>0</v>
      </c>
      <c r="E1061" s="13">
        <v>0</v>
      </c>
      <c r="F1061" s="13">
        <v>0</v>
      </c>
      <c r="G1061" s="13">
        <v>0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</row>
    <row r="1062" spans="1:19" x14ac:dyDescent="0.2">
      <c r="A1062" s="12" t="s">
        <v>221</v>
      </c>
      <c r="B1062" s="12" t="s">
        <v>573</v>
      </c>
      <c r="C1062" s="12" t="s">
        <v>557</v>
      </c>
      <c r="D1062" s="13">
        <v>0</v>
      </c>
      <c r="E1062" s="13">
        <v>0</v>
      </c>
      <c r="F1062" s="13">
        <v>0</v>
      </c>
      <c r="G1062" s="13">
        <v>0</v>
      </c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</row>
    <row r="1063" spans="1:19" x14ac:dyDescent="0.2">
      <c r="A1063" s="12" t="s">
        <v>221</v>
      </c>
      <c r="B1063" s="12" t="s">
        <v>573</v>
      </c>
      <c r="C1063" s="12" t="s">
        <v>558</v>
      </c>
      <c r="D1063" s="13">
        <v>21</v>
      </c>
      <c r="E1063" s="13">
        <v>22.726724999999998</v>
      </c>
      <c r="F1063" s="13">
        <v>23.784925999999999</v>
      </c>
      <c r="G1063" s="13">
        <v>23.921278000000001</v>
      </c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</row>
    <row r="1064" spans="1:19" x14ac:dyDescent="0.2">
      <c r="A1064" s="12" t="s">
        <v>221</v>
      </c>
      <c r="B1064" s="12" t="s">
        <v>573</v>
      </c>
      <c r="C1064" s="12" t="s">
        <v>560</v>
      </c>
      <c r="D1064" s="13">
        <v>0</v>
      </c>
      <c r="E1064" s="13">
        <v>0</v>
      </c>
      <c r="F1064" s="13">
        <v>0</v>
      </c>
      <c r="G1064" s="13">
        <v>0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</row>
    <row r="1065" spans="1:19" x14ac:dyDescent="0.2">
      <c r="A1065" s="12" t="s">
        <v>221</v>
      </c>
      <c r="B1065" s="12" t="s">
        <v>573</v>
      </c>
      <c r="C1065" s="12" t="s">
        <v>561</v>
      </c>
      <c r="D1065" s="13">
        <v>19</v>
      </c>
      <c r="E1065" s="13">
        <v>20.062999000000001</v>
      </c>
      <c r="F1065" s="13">
        <v>20.934214000000001</v>
      </c>
      <c r="G1065" s="13">
        <v>20.294457999999999</v>
      </c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</row>
    <row r="1066" spans="1:19" x14ac:dyDescent="0.2">
      <c r="A1066" s="12" t="s">
        <v>221</v>
      </c>
      <c r="B1066" s="12" t="s">
        <v>573</v>
      </c>
      <c r="C1066" s="12" t="s">
        <v>562</v>
      </c>
      <c r="D1066" s="13">
        <v>2</v>
      </c>
      <c r="E1066" s="13">
        <v>1.716998</v>
      </c>
      <c r="F1066" s="13">
        <v>1.772214</v>
      </c>
      <c r="G1066" s="13">
        <v>1.541174</v>
      </c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</row>
    <row r="1067" spans="1:19" x14ac:dyDescent="0.2">
      <c r="A1067" s="12" t="s">
        <v>221</v>
      </c>
      <c r="B1067" s="12" t="s">
        <v>573</v>
      </c>
      <c r="C1067" s="12" t="s">
        <v>563</v>
      </c>
      <c r="D1067" s="13">
        <v>0</v>
      </c>
      <c r="E1067" s="13">
        <v>0</v>
      </c>
      <c r="F1067" s="13">
        <v>0</v>
      </c>
      <c r="G1067" s="13">
        <v>0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</row>
    <row r="1068" spans="1:19" x14ac:dyDescent="0.2">
      <c r="A1068" s="12" t="s">
        <v>221</v>
      </c>
      <c r="B1068" s="12" t="s">
        <v>573</v>
      </c>
      <c r="C1068" s="12" t="s">
        <v>564</v>
      </c>
      <c r="D1068" s="13">
        <v>13</v>
      </c>
      <c r="E1068" s="13">
        <v>13.4</v>
      </c>
      <c r="F1068" s="13">
        <v>14.000002</v>
      </c>
      <c r="G1068" s="13">
        <v>13.443564</v>
      </c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</row>
    <row r="1069" spans="1:19" x14ac:dyDescent="0.2">
      <c r="A1069" s="12" t="s">
        <v>221</v>
      </c>
      <c r="B1069" s="12" t="s">
        <v>573</v>
      </c>
      <c r="C1069" s="12" t="s">
        <v>565</v>
      </c>
      <c r="D1069" s="13">
        <v>5</v>
      </c>
      <c r="E1069" s="13">
        <v>4.8760020000000006</v>
      </c>
      <c r="F1069" s="13">
        <v>5.082001</v>
      </c>
      <c r="G1069" s="13">
        <v>5.3007020000000002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</row>
    <row r="1070" spans="1:19" x14ac:dyDescent="0.2">
      <c r="A1070" s="12" t="s">
        <v>221</v>
      </c>
      <c r="B1070" s="12" t="s">
        <v>573</v>
      </c>
      <c r="C1070" s="12" t="s">
        <v>566</v>
      </c>
      <c r="D1070" s="13">
        <v>0</v>
      </c>
      <c r="E1070" s="13">
        <v>6.9998999999999992E-2</v>
      </c>
      <c r="F1070" s="13">
        <v>8.0001000000000003E-2</v>
      </c>
      <c r="G1070" s="13">
        <v>9.0180000000000017E-3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</row>
    <row r="1071" spans="1:19" x14ac:dyDescent="0.2">
      <c r="A1071" s="12" t="s">
        <v>221</v>
      </c>
      <c r="B1071" s="12" t="s">
        <v>574</v>
      </c>
      <c r="C1071" s="12" t="s">
        <v>554</v>
      </c>
      <c r="D1071" s="13">
        <v>184</v>
      </c>
      <c r="E1071" s="13">
        <v>184.532151</v>
      </c>
      <c r="F1071" s="13">
        <v>196.451401</v>
      </c>
      <c r="G1071" s="13">
        <v>192.615815</v>
      </c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</row>
    <row r="1072" spans="1:19" x14ac:dyDescent="0.2">
      <c r="A1072" s="12" t="s">
        <v>221</v>
      </c>
      <c r="B1072" s="12" t="s">
        <v>574</v>
      </c>
      <c r="C1072" s="12" t="s">
        <v>555</v>
      </c>
      <c r="D1072" s="13">
        <v>138</v>
      </c>
      <c r="E1072" s="13">
        <v>132.68093500000001</v>
      </c>
      <c r="F1072" s="13">
        <v>114.004751</v>
      </c>
      <c r="G1072" s="13">
        <v>99.318148000000008</v>
      </c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</row>
    <row r="1073" spans="1:19" x14ac:dyDescent="0.2">
      <c r="A1073" s="12" t="s">
        <v>221</v>
      </c>
      <c r="B1073" s="12" t="s">
        <v>574</v>
      </c>
      <c r="C1073" s="12" t="s">
        <v>556</v>
      </c>
      <c r="D1073" s="13">
        <v>-117</v>
      </c>
      <c r="E1073" s="13">
        <v>-129.44947500000001</v>
      </c>
      <c r="F1073" s="13">
        <v>-100.26976500000001</v>
      </c>
      <c r="G1073" s="13">
        <v>-92.634725000000003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</row>
    <row r="1074" spans="1:19" x14ac:dyDescent="0.2">
      <c r="A1074" s="12" t="s">
        <v>221</v>
      </c>
      <c r="B1074" s="12" t="s">
        <v>574</v>
      </c>
      <c r="C1074" s="12" t="s">
        <v>557</v>
      </c>
      <c r="D1074" s="13">
        <v>187</v>
      </c>
      <c r="E1074" s="13">
        <v>190.981188</v>
      </c>
      <c r="F1074" s="13">
        <v>200.99165500000001</v>
      </c>
      <c r="G1074" s="13">
        <v>177.24293599999999</v>
      </c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</row>
    <row r="1075" spans="1:19" x14ac:dyDescent="0.2">
      <c r="A1075" s="12" t="s">
        <v>221</v>
      </c>
      <c r="B1075" s="12" t="s">
        <v>574</v>
      </c>
      <c r="C1075" s="12" t="s">
        <v>558</v>
      </c>
      <c r="D1075" s="13">
        <v>-34</v>
      </c>
      <c r="E1075" s="13">
        <v>-40.564506000000002</v>
      </c>
      <c r="F1075" s="13">
        <v>-48.401784999999997</v>
      </c>
      <c r="G1075" s="13">
        <v>-33.367061999999997</v>
      </c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</row>
    <row r="1076" spans="1:19" x14ac:dyDescent="0.2">
      <c r="A1076" s="12" t="s">
        <v>221</v>
      </c>
      <c r="B1076" s="12" t="s">
        <v>574</v>
      </c>
      <c r="C1076" s="12" t="s">
        <v>560</v>
      </c>
      <c r="D1076" s="13">
        <v>0</v>
      </c>
      <c r="E1076" s="13">
        <v>0</v>
      </c>
      <c r="F1076" s="13">
        <v>0</v>
      </c>
      <c r="G1076" s="13">
        <v>0</v>
      </c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</row>
    <row r="1077" spans="1:19" x14ac:dyDescent="0.2">
      <c r="A1077" s="12" t="s">
        <v>221</v>
      </c>
      <c r="B1077" s="12" t="s">
        <v>574</v>
      </c>
      <c r="C1077" s="12" t="s">
        <v>561</v>
      </c>
      <c r="D1077" s="13">
        <v>122</v>
      </c>
      <c r="E1077" s="13">
        <v>123.528938</v>
      </c>
      <c r="F1077" s="13">
        <v>119.798236</v>
      </c>
      <c r="G1077" s="13">
        <v>113.58033500000001</v>
      </c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</row>
    <row r="1078" spans="1:19" x14ac:dyDescent="0.2">
      <c r="A1078" s="12" t="s">
        <v>221</v>
      </c>
      <c r="B1078" s="12" t="s">
        <v>574</v>
      </c>
      <c r="C1078" s="12" t="s">
        <v>562</v>
      </c>
      <c r="D1078" s="13">
        <v>17</v>
      </c>
      <c r="E1078" s="13">
        <v>16.075139</v>
      </c>
      <c r="F1078" s="13">
        <v>15.038345</v>
      </c>
      <c r="G1078" s="13">
        <v>14.125539</v>
      </c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</row>
    <row r="1079" spans="1:19" x14ac:dyDescent="0.2">
      <c r="A1079" s="12" t="s">
        <v>221</v>
      </c>
      <c r="B1079" s="12" t="s">
        <v>574</v>
      </c>
      <c r="C1079" s="12" t="s">
        <v>563</v>
      </c>
      <c r="D1079" s="13">
        <v>33</v>
      </c>
      <c r="E1079" s="13">
        <v>35.347468999999997</v>
      </c>
      <c r="F1079" s="13">
        <v>35.586632000000002</v>
      </c>
      <c r="G1079" s="13">
        <v>35.585090999999998</v>
      </c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</row>
    <row r="1080" spans="1:19" x14ac:dyDescent="0.2">
      <c r="A1080" s="12" t="s">
        <v>221</v>
      </c>
      <c r="B1080" s="12" t="s">
        <v>574</v>
      </c>
      <c r="C1080" s="12" t="s">
        <v>564</v>
      </c>
      <c r="D1080" s="13">
        <v>40</v>
      </c>
      <c r="E1080" s="13">
        <v>40.413187000000001</v>
      </c>
      <c r="F1080" s="13">
        <v>40.365105999999997</v>
      </c>
      <c r="G1080" s="13">
        <v>39.188803999999998</v>
      </c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</row>
    <row r="1081" spans="1:19" x14ac:dyDescent="0.2">
      <c r="A1081" s="12" t="s">
        <v>221</v>
      </c>
      <c r="B1081" s="12" t="s">
        <v>574</v>
      </c>
      <c r="C1081" s="12" t="s">
        <v>565</v>
      </c>
      <c r="D1081" s="13">
        <v>20</v>
      </c>
      <c r="E1081" s="13">
        <v>21.437417</v>
      </c>
      <c r="F1081" s="13">
        <v>19.083860999999999</v>
      </c>
      <c r="G1081" s="13">
        <v>15.126678</v>
      </c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</row>
    <row r="1082" spans="1:19" x14ac:dyDescent="0.2">
      <c r="A1082" s="12" t="s">
        <v>221</v>
      </c>
      <c r="B1082" s="12" t="s">
        <v>574</v>
      </c>
      <c r="C1082" s="12" t="s">
        <v>566</v>
      </c>
      <c r="D1082" s="13">
        <v>12</v>
      </c>
      <c r="E1082" s="13">
        <v>10.255735</v>
      </c>
      <c r="F1082" s="13">
        <v>9.7243200000000005</v>
      </c>
      <c r="G1082" s="13">
        <v>9.5542270000000009</v>
      </c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</row>
    <row r="1083" spans="1:19" x14ac:dyDescent="0.2">
      <c r="A1083" s="12" t="s">
        <v>225</v>
      </c>
      <c r="B1083" s="12" t="s">
        <v>553</v>
      </c>
      <c r="C1083" s="12" t="s">
        <v>554</v>
      </c>
      <c r="D1083" s="13">
        <v>24</v>
      </c>
      <c r="E1083" s="13">
        <v>10.241641</v>
      </c>
      <c r="F1083" s="13">
        <v>13.436639</v>
      </c>
      <c r="G1083" s="13">
        <v>13.440599000000001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</row>
    <row r="1084" spans="1:19" x14ac:dyDescent="0.2">
      <c r="A1084" s="12" t="s">
        <v>225</v>
      </c>
      <c r="B1084" s="12" t="s">
        <v>553</v>
      </c>
      <c r="C1084" s="12" t="s">
        <v>555</v>
      </c>
      <c r="D1084" s="13">
        <v>76</v>
      </c>
      <c r="E1084" s="13">
        <v>68.370716000000002</v>
      </c>
      <c r="F1084" s="13">
        <v>116.531606</v>
      </c>
      <c r="G1084" s="13">
        <v>54.927034999999997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</row>
    <row r="1085" spans="1:19" x14ac:dyDescent="0.2">
      <c r="A1085" s="12" t="s">
        <v>225</v>
      </c>
      <c r="B1085" s="12" t="s">
        <v>553</v>
      </c>
      <c r="C1085" s="12" t="s">
        <v>556</v>
      </c>
      <c r="D1085" s="13">
        <v>-4</v>
      </c>
      <c r="E1085" s="13">
        <v>-4.9376229999999994</v>
      </c>
      <c r="F1085" s="13">
        <v>-2.3420999999999998</v>
      </c>
      <c r="G1085" s="13">
        <v>-4.2047610000000004</v>
      </c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</row>
    <row r="1086" spans="1:19" x14ac:dyDescent="0.2">
      <c r="A1086" s="12" t="s">
        <v>225</v>
      </c>
      <c r="B1086" s="12" t="s">
        <v>553</v>
      </c>
      <c r="C1086" s="12" t="s">
        <v>557</v>
      </c>
      <c r="D1086" s="13">
        <v>120</v>
      </c>
      <c r="E1086" s="13">
        <v>126.213255</v>
      </c>
      <c r="F1086" s="13">
        <v>126.451178</v>
      </c>
      <c r="G1086" s="13">
        <v>98.348911999999999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</row>
    <row r="1087" spans="1:19" x14ac:dyDescent="0.2">
      <c r="A1087" s="12" t="s">
        <v>225</v>
      </c>
      <c r="B1087" s="12" t="s">
        <v>553</v>
      </c>
      <c r="C1087" s="12" t="s">
        <v>558</v>
      </c>
      <c r="D1087" s="13">
        <v>-72</v>
      </c>
      <c r="E1087" s="13">
        <v>-73.857248999999996</v>
      </c>
      <c r="F1087" s="13">
        <v>-80.518344999999997</v>
      </c>
      <c r="G1087" s="13">
        <v>-49.776328999999997</v>
      </c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</row>
    <row r="1088" spans="1:19" x14ac:dyDescent="0.2">
      <c r="A1088" s="12" t="s">
        <v>225</v>
      </c>
      <c r="B1088" s="12" t="s">
        <v>553</v>
      </c>
      <c r="C1088" s="12" t="s">
        <v>560</v>
      </c>
      <c r="D1088" s="13">
        <v>0</v>
      </c>
      <c r="E1088" s="13">
        <v>0</v>
      </c>
      <c r="F1088" s="13">
        <v>0</v>
      </c>
      <c r="G1088" s="13">
        <v>0</v>
      </c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</row>
    <row r="1089" spans="1:19" x14ac:dyDescent="0.2">
      <c r="A1089" s="12" t="s">
        <v>225</v>
      </c>
      <c r="B1089" s="12" t="s">
        <v>553</v>
      </c>
      <c r="C1089" s="12" t="s">
        <v>561</v>
      </c>
      <c r="D1089" s="13">
        <v>16</v>
      </c>
      <c r="E1089" s="13">
        <v>16.798877999999998</v>
      </c>
      <c r="F1089" s="13">
        <v>14.069076000000001</v>
      </c>
      <c r="G1089" s="13">
        <v>11.020645999999999</v>
      </c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</row>
    <row r="1090" spans="1:19" x14ac:dyDescent="0.2">
      <c r="A1090" s="12" t="s">
        <v>225</v>
      </c>
      <c r="B1090" s="12" t="s">
        <v>553</v>
      </c>
      <c r="C1090" s="12" t="s">
        <v>562</v>
      </c>
      <c r="D1090" s="13">
        <v>15</v>
      </c>
      <c r="E1090" s="13">
        <v>15.228246</v>
      </c>
      <c r="F1090" s="13">
        <v>12.632287</v>
      </c>
      <c r="G1090" s="13">
        <v>9.5622489999999996</v>
      </c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</row>
    <row r="1091" spans="1:19" x14ac:dyDescent="0.2">
      <c r="A1091" s="12" t="s">
        <v>225</v>
      </c>
      <c r="B1091" s="12" t="s">
        <v>553</v>
      </c>
      <c r="C1091" s="12" t="s">
        <v>563</v>
      </c>
      <c r="D1091" s="13">
        <v>0</v>
      </c>
      <c r="E1091" s="13">
        <v>0</v>
      </c>
      <c r="F1091" s="13">
        <v>0</v>
      </c>
      <c r="G1091" s="13">
        <v>0</v>
      </c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</row>
    <row r="1092" spans="1:19" x14ac:dyDescent="0.2">
      <c r="A1092" s="12" t="s">
        <v>225</v>
      </c>
      <c r="B1092" s="12" t="s">
        <v>553</v>
      </c>
      <c r="C1092" s="12" t="s">
        <v>564</v>
      </c>
      <c r="D1092" s="13">
        <v>0</v>
      </c>
      <c r="E1092" s="13">
        <v>0.167041</v>
      </c>
      <c r="F1092" s="13">
        <v>0.144478</v>
      </c>
      <c r="G1092" s="13">
        <v>0.14364099999999999</v>
      </c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</row>
    <row r="1093" spans="1:19" x14ac:dyDescent="0.2">
      <c r="A1093" s="12" t="s">
        <v>225</v>
      </c>
      <c r="B1093" s="12" t="s">
        <v>553</v>
      </c>
      <c r="C1093" s="12" t="s">
        <v>565</v>
      </c>
      <c r="D1093" s="13">
        <v>0</v>
      </c>
      <c r="E1093" s="13">
        <v>0.10440199999999999</v>
      </c>
      <c r="F1093" s="13">
        <v>0.1032</v>
      </c>
      <c r="G1093" s="13">
        <v>0.102602</v>
      </c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</row>
    <row r="1094" spans="1:19" x14ac:dyDescent="0.2">
      <c r="A1094" s="12" t="s">
        <v>225</v>
      </c>
      <c r="B1094" s="12" t="s">
        <v>553</v>
      </c>
      <c r="C1094" s="12" t="s">
        <v>566</v>
      </c>
      <c r="D1094" s="13">
        <v>1</v>
      </c>
      <c r="E1094" s="13">
        <v>1.299185</v>
      </c>
      <c r="F1094" s="13">
        <v>1.189106</v>
      </c>
      <c r="G1094" s="13">
        <v>1.212154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</row>
    <row r="1095" spans="1:19" x14ac:dyDescent="0.2">
      <c r="A1095" s="12" t="s">
        <v>225</v>
      </c>
      <c r="B1095" s="12" t="s">
        <v>567</v>
      </c>
      <c r="C1095" s="12" t="s">
        <v>554</v>
      </c>
      <c r="D1095" s="13">
        <v>0</v>
      </c>
      <c r="E1095" s="13">
        <v>0</v>
      </c>
      <c r="F1095" s="13">
        <v>0</v>
      </c>
      <c r="G1095" s="13">
        <v>0</v>
      </c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</row>
    <row r="1096" spans="1:19" x14ac:dyDescent="0.2">
      <c r="A1096" s="12" t="s">
        <v>225</v>
      </c>
      <c r="B1096" s="12" t="s">
        <v>567</v>
      </c>
      <c r="C1096" s="12" t="s">
        <v>555</v>
      </c>
      <c r="D1096" s="13">
        <v>487</v>
      </c>
      <c r="E1096" s="13">
        <v>360.151701</v>
      </c>
      <c r="F1096" s="13">
        <v>421.75030199999998</v>
      </c>
      <c r="G1096" s="13">
        <v>444.41548100000011</v>
      </c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</row>
    <row r="1097" spans="1:19" x14ac:dyDescent="0.2">
      <c r="A1097" s="12" t="s">
        <v>225</v>
      </c>
      <c r="B1097" s="12" t="s">
        <v>567</v>
      </c>
      <c r="C1097" s="12" t="s">
        <v>556</v>
      </c>
      <c r="D1097" s="13">
        <v>0</v>
      </c>
      <c r="E1097" s="13">
        <v>0</v>
      </c>
      <c r="F1097" s="13">
        <v>0</v>
      </c>
      <c r="G1097" s="13">
        <v>0</v>
      </c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</row>
    <row r="1098" spans="1:19" x14ac:dyDescent="0.2">
      <c r="A1098" s="12" t="s">
        <v>225</v>
      </c>
      <c r="B1098" s="12" t="s">
        <v>567</v>
      </c>
      <c r="C1098" s="12" t="s">
        <v>557</v>
      </c>
      <c r="D1098" s="13">
        <v>495</v>
      </c>
      <c r="E1098" s="13">
        <v>358.00468100000001</v>
      </c>
      <c r="F1098" s="13">
        <v>424.61059799999998</v>
      </c>
      <c r="G1098" s="13">
        <v>460.93027999999998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</row>
    <row r="1099" spans="1:19" x14ac:dyDescent="0.2">
      <c r="A1099" s="12" t="s">
        <v>225</v>
      </c>
      <c r="B1099" s="12" t="s">
        <v>567</v>
      </c>
      <c r="C1099" s="12" t="s">
        <v>558</v>
      </c>
      <c r="D1099" s="13">
        <v>0</v>
      </c>
      <c r="E1099" s="13">
        <v>0</v>
      </c>
      <c r="F1099" s="13">
        <v>0</v>
      </c>
      <c r="G1099" s="13">
        <v>0</v>
      </c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</row>
    <row r="1100" spans="1:19" x14ac:dyDescent="0.2">
      <c r="A1100" s="12" t="s">
        <v>225</v>
      </c>
      <c r="B1100" s="12" t="s">
        <v>567</v>
      </c>
      <c r="C1100" s="12" t="s">
        <v>560</v>
      </c>
      <c r="D1100" s="13">
        <v>-586</v>
      </c>
      <c r="E1100" s="13">
        <v>-437.78261800000001</v>
      </c>
      <c r="F1100" s="13">
        <v>-515.43107400000008</v>
      </c>
      <c r="G1100" s="13">
        <v>-516.73520400000007</v>
      </c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</row>
    <row r="1101" spans="1:19" x14ac:dyDescent="0.2">
      <c r="A1101" s="12" t="s">
        <v>225</v>
      </c>
      <c r="B1101" s="12" t="s">
        <v>567</v>
      </c>
      <c r="C1101" s="12" t="s">
        <v>561</v>
      </c>
      <c r="D1101" s="13">
        <v>0</v>
      </c>
      <c r="E1101" s="13">
        <v>0</v>
      </c>
      <c r="F1101" s="13">
        <v>0</v>
      </c>
      <c r="G1101" s="13">
        <v>0</v>
      </c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</row>
    <row r="1102" spans="1:19" x14ac:dyDescent="0.2">
      <c r="A1102" s="12" t="s">
        <v>225</v>
      </c>
      <c r="B1102" s="12" t="s">
        <v>567</v>
      </c>
      <c r="C1102" s="12" t="s">
        <v>562</v>
      </c>
      <c r="D1102" s="13">
        <v>0</v>
      </c>
      <c r="E1102" s="13">
        <v>0</v>
      </c>
      <c r="F1102" s="13">
        <v>0</v>
      </c>
      <c r="G1102" s="13">
        <v>0</v>
      </c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</row>
    <row r="1103" spans="1:19" x14ac:dyDescent="0.2">
      <c r="A1103" s="12" t="s">
        <v>225</v>
      </c>
      <c r="B1103" s="12" t="s">
        <v>567</v>
      </c>
      <c r="C1103" s="12" t="s">
        <v>563</v>
      </c>
      <c r="D1103" s="13">
        <v>0</v>
      </c>
      <c r="E1103" s="13">
        <v>0</v>
      </c>
      <c r="F1103" s="13">
        <v>0</v>
      </c>
      <c r="G1103" s="13">
        <v>0</v>
      </c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</row>
    <row r="1104" spans="1:19" x14ac:dyDescent="0.2">
      <c r="A1104" s="12" t="s">
        <v>225</v>
      </c>
      <c r="B1104" s="12" t="s">
        <v>567</v>
      </c>
      <c r="C1104" s="12" t="s">
        <v>564</v>
      </c>
      <c r="D1104" s="13">
        <v>0</v>
      </c>
      <c r="E1104" s="13">
        <v>0</v>
      </c>
      <c r="F1104" s="13">
        <v>0</v>
      </c>
      <c r="G1104" s="13">
        <v>0</v>
      </c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</row>
    <row r="1105" spans="1:19" x14ac:dyDescent="0.2">
      <c r="A1105" s="12" t="s">
        <v>225</v>
      </c>
      <c r="B1105" s="12" t="s">
        <v>567</v>
      </c>
      <c r="C1105" s="12" t="s">
        <v>565</v>
      </c>
      <c r="D1105" s="13">
        <v>0</v>
      </c>
      <c r="E1105" s="13">
        <v>0</v>
      </c>
      <c r="F1105" s="13">
        <v>0</v>
      </c>
      <c r="G1105" s="13">
        <v>0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</row>
    <row r="1106" spans="1:19" x14ac:dyDescent="0.2">
      <c r="A1106" s="12" t="s">
        <v>225</v>
      </c>
      <c r="B1106" s="12" t="s">
        <v>567</v>
      </c>
      <c r="C1106" s="12" t="s">
        <v>566</v>
      </c>
      <c r="D1106" s="13">
        <v>0</v>
      </c>
      <c r="E1106" s="13">
        <v>0</v>
      </c>
      <c r="F1106" s="13">
        <v>0</v>
      </c>
      <c r="G1106" s="13">
        <v>0</v>
      </c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</row>
    <row r="1107" spans="1:19" x14ac:dyDescent="0.2">
      <c r="A1107" s="12" t="s">
        <v>225</v>
      </c>
      <c r="B1107" s="12" t="s">
        <v>568</v>
      </c>
      <c r="C1107" s="12" t="s">
        <v>554</v>
      </c>
      <c r="D1107" s="13">
        <v>0</v>
      </c>
      <c r="E1107" s="13">
        <v>0</v>
      </c>
      <c r="F1107" s="13">
        <v>0</v>
      </c>
      <c r="G1107" s="13">
        <v>0</v>
      </c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</row>
    <row r="1108" spans="1:19" x14ac:dyDescent="0.2">
      <c r="A1108" s="12" t="s">
        <v>225</v>
      </c>
      <c r="B1108" s="12" t="s">
        <v>568</v>
      </c>
      <c r="C1108" s="12" t="s">
        <v>555</v>
      </c>
      <c r="D1108" s="13">
        <v>233</v>
      </c>
      <c r="E1108" s="13">
        <v>216.52019899999999</v>
      </c>
      <c r="F1108" s="13">
        <v>256.79080099999999</v>
      </c>
      <c r="G1108" s="13">
        <v>185.65279799999999</v>
      </c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</row>
    <row r="1109" spans="1:19" x14ac:dyDescent="0.2">
      <c r="A1109" s="12" t="s">
        <v>225</v>
      </c>
      <c r="B1109" s="12" t="s">
        <v>568</v>
      </c>
      <c r="C1109" s="12" t="s">
        <v>556</v>
      </c>
      <c r="D1109" s="13">
        <v>-372</v>
      </c>
      <c r="E1109" s="13">
        <v>-275.97319800000002</v>
      </c>
      <c r="F1109" s="13">
        <v>-333.91320100000002</v>
      </c>
      <c r="G1109" s="13">
        <v>-337.84000099999997</v>
      </c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</row>
    <row r="1110" spans="1:19" x14ac:dyDescent="0.2">
      <c r="A1110" s="12" t="s">
        <v>225</v>
      </c>
      <c r="B1110" s="12" t="s">
        <v>568</v>
      </c>
      <c r="C1110" s="12" t="s">
        <v>557</v>
      </c>
      <c r="D1110" s="13">
        <v>-182</v>
      </c>
      <c r="E1110" s="13">
        <v>-68.156200999999996</v>
      </c>
      <c r="F1110" s="13">
        <v>-124.55879899999999</v>
      </c>
      <c r="G1110" s="13">
        <v>-164.59339900000001</v>
      </c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</row>
    <row r="1111" spans="1:19" x14ac:dyDescent="0.2">
      <c r="A1111" s="12" t="s">
        <v>225</v>
      </c>
      <c r="B1111" s="12" t="s">
        <v>568</v>
      </c>
      <c r="C1111" s="12" t="s">
        <v>558</v>
      </c>
      <c r="D1111" s="13">
        <v>-9</v>
      </c>
      <c r="E1111" s="13">
        <v>-10.607704</v>
      </c>
      <c r="F1111" s="13">
        <v>-17.618016000000001</v>
      </c>
      <c r="G1111" s="13">
        <v>-11.541224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</row>
    <row r="1112" spans="1:19" x14ac:dyDescent="0.2">
      <c r="A1112" s="12" t="s">
        <v>225</v>
      </c>
      <c r="B1112" s="12" t="s">
        <v>568</v>
      </c>
      <c r="C1112" s="12" t="s">
        <v>560</v>
      </c>
      <c r="D1112" s="13">
        <v>581</v>
      </c>
      <c r="E1112" s="13">
        <v>420.54449899999997</v>
      </c>
      <c r="F1112" s="13">
        <v>511.90889900000002</v>
      </c>
      <c r="G1112" s="13">
        <v>518.245001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</row>
    <row r="1113" spans="1:19" x14ac:dyDescent="0.2">
      <c r="A1113" s="12" t="s">
        <v>225</v>
      </c>
      <c r="B1113" s="12" t="s">
        <v>568</v>
      </c>
      <c r="C1113" s="12" t="s">
        <v>561</v>
      </c>
      <c r="D1113" s="13">
        <v>294</v>
      </c>
      <c r="E1113" s="13">
        <v>275.521413</v>
      </c>
      <c r="F1113" s="13">
        <v>274.79757400000011</v>
      </c>
      <c r="G1113" s="13">
        <v>244.73887500000001</v>
      </c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</row>
    <row r="1114" spans="1:19" x14ac:dyDescent="0.2">
      <c r="A1114" s="12" t="s">
        <v>225</v>
      </c>
      <c r="B1114" s="12" t="s">
        <v>568</v>
      </c>
      <c r="C1114" s="12" t="s">
        <v>562</v>
      </c>
      <c r="D1114" s="13">
        <v>41</v>
      </c>
      <c r="E1114" s="13">
        <v>41.561535000000013</v>
      </c>
      <c r="F1114" s="13">
        <v>43.039492000000003</v>
      </c>
      <c r="G1114" s="13">
        <v>37.639628999999999</v>
      </c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</row>
    <row r="1115" spans="1:19" x14ac:dyDescent="0.2">
      <c r="A1115" s="12" t="s">
        <v>225</v>
      </c>
      <c r="B1115" s="12" t="s">
        <v>568</v>
      </c>
      <c r="C1115" s="12" t="s">
        <v>563</v>
      </c>
      <c r="D1115" s="13">
        <v>142</v>
      </c>
      <c r="E1115" s="13">
        <v>135.75969900000001</v>
      </c>
      <c r="F1115" s="13">
        <v>133.19379799999999</v>
      </c>
      <c r="G1115" s="13">
        <v>128.03520800000001</v>
      </c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</row>
    <row r="1116" spans="1:19" x14ac:dyDescent="0.2">
      <c r="A1116" s="12" t="s">
        <v>225</v>
      </c>
      <c r="B1116" s="12" t="s">
        <v>568</v>
      </c>
      <c r="C1116" s="12" t="s">
        <v>564</v>
      </c>
      <c r="D1116" s="13">
        <v>11</v>
      </c>
      <c r="E1116" s="13">
        <v>9.9313870000000009</v>
      </c>
      <c r="F1116" s="13">
        <v>7.4591950000000002</v>
      </c>
      <c r="G1116" s="13">
        <v>4.406498</v>
      </c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</row>
    <row r="1117" spans="1:19" x14ac:dyDescent="0.2">
      <c r="A1117" s="12" t="s">
        <v>225</v>
      </c>
      <c r="B1117" s="12" t="s">
        <v>568</v>
      </c>
      <c r="C1117" s="12" t="s">
        <v>565</v>
      </c>
      <c r="D1117" s="13">
        <v>10</v>
      </c>
      <c r="E1117" s="13">
        <v>11.250183</v>
      </c>
      <c r="F1117" s="13">
        <v>10.49395</v>
      </c>
      <c r="G1117" s="13">
        <v>10.463835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</row>
    <row r="1118" spans="1:19" x14ac:dyDescent="0.2">
      <c r="A1118" s="12" t="s">
        <v>225</v>
      </c>
      <c r="B1118" s="12" t="s">
        <v>568</v>
      </c>
      <c r="C1118" s="12" t="s">
        <v>566</v>
      </c>
      <c r="D1118" s="13">
        <v>90</v>
      </c>
      <c r="E1118" s="13">
        <v>77.018610999999993</v>
      </c>
      <c r="F1118" s="13">
        <v>80.611136000000002</v>
      </c>
      <c r="G1118" s="13">
        <v>64.193708999999998</v>
      </c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</row>
    <row r="1119" spans="1:19" x14ac:dyDescent="0.2">
      <c r="A1119" s="12" t="s">
        <v>225</v>
      </c>
      <c r="B1119" s="12" t="s">
        <v>569</v>
      </c>
      <c r="C1119" s="12" t="s">
        <v>554</v>
      </c>
      <c r="D1119" s="13">
        <v>0</v>
      </c>
      <c r="E1119" s="13">
        <v>0</v>
      </c>
      <c r="F1119" s="13">
        <v>0</v>
      </c>
      <c r="G1119" s="13">
        <v>0</v>
      </c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</row>
    <row r="1120" spans="1:19" x14ac:dyDescent="0.2">
      <c r="A1120" s="12" t="s">
        <v>225</v>
      </c>
      <c r="B1120" s="12" t="s">
        <v>569</v>
      </c>
      <c r="C1120" s="12" t="s">
        <v>555</v>
      </c>
      <c r="D1120" s="13">
        <v>89</v>
      </c>
      <c r="E1120" s="13">
        <v>88.599600000000009</v>
      </c>
      <c r="F1120" s="13">
        <v>47.628898999999997</v>
      </c>
      <c r="G1120" s="13">
        <v>61.748998999999998</v>
      </c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</row>
    <row r="1121" spans="1:19" x14ac:dyDescent="0.2">
      <c r="A1121" s="12" t="s">
        <v>225</v>
      </c>
      <c r="B1121" s="12" t="s">
        <v>569</v>
      </c>
      <c r="C1121" s="12" t="s">
        <v>556</v>
      </c>
      <c r="D1121" s="13">
        <v>0</v>
      </c>
      <c r="E1121" s="13">
        <v>0</v>
      </c>
      <c r="F1121" s="13">
        <v>0</v>
      </c>
      <c r="G1121" s="13">
        <v>-5.9346009999999998</v>
      </c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</row>
    <row r="1122" spans="1:19" x14ac:dyDescent="0.2">
      <c r="A1122" s="12" t="s">
        <v>225</v>
      </c>
      <c r="B1122" s="12" t="s">
        <v>569</v>
      </c>
      <c r="C1122" s="12" t="s">
        <v>557</v>
      </c>
      <c r="D1122" s="13">
        <v>88</v>
      </c>
      <c r="E1122" s="13">
        <v>88.878600000000006</v>
      </c>
      <c r="F1122" s="13">
        <v>46.133102000000001</v>
      </c>
      <c r="G1122" s="13">
        <v>52.938899999999997</v>
      </c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</row>
    <row r="1123" spans="1:19" x14ac:dyDescent="0.2">
      <c r="A1123" s="12" t="s">
        <v>225</v>
      </c>
      <c r="B1123" s="12" t="s">
        <v>569</v>
      </c>
      <c r="C1123" s="12" t="s">
        <v>558</v>
      </c>
      <c r="D1123" s="13">
        <v>-41</v>
      </c>
      <c r="E1123" s="13">
        <v>-40.306500999999997</v>
      </c>
      <c r="F1123" s="13">
        <v>-12.657597000000001</v>
      </c>
      <c r="G1123" s="13">
        <v>-17.112598999999999</v>
      </c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</row>
    <row r="1124" spans="1:19" x14ac:dyDescent="0.2">
      <c r="A1124" s="12" t="s">
        <v>225</v>
      </c>
      <c r="B1124" s="12" t="s">
        <v>569</v>
      </c>
      <c r="C1124" s="12" t="s">
        <v>560</v>
      </c>
      <c r="D1124" s="13">
        <v>0</v>
      </c>
      <c r="E1124" s="13">
        <v>0</v>
      </c>
      <c r="F1124" s="13">
        <v>0</v>
      </c>
      <c r="G1124" s="13">
        <v>0</v>
      </c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</row>
    <row r="1125" spans="1:19" x14ac:dyDescent="0.2">
      <c r="A1125" s="12" t="s">
        <v>225</v>
      </c>
      <c r="B1125" s="12" t="s">
        <v>569</v>
      </c>
      <c r="C1125" s="12" t="s">
        <v>561</v>
      </c>
      <c r="D1125" s="13">
        <v>30</v>
      </c>
      <c r="E1125" s="13">
        <v>34.186498999999998</v>
      </c>
      <c r="F1125" s="13">
        <v>27.908999000000001</v>
      </c>
      <c r="G1125" s="13">
        <v>24.796800000000001</v>
      </c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</row>
    <row r="1126" spans="1:19" x14ac:dyDescent="0.2">
      <c r="A1126" s="12" t="s">
        <v>225</v>
      </c>
      <c r="B1126" s="12" t="s">
        <v>569</v>
      </c>
      <c r="C1126" s="12" t="s">
        <v>562</v>
      </c>
      <c r="D1126" s="13">
        <v>27</v>
      </c>
      <c r="E1126" s="13">
        <v>28.824300999999998</v>
      </c>
      <c r="F1126" s="13">
        <v>23.053501000000001</v>
      </c>
      <c r="G1126" s="13">
        <v>21.006</v>
      </c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</row>
    <row r="1127" spans="1:19" x14ac:dyDescent="0.2">
      <c r="A1127" s="12" t="s">
        <v>225</v>
      </c>
      <c r="B1127" s="12" t="s">
        <v>569</v>
      </c>
      <c r="C1127" s="12" t="s">
        <v>563</v>
      </c>
      <c r="D1127" s="13">
        <v>1</v>
      </c>
      <c r="E1127" s="13">
        <v>0.95579999999999998</v>
      </c>
      <c r="F1127" s="13">
        <v>0.96839800000000009</v>
      </c>
      <c r="G1127" s="13">
        <v>1.056602</v>
      </c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</row>
    <row r="1128" spans="1:19" x14ac:dyDescent="0.2">
      <c r="A1128" s="12" t="s">
        <v>225</v>
      </c>
      <c r="B1128" s="12" t="s">
        <v>569</v>
      </c>
      <c r="C1128" s="12" t="s">
        <v>564</v>
      </c>
      <c r="D1128" s="13">
        <v>1</v>
      </c>
      <c r="E1128" s="13">
        <v>1.1727019999999999</v>
      </c>
      <c r="F1128" s="13">
        <v>0.79740099999999992</v>
      </c>
      <c r="G1128" s="13">
        <v>0.36899900000000002</v>
      </c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</row>
    <row r="1129" spans="1:19" x14ac:dyDescent="0.2">
      <c r="A1129" s="12" t="s">
        <v>225</v>
      </c>
      <c r="B1129" s="12" t="s">
        <v>569</v>
      </c>
      <c r="C1129" s="12" t="s">
        <v>565</v>
      </c>
      <c r="D1129" s="13">
        <v>1</v>
      </c>
      <c r="E1129" s="13">
        <v>1.2293989999999999</v>
      </c>
      <c r="F1129" s="13">
        <v>1.0080009999999999</v>
      </c>
      <c r="G1129" s="13">
        <v>0.56340099999999993</v>
      </c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</row>
    <row r="1130" spans="1:19" x14ac:dyDescent="0.2">
      <c r="A1130" s="12" t="s">
        <v>225</v>
      </c>
      <c r="B1130" s="12" t="s">
        <v>569</v>
      </c>
      <c r="C1130" s="12" t="s">
        <v>566</v>
      </c>
      <c r="D1130" s="13">
        <v>1</v>
      </c>
      <c r="E1130" s="13">
        <v>2.0043009999999999</v>
      </c>
      <c r="F1130" s="13">
        <v>2.0817019999999999</v>
      </c>
      <c r="G1130" s="13">
        <v>1.801798</v>
      </c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</row>
    <row r="1131" spans="1:19" x14ac:dyDescent="0.2">
      <c r="A1131" s="12" t="s">
        <v>225</v>
      </c>
      <c r="B1131" s="12" t="s">
        <v>570</v>
      </c>
      <c r="C1131" s="12" t="s">
        <v>554</v>
      </c>
      <c r="D1131" s="13">
        <v>254</v>
      </c>
      <c r="E1131" s="13">
        <v>257.43272899999999</v>
      </c>
      <c r="F1131" s="13">
        <v>276.39272799999998</v>
      </c>
      <c r="G1131" s="13">
        <v>374.269093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</row>
    <row r="1132" spans="1:19" x14ac:dyDescent="0.2">
      <c r="A1132" s="12" t="s">
        <v>225</v>
      </c>
      <c r="B1132" s="12" t="s">
        <v>570</v>
      </c>
      <c r="C1132" s="12" t="s">
        <v>555</v>
      </c>
      <c r="D1132" s="13">
        <v>0</v>
      </c>
      <c r="E1132" s="13">
        <v>0</v>
      </c>
      <c r="F1132" s="13">
        <v>0</v>
      </c>
      <c r="G1132" s="13">
        <v>0</v>
      </c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</row>
    <row r="1133" spans="1:19" x14ac:dyDescent="0.2">
      <c r="A1133" s="12" t="s">
        <v>225</v>
      </c>
      <c r="B1133" s="12" t="s">
        <v>570</v>
      </c>
      <c r="C1133" s="12" t="s">
        <v>556</v>
      </c>
      <c r="D1133" s="13">
        <v>0</v>
      </c>
      <c r="E1133" s="13">
        <v>0</v>
      </c>
      <c r="F1133" s="13">
        <v>0</v>
      </c>
      <c r="G1133" s="13">
        <v>0</v>
      </c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</row>
    <row r="1134" spans="1:19" x14ac:dyDescent="0.2">
      <c r="A1134" s="12" t="s">
        <v>225</v>
      </c>
      <c r="B1134" s="12" t="s">
        <v>570</v>
      </c>
      <c r="C1134" s="12" t="s">
        <v>557</v>
      </c>
      <c r="D1134" s="13">
        <v>254</v>
      </c>
      <c r="E1134" s="13">
        <v>257.43272899999999</v>
      </c>
      <c r="F1134" s="13">
        <v>276.39272799999998</v>
      </c>
      <c r="G1134" s="13">
        <v>374.269093</v>
      </c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</row>
    <row r="1135" spans="1:19" x14ac:dyDescent="0.2">
      <c r="A1135" s="12" t="s">
        <v>225</v>
      </c>
      <c r="B1135" s="12" t="s">
        <v>570</v>
      </c>
      <c r="C1135" s="12" t="s">
        <v>558</v>
      </c>
      <c r="D1135" s="13">
        <v>-254</v>
      </c>
      <c r="E1135" s="13">
        <v>-257.43272899999999</v>
      </c>
      <c r="F1135" s="13">
        <v>-276.39272799999998</v>
      </c>
      <c r="G1135" s="13">
        <v>-374.269093</v>
      </c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</row>
    <row r="1136" spans="1:19" x14ac:dyDescent="0.2">
      <c r="A1136" s="12" t="s">
        <v>225</v>
      </c>
      <c r="B1136" s="12" t="s">
        <v>570</v>
      </c>
      <c r="C1136" s="12" t="s">
        <v>560</v>
      </c>
      <c r="D1136" s="13">
        <v>0</v>
      </c>
      <c r="E1136" s="13">
        <v>0</v>
      </c>
      <c r="F1136" s="13">
        <v>0</v>
      </c>
      <c r="G1136" s="13">
        <v>0</v>
      </c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</row>
    <row r="1137" spans="1:19" x14ac:dyDescent="0.2">
      <c r="A1137" s="12" t="s">
        <v>225</v>
      </c>
      <c r="B1137" s="12" t="s">
        <v>570</v>
      </c>
      <c r="C1137" s="12" t="s">
        <v>561</v>
      </c>
      <c r="D1137" s="13">
        <v>0</v>
      </c>
      <c r="E1137" s="13">
        <v>0</v>
      </c>
      <c r="F1137" s="13">
        <v>0</v>
      </c>
      <c r="G1137" s="13">
        <v>0</v>
      </c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</row>
    <row r="1138" spans="1:19" x14ac:dyDescent="0.2">
      <c r="A1138" s="12" t="s">
        <v>225</v>
      </c>
      <c r="B1138" s="12" t="s">
        <v>570</v>
      </c>
      <c r="C1138" s="12" t="s">
        <v>562</v>
      </c>
      <c r="D1138" s="13">
        <v>0</v>
      </c>
      <c r="E1138" s="13">
        <v>0</v>
      </c>
      <c r="F1138" s="13">
        <v>0</v>
      </c>
      <c r="G1138" s="13">
        <v>0</v>
      </c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</row>
    <row r="1139" spans="1:19" x14ac:dyDescent="0.2">
      <c r="A1139" s="12" t="s">
        <v>225</v>
      </c>
      <c r="B1139" s="12" t="s">
        <v>570</v>
      </c>
      <c r="C1139" s="12" t="s">
        <v>563</v>
      </c>
      <c r="D1139" s="13">
        <v>0</v>
      </c>
      <c r="E1139" s="13">
        <v>0</v>
      </c>
      <c r="F1139" s="13">
        <v>0</v>
      </c>
      <c r="G1139" s="13">
        <v>0</v>
      </c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</row>
    <row r="1140" spans="1:19" x14ac:dyDescent="0.2">
      <c r="A1140" s="12" t="s">
        <v>225</v>
      </c>
      <c r="B1140" s="12" t="s">
        <v>570</v>
      </c>
      <c r="C1140" s="12" t="s">
        <v>564</v>
      </c>
      <c r="D1140" s="13">
        <v>0</v>
      </c>
      <c r="E1140" s="13">
        <v>0</v>
      </c>
      <c r="F1140" s="13">
        <v>0</v>
      </c>
      <c r="G1140" s="13">
        <v>0</v>
      </c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</row>
    <row r="1141" spans="1:19" x14ac:dyDescent="0.2">
      <c r="A1141" s="12" t="s">
        <v>225</v>
      </c>
      <c r="B1141" s="12" t="s">
        <v>570</v>
      </c>
      <c r="C1141" s="12" t="s">
        <v>565</v>
      </c>
      <c r="D1141" s="13">
        <v>0</v>
      </c>
      <c r="E1141" s="13">
        <v>0</v>
      </c>
      <c r="F1141" s="13">
        <v>0</v>
      </c>
      <c r="G1141" s="13">
        <v>0</v>
      </c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</row>
    <row r="1142" spans="1:19" x14ac:dyDescent="0.2">
      <c r="A1142" s="12" t="s">
        <v>225</v>
      </c>
      <c r="B1142" s="12" t="s">
        <v>570</v>
      </c>
      <c r="C1142" s="12" t="s">
        <v>566</v>
      </c>
      <c r="D1142" s="13">
        <v>0</v>
      </c>
      <c r="E1142" s="13">
        <v>0</v>
      </c>
      <c r="F1142" s="13">
        <v>0</v>
      </c>
      <c r="G1142" s="13">
        <v>0</v>
      </c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</row>
    <row r="1143" spans="1:19" x14ac:dyDescent="0.2">
      <c r="A1143" s="12" t="s">
        <v>225</v>
      </c>
      <c r="B1143" s="12" t="s">
        <v>571</v>
      </c>
      <c r="C1143" s="12" t="s">
        <v>554</v>
      </c>
      <c r="D1143" s="13">
        <v>471</v>
      </c>
      <c r="E1143" s="13">
        <v>535.47078600000009</v>
      </c>
      <c r="F1143" s="13">
        <v>512.048495</v>
      </c>
      <c r="G1143" s="13">
        <v>525.11093500000004</v>
      </c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</row>
    <row r="1144" spans="1:19" x14ac:dyDescent="0.2">
      <c r="A1144" s="12" t="s">
        <v>225</v>
      </c>
      <c r="B1144" s="12" t="s">
        <v>571</v>
      </c>
      <c r="C1144" s="12" t="s">
        <v>555</v>
      </c>
      <c r="D1144" s="13">
        <v>24</v>
      </c>
      <c r="E1144" s="13">
        <v>26.543341000000002</v>
      </c>
      <c r="F1144" s="13">
        <v>16.952722000000001</v>
      </c>
      <c r="G1144" s="13">
        <v>19.923787999999998</v>
      </c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</row>
    <row r="1145" spans="1:19" x14ac:dyDescent="0.2">
      <c r="A1145" s="12" t="s">
        <v>225</v>
      </c>
      <c r="B1145" s="12" t="s">
        <v>571</v>
      </c>
      <c r="C1145" s="12" t="s">
        <v>556</v>
      </c>
      <c r="D1145" s="13">
        <v>-4</v>
      </c>
      <c r="E1145" s="13">
        <v>-5.0059009999999997</v>
      </c>
      <c r="F1145" s="13">
        <v>-8.0791050000000002</v>
      </c>
      <c r="G1145" s="13">
        <v>-9.7023979999999987</v>
      </c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</row>
    <row r="1146" spans="1:19" x14ac:dyDescent="0.2">
      <c r="A1146" s="12" t="s">
        <v>225</v>
      </c>
      <c r="B1146" s="12" t="s">
        <v>571</v>
      </c>
      <c r="C1146" s="12" t="s">
        <v>557</v>
      </c>
      <c r="D1146" s="13">
        <v>491</v>
      </c>
      <c r="E1146" s="13">
        <v>557.0118470000001</v>
      </c>
      <c r="F1146" s="13">
        <v>520.885222</v>
      </c>
      <c r="G1146" s="13">
        <v>535.00460299999997</v>
      </c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</row>
    <row r="1147" spans="1:19" x14ac:dyDescent="0.2">
      <c r="A1147" s="12" t="s">
        <v>225</v>
      </c>
      <c r="B1147" s="12" t="s">
        <v>571</v>
      </c>
      <c r="C1147" s="12" t="s">
        <v>558</v>
      </c>
      <c r="D1147" s="13">
        <v>-248</v>
      </c>
      <c r="E1147" s="13">
        <v>-286.49662799999999</v>
      </c>
      <c r="F1147" s="13">
        <v>-283.44601699999998</v>
      </c>
      <c r="G1147" s="13">
        <v>-297.88439399999999</v>
      </c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</row>
    <row r="1148" spans="1:19" x14ac:dyDescent="0.2">
      <c r="A1148" s="12" t="s">
        <v>225</v>
      </c>
      <c r="B1148" s="12" t="s">
        <v>571</v>
      </c>
      <c r="C1148" s="12" t="s">
        <v>560</v>
      </c>
      <c r="D1148" s="13">
        <v>0</v>
      </c>
      <c r="E1148" s="13">
        <v>0</v>
      </c>
      <c r="F1148" s="13">
        <v>0</v>
      </c>
      <c r="G1148" s="13">
        <v>0</v>
      </c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</row>
    <row r="1149" spans="1:19" x14ac:dyDescent="0.2">
      <c r="A1149" s="12" t="s">
        <v>225</v>
      </c>
      <c r="B1149" s="12" t="s">
        <v>571</v>
      </c>
      <c r="C1149" s="12" t="s">
        <v>561</v>
      </c>
      <c r="D1149" s="13">
        <v>241</v>
      </c>
      <c r="E1149" s="13">
        <v>268.40319599999998</v>
      </c>
      <c r="F1149" s="13">
        <v>235.08960300000001</v>
      </c>
      <c r="G1149" s="13">
        <v>234.92356699999999</v>
      </c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</row>
    <row r="1150" spans="1:19" x14ac:dyDescent="0.2">
      <c r="A1150" s="12" t="s">
        <v>225</v>
      </c>
      <c r="B1150" s="12" t="s">
        <v>571</v>
      </c>
      <c r="C1150" s="12" t="s">
        <v>562</v>
      </c>
      <c r="D1150" s="13">
        <v>167</v>
      </c>
      <c r="E1150" s="13">
        <v>174.39380199999999</v>
      </c>
      <c r="F1150" s="13">
        <v>150.65759800000001</v>
      </c>
      <c r="G1150" s="13">
        <v>151.45481899999999</v>
      </c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</row>
    <row r="1151" spans="1:19" x14ac:dyDescent="0.2">
      <c r="A1151" s="12" t="s">
        <v>225</v>
      </c>
      <c r="B1151" s="12" t="s">
        <v>571</v>
      </c>
      <c r="C1151" s="12" t="s">
        <v>563</v>
      </c>
      <c r="D1151" s="13">
        <v>17</v>
      </c>
      <c r="E1151" s="13">
        <v>28.311790999999999</v>
      </c>
      <c r="F1151" s="13">
        <v>23.196466999999998</v>
      </c>
      <c r="G1151" s="13">
        <v>24.057064</v>
      </c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</row>
    <row r="1152" spans="1:19" x14ac:dyDescent="0.2">
      <c r="A1152" s="12" t="s">
        <v>225</v>
      </c>
      <c r="B1152" s="12" t="s">
        <v>571</v>
      </c>
      <c r="C1152" s="12" t="s">
        <v>564</v>
      </c>
      <c r="D1152" s="13">
        <v>48</v>
      </c>
      <c r="E1152" s="13">
        <v>53.646841999999999</v>
      </c>
      <c r="F1152" s="13">
        <v>49.311779000000001</v>
      </c>
      <c r="G1152" s="13">
        <v>47.604222</v>
      </c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</row>
    <row r="1153" spans="1:19" x14ac:dyDescent="0.2">
      <c r="A1153" s="12" t="s">
        <v>225</v>
      </c>
      <c r="B1153" s="12" t="s">
        <v>571</v>
      </c>
      <c r="C1153" s="12" t="s">
        <v>565</v>
      </c>
      <c r="D1153" s="13">
        <v>4</v>
      </c>
      <c r="E1153" s="13">
        <v>4.7155469999999999</v>
      </c>
      <c r="F1153" s="13">
        <v>4.8008490000000004</v>
      </c>
      <c r="G1153" s="13">
        <v>4.5172140000000001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</row>
    <row r="1154" spans="1:19" x14ac:dyDescent="0.2">
      <c r="A1154" s="12" t="s">
        <v>225</v>
      </c>
      <c r="B1154" s="12" t="s">
        <v>571</v>
      </c>
      <c r="C1154" s="12" t="s">
        <v>566</v>
      </c>
      <c r="D1154" s="13">
        <v>6</v>
      </c>
      <c r="E1154" s="13">
        <v>7.335211000000001</v>
      </c>
      <c r="F1154" s="13">
        <v>7.1229060000000004</v>
      </c>
      <c r="G1154" s="13">
        <v>7.2902480000000001</v>
      </c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</row>
    <row r="1155" spans="1:19" x14ac:dyDescent="0.2">
      <c r="A1155" s="12" t="s">
        <v>225</v>
      </c>
      <c r="B1155" s="12" t="s">
        <v>572</v>
      </c>
      <c r="C1155" s="12" t="s">
        <v>554</v>
      </c>
      <c r="D1155" s="13">
        <v>0</v>
      </c>
      <c r="E1155" s="13">
        <v>0</v>
      </c>
      <c r="F1155" s="13">
        <v>0</v>
      </c>
      <c r="G1155" s="13">
        <v>0</v>
      </c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</row>
    <row r="1156" spans="1:19" x14ac:dyDescent="0.2">
      <c r="A1156" s="12" t="s">
        <v>225</v>
      </c>
      <c r="B1156" s="12" t="s">
        <v>572</v>
      </c>
      <c r="C1156" s="12" t="s">
        <v>555</v>
      </c>
      <c r="D1156" s="13">
        <v>78</v>
      </c>
      <c r="E1156" s="13">
        <v>88.171199000000001</v>
      </c>
      <c r="F1156" s="13">
        <v>69.8292</v>
      </c>
      <c r="G1156" s="13">
        <v>34.718398000000001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</row>
    <row r="1157" spans="1:19" x14ac:dyDescent="0.2">
      <c r="A1157" s="12" t="s">
        <v>225</v>
      </c>
      <c r="B1157" s="12" t="s">
        <v>572</v>
      </c>
      <c r="C1157" s="12" t="s">
        <v>556</v>
      </c>
      <c r="D1157" s="13">
        <v>-24</v>
      </c>
      <c r="E1157" s="13">
        <v>-24.206399000000001</v>
      </c>
      <c r="F1157" s="13">
        <v>-24.767999</v>
      </c>
      <c r="G1157" s="13">
        <v>-28.511998999999999</v>
      </c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</row>
    <row r="1158" spans="1:19" x14ac:dyDescent="0.2">
      <c r="A1158" s="12" t="s">
        <v>225</v>
      </c>
      <c r="B1158" s="12" t="s">
        <v>572</v>
      </c>
      <c r="C1158" s="12" t="s">
        <v>557</v>
      </c>
      <c r="D1158" s="13">
        <v>54</v>
      </c>
      <c r="E1158" s="13">
        <v>63.964799999999997</v>
      </c>
      <c r="F1158" s="13">
        <v>45.061200999999997</v>
      </c>
      <c r="G1158" s="13">
        <v>6.2063990000000002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</row>
    <row r="1159" spans="1:19" x14ac:dyDescent="0.2">
      <c r="A1159" s="12" t="s">
        <v>225</v>
      </c>
      <c r="B1159" s="12" t="s">
        <v>572</v>
      </c>
      <c r="C1159" s="12" t="s">
        <v>558</v>
      </c>
      <c r="D1159" s="13">
        <v>249</v>
      </c>
      <c r="E1159" s="13">
        <v>258.782398</v>
      </c>
      <c r="F1159" s="13">
        <v>259.03799800000002</v>
      </c>
      <c r="G1159" s="13">
        <v>292.74119900000011</v>
      </c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</row>
    <row r="1160" spans="1:19" x14ac:dyDescent="0.2">
      <c r="A1160" s="12" t="s">
        <v>225</v>
      </c>
      <c r="B1160" s="12" t="s">
        <v>572</v>
      </c>
      <c r="C1160" s="12" t="s">
        <v>560</v>
      </c>
      <c r="D1160" s="13">
        <v>0</v>
      </c>
      <c r="E1160" s="13">
        <v>0</v>
      </c>
      <c r="F1160" s="13">
        <v>0</v>
      </c>
      <c r="G1160" s="13">
        <v>0</v>
      </c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</row>
    <row r="1161" spans="1:19" x14ac:dyDescent="0.2">
      <c r="A1161" s="12" t="s">
        <v>225</v>
      </c>
      <c r="B1161" s="12" t="s">
        <v>572</v>
      </c>
      <c r="C1161" s="12" t="s">
        <v>561</v>
      </c>
      <c r="D1161" s="13">
        <v>277</v>
      </c>
      <c r="E1161" s="13">
        <v>295.53839900000003</v>
      </c>
      <c r="F1161" s="13">
        <v>276.72119900000001</v>
      </c>
      <c r="G1161" s="13">
        <v>266.96160099999997</v>
      </c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</row>
    <row r="1162" spans="1:19" x14ac:dyDescent="0.2">
      <c r="A1162" s="12" t="s">
        <v>225</v>
      </c>
      <c r="B1162" s="12" t="s">
        <v>572</v>
      </c>
      <c r="C1162" s="12" t="s">
        <v>562</v>
      </c>
      <c r="D1162" s="13">
        <v>130</v>
      </c>
      <c r="E1162" s="13">
        <v>137.17440199999999</v>
      </c>
      <c r="F1162" s="13">
        <v>125.157599</v>
      </c>
      <c r="G1162" s="13">
        <v>119.177999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</row>
    <row r="1163" spans="1:19" x14ac:dyDescent="0.2">
      <c r="A1163" s="12" t="s">
        <v>225</v>
      </c>
      <c r="B1163" s="12" t="s">
        <v>572</v>
      </c>
      <c r="C1163" s="12" t="s">
        <v>563</v>
      </c>
      <c r="D1163" s="13">
        <v>3</v>
      </c>
      <c r="E1163" s="13">
        <v>3.337202</v>
      </c>
      <c r="F1163" s="13">
        <v>3.9312</v>
      </c>
      <c r="G1163" s="13">
        <v>4.8095990000000004</v>
      </c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</row>
    <row r="1164" spans="1:19" x14ac:dyDescent="0.2">
      <c r="A1164" s="12" t="s">
        <v>225</v>
      </c>
      <c r="B1164" s="12" t="s">
        <v>572</v>
      </c>
      <c r="C1164" s="12" t="s">
        <v>564</v>
      </c>
      <c r="D1164" s="13">
        <v>79</v>
      </c>
      <c r="E1164" s="13">
        <v>87.339600000000004</v>
      </c>
      <c r="F1164" s="13">
        <v>81.766801000000015</v>
      </c>
      <c r="G1164" s="13">
        <v>79.520399000000012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</row>
    <row r="1165" spans="1:19" x14ac:dyDescent="0.2">
      <c r="A1165" s="12" t="s">
        <v>225</v>
      </c>
      <c r="B1165" s="12" t="s">
        <v>572</v>
      </c>
      <c r="C1165" s="12" t="s">
        <v>565</v>
      </c>
      <c r="D1165" s="13">
        <v>60</v>
      </c>
      <c r="E1165" s="13">
        <v>61.747199000000002</v>
      </c>
      <c r="F1165" s="13">
        <v>61.365601000000012</v>
      </c>
      <c r="G1165" s="13">
        <v>58.103999999999999</v>
      </c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</row>
    <row r="1166" spans="1:19" x14ac:dyDescent="0.2">
      <c r="A1166" s="12" t="s">
        <v>225</v>
      </c>
      <c r="B1166" s="12" t="s">
        <v>572</v>
      </c>
      <c r="C1166" s="12" t="s">
        <v>566</v>
      </c>
      <c r="D1166" s="13">
        <v>5</v>
      </c>
      <c r="E1166" s="13">
        <v>5.9400020000000007</v>
      </c>
      <c r="F1166" s="13">
        <v>4.5000020000000003</v>
      </c>
      <c r="G1166" s="13">
        <v>5.3496000000000006</v>
      </c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</row>
    <row r="1167" spans="1:19" x14ac:dyDescent="0.2">
      <c r="A1167" s="12" t="s">
        <v>225</v>
      </c>
      <c r="B1167" s="12" t="s">
        <v>573</v>
      </c>
      <c r="C1167" s="12" t="s">
        <v>554</v>
      </c>
      <c r="D1167" s="13">
        <v>7</v>
      </c>
      <c r="E1167" s="13">
        <v>7.8775979999999999</v>
      </c>
      <c r="F1167" s="13">
        <v>7.2427999999999999</v>
      </c>
      <c r="G1167" s="13">
        <v>8.4437999999999995</v>
      </c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</row>
    <row r="1168" spans="1:19" x14ac:dyDescent="0.2">
      <c r="A1168" s="12" t="s">
        <v>225</v>
      </c>
      <c r="B1168" s="12" t="s">
        <v>573</v>
      </c>
      <c r="C1168" s="12" t="s">
        <v>555</v>
      </c>
      <c r="D1168" s="13">
        <v>0</v>
      </c>
      <c r="E1168" s="13">
        <v>0</v>
      </c>
      <c r="F1168" s="13">
        <v>0</v>
      </c>
      <c r="G1168" s="13">
        <v>0</v>
      </c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</row>
    <row r="1169" spans="1:19" x14ac:dyDescent="0.2">
      <c r="A1169" s="12" t="s">
        <v>225</v>
      </c>
      <c r="B1169" s="12" t="s">
        <v>573</v>
      </c>
      <c r="C1169" s="12" t="s">
        <v>556</v>
      </c>
      <c r="D1169" s="13">
        <v>0</v>
      </c>
      <c r="E1169" s="13">
        <v>0</v>
      </c>
      <c r="F1169" s="13">
        <v>0</v>
      </c>
      <c r="G1169" s="13">
        <v>0</v>
      </c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</row>
    <row r="1170" spans="1:19" x14ac:dyDescent="0.2">
      <c r="A1170" s="12" t="s">
        <v>225</v>
      </c>
      <c r="B1170" s="12" t="s">
        <v>573</v>
      </c>
      <c r="C1170" s="12" t="s">
        <v>557</v>
      </c>
      <c r="D1170" s="13">
        <v>7</v>
      </c>
      <c r="E1170" s="13">
        <v>7.8775979999999999</v>
      </c>
      <c r="F1170" s="13">
        <v>7.2427999999999999</v>
      </c>
      <c r="G1170" s="13">
        <v>8.4437999999999995</v>
      </c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</row>
    <row r="1171" spans="1:19" x14ac:dyDescent="0.2">
      <c r="A1171" s="12" t="s">
        <v>225</v>
      </c>
      <c r="B1171" s="12" t="s">
        <v>573</v>
      </c>
      <c r="C1171" s="12" t="s">
        <v>558</v>
      </c>
      <c r="D1171" s="13">
        <v>163</v>
      </c>
      <c r="E1171" s="13">
        <v>184.175005</v>
      </c>
      <c r="F1171" s="13">
        <v>175.27800400000001</v>
      </c>
      <c r="G1171" s="13">
        <v>168.69599700000001</v>
      </c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</row>
    <row r="1172" spans="1:19" x14ac:dyDescent="0.2">
      <c r="A1172" s="12" t="s">
        <v>225</v>
      </c>
      <c r="B1172" s="12" t="s">
        <v>573</v>
      </c>
      <c r="C1172" s="12" t="s">
        <v>560</v>
      </c>
      <c r="D1172" s="13">
        <v>0</v>
      </c>
      <c r="E1172" s="13">
        <v>0</v>
      </c>
      <c r="F1172" s="13">
        <v>0</v>
      </c>
      <c r="G1172" s="13">
        <v>0</v>
      </c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</row>
    <row r="1173" spans="1:19" x14ac:dyDescent="0.2">
      <c r="A1173" s="12" t="s">
        <v>225</v>
      </c>
      <c r="B1173" s="12" t="s">
        <v>573</v>
      </c>
      <c r="C1173" s="12" t="s">
        <v>561</v>
      </c>
      <c r="D1173" s="13">
        <v>152</v>
      </c>
      <c r="E1173" s="13">
        <v>172.88199900000001</v>
      </c>
      <c r="F1173" s="13">
        <v>164.30500000000001</v>
      </c>
      <c r="G1173" s="13">
        <v>162.992999</v>
      </c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</row>
    <row r="1174" spans="1:19" x14ac:dyDescent="0.2">
      <c r="A1174" s="12" t="s">
        <v>225</v>
      </c>
      <c r="B1174" s="12" t="s">
        <v>573</v>
      </c>
      <c r="C1174" s="12" t="s">
        <v>562</v>
      </c>
      <c r="D1174" s="13">
        <v>49</v>
      </c>
      <c r="E1174" s="13">
        <v>52.862000999999999</v>
      </c>
      <c r="F1174" s="13">
        <v>52.611998999999997</v>
      </c>
      <c r="G1174" s="13">
        <v>49.852001999999999</v>
      </c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</row>
    <row r="1175" spans="1:19" x14ac:dyDescent="0.2">
      <c r="A1175" s="12" t="s">
        <v>225</v>
      </c>
      <c r="B1175" s="12" t="s">
        <v>573</v>
      </c>
      <c r="C1175" s="12" t="s">
        <v>563</v>
      </c>
      <c r="D1175" s="13">
        <v>0</v>
      </c>
      <c r="E1175" s="13">
        <v>0</v>
      </c>
      <c r="F1175" s="13">
        <v>0</v>
      </c>
      <c r="G1175" s="13">
        <v>0</v>
      </c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</row>
    <row r="1176" spans="1:19" x14ac:dyDescent="0.2">
      <c r="A1176" s="12" t="s">
        <v>225</v>
      </c>
      <c r="B1176" s="12" t="s">
        <v>573</v>
      </c>
      <c r="C1176" s="12" t="s">
        <v>564</v>
      </c>
      <c r="D1176" s="13">
        <v>61</v>
      </c>
      <c r="E1176" s="13">
        <v>70.87700199999999</v>
      </c>
      <c r="F1176" s="13">
        <v>66.19</v>
      </c>
      <c r="G1176" s="13">
        <v>66.917000999999999</v>
      </c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</row>
    <row r="1177" spans="1:19" x14ac:dyDescent="0.2">
      <c r="A1177" s="12" t="s">
        <v>225</v>
      </c>
      <c r="B1177" s="12" t="s">
        <v>573</v>
      </c>
      <c r="C1177" s="12" t="s">
        <v>565</v>
      </c>
      <c r="D1177" s="13">
        <v>40</v>
      </c>
      <c r="E1177" s="13">
        <v>47.033999999999999</v>
      </c>
      <c r="F1177" s="13">
        <v>43.382001000000002</v>
      </c>
      <c r="G1177" s="13">
        <v>43.866999999999997</v>
      </c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</row>
    <row r="1178" spans="1:19" x14ac:dyDescent="0.2">
      <c r="A1178" s="12" t="s">
        <v>225</v>
      </c>
      <c r="B1178" s="12" t="s">
        <v>573</v>
      </c>
      <c r="C1178" s="12" t="s">
        <v>566</v>
      </c>
      <c r="D1178" s="13">
        <v>2</v>
      </c>
      <c r="E1178" s="13">
        <v>2.109</v>
      </c>
      <c r="F1178" s="13">
        <v>2.1209989999999999</v>
      </c>
      <c r="G1178" s="13">
        <v>2.3570009999999999</v>
      </c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</row>
    <row r="1179" spans="1:19" x14ac:dyDescent="0.2">
      <c r="A1179" s="12" t="s">
        <v>225</v>
      </c>
      <c r="B1179" s="12" t="s">
        <v>574</v>
      </c>
      <c r="C1179" s="12" t="s">
        <v>554</v>
      </c>
      <c r="D1179" s="13">
        <v>757</v>
      </c>
      <c r="E1179" s="13">
        <v>811.02275500000007</v>
      </c>
      <c r="F1179" s="13">
        <v>809.12066200000004</v>
      </c>
      <c r="G1179" s="13">
        <v>921.26442700000007</v>
      </c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</row>
    <row r="1180" spans="1:19" x14ac:dyDescent="0.2">
      <c r="A1180" s="12" t="s">
        <v>225</v>
      </c>
      <c r="B1180" s="12" t="s">
        <v>574</v>
      </c>
      <c r="C1180" s="12" t="s">
        <v>555</v>
      </c>
      <c r="D1180" s="13">
        <v>988</v>
      </c>
      <c r="E1180" s="13">
        <v>848.35674700000004</v>
      </c>
      <c r="F1180" s="13">
        <v>929.48352899999998</v>
      </c>
      <c r="G1180" s="13">
        <v>801.38650399999995</v>
      </c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</row>
    <row r="1181" spans="1:19" x14ac:dyDescent="0.2">
      <c r="A1181" s="12" t="s">
        <v>225</v>
      </c>
      <c r="B1181" s="12" t="s">
        <v>574</v>
      </c>
      <c r="C1181" s="12" t="s">
        <v>556</v>
      </c>
      <c r="D1181" s="13">
        <v>-405</v>
      </c>
      <c r="E1181" s="13">
        <v>-310.12312600000001</v>
      </c>
      <c r="F1181" s="13">
        <v>-369.10240599999997</v>
      </c>
      <c r="G1181" s="13">
        <v>-386.19376099999999</v>
      </c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</row>
    <row r="1182" spans="1:19" x14ac:dyDescent="0.2">
      <c r="A1182" s="12" t="s">
        <v>225</v>
      </c>
      <c r="B1182" s="12" t="s">
        <v>574</v>
      </c>
      <c r="C1182" s="12" t="s">
        <v>557</v>
      </c>
      <c r="D1182" s="13">
        <v>1329</v>
      </c>
      <c r="E1182" s="13">
        <v>1391.2273130000001</v>
      </c>
      <c r="F1182" s="13">
        <v>1322.21803</v>
      </c>
      <c r="G1182" s="13">
        <v>1371.548583</v>
      </c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</row>
    <row r="1183" spans="1:19" x14ac:dyDescent="0.2">
      <c r="A1183" s="12" t="s">
        <v>225</v>
      </c>
      <c r="B1183" s="12" t="s">
        <v>574</v>
      </c>
      <c r="C1183" s="12" t="s">
        <v>558</v>
      </c>
      <c r="D1183" s="13">
        <v>-214</v>
      </c>
      <c r="E1183" s="13">
        <v>-225.743413</v>
      </c>
      <c r="F1183" s="13">
        <v>-236.31669500000001</v>
      </c>
      <c r="G1183" s="13">
        <v>-289.14644600000003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</row>
    <row r="1184" spans="1:19" x14ac:dyDescent="0.2">
      <c r="A1184" s="12" t="s">
        <v>225</v>
      </c>
      <c r="B1184" s="12" t="s">
        <v>574</v>
      </c>
      <c r="C1184" s="12" t="s">
        <v>560</v>
      </c>
      <c r="D1184" s="13">
        <v>-4</v>
      </c>
      <c r="E1184" s="13">
        <v>-17.238123000000002</v>
      </c>
      <c r="F1184" s="13">
        <v>-3.5221619999999998</v>
      </c>
      <c r="G1184" s="13">
        <v>1.5098020000000001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</row>
    <row r="1185" spans="1:19" x14ac:dyDescent="0.2">
      <c r="A1185" s="12" t="s">
        <v>225</v>
      </c>
      <c r="B1185" s="12" t="s">
        <v>574</v>
      </c>
      <c r="C1185" s="12" t="s">
        <v>561</v>
      </c>
      <c r="D1185" s="13">
        <v>1010</v>
      </c>
      <c r="E1185" s="13">
        <v>1063.3303759999999</v>
      </c>
      <c r="F1185" s="13">
        <v>992.89145200000007</v>
      </c>
      <c r="G1185" s="13">
        <v>945.43448400000011</v>
      </c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</row>
    <row r="1186" spans="1:19" x14ac:dyDescent="0.2">
      <c r="A1186" s="12" t="s">
        <v>225</v>
      </c>
      <c r="B1186" s="12" t="s">
        <v>574</v>
      </c>
      <c r="C1186" s="12" t="s">
        <v>562</v>
      </c>
      <c r="D1186" s="13">
        <v>429</v>
      </c>
      <c r="E1186" s="13">
        <v>450.04428200000001</v>
      </c>
      <c r="F1186" s="13">
        <v>407.15247499999998</v>
      </c>
      <c r="G1186" s="13">
        <v>388.69269400000002</v>
      </c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</row>
    <row r="1187" spans="1:19" x14ac:dyDescent="0.2">
      <c r="A1187" s="12" t="s">
        <v>225</v>
      </c>
      <c r="B1187" s="12" t="s">
        <v>574</v>
      </c>
      <c r="C1187" s="12" t="s">
        <v>563</v>
      </c>
      <c r="D1187" s="13">
        <v>162</v>
      </c>
      <c r="E1187" s="13">
        <v>168.36448799999999</v>
      </c>
      <c r="F1187" s="13">
        <v>161.289863</v>
      </c>
      <c r="G1187" s="13">
        <v>157.95846800000001</v>
      </c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</row>
    <row r="1188" spans="1:19" x14ac:dyDescent="0.2">
      <c r="A1188" s="12" t="s">
        <v>225</v>
      </c>
      <c r="B1188" s="12" t="s">
        <v>574</v>
      </c>
      <c r="C1188" s="12" t="s">
        <v>564</v>
      </c>
      <c r="D1188" s="13">
        <v>200</v>
      </c>
      <c r="E1188" s="13">
        <v>223.13457700000001</v>
      </c>
      <c r="F1188" s="13">
        <v>205.669659</v>
      </c>
      <c r="G1188" s="13">
        <v>198.96075999999999</v>
      </c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</row>
    <row r="1189" spans="1:19" x14ac:dyDescent="0.2">
      <c r="A1189" s="12" t="s">
        <v>225</v>
      </c>
      <c r="B1189" s="12" t="s">
        <v>574</v>
      </c>
      <c r="C1189" s="12" t="s">
        <v>565</v>
      </c>
      <c r="D1189" s="13">
        <v>114</v>
      </c>
      <c r="E1189" s="13">
        <v>126.080726</v>
      </c>
      <c r="F1189" s="13">
        <v>121.153603</v>
      </c>
      <c r="G1189" s="13">
        <v>117.61805200000001</v>
      </c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</row>
    <row r="1190" spans="1:19" x14ac:dyDescent="0.2">
      <c r="A1190" s="12" t="s">
        <v>225</v>
      </c>
      <c r="B1190" s="12" t="s">
        <v>574</v>
      </c>
      <c r="C1190" s="12" t="s">
        <v>566</v>
      </c>
      <c r="D1190" s="13">
        <v>105</v>
      </c>
      <c r="E1190" s="13">
        <v>95.706316000000015</v>
      </c>
      <c r="F1190" s="13">
        <v>97.625864000000007</v>
      </c>
      <c r="G1190" s="13">
        <v>82.204510999999997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</row>
    <row r="1191" spans="1:19" x14ac:dyDescent="0.2">
      <c r="A1191" s="12" t="s">
        <v>231</v>
      </c>
      <c r="B1191" s="12" t="s">
        <v>553</v>
      </c>
      <c r="C1191" s="12" t="s">
        <v>554</v>
      </c>
      <c r="D1191" s="13">
        <v>0</v>
      </c>
      <c r="E1191" s="13">
        <v>0</v>
      </c>
      <c r="F1191" s="13">
        <v>0</v>
      </c>
      <c r="G1191" s="13">
        <v>0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</row>
    <row r="1192" spans="1:19" x14ac:dyDescent="0.2">
      <c r="A1192" s="12" t="s">
        <v>231</v>
      </c>
      <c r="B1192" s="12" t="s">
        <v>553</v>
      </c>
      <c r="C1192" s="12" t="s">
        <v>555</v>
      </c>
      <c r="D1192" s="13">
        <v>214</v>
      </c>
      <c r="E1192" s="13">
        <v>260.71586300000001</v>
      </c>
      <c r="F1192" s="13">
        <v>255.16913099999999</v>
      </c>
      <c r="G1192" s="13">
        <v>187.97974199999999</v>
      </c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</row>
    <row r="1193" spans="1:19" x14ac:dyDescent="0.2">
      <c r="A1193" s="12" t="s">
        <v>231</v>
      </c>
      <c r="B1193" s="12" t="s">
        <v>553</v>
      </c>
      <c r="C1193" s="12" t="s">
        <v>556</v>
      </c>
      <c r="D1193" s="13">
        <v>0</v>
      </c>
      <c r="E1193" s="13">
        <v>-0.178948</v>
      </c>
      <c r="F1193" s="13">
        <v>-0.30514200000000002</v>
      </c>
      <c r="G1193" s="13">
        <v>-7.5965000000000005E-2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</row>
    <row r="1194" spans="1:19" x14ac:dyDescent="0.2">
      <c r="A1194" s="12" t="s">
        <v>231</v>
      </c>
      <c r="B1194" s="12" t="s">
        <v>553</v>
      </c>
      <c r="C1194" s="12" t="s">
        <v>557</v>
      </c>
      <c r="D1194" s="13">
        <v>222</v>
      </c>
      <c r="E1194" s="13">
        <v>356.17899299999999</v>
      </c>
      <c r="F1194" s="13">
        <v>311.98649399999999</v>
      </c>
      <c r="G1194" s="13">
        <v>251.32276899999999</v>
      </c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</row>
    <row r="1195" spans="1:19" x14ac:dyDescent="0.2">
      <c r="A1195" s="12" t="s">
        <v>231</v>
      </c>
      <c r="B1195" s="12" t="s">
        <v>553</v>
      </c>
      <c r="C1195" s="12" t="s">
        <v>558</v>
      </c>
      <c r="D1195" s="13">
        <v>-54</v>
      </c>
      <c r="E1195" s="13">
        <v>-79.613219999999998</v>
      </c>
      <c r="F1195" s="13">
        <v>-62.537256999999997</v>
      </c>
      <c r="G1195" s="13">
        <v>-34.815657000000002</v>
      </c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</row>
    <row r="1196" spans="1:19" x14ac:dyDescent="0.2">
      <c r="A1196" s="12" t="s">
        <v>231</v>
      </c>
      <c r="B1196" s="12" t="s">
        <v>553</v>
      </c>
      <c r="C1196" s="12" t="s">
        <v>560</v>
      </c>
      <c r="D1196" s="13">
        <v>0</v>
      </c>
      <c r="E1196" s="13">
        <v>0</v>
      </c>
      <c r="F1196" s="13">
        <v>0</v>
      </c>
      <c r="G1196" s="13">
        <v>0</v>
      </c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</row>
    <row r="1197" spans="1:19" x14ac:dyDescent="0.2">
      <c r="A1197" s="12" t="s">
        <v>231</v>
      </c>
      <c r="B1197" s="12" t="s">
        <v>553</v>
      </c>
      <c r="C1197" s="12" t="s">
        <v>561</v>
      </c>
      <c r="D1197" s="13">
        <v>45</v>
      </c>
      <c r="E1197" s="13">
        <v>125.140396</v>
      </c>
      <c r="F1197" s="13">
        <v>107.879132</v>
      </c>
      <c r="G1197" s="13">
        <v>102.147265</v>
      </c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</row>
    <row r="1198" spans="1:19" x14ac:dyDescent="0.2">
      <c r="A1198" s="12" t="s">
        <v>231</v>
      </c>
      <c r="B1198" s="12" t="s">
        <v>553</v>
      </c>
      <c r="C1198" s="12" t="s">
        <v>562</v>
      </c>
      <c r="D1198" s="13">
        <v>33</v>
      </c>
      <c r="E1198" s="13">
        <v>110.88568600000001</v>
      </c>
      <c r="F1198" s="13">
        <v>94.459457999999998</v>
      </c>
      <c r="G1198" s="13">
        <v>87.869577000000007</v>
      </c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</row>
    <row r="1199" spans="1:19" x14ac:dyDescent="0.2">
      <c r="A1199" s="12" t="s">
        <v>231</v>
      </c>
      <c r="B1199" s="12" t="s">
        <v>553</v>
      </c>
      <c r="C1199" s="12" t="s">
        <v>563</v>
      </c>
      <c r="D1199" s="13">
        <v>0</v>
      </c>
      <c r="E1199" s="13">
        <v>0</v>
      </c>
      <c r="F1199" s="13">
        <v>0</v>
      </c>
      <c r="G1199" s="13">
        <v>0</v>
      </c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</row>
    <row r="1200" spans="1:19" x14ac:dyDescent="0.2">
      <c r="A1200" s="12" t="s">
        <v>231</v>
      </c>
      <c r="B1200" s="12" t="s">
        <v>553</v>
      </c>
      <c r="C1200" s="12" t="s">
        <v>564</v>
      </c>
      <c r="D1200" s="13">
        <v>1</v>
      </c>
      <c r="E1200" s="13">
        <v>1.0971759999999999</v>
      </c>
      <c r="F1200" s="13">
        <v>1.1115120000000001</v>
      </c>
      <c r="G1200" s="13">
        <v>0.812419</v>
      </c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</row>
    <row r="1201" spans="1:19" x14ac:dyDescent="0.2">
      <c r="A1201" s="12" t="s">
        <v>231</v>
      </c>
      <c r="B1201" s="12" t="s">
        <v>553</v>
      </c>
      <c r="C1201" s="12" t="s">
        <v>565</v>
      </c>
      <c r="D1201" s="13">
        <v>1</v>
      </c>
      <c r="E1201" s="13">
        <v>1.5223500000000001</v>
      </c>
      <c r="F1201" s="13">
        <v>1.3783319999999999</v>
      </c>
      <c r="G1201" s="13">
        <v>1.2064980000000001</v>
      </c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</row>
    <row r="1202" spans="1:19" x14ac:dyDescent="0.2">
      <c r="A1202" s="12" t="s">
        <v>231</v>
      </c>
      <c r="B1202" s="12" t="s">
        <v>553</v>
      </c>
      <c r="C1202" s="12" t="s">
        <v>566</v>
      </c>
      <c r="D1202" s="13">
        <v>10</v>
      </c>
      <c r="E1202" s="13">
        <v>11.635187999999999</v>
      </c>
      <c r="F1202" s="13">
        <v>10.929834</v>
      </c>
      <c r="G1202" s="13">
        <v>12.258775</v>
      </c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</row>
    <row r="1203" spans="1:19" x14ac:dyDescent="0.2">
      <c r="A1203" s="12" t="s">
        <v>231</v>
      </c>
      <c r="B1203" s="12" t="s">
        <v>567</v>
      </c>
      <c r="C1203" s="12" t="s">
        <v>554</v>
      </c>
      <c r="D1203" s="13">
        <v>34</v>
      </c>
      <c r="E1203" s="13">
        <v>35.468732000000003</v>
      </c>
      <c r="F1203" s="13">
        <v>32.815007999999999</v>
      </c>
      <c r="G1203" s="13">
        <v>33.182287000000002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</row>
    <row r="1204" spans="1:19" x14ac:dyDescent="0.2">
      <c r="A1204" s="12" t="s">
        <v>231</v>
      </c>
      <c r="B1204" s="12" t="s">
        <v>567</v>
      </c>
      <c r="C1204" s="12" t="s">
        <v>555</v>
      </c>
      <c r="D1204" s="13">
        <v>1420</v>
      </c>
      <c r="E1204" s="13">
        <v>1453.4120780000001</v>
      </c>
      <c r="F1204" s="13">
        <v>1759.3812829999999</v>
      </c>
      <c r="G1204" s="13">
        <v>1948.4945419999999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</row>
    <row r="1205" spans="1:19" x14ac:dyDescent="0.2">
      <c r="A1205" s="12" t="s">
        <v>231</v>
      </c>
      <c r="B1205" s="12" t="s">
        <v>567</v>
      </c>
      <c r="C1205" s="12" t="s">
        <v>556</v>
      </c>
      <c r="D1205" s="13">
        <v>-5</v>
      </c>
      <c r="E1205" s="13">
        <v>-4.3166540000000007</v>
      </c>
      <c r="F1205" s="13">
        <v>-1.6144639999999999</v>
      </c>
      <c r="G1205" s="13">
        <v>-4.3669539999999998</v>
      </c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</row>
    <row r="1206" spans="1:19" x14ac:dyDescent="0.2">
      <c r="A1206" s="12" t="s">
        <v>231</v>
      </c>
      <c r="B1206" s="12" t="s">
        <v>567</v>
      </c>
      <c r="C1206" s="12" t="s">
        <v>557</v>
      </c>
      <c r="D1206" s="13">
        <v>1458</v>
      </c>
      <c r="E1206" s="13">
        <v>1494.9172249999999</v>
      </c>
      <c r="F1206" s="13">
        <v>1781.2739300000001</v>
      </c>
      <c r="G1206" s="13">
        <v>1974.045251</v>
      </c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</row>
    <row r="1207" spans="1:19" x14ac:dyDescent="0.2">
      <c r="A1207" s="12" t="s">
        <v>231</v>
      </c>
      <c r="B1207" s="12" t="s">
        <v>567</v>
      </c>
      <c r="C1207" s="12" t="s">
        <v>558</v>
      </c>
      <c r="D1207" s="13">
        <v>0</v>
      </c>
      <c r="E1207" s="13">
        <v>0</v>
      </c>
      <c r="F1207" s="13">
        <v>0</v>
      </c>
      <c r="G1207" s="13">
        <v>0</v>
      </c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</row>
    <row r="1208" spans="1:19" x14ac:dyDescent="0.2">
      <c r="A1208" s="12" t="s">
        <v>231</v>
      </c>
      <c r="B1208" s="12" t="s">
        <v>567</v>
      </c>
      <c r="C1208" s="12" t="s">
        <v>560</v>
      </c>
      <c r="D1208" s="13">
        <v>-1587</v>
      </c>
      <c r="E1208" s="13">
        <v>-1561.7576200000001</v>
      </c>
      <c r="F1208" s="13">
        <v>-1824.191615</v>
      </c>
      <c r="G1208" s="13">
        <v>-2009.613206</v>
      </c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</row>
    <row r="1209" spans="1:19" x14ac:dyDescent="0.2">
      <c r="A1209" s="12" t="s">
        <v>231</v>
      </c>
      <c r="B1209" s="12" t="s">
        <v>567</v>
      </c>
      <c r="C1209" s="12" t="s">
        <v>561</v>
      </c>
      <c r="D1209" s="13">
        <v>0</v>
      </c>
      <c r="E1209" s="13">
        <v>1.0080469999999999</v>
      </c>
      <c r="F1209" s="13">
        <v>0.25201200000000001</v>
      </c>
      <c r="G1209" s="13">
        <v>0</v>
      </c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</row>
    <row r="1210" spans="1:19" x14ac:dyDescent="0.2">
      <c r="A1210" s="12" t="s">
        <v>231</v>
      </c>
      <c r="B1210" s="12" t="s">
        <v>567</v>
      </c>
      <c r="C1210" s="12" t="s">
        <v>562</v>
      </c>
      <c r="D1210" s="13">
        <v>0</v>
      </c>
      <c r="E1210" s="13">
        <v>1.0080469999999999</v>
      </c>
      <c r="F1210" s="13">
        <v>0.25201200000000001</v>
      </c>
      <c r="G1210" s="13">
        <v>0</v>
      </c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</row>
    <row r="1211" spans="1:19" x14ac:dyDescent="0.2">
      <c r="A1211" s="12" t="s">
        <v>231</v>
      </c>
      <c r="B1211" s="12" t="s">
        <v>567</v>
      </c>
      <c r="C1211" s="12" t="s">
        <v>563</v>
      </c>
      <c r="D1211" s="13">
        <v>0</v>
      </c>
      <c r="E1211" s="13">
        <v>0</v>
      </c>
      <c r="F1211" s="13">
        <v>0</v>
      </c>
      <c r="G1211" s="13">
        <v>0</v>
      </c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</row>
    <row r="1212" spans="1:19" x14ac:dyDescent="0.2">
      <c r="A1212" s="12" t="s">
        <v>231</v>
      </c>
      <c r="B1212" s="12" t="s">
        <v>567</v>
      </c>
      <c r="C1212" s="12" t="s">
        <v>564</v>
      </c>
      <c r="D1212" s="13">
        <v>0</v>
      </c>
      <c r="E1212" s="13">
        <v>0</v>
      </c>
      <c r="F1212" s="13">
        <v>0</v>
      </c>
      <c r="G1212" s="13">
        <v>0</v>
      </c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</row>
    <row r="1213" spans="1:19" x14ac:dyDescent="0.2">
      <c r="A1213" s="12" t="s">
        <v>231</v>
      </c>
      <c r="B1213" s="12" t="s">
        <v>567</v>
      </c>
      <c r="C1213" s="12" t="s">
        <v>565</v>
      </c>
      <c r="D1213" s="13">
        <v>0</v>
      </c>
      <c r="E1213" s="13">
        <v>0</v>
      </c>
      <c r="F1213" s="13">
        <v>0</v>
      </c>
      <c r="G1213" s="13">
        <v>0</v>
      </c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</row>
    <row r="1214" spans="1:19" x14ac:dyDescent="0.2">
      <c r="A1214" s="12" t="s">
        <v>231</v>
      </c>
      <c r="B1214" s="12" t="s">
        <v>567</v>
      </c>
      <c r="C1214" s="12" t="s">
        <v>566</v>
      </c>
      <c r="D1214" s="13">
        <v>0</v>
      </c>
      <c r="E1214" s="13">
        <v>0</v>
      </c>
      <c r="F1214" s="13">
        <v>0</v>
      </c>
      <c r="G1214" s="13">
        <v>0</v>
      </c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</row>
    <row r="1215" spans="1:19" x14ac:dyDescent="0.2">
      <c r="A1215" s="12" t="s">
        <v>231</v>
      </c>
      <c r="B1215" s="12" t="s">
        <v>568</v>
      </c>
      <c r="C1215" s="12" t="s">
        <v>554</v>
      </c>
      <c r="D1215" s="13">
        <v>0</v>
      </c>
      <c r="E1215" s="13">
        <v>0</v>
      </c>
      <c r="F1215" s="13">
        <v>0</v>
      </c>
      <c r="G1215" s="13">
        <v>0</v>
      </c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</row>
    <row r="1216" spans="1:19" x14ac:dyDescent="0.2">
      <c r="A1216" s="12" t="s">
        <v>231</v>
      </c>
      <c r="B1216" s="12" t="s">
        <v>568</v>
      </c>
      <c r="C1216" s="12" t="s">
        <v>555</v>
      </c>
      <c r="D1216" s="13">
        <v>1829</v>
      </c>
      <c r="E1216" s="13">
        <v>1919.010012</v>
      </c>
      <c r="F1216" s="13">
        <v>1729.601692</v>
      </c>
      <c r="G1216" s="13">
        <v>1590.230971</v>
      </c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</row>
    <row r="1217" spans="1:19" x14ac:dyDescent="0.2">
      <c r="A1217" s="12" t="s">
        <v>231</v>
      </c>
      <c r="B1217" s="12" t="s">
        <v>568</v>
      </c>
      <c r="C1217" s="12" t="s">
        <v>556</v>
      </c>
      <c r="D1217" s="13">
        <v>-535</v>
      </c>
      <c r="E1217" s="13">
        <v>-528.13253599999996</v>
      </c>
      <c r="F1217" s="13">
        <v>-578.49260900000002</v>
      </c>
      <c r="G1217" s="13">
        <v>-613.90160400000002</v>
      </c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</row>
    <row r="1218" spans="1:19" x14ac:dyDescent="0.2">
      <c r="A1218" s="12" t="s">
        <v>231</v>
      </c>
      <c r="B1218" s="12" t="s">
        <v>568</v>
      </c>
      <c r="C1218" s="12" t="s">
        <v>557</v>
      </c>
      <c r="D1218" s="13">
        <v>1136</v>
      </c>
      <c r="E1218" s="13">
        <v>1256.5376100000001</v>
      </c>
      <c r="F1218" s="13">
        <v>904.89786100000003</v>
      </c>
      <c r="G1218" s="13">
        <v>720.65471300000002</v>
      </c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</row>
    <row r="1219" spans="1:19" x14ac:dyDescent="0.2">
      <c r="A1219" s="12" t="s">
        <v>231</v>
      </c>
      <c r="B1219" s="12" t="s">
        <v>568</v>
      </c>
      <c r="C1219" s="12" t="s">
        <v>558</v>
      </c>
      <c r="D1219" s="13">
        <v>-60</v>
      </c>
      <c r="E1219" s="13">
        <v>-60.863341000000013</v>
      </c>
      <c r="F1219" s="13">
        <v>-65.468406000000002</v>
      </c>
      <c r="G1219" s="13">
        <v>-59.003014000000007</v>
      </c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</row>
    <row r="1220" spans="1:19" x14ac:dyDescent="0.2">
      <c r="A1220" s="12" t="s">
        <v>231</v>
      </c>
      <c r="B1220" s="12" t="s">
        <v>568</v>
      </c>
      <c r="C1220" s="12" t="s">
        <v>560</v>
      </c>
      <c r="D1220" s="13">
        <v>1576</v>
      </c>
      <c r="E1220" s="13">
        <v>1543.719918</v>
      </c>
      <c r="F1220" s="13">
        <v>1800.77244</v>
      </c>
      <c r="G1220" s="13">
        <v>1993.1333119999999</v>
      </c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</row>
    <row r="1221" spans="1:19" x14ac:dyDescent="0.2">
      <c r="A1221" s="12" t="s">
        <v>231</v>
      </c>
      <c r="B1221" s="12" t="s">
        <v>568</v>
      </c>
      <c r="C1221" s="12" t="s">
        <v>561</v>
      </c>
      <c r="D1221" s="13">
        <v>2469</v>
      </c>
      <c r="E1221" s="13">
        <v>2697.7989160000002</v>
      </c>
      <c r="F1221" s="13">
        <v>2592.2699980000002</v>
      </c>
      <c r="G1221" s="13">
        <v>2495.4833239999998</v>
      </c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</row>
    <row r="1222" spans="1:19" x14ac:dyDescent="0.2">
      <c r="A1222" s="12" t="s">
        <v>231</v>
      </c>
      <c r="B1222" s="12" t="s">
        <v>568</v>
      </c>
      <c r="C1222" s="12" t="s">
        <v>562</v>
      </c>
      <c r="D1222" s="13">
        <v>101</v>
      </c>
      <c r="E1222" s="13">
        <v>99.875833</v>
      </c>
      <c r="F1222" s="13">
        <v>101.29348400000001</v>
      </c>
      <c r="G1222" s="13">
        <v>102.649316</v>
      </c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</row>
    <row r="1223" spans="1:19" x14ac:dyDescent="0.2">
      <c r="A1223" s="12" t="s">
        <v>231</v>
      </c>
      <c r="B1223" s="12" t="s">
        <v>568</v>
      </c>
      <c r="C1223" s="12" t="s">
        <v>563</v>
      </c>
      <c r="D1223" s="13">
        <v>1458</v>
      </c>
      <c r="E1223" s="13">
        <v>1657.848657</v>
      </c>
      <c r="F1223" s="13">
        <v>1705.9501740000001</v>
      </c>
      <c r="G1223" s="13">
        <v>1650.7935809999999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</row>
    <row r="1224" spans="1:19" x14ac:dyDescent="0.2">
      <c r="A1224" s="12" t="s">
        <v>231</v>
      </c>
      <c r="B1224" s="12" t="s">
        <v>568</v>
      </c>
      <c r="C1224" s="12" t="s">
        <v>564</v>
      </c>
      <c r="D1224" s="13">
        <v>174</v>
      </c>
      <c r="E1224" s="13">
        <v>197.41701499999999</v>
      </c>
      <c r="F1224" s="13">
        <v>146.46388099999999</v>
      </c>
      <c r="G1224" s="13">
        <v>128.51442499999999</v>
      </c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</row>
    <row r="1225" spans="1:19" x14ac:dyDescent="0.2">
      <c r="A1225" s="12" t="s">
        <v>231</v>
      </c>
      <c r="B1225" s="12" t="s">
        <v>568</v>
      </c>
      <c r="C1225" s="12" t="s">
        <v>565</v>
      </c>
      <c r="D1225" s="13">
        <v>99</v>
      </c>
      <c r="E1225" s="13">
        <v>73.483494000000007</v>
      </c>
      <c r="F1225" s="13">
        <v>87.189340000000001</v>
      </c>
      <c r="G1225" s="13">
        <v>69.591268999999997</v>
      </c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</row>
    <row r="1226" spans="1:19" x14ac:dyDescent="0.2">
      <c r="A1226" s="12" t="s">
        <v>231</v>
      </c>
      <c r="B1226" s="12" t="s">
        <v>568</v>
      </c>
      <c r="C1226" s="12" t="s">
        <v>566</v>
      </c>
      <c r="D1226" s="13">
        <v>636</v>
      </c>
      <c r="E1226" s="13">
        <v>669.17392000000007</v>
      </c>
      <c r="F1226" s="13">
        <v>551.37311899999997</v>
      </c>
      <c r="G1226" s="13">
        <v>543.93473199999994</v>
      </c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</row>
    <row r="1227" spans="1:19" x14ac:dyDescent="0.2">
      <c r="A1227" s="12" t="s">
        <v>231</v>
      </c>
      <c r="B1227" s="12" t="s">
        <v>569</v>
      </c>
      <c r="C1227" s="12" t="s">
        <v>554</v>
      </c>
      <c r="D1227" s="13">
        <v>1</v>
      </c>
      <c r="E1227" s="13">
        <v>0.83692499999999992</v>
      </c>
      <c r="F1227" s="13">
        <v>0.745116</v>
      </c>
      <c r="G1227" s="13">
        <v>0.66350699999999996</v>
      </c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</row>
    <row r="1228" spans="1:19" x14ac:dyDescent="0.2">
      <c r="A1228" s="12" t="s">
        <v>231</v>
      </c>
      <c r="B1228" s="12" t="s">
        <v>569</v>
      </c>
      <c r="C1228" s="12" t="s">
        <v>555</v>
      </c>
      <c r="D1228" s="13">
        <v>1688</v>
      </c>
      <c r="E1228" s="13">
        <v>1690.5224860000001</v>
      </c>
      <c r="F1228" s="13">
        <v>2071.9629810000001</v>
      </c>
      <c r="G1228" s="13">
        <v>1725.065638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</row>
    <row r="1229" spans="1:19" x14ac:dyDescent="0.2">
      <c r="A1229" s="12" t="s">
        <v>231</v>
      </c>
      <c r="B1229" s="12" t="s">
        <v>569</v>
      </c>
      <c r="C1229" s="12" t="s">
        <v>556</v>
      </c>
      <c r="D1229" s="13">
        <v>-304</v>
      </c>
      <c r="E1229" s="13">
        <v>-201.00109599999999</v>
      </c>
      <c r="F1229" s="13">
        <v>-555.017741</v>
      </c>
      <c r="G1229" s="13">
        <v>-505.05360000000002</v>
      </c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</row>
    <row r="1230" spans="1:19" x14ac:dyDescent="0.2">
      <c r="A1230" s="12" t="s">
        <v>231</v>
      </c>
      <c r="B1230" s="12" t="s">
        <v>569</v>
      </c>
      <c r="C1230" s="12" t="s">
        <v>557</v>
      </c>
      <c r="D1230" s="13">
        <v>1461</v>
      </c>
      <c r="E1230" s="13">
        <v>1549.490174</v>
      </c>
      <c r="F1230" s="13">
        <v>1391.1849850000001</v>
      </c>
      <c r="G1230" s="13">
        <v>1226.0036749999999</v>
      </c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</row>
    <row r="1231" spans="1:19" x14ac:dyDescent="0.2">
      <c r="A1231" s="12" t="s">
        <v>231</v>
      </c>
      <c r="B1231" s="12" t="s">
        <v>569</v>
      </c>
      <c r="C1231" s="12" t="s">
        <v>558</v>
      </c>
      <c r="D1231" s="13">
        <v>-275</v>
      </c>
      <c r="E1231" s="13">
        <v>-265.36901399999999</v>
      </c>
      <c r="F1231" s="13">
        <v>-320.69943899999998</v>
      </c>
      <c r="G1231" s="13">
        <v>-242.42309399999999</v>
      </c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</row>
    <row r="1232" spans="1:19" x14ac:dyDescent="0.2">
      <c r="A1232" s="12" t="s">
        <v>231</v>
      </c>
      <c r="B1232" s="12" t="s">
        <v>569</v>
      </c>
      <c r="C1232" s="12" t="s">
        <v>560</v>
      </c>
      <c r="D1232" s="13">
        <v>0</v>
      </c>
      <c r="E1232" s="13">
        <v>0</v>
      </c>
      <c r="F1232" s="13">
        <v>0</v>
      </c>
      <c r="G1232" s="13">
        <v>0</v>
      </c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</row>
    <row r="1233" spans="1:19" x14ac:dyDescent="0.2">
      <c r="A1233" s="12" t="s">
        <v>231</v>
      </c>
      <c r="B1233" s="12" t="s">
        <v>569</v>
      </c>
      <c r="C1233" s="12" t="s">
        <v>561</v>
      </c>
      <c r="D1233" s="13">
        <v>1147</v>
      </c>
      <c r="E1233" s="13">
        <v>1247.6745940000001</v>
      </c>
      <c r="F1233" s="13">
        <v>1069.354448</v>
      </c>
      <c r="G1233" s="13">
        <v>981.570696</v>
      </c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</row>
    <row r="1234" spans="1:19" x14ac:dyDescent="0.2">
      <c r="A1234" s="12" t="s">
        <v>231</v>
      </c>
      <c r="B1234" s="12" t="s">
        <v>569</v>
      </c>
      <c r="C1234" s="12" t="s">
        <v>562</v>
      </c>
      <c r="D1234" s="13">
        <v>392</v>
      </c>
      <c r="E1234" s="13">
        <v>434.85669799999999</v>
      </c>
      <c r="F1234" s="13">
        <v>389.86131799999998</v>
      </c>
      <c r="G1234" s="13">
        <v>352.65153900000001</v>
      </c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</row>
    <row r="1235" spans="1:19" x14ac:dyDescent="0.2">
      <c r="A1235" s="12" t="s">
        <v>231</v>
      </c>
      <c r="B1235" s="12" t="s">
        <v>569</v>
      </c>
      <c r="C1235" s="12" t="s">
        <v>563</v>
      </c>
      <c r="D1235" s="13">
        <v>8</v>
      </c>
      <c r="E1235" s="13">
        <v>11.217974</v>
      </c>
      <c r="F1235" s="13">
        <v>13.151085999999999</v>
      </c>
      <c r="G1235" s="13">
        <v>15.077714</v>
      </c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</row>
    <row r="1236" spans="1:19" x14ac:dyDescent="0.2">
      <c r="A1236" s="12" t="s">
        <v>231</v>
      </c>
      <c r="B1236" s="12" t="s">
        <v>569</v>
      </c>
      <c r="C1236" s="12" t="s">
        <v>564</v>
      </c>
      <c r="D1236" s="13">
        <v>460</v>
      </c>
      <c r="E1236" s="13">
        <v>480.07194900000002</v>
      </c>
      <c r="F1236" s="13">
        <v>393.529629</v>
      </c>
      <c r="G1236" s="13">
        <v>364.78012100000001</v>
      </c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</row>
    <row r="1237" spans="1:19" x14ac:dyDescent="0.2">
      <c r="A1237" s="12" t="s">
        <v>231</v>
      </c>
      <c r="B1237" s="12" t="s">
        <v>569</v>
      </c>
      <c r="C1237" s="12" t="s">
        <v>565</v>
      </c>
      <c r="D1237" s="13">
        <v>235</v>
      </c>
      <c r="E1237" s="13">
        <v>267.50586800000002</v>
      </c>
      <c r="F1237" s="13">
        <v>223.86698200000001</v>
      </c>
      <c r="G1237" s="13">
        <v>201.59779900000001</v>
      </c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</row>
    <row r="1238" spans="1:19" x14ac:dyDescent="0.2">
      <c r="A1238" s="12" t="s">
        <v>231</v>
      </c>
      <c r="B1238" s="12" t="s">
        <v>569</v>
      </c>
      <c r="C1238" s="12" t="s">
        <v>566</v>
      </c>
      <c r="D1238" s="13">
        <v>53</v>
      </c>
      <c r="E1238" s="13">
        <v>54.022109</v>
      </c>
      <c r="F1238" s="13">
        <v>48.945431000000013</v>
      </c>
      <c r="G1238" s="13">
        <v>47.463529000000001</v>
      </c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</row>
    <row r="1239" spans="1:19" x14ac:dyDescent="0.2">
      <c r="A1239" s="12" t="s">
        <v>231</v>
      </c>
      <c r="B1239" s="12" t="s">
        <v>570</v>
      </c>
      <c r="C1239" s="12" t="s">
        <v>554</v>
      </c>
      <c r="D1239" s="13">
        <v>3860</v>
      </c>
      <c r="E1239" s="13">
        <v>4138.4868230000002</v>
      </c>
      <c r="F1239" s="13">
        <v>3215.2476879999999</v>
      </c>
      <c r="G1239" s="13">
        <v>3689.4794529999999</v>
      </c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</row>
    <row r="1240" spans="1:19" x14ac:dyDescent="0.2">
      <c r="A1240" s="12" t="s">
        <v>231</v>
      </c>
      <c r="B1240" s="12" t="s">
        <v>570</v>
      </c>
      <c r="C1240" s="12" t="s">
        <v>555</v>
      </c>
      <c r="D1240" s="13">
        <v>0</v>
      </c>
      <c r="E1240" s="13">
        <v>0</v>
      </c>
      <c r="F1240" s="13">
        <v>0</v>
      </c>
      <c r="G1240" s="13">
        <v>0</v>
      </c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</row>
    <row r="1241" spans="1:19" x14ac:dyDescent="0.2">
      <c r="A1241" s="12" t="s">
        <v>231</v>
      </c>
      <c r="B1241" s="12" t="s">
        <v>570</v>
      </c>
      <c r="C1241" s="12" t="s">
        <v>556</v>
      </c>
      <c r="D1241" s="13">
        <v>0</v>
      </c>
      <c r="E1241" s="13">
        <v>0</v>
      </c>
      <c r="F1241" s="13">
        <v>0</v>
      </c>
      <c r="G1241" s="13">
        <v>0</v>
      </c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</row>
    <row r="1242" spans="1:19" x14ac:dyDescent="0.2">
      <c r="A1242" s="12" t="s">
        <v>231</v>
      </c>
      <c r="B1242" s="12" t="s">
        <v>570</v>
      </c>
      <c r="C1242" s="12" t="s">
        <v>557</v>
      </c>
      <c r="D1242" s="13">
        <v>3860</v>
      </c>
      <c r="E1242" s="13">
        <v>4138.4868230000002</v>
      </c>
      <c r="F1242" s="13">
        <v>3215.2476879999999</v>
      </c>
      <c r="G1242" s="13">
        <v>3689.4794529999999</v>
      </c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</row>
    <row r="1243" spans="1:19" x14ac:dyDescent="0.2">
      <c r="A1243" s="12" t="s">
        <v>231</v>
      </c>
      <c r="B1243" s="12" t="s">
        <v>570</v>
      </c>
      <c r="C1243" s="12" t="s">
        <v>558</v>
      </c>
      <c r="D1243" s="13">
        <v>-3860</v>
      </c>
      <c r="E1243" s="13">
        <v>-4138.4868230000002</v>
      </c>
      <c r="F1243" s="13">
        <v>-3215.2476879999999</v>
      </c>
      <c r="G1243" s="13">
        <v>-3689.4794529999999</v>
      </c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</row>
    <row r="1244" spans="1:19" x14ac:dyDescent="0.2">
      <c r="A1244" s="12" t="s">
        <v>231</v>
      </c>
      <c r="B1244" s="12" t="s">
        <v>570</v>
      </c>
      <c r="C1244" s="12" t="s">
        <v>560</v>
      </c>
      <c r="D1244" s="13">
        <v>0</v>
      </c>
      <c r="E1244" s="13">
        <v>0</v>
      </c>
      <c r="F1244" s="13">
        <v>0</v>
      </c>
      <c r="G1244" s="13">
        <v>0</v>
      </c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</row>
    <row r="1245" spans="1:19" x14ac:dyDescent="0.2">
      <c r="A1245" s="12" t="s">
        <v>231</v>
      </c>
      <c r="B1245" s="12" t="s">
        <v>570</v>
      </c>
      <c r="C1245" s="12" t="s">
        <v>561</v>
      </c>
      <c r="D1245" s="13">
        <v>0</v>
      </c>
      <c r="E1245" s="13">
        <v>0</v>
      </c>
      <c r="F1245" s="13">
        <v>0</v>
      </c>
      <c r="G1245" s="13">
        <v>0</v>
      </c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</row>
    <row r="1246" spans="1:19" x14ac:dyDescent="0.2">
      <c r="A1246" s="12" t="s">
        <v>231</v>
      </c>
      <c r="B1246" s="12" t="s">
        <v>570</v>
      </c>
      <c r="C1246" s="12" t="s">
        <v>562</v>
      </c>
      <c r="D1246" s="13">
        <v>0</v>
      </c>
      <c r="E1246" s="13">
        <v>0</v>
      </c>
      <c r="F1246" s="13">
        <v>0</v>
      </c>
      <c r="G1246" s="13">
        <v>0</v>
      </c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</row>
    <row r="1247" spans="1:19" x14ac:dyDescent="0.2">
      <c r="A1247" s="12" t="s">
        <v>231</v>
      </c>
      <c r="B1247" s="12" t="s">
        <v>570</v>
      </c>
      <c r="C1247" s="12" t="s">
        <v>563</v>
      </c>
      <c r="D1247" s="13">
        <v>0</v>
      </c>
      <c r="E1247" s="13">
        <v>0</v>
      </c>
      <c r="F1247" s="13">
        <v>0</v>
      </c>
      <c r="G1247" s="13">
        <v>0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</row>
    <row r="1248" spans="1:19" x14ac:dyDescent="0.2">
      <c r="A1248" s="12" t="s">
        <v>231</v>
      </c>
      <c r="B1248" s="12" t="s">
        <v>570</v>
      </c>
      <c r="C1248" s="12" t="s">
        <v>564</v>
      </c>
      <c r="D1248" s="13">
        <v>0</v>
      </c>
      <c r="E1248" s="13">
        <v>0</v>
      </c>
      <c r="F1248" s="13">
        <v>0</v>
      </c>
      <c r="G1248" s="13">
        <v>0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</row>
    <row r="1249" spans="1:19" x14ac:dyDescent="0.2">
      <c r="A1249" s="12" t="s">
        <v>231</v>
      </c>
      <c r="B1249" s="12" t="s">
        <v>570</v>
      </c>
      <c r="C1249" s="12" t="s">
        <v>565</v>
      </c>
      <c r="D1249" s="13">
        <v>0</v>
      </c>
      <c r="E1249" s="13">
        <v>0</v>
      </c>
      <c r="F1249" s="13">
        <v>0</v>
      </c>
      <c r="G1249" s="13">
        <v>0</v>
      </c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</row>
    <row r="1250" spans="1:19" x14ac:dyDescent="0.2">
      <c r="A1250" s="12" t="s">
        <v>231</v>
      </c>
      <c r="B1250" s="12" t="s">
        <v>570</v>
      </c>
      <c r="C1250" s="12" t="s">
        <v>566</v>
      </c>
      <c r="D1250" s="13">
        <v>0</v>
      </c>
      <c r="E1250" s="13">
        <v>0</v>
      </c>
      <c r="F1250" s="13">
        <v>0</v>
      </c>
      <c r="G1250" s="13">
        <v>0</v>
      </c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</row>
    <row r="1251" spans="1:19" x14ac:dyDescent="0.2">
      <c r="A1251" s="12" t="s">
        <v>231</v>
      </c>
      <c r="B1251" s="12" t="s">
        <v>571</v>
      </c>
      <c r="C1251" s="12" t="s">
        <v>554</v>
      </c>
      <c r="D1251" s="13">
        <v>1122</v>
      </c>
      <c r="E1251" s="13">
        <v>1156.9720010000001</v>
      </c>
      <c r="F1251" s="13">
        <v>1118.011076</v>
      </c>
      <c r="G1251" s="13">
        <v>1212.193452</v>
      </c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</row>
    <row r="1252" spans="1:19" x14ac:dyDescent="0.2">
      <c r="A1252" s="12" t="s">
        <v>231</v>
      </c>
      <c r="B1252" s="12" t="s">
        <v>571</v>
      </c>
      <c r="C1252" s="12" t="s">
        <v>555</v>
      </c>
      <c r="D1252" s="13">
        <v>73</v>
      </c>
      <c r="E1252" s="13">
        <v>94.931826000000001</v>
      </c>
      <c r="F1252" s="13">
        <v>104.034029</v>
      </c>
      <c r="G1252" s="13">
        <v>111.508836</v>
      </c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</row>
    <row r="1253" spans="1:19" x14ac:dyDescent="0.2">
      <c r="A1253" s="12" t="s">
        <v>231</v>
      </c>
      <c r="B1253" s="12" t="s">
        <v>571</v>
      </c>
      <c r="C1253" s="12" t="s">
        <v>556</v>
      </c>
      <c r="D1253" s="13">
        <v>-34</v>
      </c>
      <c r="E1253" s="13">
        <v>-31.883336</v>
      </c>
      <c r="F1253" s="13">
        <v>-31.044222000000001</v>
      </c>
      <c r="G1253" s="13">
        <v>-27.274557000000001</v>
      </c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</row>
    <row r="1254" spans="1:19" x14ac:dyDescent="0.2">
      <c r="A1254" s="12" t="s">
        <v>231</v>
      </c>
      <c r="B1254" s="12" t="s">
        <v>571</v>
      </c>
      <c r="C1254" s="12" t="s">
        <v>557</v>
      </c>
      <c r="D1254" s="13">
        <v>1162</v>
      </c>
      <c r="E1254" s="13">
        <v>1220.64643</v>
      </c>
      <c r="F1254" s="13">
        <v>1190.0603610000001</v>
      </c>
      <c r="G1254" s="13">
        <v>1295.639964</v>
      </c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</row>
    <row r="1255" spans="1:19" x14ac:dyDescent="0.2">
      <c r="A1255" s="12" t="s">
        <v>231</v>
      </c>
      <c r="B1255" s="12" t="s">
        <v>571</v>
      </c>
      <c r="C1255" s="12" t="s">
        <v>558</v>
      </c>
      <c r="D1255" s="13">
        <v>-661</v>
      </c>
      <c r="E1255" s="13">
        <v>-659.11409500000002</v>
      </c>
      <c r="F1255" s="13">
        <v>-635.74069399999996</v>
      </c>
      <c r="G1255" s="13">
        <v>-722.89773700000012</v>
      </c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</row>
    <row r="1256" spans="1:19" x14ac:dyDescent="0.2">
      <c r="A1256" s="12" t="s">
        <v>231</v>
      </c>
      <c r="B1256" s="12" t="s">
        <v>571</v>
      </c>
      <c r="C1256" s="12" t="s">
        <v>560</v>
      </c>
      <c r="D1256" s="13">
        <v>0</v>
      </c>
      <c r="E1256" s="13">
        <v>0</v>
      </c>
      <c r="F1256" s="13">
        <v>0</v>
      </c>
      <c r="G1256" s="13">
        <v>0</v>
      </c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</row>
    <row r="1257" spans="1:19" x14ac:dyDescent="0.2">
      <c r="A1257" s="12" t="s">
        <v>231</v>
      </c>
      <c r="B1257" s="12" t="s">
        <v>571</v>
      </c>
      <c r="C1257" s="12" t="s">
        <v>561</v>
      </c>
      <c r="D1257" s="13">
        <v>493</v>
      </c>
      <c r="E1257" s="13">
        <v>544.56771399999991</v>
      </c>
      <c r="F1257" s="13">
        <v>529.25604999999996</v>
      </c>
      <c r="G1257" s="13">
        <v>539.74434899999994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</row>
    <row r="1258" spans="1:19" x14ac:dyDescent="0.2">
      <c r="A1258" s="12" t="s">
        <v>231</v>
      </c>
      <c r="B1258" s="12" t="s">
        <v>571</v>
      </c>
      <c r="C1258" s="12" t="s">
        <v>562</v>
      </c>
      <c r="D1258" s="13">
        <v>84</v>
      </c>
      <c r="E1258" s="13">
        <v>86.392327999999992</v>
      </c>
      <c r="F1258" s="13">
        <v>91.863006000000013</v>
      </c>
      <c r="G1258" s="13">
        <v>95.396703000000016</v>
      </c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</row>
    <row r="1259" spans="1:19" x14ac:dyDescent="0.2">
      <c r="A1259" s="12" t="s">
        <v>231</v>
      </c>
      <c r="B1259" s="12" t="s">
        <v>571</v>
      </c>
      <c r="C1259" s="12" t="s">
        <v>563</v>
      </c>
      <c r="D1259" s="13">
        <v>111</v>
      </c>
      <c r="E1259" s="13">
        <v>122.27006</v>
      </c>
      <c r="F1259" s="13">
        <v>128.20795100000001</v>
      </c>
      <c r="G1259" s="13">
        <v>133.72346999999999</v>
      </c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</row>
    <row r="1260" spans="1:19" x14ac:dyDescent="0.2">
      <c r="A1260" s="12" t="s">
        <v>231</v>
      </c>
      <c r="B1260" s="12" t="s">
        <v>571</v>
      </c>
      <c r="C1260" s="12" t="s">
        <v>564</v>
      </c>
      <c r="D1260" s="13">
        <v>257</v>
      </c>
      <c r="E1260" s="13">
        <v>291.71415999999999</v>
      </c>
      <c r="F1260" s="13">
        <v>260.53813300000002</v>
      </c>
      <c r="G1260" s="13">
        <v>262.17152099999998</v>
      </c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</row>
    <row r="1261" spans="1:19" x14ac:dyDescent="0.2">
      <c r="A1261" s="12" t="s">
        <v>231</v>
      </c>
      <c r="B1261" s="12" t="s">
        <v>571</v>
      </c>
      <c r="C1261" s="12" t="s">
        <v>565</v>
      </c>
      <c r="D1261" s="13">
        <v>24</v>
      </c>
      <c r="E1261" s="13">
        <v>27.765024</v>
      </c>
      <c r="F1261" s="13">
        <v>32.079227000000003</v>
      </c>
      <c r="G1261" s="13">
        <v>30.22062</v>
      </c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</row>
    <row r="1262" spans="1:19" x14ac:dyDescent="0.2">
      <c r="A1262" s="12" t="s">
        <v>231</v>
      </c>
      <c r="B1262" s="12" t="s">
        <v>571</v>
      </c>
      <c r="C1262" s="12" t="s">
        <v>566</v>
      </c>
      <c r="D1262" s="13">
        <v>16</v>
      </c>
      <c r="E1262" s="13">
        <v>16.426148000000001</v>
      </c>
      <c r="F1262" s="13">
        <v>16.567724999999999</v>
      </c>
      <c r="G1262" s="13">
        <v>18.232040000000001</v>
      </c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</row>
    <row r="1263" spans="1:19" x14ac:dyDescent="0.2">
      <c r="A1263" s="12" t="s">
        <v>231</v>
      </c>
      <c r="B1263" s="12" t="s">
        <v>572</v>
      </c>
      <c r="C1263" s="12" t="s">
        <v>554</v>
      </c>
      <c r="D1263" s="13">
        <v>0</v>
      </c>
      <c r="E1263" s="13">
        <v>0</v>
      </c>
      <c r="F1263" s="13">
        <v>0</v>
      </c>
      <c r="G1263" s="13">
        <v>0</v>
      </c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</row>
    <row r="1264" spans="1:19" x14ac:dyDescent="0.2">
      <c r="A1264" s="12" t="s">
        <v>231</v>
      </c>
      <c r="B1264" s="12" t="s">
        <v>572</v>
      </c>
      <c r="C1264" s="12" t="s">
        <v>555</v>
      </c>
      <c r="D1264" s="13">
        <v>70</v>
      </c>
      <c r="E1264" s="13">
        <v>87.604024999999993</v>
      </c>
      <c r="F1264" s="13">
        <v>188.77417</v>
      </c>
      <c r="G1264" s="13">
        <v>91.554652000000004</v>
      </c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</row>
    <row r="1265" spans="1:19" x14ac:dyDescent="0.2">
      <c r="A1265" s="12" t="s">
        <v>231</v>
      </c>
      <c r="B1265" s="12" t="s">
        <v>572</v>
      </c>
      <c r="C1265" s="12" t="s">
        <v>556</v>
      </c>
      <c r="D1265" s="13">
        <v>-232</v>
      </c>
      <c r="E1265" s="13">
        <v>-249.21612200000001</v>
      </c>
      <c r="F1265" s="13">
        <v>-134.97388699999999</v>
      </c>
      <c r="G1265" s="13">
        <v>-273.25277899999998</v>
      </c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</row>
    <row r="1266" spans="1:19" x14ac:dyDescent="0.2">
      <c r="A1266" s="12" t="s">
        <v>231</v>
      </c>
      <c r="B1266" s="12" t="s">
        <v>572</v>
      </c>
      <c r="C1266" s="12" t="s">
        <v>557</v>
      </c>
      <c r="D1266" s="13">
        <v>-162</v>
      </c>
      <c r="E1266" s="13">
        <v>-161.6121</v>
      </c>
      <c r="F1266" s="13">
        <v>53.800283999999998</v>
      </c>
      <c r="G1266" s="13">
        <v>-181.698127</v>
      </c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</row>
    <row r="1267" spans="1:19" x14ac:dyDescent="0.2">
      <c r="A1267" s="12" t="s">
        <v>231</v>
      </c>
      <c r="B1267" s="12" t="s">
        <v>572</v>
      </c>
      <c r="C1267" s="12" t="s">
        <v>558</v>
      </c>
      <c r="D1267" s="13">
        <v>1902</v>
      </c>
      <c r="E1267" s="13">
        <v>1984.718447</v>
      </c>
      <c r="F1267" s="13">
        <v>1685.3189010000001</v>
      </c>
      <c r="G1267" s="13">
        <v>1877.280792</v>
      </c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</row>
    <row r="1268" spans="1:19" x14ac:dyDescent="0.2">
      <c r="A1268" s="12" t="s">
        <v>231</v>
      </c>
      <c r="B1268" s="12" t="s">
        <v>572</v>
      </c>
      <c r="C1268" s="12" t="s">
        <v>560</v>
      </c>
      <c r="D1268" s="13">
        <v>0</v>
      </c>
      <c r="E1268" s="13">
        <v>0</v>
      </c>
      <c r="F1268" s="13">
        <v>0</v>
      </c>
      <c r="G1268" s="13">
        <v>0</v>
      </c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</row>
    <row r="1269" spans="1:19" x14ac:dyDescent="0.2">
      <c r="A1269" s="12" t="s">
        <v>231</v>
      </c>
      <c r="B1269" s="12" t="s">
        <v>572</v>
      </c>
      <c r="C1269" s="12" t="s">
        <v>561</v>
      </c>
      <c r="D1269" s="13">
        <v>1481</v>
      </c>
      <c r="E1269" s="13">
        <v>1558.214528</v>
      </c>
      <c r="F1269" s="13">
        <v>1493.935027</v>
      </c>
      <c r="G1269" s="13">
        <v>1431.428142</v>
      </c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</row>
    <row r="1270" spans="1:19" x14ac:dyDescent="0.2">
      <c r="A1270" s="12" t="s">
        <v>231</v>
      </c>
      <c r="B1270" s="12" t="s">
        <v>572</v>
      </c>
      <c r="C1270" s="12" t="s">
        <v>562</v>
      </c>
      <c r="D1270" s="13">
        <v>381</v>
      </c>
      <c r="E1270" s="13">
        <v>404.99747100000002</v>
      </c>
      <c r="F1270" s="13">
        <v>386.054013</v>
      </c>
      <c r="G1270" s="13">
        <v>367.14176900000001</v>
      </c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</row>
    <row r="1271" spans="1:19" x14ac:dyDescent="0.2">
      <c r="A1271" s="12" t="s">
        <v>231</v>
      </c>
      <c r="B1271" s="12" t="s">
        <v>572</v>
      </c>
      <c r="C1271" s="12" t="s">
        <v>563</v>
      </c>
      <c r="D1271" s="13">
        <v>30</v>
      </c>
      <c r="E1271" s="13">
        <v>34.750838000000002</v>
      </c>
      <c r="F1271" s="13">
        <v>39.935155000000002</v>
      </c>
      <c r="G1271" s="13">
        <v>46.304851999999997</v>
      </c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</row>
    <row r="1272" spans="1:19" x14ac:dyDescent="0.2">
      <c r="A1272" s="12" t="s">
        <v>231</v>
      </c>
      <c r="B1272" s="12" t="s">
        <v>572</v>
      </c>
      <c r="C1272" s="12" t="s">
        <v>564</v>
      </c>
      <c r="D1272" s="13">
        <v>581</v>
      </c>
      <c r="E1272" s="13">
        <v>610.25452800000005</v>
      </c>
      <c r="F1272" s="13">
        <v>558.67795000000001</v>
      </c>
      <c r="G1272" s="13">
        <v>542.68131800000003</v>
      </c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</row>
    <row r="1273" spans="1:19" x14ac:dyDescent="0.2">
      <c r="A1273" s="12" t="s">
        <v>231</v>
      </c>
      <c r="B1273" s="12" t="s">
        <v>572</v>
      </c>
      <c r="C1273" s="12" t="s">
        <v>565</v>
      </c>
      <c r="D1273" s="13">
        <v>455</v>
      </c>
      <c r="E1273" s="13">
        <v>475.68586499999998</v>
      </c>
      <c r="F1273" s="13">
        <v>476.08089000000001</v>
      </c>
      <c r="G1273" s="13">
        <v>444.78496200000001</v>
      </c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</row>
    <row r="1274" spans="1:19" x14ac:dyDescent="0.2">
      <c r="A1274" s="12" t="s">
        <v>231</v>
      </c>
      <c r="B1274" s="12" t="s">
        <v>572</v>
      </c>
      <c r="C1274" s="12" t="s">
        <v>566</v>
      </c>
      <c r="D1274" s="13">
        <v>33</v>
      </c>
      <c r="E1274" s="13">
        <v>32.525835000000001</v>
      </c>
      <c r="F1274" s="13">
        <v>33.187013</v>
      </c>
      <c r="G1274" s="13">
        <v>30.515236999999999</v>
      </c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</row>
    <row r="1275" spans="1:19" x14ac:dyDescent="0.2">
      <c r="A1275" s="12" t="s">
        <v>231</v>
      </c>
      <c r="B1275" s="12" t="s">
        <v>573</v>
      </c>
      <c r="C1275" s="12" t="s">
        <v>554</v>
      </c>
      <c r="D1275" s="13">
        <v>1</v>
      </c>
      <c r="E1275" s="13">
        <v>1.2208159999999999</v>
      </c>
      <c r="F1275" s="13">
        <v>1.8061020000000001</v>
      </c>
      <c r="G1275" s="13">
        <v>2.050443</v>
      </c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</row>
    <row r="1276" spans="1:19" x14ac:dyDescent="0.2">
      <c r="A1276" s="12" t="s">
        <v>231</v>
      </c>
      <c r="B1276" s="12" t="s">
        <v>573</v>
      </c>
      <c r="C1276" s="12" t="s">
        <v>555</v>
      </c>
      <c r="D1276" s="13">
        <v>0</v>
      </c>
      <c r="E1276" s="13">
        <v>0</v>
      </c>
      <c r="F1276" s="13">
        <v>0</v>
      </c>
      <c r="G1276" s="13">
        <v>0</v>
      </c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</row>
    <row r="1277" spans="1:19" x14ac:dyDescent="0.2">
      <c r="A1277" s="12" t="s">
        <v>231</v>
      </c>
      <c r="B1277" s="12" t="s">
        <v>573</v>
      </c>
      <c r="C1277" s="12" t="s">
        <v>556</v>
      </c>
      <c r="D1277" s="13">
        <v>0</v>
      </c>
      <c r="E1277" s="13">
        <v>0</v>
      </c>
      <c r="F1277" s="13">
        <v>0</v>
      </c>
      <c r="G1277" s="13">
        <v>0</v>
      </c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</row>
    <row r="1278" spans="1:19" x14ac:dyDescent="0.2">
      <c r="A1278" s="12" t="s">
        <v>231</v>
      </c>
      <c r="B1278" s="12" t="s">
        <v>573</v>
      </c>
      <c r="C1278" s="12" t="s">
        <v>557</v>
      </c>
      <c r="D1278" s="13">
        <v>1</v>
      </c>
      <c r="E1278" s="13">
        <v>1.2208159999999999</v>
      </c>
      <c r="F1278" s="13">
        <v>1.8061020000000001</v>
      </c>
      <c r="G1278" s="13">
        <v>2.050443</v>
      </c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</row>
    <row r="1279" spans="1:19" x14ac:dyDescent="0.2">
      <c r="A1279" s="12" t="s">
        <v>231</v>
      </c>
      <c r="B1279" s="12" t="s">
        <v>573</v>
      </c>
      <c r="C1279" s="12" t="s">
        <v>558</v>
      </c>
      <c r="D1279" s="13">
        <v>173</v>
      </c>
      <c r="E1279" s="13">
        <v>189.65111200000001</v>
      </c>
      <c r="F1279" s="13">
        <v>180.88708500000001</v>
      </c>
      <c r="G1279" s="13">
        <v>168.386313</v>
      </c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</row>
    <row r="1280" spans="1:19" x14ac:dyDescent="0.2">
      <c r="A1280" s="12" t="s">
        <v>231</v>
      </c>
      <c r="B1280" s="12" t="s">
        <v>573</v>
      </c>
      <c r="C1280" s="12" t="s">
        <v>560</v>
      </c>
      <c r="D1280" s="13">
        <v>0</v>
      </c>
      <c r="E1280" s="13">
        <v>0</v>
      </c>
      <c r="F1280" s="13">
        <v>0</v>
      </c>
      <c r="G1280" s="13">
        <v>0</v>
      </c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</row>
    <row r="1281" spans="1:19" x14ac:dyDescent="0.2">
      <c r="A1281" s="12" t="s">
        <v>231</v>
      </c>
      <c r="B1281" s="12" t="s">
        <v>573</v>
      </c>
      <c r="C1281" s="12" t="s">
        <v>561</v>
      </c>
      <c r="D1281" s="13">
        <v>150</v>
      </c>
      <c r="E1281" s="13">
        <v>172.95460199999999</v>
      </c>
      <c r="F1281" s="13">
        <v>165.925254</v>
      </c>
      <c r="G1281" s="13">
        <v>150.50197399999999</v>
      </c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</row>
    <row r="1282" spans="1:19" x14ac:dyDescent="0.2">
      <c r="A1282" s="12" t="s">
        <v>231</v>
      </c>
      <c r="B1282" s="12" t="s">
        <v>573</v>
      </c>
      <c r="C1282" s="12" t="s">
        <v>562</v>
      </c>
      <c r="D1282" s="13">
        <v>63</v>
      </c>
      <c r="E1282" s="13">
        <v>72.448650999999998</v>
      </c>
      <c r="F1282" s="13">
        <v>77.795294999999996</v>
      </c>
      <c r="G1282" s="13">
        <v>62.980291000000001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</row>
    <row r="1283" spans="1:19" x14ac:dyDescent="0.2">
      <c r="A1283" s="12" t="s">
        <v>231</v>
      </c>
      <c r="B1283" s="12" t="s">
        <v>573</v>
      </c>
      <c r="C1283" s="12" t="s">
        <v>563</v>
      </c>
      <c r="D1283" s="13">
        <v>0</v>
      </c>
      <c r="E1283" s="13">
        <v>0</v>
      </c>
      <c r="F1283" s="13">
        <v>0</v>
      </c>
      <c r="G1283" s="13">
        <v>0</v>
      </c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</row>
    <row r="1284" spans="1:19" x14ac:dyDescent="0.2">
      <c r="A1284" s="12" t="s">
        <v>231</v>
      </c>
      <c r="B1284" s="12" t="s">
        <v>573</v>
      </c>
      <c r="C1284" s="12" t="s">
        <v>564</v>
      </c>
      <c r="D1284" s="13">
        <v>52</v>
      </c>
      <c r="E1284" s="13">
        <v>61.379739999999998</v>
      </c>
      <c r="F1284" s="13">
        <v>52.309176000000001</v>
      </c>
      <c r="G1284" s="13">
        <v>53.724514999999997</v>
      </c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</row>
    <row r="1285" spans="1:19" x14ac:dyDescent="0.2">
      <c r="A1285" s="12" t="s">
        <v>231</v>
      </c>
      <c r="B1285" s="12" t="s">
        <v>573</v>
      </c>
      <c r="C1285" s="12" t="s">
        <v>565</v>
      </c>
      <c r="D1285" s="13">
        <v>34</v>
      </c>
      <c r="E1285" s="13">
        <v>38.164741999999997</v>
      </c>
      <c r="F1285" s="13">
        <v>34.980283000000007</v>
      </c>
      <c r="G1285" s="13">
        <v>32.904564000000001</v>
      </c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</row>
    <row r="1286" spans="1:19" x14ac:dyDescent="0.2">
      <c r="A1286" s="12" t="s">
        <v>231</v>
      </c>
      <c r="B1286" s="12" t="s">
        <v>573</v>
      </c>
      <c r="C1286" s="12" t="s">
        <v>566</v>
      </c>
      <c r="D1286" s="13">
        <v>1</v>
      </c>
      <c r="E1286" s="13">
        <v>0.96147300000000002</v>
      </c>
      <c r="F1286" s="13">
        <v>0.84050000000000002</v>
      </c>
      <c r="G1286" s="13">
        <v>0.89260499999999998</v>
      </c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</row>
    <row r="1287" spans="1:19" x14ac:dyDescent="0.2">
      <c r="A1287" s="12" t="s">
        <v>231</v>
      </c>
      <c r="B1287" s="12" t="s">
        <v>574</v>
      </c>
      <c r="C1287" s="12" t="s">
        <v>554</v>
      </c>
      <c r="D1287" s="13">
        <v>5018</v>
      </c>
      <c r="E1287" s="13">
        <v>5332.9853009999997</v>
      </c>
      <c r="F1287" s="13">
        <v>4368.6249910000006</v>
      </c>
      <c r="G1287" s="13">
        <v>4937.5691420000003</v>
      </c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</row>
    <row r="1288" spans="1:19" x14ac:dyDescent="0.2">
      <c r="A1288" s="12" t="s">
        <v>231</v>
      </c>
      <c r="B1288" s="12" t="s">
        <v>574</v>
      </c>
      <c r="C1288" s="12" t="s">
        <v>555</v>
      </c>
      <c r="D1288" s="13">
        <v>5295</v>
      </c>
      <c r="E1288" s="13">
        <v>5506.1962819999999</v>
      </c>
      <c r="F1288" s="13">
        <v>6108.9232830000001</v>
      </c>
      <c r="G1288" s="13">
        <v>5654.8343810000006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</row>
    <row r="1289" spans="1:19" x14ac:dyDescent="0.2">
      <c r="A1289" s="12" t="s">
        <v>231</v>
      </c>
      <c r="B1289" s="12" t="s">
        <v>574</v>
      </c>
      <c r="C1289" s="12" t="s">
        <v>556</v>
      </c>
      <c r="D1289" s="13">
        <v>-1110</v>
      </c>
      <c r="E1289" s="13">
        <v>-1014.728699</v>
      </c>
      <c r="F1289" s="13">
        <v>-1301.448065</v>
      </c>
      <c r="G1289" s="13">
        <v>-1423.925463</v>
      </c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</row>
    <row r="1290" spans="1:19" x14ac:dyDescent="0.2">
      <c r="A1290" s="12" t="s">
        <v>231</v>
      </c>
      <c r="B1290" s="12" t="s">
        <v>574</v>
      </c>
      <c r="C1290" s="12" t="s">
        <v>557</v>
      </c>
      <c r="D1290" s="13">
        <v>9138</v>
      </c>
      <c r="E1290" s="13">
        <v>9855.8659800000005</v>
      </c>
      <c r="F1290" s="13">
        <v>8850.257705</v>
      </c>
      <c r="G1290" s="13">
        <v>8977.4981500000013</v>
      </c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</row>
    <row r="1291" spans="1:19" x14ac:dyDescent="0.2">
      <c r="A1291" s="12" t="s">
        <v>231</v>
      </c>
      <c r="B1291" s="12" t="s">
        <v>574</v>
      </c>
      <c r="C1291" s="12" t="s">
        <v>558</v>
      </c>
      <c r="D1291" s="13">
        <v>-2834</v>
      </c>
      <c r="E1291" s="13">
        <v>-3029.076939</v>
      </c>
      <c r="F1291" s="13">
        <v>-2433.4875009999992</v>
      </c>
      <c r="G1291" s="13">
        <v>-2702.951845</v>
      </c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</row>
    <row r="1292" spans="1:19" x14ac:dyDescent="0.2">
      <c r="A1292" s="12" t="s">
        <v>231</v>
      </c>
      <c r="B1292" s="12" t="s">
        <v>574</v>
      </c>
      <c r="C1292" s="12" t="s">
        <v>560</v>
      </c>
      <c r="D1292" s="13">
        <v>-12</v>
      </c>
      <c r="E1292" s="13">
        <v>-18.037710000000001</v>
      </c>
      <c r="F1292" s="13">
        <v>-23.419187999999998</v>
      </c>
      <c r="G1292" s="13">
        <v>-16.479890000000001</v>
      </c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</row>
    <row r="1293" spans="1:19" x14ac:dyDescent="0.2">
      <c r="A1293" s="12" t="s">
        <v>231</v>
      </c>
      <c r="B1293" s="12" t="s">
        <v>574</v>
      </c>
      <c r="C1293" s="12" t="s">
        <v>561</v>
      </c>
      <c r="D1293" s="13">
        <v>5786</v>
      </c>
      <c r="E1293" s="13">
        <v>6347.3587970000008</v>
      </c>
      <c r="F1293" s="13">
        <v>5958.8719129999999</v>
      </c>
      <c r="G1293" s="13">
        <v>5700.8757460000006</v>
      </c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</row>
    <row r="1294" spans="1:19" x14ac:dyDescent="0.2">
      <c r="A1294" s="12" t="s">
        <v>231</v>
      </c>
      <c r="B1294" s="12" t="s">
        <v>574</v>
      </c>
      <c r="C1294" s="12" t="s">
        <v>562</v>
      </c>
      <c r="D1294" s="13">
        <v>1054</v>
      </c>
      <c r="E1294" s="13">
        <v>1210.4647179999999</v>
      </c>
      <c r="F1294" s="13">
        <v>1141.5785860000001</v>
      </c>
      <c r="G1294" s="13">
        <v>1068.6891949999999</v>
      </c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</row>
    <row r="1295" spans="1:19" x14ac:dyDescent="0.2">
      <c r="A1295" s="12" t="s">
        <v>231</v>
      </c>
      <c r="B1295" s="12" t="s">
        <v>574</v>
      </c>
      <c r="C1295" s="12" t="s">
        <v>563</v>
      </c>
      <c r="D1295" s="13">
        <v>1608</v>
      </c>
      <c r="E1295" s="13">
        <v>1826.087532</v>
      </c>
      <c r="F1295" s="13">
        <v>1887.244371</v>
      </c>
      <c r="G1295" s="13">
        <v>1845.8996119999999</v>
      </c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</row>
    <row r="1296" spans="1:19" x14ac:dyDescent="0.2">
      <c r="A1296" s="12" t="s">
        <v>231</v>
      </c>
      <c r="B1296" s="12" t="s">
        <v>574</v>
      </c>
      <c r="C1296" s="12" t="s">
        <v>564</v>
      </c>
      <c r="D1296" s="13">
        <v>1526</v>
      </c>
      <c r="E1296" s="13">
        <v>1641.9345679999999</v>
      </c>
      <c r="F1296" s="13">
        <v>1412.630281</v>
      </c>
      <c r="G1296" s="13">
        <v>1352.684315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</row>
    <row r="1297" spans="1:19" x14ac:dyDescent="0.2">
      <c r="A1297" s="12" t="s">
        <v>231</v>
      </c>
      <c r="B1297" s="12" t="s">
        <v>574</v>
      </c>
      <c r="C1297" s="12" t="s">
        <v>565</v>
      </c>
      <c r="D1297" s="13">
        <v>849</v>
      </c>
      <c r="E1297" s="13">
        <v>884.127343</v>
      </c>
      <c r="F1297" s="13">
        <v>855.57505400000002</v>
      </c>
      <c r="G1297" s="13">
        <v>780.30570999999998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</row>
    <row r="1298" spans="1:19" x14ac:dyDescent="0.2">
      <c r="A1298" s="12" t="s">
        <v>231</v>
      </c>
      <c r="B1298" s="12" t="s">
        <v>574</v>
      </c>
      <c r="C1298" s="12" t="s">
        <v>566</v>
      </c>
      <c r="D1298" s="13">
        <v>750</v>
      </c>
      <c r="E1298" s="13">
        <v>784.74467700000002</v>
      </c>
      <c r="F1298" s="13">
        <v>661.84362499999997</v>
      </c>
      <c r="G1298" s="13">
        <v>653.2969250000001</v>
      </c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</row>
    <row r="1299" spans="1:19" x14ac:dyDescent="0.2">
      <c r="A1299" s="12" t="s">
        <v>198</v>
      </c>
      <c r="B1299" s="12" t="s">
        <v>553</v>
      </c>
      <c r="C1299" s="12" t="s">
        <v>554</v>
      </c>
      <c r="D1299" s="13">
        <v>979</v>
      </c>
      <c r="E1299" s="13">
        <v>1153.2</v>
      </c>
      <c r="F1299" s="13">
        <v>1192.838387</v>
      </c>
      <c r="G1299" s="13">
        <v>916.12864200000001</v>
      </c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</row>
    <row r="1300" spans="1:19" x14ac:dyDescent="0.2">
      <c r="A1300" s="12" t="s">
        <v>198</v>
      </c>
      <c r="B1300" s="12" t="s">
        <v>553</v>
      </c>
      <c r="C1300" s="12" t="s">
        <v>555</v>
      </c>
      <c r="D1300" s="13">
        <v>883</v>
      </c>
      <c r="E1300" s="13">
        <v>1149.213739</v>
      </c>
      <c r="F1300" s="13">
        <v>1249.181544</v>
      </c>
      <c r="G1300" s="13">
        <v>932.38383900000008</v>
      </c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</row>
    <row r="1301" spans="1:19" x14ac:dyDescent="0.2">
      <c r="A1301" s="12" t="s">
        <v>198</v>
      </c>
      <c r="B1301" s="12" t="s">
        <v>553</v>
      </c>
      <c r="C1301" s="12" t="s">
        <v>556</v>
      </c>
      <c r="D1301" s="13">
        <v>-59</v>
      </c>
      <c r="E1301" s="13">
        <v>-70.489869000000013</v>
      </c>
      <c r="F1301" s="13">
        <v>-75.309751000000006</v>
      </c>
      <c r="G1301" s="13">
        <v>-59.575547</v>
      </c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</row>
    <row r="1302" spans="1:19" x14ac:dyDescent="0.2">
      <c r="A1302" s="12" t="s">
        <v>198</v>
      </c>
      <c r="B1302" s="12" t="s">
        <v>553</v>
      </c>
      <c r="C1302" s="12" t="s">
        <v>557</v>
      </c>
      <c r="D1302" s="13">
        <v>1868</v>
      </c>
      <c r="E1302" s="13">
        <v>2255.3288320000001</v>
      </c>
      <c r="F1302" s="13">
        <v>2333.541119</v>
      </c>
      <c r="G1302" s="13">
        <v>1775.578655</v>
      </c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</row>
    <row r="1303" spans="1:19" x14ac:dyDescent="0.2">
      <c r="A1303" s="12" t="s">
        <v>198</v>
      </c>
      <c r="B1303" s="12" t="s">
        <v>553</v>
      </c>
      <c r="C1303" s="12" t="s">
        <v>558</v>
      </c>
      <c r="D1303" s="13">
        <v>-1365</v>
      </c>
      <c r="E1303" s="13">
        <v>-1634.909189</v>
      </c>
      <c r="F1303" s="13">
        <v>-1750.214878</v>
      </c>
      <c r="G1303" s="13">
        <v>-1282.643069</v>
      </c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</row>
    <row r="1304" spans="1:19" x14ac:dyDescent="0.2">
      <c r="A1304" s="12" t="s">
        <v>198</v>
      </c>
      <c r="B1304" s="12" t="s">
        <v>553</v>
      </c>
      <c r="C1304" s="12" t="s">
        <v>560</v>
      </c>
      <c r="D1304" s="13">
        <v>0</v>
      </c>
      <c r="E1304" s="13">
        <v>0</v>
      </c>
      <c r="F1304" s="13">
        <v>0</v>
      </c>
      <c r="G1304" s="13">
        <v>0</v>
      </c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</row>
    <row r="1305" spans="1:19" x14ac:dyDescent="0.2">
      <c r="A1305" s="12" t="s">
        <v>198</v>
      </c>
      <c r="B1305" s="12" t="s">
        <v>553</v>
      </c>
      <c r="C1305" s="12" t="s">
        <v>561</v>
      </c>
      <c r="D1305" s="13">
        <v>257</v>
      </c>
      <c r="E1305" s="13">
        <v>238.83587600000001</v>
      </c>
      <c r="F1305" s="13">
        <v>257.91084499999999</v>
      </c>
      <c r="G1305" s="13">
        <v>244.690065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</row>
    <row r="1306" spans="1:19" x14ac:dyDescent="0.2">
      <c r="A1306" s="12" t="s">
        <v>198</v>
      </c>
      <c r="B1306" s="12" t="s">
        <v>553</v>
      </c>
      <c r="C1306" s="12" t="s">
        <v>562</v>
      </c>
      <c r="D1306" s="13">
        <v>226</v>
      </c>
      <c r="E1306" s="13">
        <v>207.43155999999999</v>
      </c>
      <c r="F1306" s="13">
        <v>228.116052</v>
      </c>
      <c r="G1306" s="13">
        <v>212.932433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</row>
    <row r="1307" spans="1:19" x14ac:dyDescent="0.2">
      <c r="A1307" s="12" t="s">
        <v>198</v>
      </c>
      <c r="B1307" s="12" t="s">
        <v>553</v>
      </c>
      <c r="C1307" s="12" t="s">
        <v>563</v>
      </c>
      <c r="D1307" s="13">
        <v>0</v>
      </c>
      <c r="E1307" s="13">
        <v>0</v>
      </c>
      <c r="F1307" s="13">
        <v>0</v>
      </c>
      <c r="G1307" s="13">
        <v>0</v>
      </c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</row>
    <row r="1308" spans="1:19" x14ac:dyDescent="0.2">
      <c r="A1308" s="12" t="s">
        <v>198</v>
      </c>
      <c r="B1308" s="12" t="s">
        <v>553</v>
      </c>
      <c r="C1308" s="12" t="s">
        <v>564</v>
      </c>
      <c r="D1308" s="13">
        <v>13</v>
      </c>
      <c r="E1308" s="13">
        <v>14.574795</v>
      </c>
      <c r="F1308" s="13">
        <v>12.482802</v>
      </c>
      <c r="G1308" s="13">
        <v>13.041191</v>
      </c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</row>
    <row r="1309" spans="1:19" x14ac:dyDescent="0.2">
      <c r="A1309" s="12" t="s">
        <v>198</v>
      </c>
      <c r="B1309" s="12" t="s">
        <v>553</v>
      </c>
      <c r="C1309" s="12" t="s">
        <v>565</v>
      </c>
      <c r="D1309" s="13">
        <v>0</v>
      </c>
      <c r="E1309" s="13">
        <v>3.3288999999999999E-2</v>
      </c>
      <c r="F1309" s="13">
        <v>3.8254999999999997E-2</v>
      </c>
      <c r="G1309" s="13">
        <v>1.8007089999999999</v>
      </c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</row>
    <row r="1310" spans="1:19" x14ac:dyDescent="0.2">
      <c r="A1310" s="12" t="s">
        <v>198</v>
      </c>
      <c r="B1310" s="12" t="s">
        <v>553</v>
      </c>
      <c r="C1310" s="12" t="s">
        <v>566</v>
      </c>
      <c r="D1310" s="13">
        <v>17</v>
      </c>
      <c r="E1310" s="13">
        <v>16.796232</v>
      </c>
      <c r="F1310" s="13">
        <v>17.273731999999999</v>
      </c>
      <c r="G1310" s="13">
        <v>16.915731000000001</v>
      </c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</row>
    <row r="1311" spans="1:19" x14ac:dyDescent="0.2">
      <c r="A1311" s="12" t="s">
        <v>198</v>
      </c>
      <c r="B1311" s="12" t="s">
        <v>567</v>
      </c>
      <c r="C1311" s="12" t="s">
        <v>554</v>
      </c>
      <c r="D1311" s="13">
        <v>130</v>
      </c>
      <c r="E1311" s="13">
        <v>124.582781</v>
      </c>
      <c r="F1311" s="13">
        <v>118.969785</v>
      </c>
      <c r="G1311" s="13">
        <v>114.323547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</row>
    <row r="1312" spans="1:19" x14ac:dyDescent="0.2">
      <c r="A1312" s="12" t="s">
        <v>198</v>
      </c>
      <c r="B1312" s="12" t="s">
        <v>567</v>
      </c>
      <c r="C1312" s="12" t="s">
        <v>555</v>
      </c>
      <c r="D1312" s="13">
        <v>3516</v>
      </c>
      <c r="E1312" s="13">
        <v>3455.4864819999998</v>
      </c>
      <c r="F1312" s="13">
        <v>3750.9812419999998</v>
      </c>
      <c r="G1312" s="13">
        <v>3281.2584849999998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</row>
    <row r="1313" spans="1:19" x14ac:dyDescent="0.2">
      <c r="A1313" s="12" t="s">
        <v>198</v>
      </c>
      <c r="B1313" s="12" t="s">
        <v>567</v>
      </c>
      <c r="C1313" s="12" t="s">
        <v>556</v>
      </c>
      <c r="D1313" s="13">
        <v>0</v>
      </c>
      <c r="E1313" s="13">
        <v>0</v>
      </c>
      <c r="F1313" s="13">
        <v>-4.0379759999999996</v>
      </c>
      <c r="G1313" s="13">
        <v>-1.9552309999999999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</row>
    <row r="1314" spans="1:19" x14ac:dyDescent="0.2">
      <c r="A1314" s="12" t="s">
        <v>198</v>
      </c>
      <c r="B1314" s="12" t="s">
        <v>567</v>
      </c>
      <c r="C1314" s="12" t="s">
        <v>557</v>
      </c>
      <c r="D1314" s="13">
        <v>3626</v>
      </c>
      <c r="E1314" s="13">
        <v>3608.6326210000002</v>
      </c>
      <c r="F1314" s="13">
        <v>3868.8884010000002</v>
      </c>
      <c r="G1314" s="13">
        <v>3404.083032</v>
      </c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</row>
    <row r="1315" spans="1:19" x14ac:dyDescent="0.2">
      <c r="A1315" s="12" t="s">
        <v>198</v>
      </c>
      <c r="B1315" s="12" t="s">
        <v>567</v>
      </c>
      <c r="C1315" s="12" t="s">
        <v>558</v>
      </c>
      <c r="D1315" s="13">
        <v>0</v>
      </c>
      <c r="E1315" s="13">
        <v>0</v>
      </c>
      <c r="F1315" s="13">
        <v>0</v>
      </c>
      <c r="G1315" s="13">
        <v>0</v>
      </c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</row>
    <row r="1316" spans="1:19" x14ac:dyDescent="0.2">
      <c r="A1316" s="12" t="s">
        <v>198</v>
      </c>
      <c r="B1316" s="12" t="s">
        <v>567</v>
      </c>
      <c r="C1316" s="12" t="s">
        <v>560</v>
      </c>
      <c r="D1316" s="13">
        <v>-4048</v>
      </c>
      <c r="E1316" s="13">
        <v>-4061.1745299999998</v>
      </c>
      <c r="F1316" s="13">
        <v>-4283.4321730000001</v>
      </c>
      <c r="G1316" s="13">
        <v>-3836.2674339999999</v>
      </c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</row>
    <row r="1317" spans="1:19" x14ac:dyDescent="0.2">
      <c r="A1317" s="12" t="s">
        <v>198</v>
      </c>
      <c r="B1317" s="12" t="s">
        <v>567</v>
      </c>
      <c r="C1317" s="12" t="s">
        <v>561</v>
      </c>
      <c r="D1317" s="13">
        <v>0</v>
      </c>
      <c r="E1317" s="13">
        <v>0</v>
      </c>
      <c r="F1317" s="13">
        <v>0</v>
      </c>
      <c r="G1317" s="13">
        <v>0</v>
      </c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</row>
    <row r="1318" spans="1:19" x14ac:dyDescent="0.2">
      <c r="A1318" s="12" t="s">
        <v>198</v>
      </c>
      <c r="B1318" s="12" t="s">
        <v>567</v>
      </c>
      <c r="C1318" s="12" t="s">
        <v>562</v>
      </c>
      <c r="D1318" s="13">
        <v>0</v>
      </c>
      <c r="E1318" s="13">
        <v>0</v>
      </c>
      <c r="F1318" s="13">
        <v>0</v>
      </c>
      <c r="G1318" s="13">
        <v>0</v>
      </c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</row>
    <row r="1319" spans="1:19" x14ac:dyDescent="0.2">
      <c r="A1319" s="12" t="s">
        <v>198</v>
      </c>
      <c r="B1319" s="12" t="s">
        <v>567</v>
      </c>
      <c r="C1319" s="12" t="s">
        <v>563</v>
      </c>
      <c r="D1319" s="13">
        <v>0</v>
      </c>
      <c r="E1319" s="13">
        <v>0</v>
      </c>
      <c r="F1319" s="13">
        <v>0</v>
      </c>
      <c r="G1319" s="13">
        <v>0</v>
      </c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</row>
    <row r="1320" spans="1:19" x14ac:dyDescent="0.2">
      <c r="A1320" s="12" t="s">
        <v>198</v>
      </c>
      <c r="B1320" s="12" t="s">
        <v>567</v>
      </c>
      <c r="C1320" s="12" t="s">
        <v>564</v>
      </c>
      <c r="D1320" s="13">
        <v>0</v>
      </c>
      <c r="E1320" s="13">
        <v>0</v>
      </c>
      <c r="F1320" s="13">
        <v>0</v>
      </c>
      <c r="G1320" s="13">
        <v>0</v>
      </c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</row>
    <row r="1321" spans="1:19" x14ac:dyDescent="0.2">
      <c r="A1321" s="12" t="s">
        <v>198</v>
      </c>
      <c r="B1321" s="12" t="s">
        <v>567</v>
      </c>
      <c r="C1321" s="12" t="s">
        <v>565</v>
      </c>
      <c r="D1321" s="13">
        <v>0</v>
      </c>
      <c r="E1321" s="13">
        <v>0</v>
      </c>
      <c r="F1321" s="13">
        <v>0</v>
      </c>
      <c r="G1321" s="13">
        <v>0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</row>
    <row r="1322" spans="1:19" x14ac:dyDescent="0.2">
      <c r="A1322" s="12" t="s">
        <v>198</v>
      </c>
      <c r="B1322" s="12" t="s">
        <v>567</v>
      </c>
      <c r="C1322" s="12" t="s">
        <v>566</v>
      </c>
      <c r="D1322" s="13">
        <v>0</v>
      </c>
      <c r="E1322" s="13">
        <v>0</v>
      </c>
      <c r="F1322" s="13">
        <v>0</v>
      </c>
      <c r="G1322" s="13">
        <v>0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</row>
    <row r="1323" spans="1:19" x14ac:dyDescent="0.2">
      <c r="A1323" s="12" t="s">
        <v>198</v>
      </c>
      <c r="B1323" s="12" t="s">
        <v>568</v>
      </c>
      <c r="C1323" s="12" t="s">
        <v>554</v>
      </c>
      <c r="D1323" s="13">
        <v>0</v>
      </c>
      <c r="E1323" s="13">
        <v>0</v>
      </c>
      <c r="F1323" s="13">
        <v>0</v>
      </c>
      <c r="G1323" s="13">
        <v>0</v>
      </c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</row>
    <row r="1324" spans="1:19" x14ac:dyDescent="0.2">
      <c r="A1324" s="12" t="s">
        <v>198</v>
      </c>
      <c r="B1324" s="12" t="s">
        <v>568</v>
      </c>
      <c r="C1324" s="12" t="s">
        <v>555</v>
      </c>
      <c r="D1324" s="13">
        <v>1481</v>
      </c>
      <c r="E1324" s="13">
        <v>1571.8914010000001</v>
      </c>
      <c r="F1324" s="13">
        <v>1517.231399</v>
      </c>
      <c r="G1324" s="13">
        <v>1534.6496010000001</v>
      </c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</row>
    <row r="1325" spans="1:19" x14ac:dyDescent="0.2">
      <c r="A1325" s="12" t="s">
        <v>198</v>
      </c>
      <c r="B1325" s="12" t="s">
        <v>568</v>
      </c>
      <c r="C1325" s="12" t="s">
        <v>556</v>
      </c>
      <c r="D1325" s="13">
        <v>-929</v>
      </c>
      <c r="E1325" s="13">
        <v>-1064.4796020000001</v>
      </c>
      <c r="F1325" s="13">
        <v>-1145.9213990000001</v>
      </c>
      <c r="G1325" s="13">
        <v>-1027.0814</v>
      </c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</row>
    <row r="1326" spans="1:19" x14ac:dyDescent="0.2">
      <c r="A1326" s="12" t="s">
        <v>198</v>
      </c>
      <c r="B1326" s="12" t="s">
        <v>568</v>
      </c>
      <c r="C1326" s="12" t="s">
        <v>557</v>
      </c>
      <c r="D1326" s="13">
        <v>325</v>
      </c>
      <c r="E1326" s="13">
        <v>207.72879800000001</v>
      </c>
      <c r="F1326" s="13">
        <v>-76.152801000000011</v>
      </c>
      <c r="G1326" s="13">
        <v>91.459598999999997</v>
      </c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</row>
    <row r="1327" spans="1:19" x14ac:dyDescent="0.2">
      <c r="A1327" s="12" t="s">
        <v>198</v>
      </c>
      <c r="B1327" s="12" t="s">
        <v>568</v>
      </c>
      <c r="C1327" s="12" t="s">
        <v>558</v>
      </c>
      <c r="D1327" s="13">
        <v>-46</v>
      </c>
      <c r="E1327" s="13">
        <v>-45.241402000000001</v>
      </c>
      <c r="F1327" s="13">
        <v>-55.104706999999998</v>
      </c>
      <c r="G1327" s="13">
        <v>-53.011197000000003</v>
      </c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</row>
    <row r="1328" spans="1:19" x14ac:dyDescent="0.2">
      <c r="A1328" s="12" t="s">
        <v>198</v>
      </c>
      <c r="B1328" s="12" t="s">
        <v>568</v>
      </c>
      <c r="C1328" s="12" t="s">
        <v>560</v>
      </c>
      <c r="D1328" s="13">
        <v>3989</v>
      </c>
      <c r="E1328" s="13">
        <v>3993.7111020000002</v>
      </c>
      <c r="F1328" s="13">
        <v>4223.2388010000004</v>
      </c>
      <c r="G1328" s="13">
        <v>3796.446101</v>
      </c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</row>
    <row r="1329" spans="1:19" x14ac:dyDescent="0.2">
      <c r="A1329" s="12" t="s">
        <v>198</v>
      </c>
      <c r="B1329" s="12" t="s">
        <v>568</v>
      </c>
      <c r="C1329" s="12" t="s">
        <v>561</v>
      </c>
      <c r="D1329" s="13">
        <v>3616</v>
      </c>
      <c r="E1329" s="13">
        <v>3506.3759009999999</v>
      </c>
      <c r="F1329" s="13">
        <v>3439.4980009999999</v>
      </c>
      <c r="G1329" s="13">
        <v>3224.1401999999998</v>
      </c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</row>
    <row r="1330" spans="1:19" x14ac:dyDescent="0.2">
      <c r="A1330" s="12" t="s">
        <v>198</v>
      </c>
      <c r="B1330" s="12" t="s">
        <v>568</v>
      </c>
      <c r="C1330" s="12" t="s">
        <v>562</v>
      </c>
      <c r="D1330" s="13">
        <v>145</v>
      </c>
      <c r="E1330" s="13">
        <v>149.1183</v>
      </c>
      <c r="F1330" s="13">
        <v>156.45660000000001</v>
      </c>
      <c r="G1330" s="13">
        <v>159.875901</v>
      </c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</row>
    <row r="1331" spans="1:19" x14ac:dyDescent="0.2">
      <c r="A1331" s="12" t="s">
        <v>198</v>
      </c>
      <c r="B1331" s="12" t="s">
        <v>568</v>
      </c>
      <c r="C1331" s="12" t="s">
        <v>563</v>
      </c>
      <c r="D1331" s="13">
        <v>1952</v>
      </c>
      <c r="E1331" s="13">
        <v>1914.3686009999999</v>
      </c>
      <c r="F1331" s="13">
        <v>1924.5337999999999</v>
      </c>
      <c r="G1331" s="13">
        <v>1870.2756019999999</v>
      </c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</row>
    <row r="1332" spans="1:19" x14ac:dyDescent="0.2">
      <c r="A1332" s="12" t="s">
        <v>198</v>
      </c>
      <c r="B1332" s="12" t="s">
        <v>568</v>
      </c>
      <c r="C1332" s="12" t="s">
        <v>564</v>
      </c>
      <c r="D1332" s="13">
        <v>544</v>
      </c>
      <c r="E1332" s="13">
        <v>330.86840100000001</v>
      </c>
      <c r="F1332" s="13">
        <v>450.43880000000001</v>
      </c>
      <c r="G1332" s="13">
        <v>417.46759900000001</v>
      </c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</row>
    <row r="1333" spans="1:19" x14ac:dyDescent="0.2">
      <c r="A1333" s="12" t="s">
        <v>198</v>
      </c>
      <c r="B1333" s="12" t="s">
        <v>568</v>
      </c>
      <c r="C1333" s="12" t="s">
        <v>565</v>
      </c>
      <c r="D1333" s="13">
        <v>115</v>
      </c>
      <c r="E1333" s="13">
        <v>167.42380199999999</v>
      </c>
      <c r="F1333" s="13">
        <v>77.834801999999996</v>
      </c>
      <c r="G1333" s="13">
        <v>68.435599000000011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</row>
    <row r="1334" spans="1:19" x14ac:dyDescent="0.2">
      <c r="A1334" s="12" t="s">
        <v>198</v>
      </c>
      <c r="B1334" s="12" t="s">
        <v>568</v>
      </c>
      <c r="C1334" s="12" t="s">
        <v>566</v>
      </c>
      <c r="D1334" s="13">
        <v>860</v>
      </c>
      <c r="E1334" s="13">
        <v>944.59679700000004</v>
      </c>
      <c r="F1334" s="13">
        <v>830.23400300000003</v>
      </c>
      <c r="G1334" s="13">
        <v>708.08549899999991</v>
      </c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</row>
    <row r="1335" spans="1:19" x14ac:dyDescent="0.2">
      <c r="A1335" s="12" t="s">
        <v>198</v>
      </c>
      <c r="B1335" s="12" t="s">
        <v>569</v>
      </c>
      <c r="C1335" s="12" t="s">
        <v>554</v>
      </c>
      <c r="D1335" s="13">
        <v>169</v>
      </c>
      <c r="E1335" s="13">
        <v>161.91130999999999</v>
      </c>
      <c r="F1335" s="13">
        <v>151.228409</v>
      </c>
      <c r="G1335" s="13">
        <v>134.16371599999999</v>
      </c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</row>
    <row r="1336" spans="1:19" x14ac:dyDescent="0.2">
      <c r="A1336" s="12" t="s">
        <v>198</v>
      </c>
      <c r="B1336" s="12" t="s">
        <v>569</v>
      </c>
      <c r="C1336" s="12" t="s">
        <v>555</v>
      </c>
      <c r="D1336" s="13">
        <v>2783</v>
      </c>
      <c r="E1336" s="13">
        <v>2930.4709939999998</v>
      </c>
      <c r="F1336" s="13">
        <v>2960.055433</v>
      </c>
      <c r="G1336" s="13">
        <v>2512.0848649999998</v>
      </c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</row>
    <row r="1337" spans="1:19" x14ac:dyDescent="0.2">
      <c r="A1337" s="12" t="s">
        <v>198</v>
      </c>
      <c r="B1337" s="12" t="s">
        <v>569</v>
      </c>
      <c r="C1337" s="12" t="s">
        <v>556</v>
      </c>
      <c r="D1337" s="13">
        <v>0</v>
      </c>
      <c r="E1337" s="13">
        <v>0</v>
      </c>
      <c r="F1337" s="13">
        <v>0</v>
      </c>
      <c r="G1337" s="13">
        <v>0</v>
      </c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</row>
    <row r="1338" spans="1:19" x14ac:dyDescent="0.2">
      <c r="A1338" s="12" t="s">
        <v>198</v>
      </c>
      <c r="B1338" s="12" t="s">
        <v>569</v>
      </c>
      <c r="C1338" s="12" t="s">
        <v>557</v>
      </c>
      <c r="D1338" s="13">
        <v>3123</v>
      </c>
      <c r="E1338" s="13">
        <v>3231.4450820000002</v>
      </c>
      <c r="F1338" s="13">
        <v>2795.2415860000001</v>
      </c>
      <c r="G1338" s="13">
        <v>2682.1309930000002</v>
      </c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</row>
    <row r="1339" spans="1:19" x14ac:dyDescent="0.2">
      <c r="A1339" s="12" t="s">
        <v>198</v>
      </c>
      <c r="B1339" s="12" t="s">
        <v>569</v>
      </c>
      <c r="C1339" s="12" t="s">
        <v>558</v>
      </c>
      <c r="D1339" s="13">
        <v>-809</v>
      </c>
      <c r="E1339" s="13">
        <v>-825.06240600000012</v>
      </c>
      <c r="F1339" s="13">
        <v>-726.42689399999995</v>
      </c>
      <c r="G1339" s="13">
        <v>-733.88519799999995</v>
      </c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</row>
    <row r="1340" spans="1:19" x14ac:dyDescent="0.2">
      <c r="A1340" s="12" t="s">
        <v>198</v>
      </c>
      <c r="B1340" s="12" t="s">
        <v>569</v>
      </c>
      <c r="C1340" s="12" t="s">
        <v>560</v>
      </c>
      <c r="D1340" s="13">
        <v>0</v>
      </c>
      <c r="E1340" s="13">
        <v>0</v>
      </c>
      <c r="F1340" s="13">
        <v>0</v>
      </c>
      <c r="G1340" s="13">
        <v>0</v>
      </c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</row>
    <row r="1341" spans="1:19" x14ac:dyDescent="0.2">
      <c r="A1341" s="12" t="s">
        <v>198</v>
      </c>
      <c r="B1341" s="12" t="s">
        <v>569</v>
      </c>
      <c r="C1341" s="12" t="s">
        <v>561</v>
      </c>
      <c r="D1341" s="13">
        <v>2299</v>
      </c>
      <c r="E1341" s="13">
        <v>2513.4996179999998</v>
      </c>
      <c r="F1341" s="13">
        <v>2156.1394030000001</v>
      </c>
      <c r="G1341" s="13">
        <v>2021.6014500000001</v>
      </c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</row>
    <row r="1342" spans="1:19" x14ac:dyDescent="0.2">
      <c r="A1342" s="12" t="s">
        <v>198</v>
      </c>
      <c r="B1342" s="12" t="s">
        <v>569</v>
      </c>
      <c r="C1342" s="12" t="s">
        <v>562</v>
      </c>
      <c r="D1342" s="13">
        <v>823</v>
      </c>
      <c r="E1342" s="13">
        <v>857.95968000000005</v>
      </c>
      <c r="F1342" s="13">
        <v>754.04546800000003</v>
      </c>
      <c r="G1342" s="13">
        <v>712.68011899999999</v>
      </c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</row>
    <row r="1343" spans="1:19" x14ac:dyDescent="0.2">
      <c r="A1343" s="12" t="s">
        <v>198</v>
      </c>
      <c r="B1343" s="12" t="s">
        <v>569</v>
      </c>
      <c r="C1343" s="12" t="s">
        <v>563</v>
      </c>
      <c r="D1343" s="13">
        <v>20</v>
      </c>
      <c r="E1343" s="13">
        <v>23.293286999999999</v>
      </c>
      <c r="F1343" s="13">
        <v>35.581741999999998</v>
      </c>
      <c r="G1343" s="13">
        <v>30.754394999999999</v>
      </c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</row>
    <row r="1344" spans="1:19" x14ac:dyDescent="0.2">
      <c r="A1344" s="12" t="s">
        <v>198</v>
      </c>
      <c r="B1344" s="12" t="s">
        <v>569</v>
      </c>
      <c r="C1344" s="12" t="s">
        <v>564</v>
      </c>
      <c r="D1344" s="13">
        <v>910</v>
      </c>
      <c r="E1344" s="13">
        <v>1052.0642660000001</v>
      </c>
      <c r="F1344" s="13">
        <v>894.74215000000004</v>
      </c>
      <c r="G1344" s="13">
        <v>825.08211300000005</v>
      </c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</row>
    <row r="1345" spans="1:19" x14ac:dyDescent="0.2">
      <c r="A1345" s="12" t="s">
        <v>198</v>
      </c>
      <c r="B1345" s="12" t="s">
        <v>569</v>
      </c>
      <c r="C1345" s="12" t="s">
        <v>565</v>
      </c>
      <c r="D1345" s="13">
        <v>416</v>
      </c>
      <c r="E1345" s="13">
        <v>448.666875</v>
      </c>
      <c r="F1345" s="13">
        <v>382.61427700000002</v>
      </c>
      <c r="G1345" s="13">
        <v>362.35279800000001</v>
      </c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</row>
    <row r="1346" spans="1:19" x14ac:dyDescent="0.2">
      <c r="A1346" s="12" t="s">
        <v>198</v>
      </c>
      <c r="B1346" s="12" t="s">
        <v>569</v>
      </c>
      <c r="C1346" s="12" t="s">
        <v>566</v>
      </c>
      <c r="D1346" s="13">
        <v>130</v>
      </c>
      <c r="E1346" s="13">
        <v>131.51550599999999</v>
      </c>
      <c r="F1346" s="13">
        <v>89.15576200000001</v>
      </c>
      <c r="G1346" s="13">
        <v>90.732029999999995</v>
      </c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</row>
    <row r="1347" spans="1:19" x14ac:dyDescent="0.2">
      <c r="A1347" s="12" t="s">
        <v>198</v>
      </c>
      <c r="B1347" s="12" t="s">
        <v>570</v>
      </c>
      <c r="C1347" s="12" t="s">
        <v>554</v>
      </c>
      <c r="D1347" s="13">
        <v>702</v>
      </c>
      <c r="E1347" s="13">
        <v>754.14545299999997</v>
      </c>
      <c r="F1347" s="13">
        <v>378.64363700000001</v>
      </c>
      <c r="G1347" s="13">
        <v>78.72</v>
      </c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</row>
    <row r="1348" spans="1:19" x14ac:dyDescent="0.2">
      <c r="A1348" s="12" t="s">
        <v>198</v>
      </c>
      <c r="B1348" s="12" t="s">
        <v>570</v>
      </c>
      <c r="C1348" s="12" t="s">
        <v>555</v>
      </c>
      <c r="D1348" s="13">
        <v>0</v>
      </c>
      <c r="E1348" s="13">
        <v>0</v>
      </c>
      <c r="F1348" s="13">
        <v>0</v>
      </c>
      <c r="G1348" s="13">
        <v>0</v>
      </c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</row>
    <row r="1349" spans="1:19" x14ac:dyDescent="0.2">
      <c r="A1349" s="12" t="s">
        <v>198</v>
      </c>
      <c r="B1349" s="12" t="s">
        <v>570</v>
      </c>
      <c r="C1349" s="12" t="s">
        <v>556</v>
      </c>
      <c r="D1349" s="13">
        <v>0</v>
      </c>
      <c r="E1349" s="13">
        <v>0</v>
      </c>
      <c r="F1349" s="13">
        <v>0</v>
      </c>
      <c r="G1349" s="13">
        <v>0</v>
      </c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</row>
    <row r="1350" spans="1:19" x14ac:dyDescent="0.2">
      <c r="A1350" s="12" t="s">
        <v>198</v>
      </c>
      <c r="B1350" s="12" t="s">
        <v>570</v>
      </c>
      <c r="C1350" s="12" t="s">
        <v>557</v>
      </c>
      <c r="D1350" s="13">
        <v>702</v>
      </c>
      <c r="E1350" s="13">
        <v>754.14545299999997</v>
      </c>
      <c r="F1350" s="13">
        <v>378.64363700000001</v>
      </c>
      <c r="G1350" s="13">
        <v>78.72</v>
      </c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</row>
    <row r="1351" spans="1:19" x14ac:dyDescent="0.2">
      <c r="A1351" s="12" t="s">
        <v>198</v>
      </c>
      <c r="B1351" s="12" t="s">
        <v>570</v>
      </c>
      <c r="C1351" s="12" t="s">
        <v>558</v>
      </c>
      <c r="D1351" s="13">
        <v>-702</v>
      </c>
      <c r="E1351" s="13">
        <v>-754.14545299999997</v>
      </c>
      <c r="F1351" s="13">
        <v>-378.64363700000001</v>
      </c>
      <c r="G1351" s="13">
        <v>-78.72</v>
      </c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</row>
    <row r="1352" spans="1:19" x14ac:dyDescent="0.2">
      <c r="A1352" s="12" t="s">
        <v>198</v>
      </c>
      <c r="B1352" s="12" t="s">
        <v>570</v>
      </c>
      <c r="C1352" s="12" t="s">
        <v>560</v>
      </c>
      <c r="D1352" s="13">
        <v>0</v>
      </c>
      <c r="E1352" s="13">
        <v>0</v>
      </c>
      <c r="F1352" s="13">
        <v>0</v>
      </c>
      <c r="G1352" s="13">
        <v>0</v>
      </c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</row>
    <row r="1353" spans="1:19" x14ac:dyDescent="0.2">
      <c r="A1353" s="12" t="s">
        <v>198</v>
      </c>
      <c r="B1353" s="12" t="s">
        <v>570</v>
      </c>
      <c r="C1353" s="12" t="s">
        <v>561</v>
      </c>
      <c r="D1353" s="13">
        <v>0</v>
      </c>
      <c r="E1353" s="13">
        <v>0</v>
      </c>
      <c r="F1353" s="13">
        <v>0</v>
      </c>
      <c r="G1353" s="13">
        <v>0</v>
      </c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</row>
    <row r="1354" spans="1:19" x14ac:dyDescent="0.2">
      <c r="A1354" s="12" t="s">
        <v>198</v>
      </c>
      <c r="B1354" s="12" t="s">
        <v>570</v>
      </c>
      <c r="C1354" s="12" t="s">
        <v>562</v>
      </c>
      <c r="D1354" s="13">
        <v>0</v>
      </c>
      <c r="E1354" s="13">
        <v>0</v>
      </c>
      <c r="F1354" s="13">
        <v>0</v>
      </c>
      <c r="G1354" s="13">
        <v>0</v>
      </c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</row>
    <row r="1355" spans="1:19" x14ac:dyDescent="0.2">
      <c r="A1355" s="12" t="s">
        <v>198</v>
      </c>
      <c r="B1355" s="12" t="s">
        <v>570</v>
      </c>
      <c r="C1355" s="12" t="s">
        <v>563</v>
      </c>
      <c r="D1355" s="13">
        <v>0</v>
      </c>
      <c r="E1355" s="13">
        <v>0</v>
      </c>
      <c r="F1355" s="13">
        <v>0</v>
      </c>
      <c r="G1355" s="13">
        <v>0</v>
      </c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</row>
    <row r="1356" spans="1:19" x14ac:dyDescent="0.2">
      <c r="A1356" s="12" t="s">
        <v>198</v>
      </c>
      <c r="B1356" s="12" t="s">
        <v>570</v>
      </c>
      <c r="C1356" s="12" t="s">
        <v>564</v>
      </c>
      <c r="D1356" s="13">
        <v>0</v>
      </c>
      <c r="E1356" s="13">
        <v>0</v>
      </c>
      <c r="F1356" s="13">
        <v>0</v>
      </c>
      <c r="G1356" s="13">
        <v>0</v>
      </c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</row>
    <row r="1357" spans="1:19" x14ac:dyDescent="0.2">
      <c r="A1357" s="12" t="s">
        <v>198</v>
      </c>
      <c r="B1357" s="12" t="s">
        <v>570</v>
      </c>
      <c r="C1357" s="12" t="s">
        <v>565</v>
      </c>
      <c r="D1357" s="13">
        <v>0</v>
      </c>
      <c r="E1357" s="13">
        <v>0</v>
      </c>
      <c r="F1357" s="13">
        <v>0</v>
      </c>
      <c r="G1357" s="13">
        <v>0</v>
      </c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</row>
    <row r="1358" spans="1:19" x14ac:dyDescent="0.2">
      <c r="A1358" s="12" t="s">
        <v>198</v>
      </c>
      <c r="B1358" s="12" t="s">
        <v>570</v>
      </c>
      <c r="C1358" s="12" t="s">
        <v>566</v>
      </c>
      <c r="D1358" s="13">
        <v>0</v>
      </c>
      <c r="E1358" s="13">
        <v>0</v>
      </c>
      <c r="F1358" s="13">
        <v>0</v>
      </c>
      <c r="G1358" s="13">
        <v>0</v>
      </c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</row>
    <row r="1359" spans="1:19" x14ac:dyDescent="0.2">
      <c r="A1359" s="12" t="s">
        <v>198</v>
      </c>
      <c r="B1359" s="12" t="s">
        <v>571</v>
      </c>
      <c r="C1359" s="12" t="s">
        <v>554</v>
      </c>
      <c r="D1359" s="13">
        <v>2067</v>
      </c>
      <c r="E1359" s="13">
        <v>2092.740796</v>
      </c>
      <c r="F1359" s="13">
        <v>2160.496388</v>
      </c>
      <c r="G1359" s="13">
        <v>2153.0361389999998</v>
      </c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</row>
    <row r="1360" spans="1:19" x14ac:dyDescent="0.2">
      <c r="A1360" s="12" t="s">
        <v>198</v>
      </c>
      <c r="B1360" s="12" t="s">
        <v>571</v>
      </c>
      <c r="C1360" s="12" t="s">
        <v>555</v>
      </c>
      <c r="D1360" s="13">
        <v>145</v>
      </c>
      <c r="E1360" s="13">
        <v>115.494477</v>
      </c>
      <c r="F1360" s="13">
        <v>116.359537</v>
      </c>
      <c r="G1360" s="13">
        <v>112.320448</v>
      </c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</row>
    <row r="1361" spans="1:19" x14ac:dyDescent="0.2">
      <c r="A1361" s="12" t="s">
        <v>198</v>
      </c>
      <c r="B1361" s="12" t="s">
        <v>571</v>
      </c>
      <c r="C1361" s="12" t="s">
        <v>556</v>
      </c>
      <c r="D1361" s="13">
        <v>-127</v>
      </c>
      <c r="E1361" s="13">
        <v>-122.10562299999999</v>
      </c>
      <c r="F1361" s="13">
        <v>-119.677673</v>
      </c>
      <c r="G1361" s="13">
        <v>-119.94347999999999</v>
      </c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</row>
    <row r="1362" spans="1:19" x14ac:dyDescent="0.2">
      <c r="A1362" s="12" t="s">
        <v>198</v>
      </c>
      <c r="B1362" s="12" t="s">
        <v>571</v>
      </c>
      <c r="C1362" s="12" t="s">
        <v>557</v>
      </c>
      <c r="D1362" s="13">
        <v>2085</v>
      </c>
      <c r="E1362" s="13">
        <v>2086.1296550000002</v>
      </c>
      <c r="F1362" s="13">
        <v>2157.216034</v>
      </c>
      <c r="G1362" s="13">
        <v>2145.5263970000001</v>
      </c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</row>
    <row r="1363" spans="1:19" x14ac:dyDescent="0.2">
      <c r="A1363" s="12" t="s">
        <v>198</v>
      </c>
      <c r="B1363" s="12" t="s">
        <v>571</v>
      </c>
      <c r="C1363" s="12" t="s">
        <v>558</v>
      </c>
      <c r="D1363" s="13">
        <v>-1347</v>
      </c>
      <c r="E1363" s="13">
        <v>-1283.869923</v>
      </c>
      <c r="F1363" s="13">
        <v>-1334.8960709999999</v>
      </c>
      <c r="G1363" s="13">
        <v>-1388.584333</v>
      </c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</row>
    <row r="1364" spans="1:19" x14ac:dyDescent="0.2">
      <c r="A1364" s="12" t="s">
        <v>198</v>
      </c>
      <c r="B1364" s="12" t="s">
        <v>571</v>
      </c>
      <c r="C1364" s="12" t="s">
        <v>560</v>
      </c>
      <c r="D1364" s="13">
        <v>0</v>
      </c>
      <c r="E1364" s="13">
        <v>0</v>
      </c>
      <c r="F1364" s="13">
        <v>0</v>
      </c>
      <c r="G1364" s="13">
        <v>0</v>
      </c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</row>
    <row r="1365" spans="1:19" x14ac:dyDescent="0.2">
      <c r="A1365" s="12" t="s">
        <v>198</v>
      </c>
      <c r="B1365" s="12" t="s">
        <v>571</v>
      </c>
      <c r="C1365" s="12" t="s">
        <v>561</v>
      </c>
      <c r="D1365" s="13">
        <v>715</v>
      </c>
      <c r="E1365" s="13">
        <v>744.82746199999997</v>
      </c>
      <c r="F1365" s="13">
        <v>770.12796000000014</v>
      </c>
      <c r="G1365" s="13">
        <v>696.859105</v>
      </c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</row>
    <row r="1366" spans="1:19" x14ac:dyDescent="0.2">
      <c r="A1366" s="12" t="s">
        <v>198</v>
      </c>
      <c r="B1366" s="12" t="s">
        <v>571</v>
      </c>
      <c r="C1366" s="12" t="s">
        <v>562</v>
      </c>
      <c r="D1366" s="13">
        <v>169</v>
      </c>
      <c r="E1366" s="13">
        <v>172.05508900000001</v>
      </c>
      <c r="F1366" s="13">
        <v>172.88825</v>
      </c>
      <c r="G1366" s="13">
        <v>164.315685</v>
      </c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</row>
    <row r="1367" spans="1:19" x14ac:dyDescent="0.2">
      <c r="A1367" s="12" t="s">
        <v>198</v>
      </c>
      <c r="B1367" s="12" t="s">
        <v>571</v>
      </c>
      <c r="C1367" s="12" t="s">
        <v>563</v>
      </c>
      <c r="D1367" s="13">
        <v>140</v>
      </c>
      <c r="E1367" s="13">
        <v>120.885451</v>
      </c>
      <c r="F1367" s="13">
        <v>123.497219</v>
      </c>
      <c r="G1367" s="13">
        <v>124.935912</v>
      </c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</row>
    <row r="1368" spans="1:19" x14ac:dyDescent="0.2">
      <c r="A1368" s="12" t="s">
        <v>198</v>
      </c>
      <c r="B1368" s="12" t="s">
        <v>571</v>
      </c>
      <c r="C1368" s="12" t="s">
        <v>564</v>
      </c>
      <c r="D1368" s="13">
        <v>285</v>
      </c>
      <c r="E1368" s="13">
        <v>325.25813099999999</v>
      </c>
      <c r="F1368" s="13">
        <v>353.56176199999999</v>
      </c>
      <c r="G1368" s="13">
        <v>283.23160699999988</v>
      </c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</row>
    <row r="1369" spans="1:19" x14ac:dyDescent="0.2">
      <c r="A1369" s="12" t="s">
        <v>198</v>
      </c>
      <c r="B1369" s="12" t="s">
        <v>571</v>
      </c>
      <c r="C1369" s="12" t="s">
        <v>565</v>
      </c>
      <c r="D1369" s="13">
        <v>86</v>
      </c>
      <c r="E1369" s="13">
        <v>91.699662000000004</v>
      </c>
      <c r="F1369" s="13">
        <v>85.536394999999985</v>
      </c>
      <c r="G1369" s="13">
        <v>90.664572000000007</v>
      </c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</row>
    <row r="1370" spans="1:19" x14ac:dyDescent="0.2">
      <c r="A1370" s="12" t="s">
        <v>198</v>
      </c>
      <c r="B1370" s="12" t="s">
        <v>571</v>
      </c>
      <c r="C1370" s="12" t="s">
        <v>566</v>
      </c>
      <c r="D1370" s="13">
        <v>34</v>
      </c>
      <c r="E1370" s="13">
        <v>34.929141000000001</v>
      </c>
      <c r="F1370" s="13">
        <v>34.644317000000001</v>
      </c>
      <c r="G1370" s="13">
        <v>33.711331000000001</v>
      </c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</row>
    <row r="1371" spans="1:19" x14ac:dyDescent="0.2">
      <c r="A1371" s="12" t="s">
        <v>198</v>
      </c>
      <c r="B1371" s="12" t="s">
        <v>572</v>
      </c>
      <c r="C1371" s="12" t="s">
        <v>554</v>
      </c>
      <c r="D1371" s="13">
        <v>0</v>
      </c>
      <c r="E1371" s="13">
        <v>0</v>
      </c>
      <c r="F1371" s="13">
        <v>0</v>
      </c>
      <c r="G1371" s="13">
        <v>0</v>
      </c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</row>
    <row r="1372" spans="1:19" x14ac:dyDescent="0.2">
      <c r="A1372" s="12" t="s">
        <v>198</v>
      </c>
      <c r="B1372" s="12" t="s">
        <v>572</v>
      </c>
      <c r="C1372" s="12" t="s">
        <v>555</v>
      </c>
      <c r="D1372" s="13">
        <v>172</v>
      </c>
      <c r="E1372" s="13">
        <v>186.23159799999999</v>
      </c>
      <c r="F1372" s="13">
        <v>177.5916</v>
      </c>
      <c r="G1372" s="13">
        <v>249.505199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</row>
    <row r="1373" spans="1:19" x14ac:dyDescent="0.2">
      <c r="A1373" s="12" t="s">
        <v>198</v>
      </c>
      <c r="B1373" s="12" t="s">
        <v>572</v>
      </c>
      <c r="C1373" s="12" t="s">
        <v>556</v>
      </c>
      <c r="D1373" s="13">
        <v>-241</v>
      </c>
      <c r="E1373" s="13">
        <v>-253.10160200000001</v>
      </c>
      <c r="F1373" s="13">
        <v>-275.71319799999998</v>
      </c>
      <c r="G1373" s="13">
        <v>-216.29519999999999</v>
      </c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</row>
    <row r="1374" spans="1:19" x14ac:dyDescent="0.2">
      <c r="A1374" s="12" t="s">
        <v>198</v>
      </c>
      <c r="B1374" s="12" t="s">
        <v>572</v>
      </c>
      <c r="C1374" s="12" t="s">
        <v>557</v>
      </c>
      <c r="D1374" s="13">
        <v>-69</v>
      </c>
      <c r="E1374" s="13">
        <v>-66.87</v>
      </c>
      <c r="F1374" s="13">
        <v>-98.121601999999996</v>
      </c>
      <c r="G1374" s="13">
        <v>33.209999000000003</v>
      </c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</row>
    <row r="1375" spans="1:19" x14ac:dyDescent="0.2">
      <c r="A1375" s="12" t="s">
        <v>198</v>
      </c>
      <c r="B1375" s="12" t="s">
        <v>572</v>
      </c>
      <c r="C1375" s="12" t="s">
        <v>558</v>
      </c>
      <c r="D1375" s="13">
        <v>2048</v>
      </c>
      <c r="E1375" s="13">
        <v>2114.9431169999998</v>
      </c>
      <c r="F1375" s="13">
        <v>2062.7928550000001</v>
      </c>
      <c r="G1375" s="13">
        <v>1823.177678</v>
      </c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</row>
    <row r="1376" spans="1:19" x14ac:dyDescent="0.2">
      <c r="A1376" s="12" t="s">
        <v>198</v>
      </c>
      <c r="B1376" s="12" t="s">
        <v>572</v>
      </c>
      <c r="C1376" s="12" t="s">
        <v>560</v>
      </c>
      <c r="D1376" s="13">
        <v>0</v>
      </c>
      <c r="E1376" s="13">
        <v>0</v>
      </c>
      <c r="F1376" s="13">
        <v>0</v>
      </c>
      <c r="G1376" s="13">
        <v>0</v>
      </c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</row>
    <row r="1377" spans="1:19" x14ac:dyDescent="0.2">
      <c r="A1377" s="12" t="s">
        <v>198</v>
      </c>
      <c r="B1377" s="12" t="s">
        <v>572</v>
      </c>
      <c r="C1377" s="12" t="s">
        <v>561</v>
      </c>
      <c r="D1377" s="13">
        <v>1736</v>
      </c>
      <c r="E1377" s="13">
        <v>1799.0550020000001</v>
      </c>
      <c r="F1377" s="13">
        <v>1717.920001</v>
      </c>
      <c r="G1377" s="13">
        <v>1632.9084</v>
      </c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</row>
    <row r="1378" spans="1:19" x14ac:dyDescent="0.2">
      <c r="A1378" s="12" t="s">
        <v>198</v>
      </c>
      <c r="B1378" s="12" t="s">
        <v>572</v>
      </c>
      <c r="C1378" s="12" t="s">
        <v>562</v>
      </c>
      <c r="D1378" s="13">
        <v>762</v>
      </c>
      <c r="E1378" s="13">
        <v>789.58079900000007</v>
      </c>
      <c r="F1378" s="13">
        <v>742.08600000000001</v>
      </c>
      <c r="G1378" s="13">
        <v>693.82080000000008</v>
      </c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</row>
    <row r="1379" spans="1:19" x14ac:dyDescent="0.2">
      <c r="A1379" s="12" t="s">
        <v>198</v>
      </c>
      <c r="B1379" s="12" t="s">
        <v>572</v>
      </c>
      <c r="C1379" s="12" t="s">
        <v>563</v>
      </c>
      <c r="D1379" s="13">
        <v>42</v>
      </c>
      <c r="E1379" s="13">
        <v>46.324798000000001</v>
      </c>
      <c r="F1379" s="13">
        <v>55.472068999999998</v>
      </c>
      <c r="G1379" s="13">
        <v>59.356800000000007</v>
      </c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</row>
    <row r="1380" spans="1:19" x14ac:dyDescent="0.2">
      <c r="A1380" s="12" t="s">
        <v>198</v>
      </c>
      <c r="B1380" s="12" t="s">
        <v>572</v>
      </c>
      <c r="C1380" s="12" t="s">
        <v>564</v>
      </c>
      <c r="D1380" s="13">
        <v>459</v>
      </c>
      <c r="E1380" s="13">
        <v>473.39999799999998</v>
      </c>
      <c r="F1380" s="13">
        <v>482.88959799999998</v>
      </c>
      <c r="G1380" s="13">
        <v>455.97959800000001</v>
      </c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</row>
    <row r="1381" spans="1:19" x14ac:dyDescent="0.2">
      <c r="A1381" s="12" t="s">
        <v>198</v>
      </c>
      <c r="B1381" s="12" t="s">
        <v>572</v>
      </c>
      <c r="C1381" s="12" t="s">
        <v>565</v>
      </c>
      <c r="D1381" s="13">
        <v>457</v>
      </c>
      <c r="E1381" s="13">
        <v>471.01860099999999</v>
      </c>
      <c r="F1381" s="13">
        <v>421.412733</v>
      </c>
      <c r="G1381" s="13">
        <v>407.47919999999999</v>
      </c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</row>
    <row r="1382" spans="1:19" x14ac:dyDescent="0.2">
      <c r="A1382" s="12" t="s">
        <v>198</v>
      </c>
      <c r="B1382" s="12" t="s">
        <v>572</v>
      </c>
      <c r="C1382" s="12" t="s">
        <v>566</v>
      </c>
      <c r="D1382" s="13">
        <v>17</v>
      </c>
      <c r="E1382" s="13">
        <v>18.730801</v>
      </c>
      <c r="F1382" s="13">
        <v>16.059598000000001</v>
      </c>
      <c r="G1382" s="13">
        <v>16.272003000000002</v>
      </c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</row>
    <row r="1383" spans="1:19" x14ac:dyDescent="0.2">
      <c r="A1383" s="12" t="s">
        <v>198</v>
      </c>
      <c r="B1383" s="12" t="s">
        <v>573</v>
      </c>
      <c r="C1383" s="12" t="s">
        <v>554</v>
      </c>
      <c r="D1383" s="13">
        <v>0</v>
      </c>
      <c r="E1383" s="13">
        <v>5.6020000000000002E-3</v>
      </c>
      <c r="F1383" s="13">
        <v>0.122401</v>
      </c>
      <c r="G1383" s="13">
        <v>0.12284100000000001</v>
      </c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</row>
    <row r="1384" spans="1:19" x14ac:dyDescent="0.2">
      <c r="A1384" s="12" t="s">
        <v>198</v>
      </c>
      <c r="B1384" s="12" t="s">
        <v>573</v>
      </c>
      <c r="C1384" s="12" t="s">
        <v>555</v>
      </c>
      <c r="D1384" s="13">
        <v>0</v>
      </c>
      <c r="E1384" s="13">
        <v>0</v>
      </c>
      <c r="F1384" s="13">
        <v>0</v>
      </c>
      <c r="G1384" s="13">
        <v>0</v>
      </c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</row>
    <row r="1385" spans="1:19" x14ac:dyDescent="0.2">
      <c r="A1385" s="12" t="s">
        <v>198</v>
      </c>
      <c r="B1385" s="12" t="s">
        <v>573</v>
      </c>
      <c r="C1385" s="12" t="s">
        <v>556</v>
      </c>
      <c r="D1385" s="13">
        <v>0</v>
      </c>
      <c r="E1385" s="13">
        <v>0</v>
      </c>
      <c r="F1385" s="13">
        <v>0</v>
      </c>
      <c r="G1385" s="13">
        <v>0</v>
      </c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</row>
    <row r="1386" spans="1:19" x14ac:dyDescent="0.2">
      <c r="A1386" s="12" t="s">
        <v>198</v>
      </c>
      <c r="B1386" s="12" t="s">
        <v>573</v>
      </c>
      <c r="C1386" s="12" t="s">
        <v>557</v>
      </c>
      <c r="D1386" s="13">
        <v>0</v>
      </c>
      <c r="E1386" s="13">
        <v>5.6020000000000002E-3</v>
      </c>
      <c r="F1386" s="13">
        <v>0.122401</v>
      </c>
      <c r="G1386" s="13">
        <v>0.12284100000000001</v>
      </c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</row>
    <row r="1387" spans="1:19" x14ac:dyDescent="0.2">
      <c r="A1387" s="12" t="s">
        <v>198</v>
      </c>
      <c r="B1387" s="12" t="s">
        <v>573</v>
      </c>
      <c r="C1387" s="12" t="s">
        <v>558</v>
      </c>
      <c r="D1387" s="13">
        <v>426</v>
      </c>
      <c r="E1387" s="13">
        <v>469.608</v>
      </c>
      <c r="F1387" s="13">
        <v>429.09112699999997</v>
      </c>
      <c r="G1387" s="13">
        <v>409.31019700000007</v>
      </c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</row>
    <row r="1388" spans="1:19" x14ac:dyDescent="0.2">
      <c r="A1388" s="12" t="s">
        <v>198</v>
      </c>
      <c r="B1388" s="12" t="s">
        <v>573</v>
      </c>
      <c r="C1388" s="12" t="s">
        <v>560</v>
      </c>
      <c r="D1388" s="13">
        <v>0</v>
      </c>
      <c r="E1388" s="13">
        <v>0</v>
      </c>
      <c r="F1388" s="13">
        <v>0</v>
      </c>
      <c r="G1388" s="13">
        <v>0</v>
      </c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</row>
    <row r="1389" spans="1:19" x14ac:dyDescent="0.2">
      <c r="A1389" s="12" t="s">
        <v>198</v>
      </c>
      <c r="B1389" s="12" t="s">
        <v>573</v>
      </c>
      <c r="C1389" s="12" t="s">
        <v>561</v>
      </c>
      <c r="D1389" s="13">
        <v>374</v>
      </c>
      <c r="E1389" s="13">
        <v>411.757001</v>
      </c>
      <c r="F1389" s="13">
        <v>373.29112700000002</v>
      </c>
      <c r="G1389" s="13">
        <v>356.45342099999999</v>
      </c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</row>
    <row r="1390" spans="1:19" x14ac:dyDescent="0.2">
      <c r="A1390" s="12" t="s">
        <v>198</v>
      </c>
      <c r="B1390" s="12" t="s">
        <v>573</v>
      </c>
      <c r="C1390" s="12" t="s">
        <v>562</v>
      </c>
      <c r="D1390" s="13">
        <v>168</v>
      </c>
      <c r="E1390" s="13">
        <v>177.817001</v>
      </c>
      <c r="F1390" s="13">
        <v>165.97300000000001</v>
      </c>
      <c r="G1390" s="13">
        <v>153.421999</v>
      </c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</row>
    <row r="1391" spans="1:19" x14ac:dyDescent="0.2">
      <c r="A1391" s="12" t="s">
        <v>198</v>
      </c>
      <c r="B1391" s="12" t="s">
        <v>573</v>
      </c>
      <c r="C1391" s="12" t="s">
        <v>563</v>
      </c>
      <c r="D1391" s="13">
        <v>0</v>
      </c>
      <c r="E1391" s="13">
        <v>0</v>
      </c>
      <c r="F1391" s="13">
        <v>0</v>
      </c>
      <c r="G1391" s="13">
        <v>0</v>
      </c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</row>
    <row r="1392" spans="1:19" x14ac:dyDescent="0.2">
      <c r="A1392" s="12" t="s">
        <v>198</v>
      </c>
      <c r="B1392" s="12" t="s">
        <v>573</v>
      </c>
      <c r="C1392" s="12" t="s">
        <v>564</v>
      </c>
      <c r="D1392" s="13">
        <v>162</v>
      </c>
      <c r="E1392" s="13">
        <v>161.768</v>
      </c>
      <c r="F1392" s="13">
        <v>144.45299900000001</v>
      </c>
      <c r="G1392" s="13">
        <v>142.14530199999999</v>
      </c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</row>
    <row r="1393" spans="1:19" x14ac:dyDescent="0.2">
      <c r="A1393" s="12" t="s">
        <v>198</v>
      </c>
      <c r="B1393" s="12" t="s">
        <v>573</v>
      </c>
      <c r="C1393" s="12" t="s">
        <v>565</v>
      </c>
      <c r="D1393" s="13">
        <v>45</v>
      </c>
      <c r="E1393" s="13">
        <v>72.171999999999997</v>
      </c>
      <c r="F1393" s="13">
        <v>62.865124000000002</v>
      </c>
      <c r="G1393" s="13">
        <v>60.886120000000012</v>
      </c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</row>
    <row r="1394" spans="1:19" x14ac:dyDescent="0.2">
      <c r="A1394" s="12" t="s">
        <v>198</v>
      </c>
      <c r="B1394" s="12" t="s">
        <v>573</v>
      </c>
      <c r="C1394" s="12" t="s">
        <v>566</v>
      </c>
      <c r="D1394" s="13">
        <v>0</v>
      </c>
      <c r="E1394" s="13">
        <v>0</v>
      </c>
      <c r="F1394" s="13">
        <v>0</v>
      </c>
      <c r="G1394" s="13">
        <v>0</v>
      </c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</row>
    <row r="1395" spans="1:19" x14ac:dyDescent="0.2">
      <c r="A1395" s="12" t="s">
        <v>198</v>
      </c>
      <c r="B1395" s="12" t="s">
        <v>574</v>
      </c>
      <c r="C1395" s="12" t="s">
        <v>554</v>
      </c>
      <c r="D1395" s="13">
        <v>4048</v>
      </c>
      <c r="E1395" s="13">
        <v>4286.5859390000014</v>
      </c>
      <c r="F1395" s="13">
        <v>4002.2990070000001</v>
      </c>
      <c r="G1395" s="13">
        <v>3396.4948880000002</v>
      </c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</row>
    <row r="1396" spans="1:19" x14ac:dyDescent="0.2">
      <c r="A1396" s="12" t="s">
        <v>198</v>
      </c>
      <c r="B1396" s="12" t="s">
        <v>574</v>
      </c>
      <c r="C1396" s="12" t="s">
        <v>555</v>
      </c>
      <c r="D1396" s="13">
        <v>8981</v>
      </c>
      <c r="E1396" s="13">
        <v>9408.7886909999997</v>
      </c>
      <c r="F1396" s="13">
        <v>9771.4007569999994</v>
      </c>
      <c r="G1396" s="13">
        <v>8622.2024370000017</v>
      </c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</row>
    <row r="1397" spans="1:19" x14ac:dyDescent="0.2">
      <c r="A1397" s="12" t="s">
        <v>198</v>
      </c>
      <c r="B1397" s="12" t="s">
        <v>574</v>
      </c>
      <c r="C1397" s="12" t="s">
        <v>556</v>
      </c>
      <c r="D1397" s="13">
        <v>-1356</v>
      </c>
      <c r="E1397" s="13">
        <v>-1510.176692</v>
      </c>
      <c r="F1397" s="13">
        <v>-1620.6599880000001</v>
      </c>
      <c r="G1397" s="13">
        <v>-1424.8508549999999</v>
      </c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</row>
    <row r="1398" spans="1:19" x14ac:dyDescent="0.2">
      <c r="A1398" s="12" t="s">
        <v>198</v>
      </c>
      <c r="B1398" s="12" t="s">
        <v>574</v>
      </c>
      <c r="C1398" s="12" t="s">
        <v>557</v>
      </c>
      <c r="D1398" s="13">
        <v>11661</v>
      </c>
      <c r="E1398" s="13">
        <v>12076.546039999999</v>
      </c>
      <c r="F1398" s="13">
        <v>11359.378780999999</v>
      </c>
      <c r="G1398" s="13">
        <v>10210.831525</v>
      </c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</row>
    <row r="1399" spans="1:19" x14ac:dyDescent="0.2">
      <c r="A1399" s="12" t="s">
        <v>198</v>
      </c>
      <c r="B1399" s="12" t="s">
        <v>574</v>
      </c>
      <c r="C1399" s="12" t="s">
        <v>558</v>
      </c>
      <c r="D1399" s="13">
        <v>-1796</v>
      </c>
      <c r="E1399" s="13">
        <v>-1958.677259</v>
      </c>
      <c r="F1399" s="13">
        <v>-1753.402198</v>
      </c>
      <c r="G1399" s="13">
        <v>-1304.3559319999999</v>
      </c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</row>
    <row r="1400" spans="1:19" x14ac:dyDescent="0.2">
      <c r="A1400" s="12" t="s">
        <v>198</v>
      </c>
      <c r="B1400" s="12" t="s">
        <v>574</v>
      </c>
      <c r="C1400" s="12" t="s">
        <v>560</v>
      </c>
      <c r="D1400" s="13">
        <v>-59</v>
      </c>
      <c r="E1400" s="13">
        <v>-67.463424000000003</v>
      </c>
      <c r="F1400" s="13">
        <v>-60.193376999999998</v>
      </c>
      <c r="G1400" s="13">
        <v>-39.821333000000003</v>
      </c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</row>
    <row r="1401" spans="1:19" x14ac:dyDescent="0.2">
      <c r="A1401" s="12" t="s">
        <v>198</v>
      </c>
      <c r="B1401" s="12" t="s">
        <v>574</v>
      </c>
      <c r="C1401" s="12" t="s">
        <v>561</v>
      </c>
      <c r="D1401" s="13">
        <v>8997</v>
      </c>
      <c r="E1401" s="13">
        <v>9214.3508560000009</v>
      </c>
      <c r="F1401" s="13">
        <v>8714.8873330000006</v>
      </c>
      <c r="G1401" s="13">
        <v>8176.6526519999998</v>
      </c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</row>
    <row r="1402" spans="1:19" x14ac:dyDescent="0.2">
      <c r="A1402" s="12" t="s">
        <v>198</v>
      </c>
      <c r="B1402" s="12" t="s">
        <v>574</v>
      </c>
      <c r="C1402" s="12" t="s">
        <v>562</v>
      </c>
      <c r="D1402" s="13">
        <v>2293</v>
      </c>
      <c r="E1402" s="13">
        <v>2353.9624250000002</v>
      </c>
      <c r="F1402" s="13">
        <v>2219.5653699999998</v>
      </c>
      <c r="G1402" s="13">
        <v>2097.0469410000001</v>
      </c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</row>
    <row r="1403" spans="1:19" x14ac:dyDescent="0.2">
      <c r="A1403" s="12" t="s">
        <v>198</v>
      </c>
      <c r="B1403" s="12" t="s">
        <v>574</v>
      </c>
      <c r="C1403" s="12" t="s">
        <v>563</v>
      </c>
      <c r="D1403" s="13">
        <v>2154</v>
      </c>
      <c r="E1403" s="13">
        <v>2104.8721380000002</v>
      </c>
      <c r="F1403" s="13">
        <v>2139.0848329999999</v>
      </c>
      <c r="G1403" s="13">
        <v>2085.3227080000001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</row>
    <row r="1404" spans="1:19" x14ac:dyDescent="0.2">
      <c r="A1404" s="12" t="s">
        <v>198</v>
      </c>
      <c r="B1404" s="12" t="s">
        <v>574</v>
      </c>
      <c r="C1404" s="12" t="s">
        <v>564</v>
      </c>
      <c r="D1404" s="13">
        <v>2374</v>
      </c>
      <c r="E1404" s="13">
        <v>2357.9335879999999</v>
      </c>
      <c r="F1404" s="13">
        <v>2338.5681100000002</v>
      </c>
      <c r="G1404" s="13">
        <v>2136.9474089999999</v>
      </c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</row>
    <row r="1405" spans="1:19" x14ac:dyDescent="0.2">
      <c r="A1405" s="12" t="s">
        <v>198</v>
      </c>
      <c r="B1405" s="12" t="s">
        <v>574</v>
      </c>
      <c r="C1405" s="12" t="s">
        <v>565</v>
      </c>
      <c r="D1405" s="13">
        <v>1119</v>
      </c>
      <c r="E1405" s="13">
        <v>1251.014224</v>
      </c>
      <c r="F1405" s="13">
        <v>1030.301586</v>
      </c>
      <c r="G1405" s="13">
        <v>991.61899899999992</v>
      </c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</row>
    <row r="1406" spans="1:19" x14ac:dyDescent="0.2">
      <c r="A1406" s="12" t="s">
        <v>198</v>
      </c>
      <c r="B1406" s="12" t="s">
        <v>574</v>
      </c>
      <c r="C1406" s="12" t="s">
        <v>566</v>
      </c>
      <c r="D1406" s="13">
        <v>1058</v>
      </c>
      <c r="E1406" s="13">
        <v>1146.568485</v>
      </c>
      <c r="F1406" s="13">
        <v>987.36741599999993</v>
      </c>
      <c r="G1406" s="13">
        <v>865.71659700000009</v>
      </c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</row>
    <row r="1407" spans="1:19" x14ac:dyDescent="0.2">
      <c r="A1407" s="12" t="s">
        <v>257</v>
      </c>
      <c r="B1407" s="12" t="s">
        <v>553</v>
      </c>
      <c r="C1407" s="12" t="s">
        <v>554</v>
      </c>
      <c r="D1407" s="13">
        <v>68</v>
      </c>
      <c r="E1407" s="13">
        <v>60.254119000000003</v>
      </c>
      <c r="F1407" s="13">
        <v>69.444341000000009</v>
      </c>
      <c r="G1407" s="13">
        <v>54.902056999999999</v>
      </c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</row>
    <row r="1408" spans="1:19" x14ac:dyDescent="0.2">
      <c r="A1408" s="12" t="s">
        <v>257</v>
      </c>
      <c r="B1408" s="12" t="s">
        <v>553</v>
      </c>
      <c r="C1408" s="12" t="s">
        <v>555</v>
      </c>
      <c r="D1408" s="13">
        <v>8</v>
      </c>
      <c r="E1408" s="13">
        <v>6.8751949999999997</v>
      </c>
      <c r="F1408" s="13">
        <v>2.2393730000000001</v>
      </c>
      <c r="G1408" s="13">
        <v>1.372714</v>
      </c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</row>
    <row r="1409" spans="1:19" x14ac:dyDescent="0.2">
      <c r="A1409" s="12" t="s">
        <v>257</v>
      </c>
      <c r="B1409" s="12" t="s">
        <v>553</v>
      </c>
      <c r="C1409" s="12" t="s">
        <v>556</v>
      </c>
      <c r="D1409" s="13">
        <v>0</v>
      </c>
      <c r="E1409" s="13">
        <v>0</v>
      </c>
      <c r="F1409" s="13">
        <v>-2.718753</v>
      </c>
      <c r="G1409" s="13">
        <v>-6.0608280000000008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</row>
    <row r="1410" spans="1:19" x14ac:dyDescent="0.2">
      <c r="A1410" s="12" t="s">
        <v>257</v>
      </c>
      <c r="B1410" s="12" t="s">
        <v>553</v>
      </c>
      <c r="C1410" s="12" t="s">
        <v>557</v>
      </c>
      <c r="D1410" s="13">
        <v>77</v>
      </c>
      <c r="E1410" s="13">
        <v>71.632881999999995</v>
      </c>
      <c r="F1410" s="13">
        <v>65.432399000000004</v>
      </c>
      <c r="G1410" s="13">
        <v>49.507118000000013</v>
      </c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</row>
    <row r="1411" spans="1:19" x14ac:dyDescent="0.2">
      <c r="A1411" s="12" t="s">
        <v>257</v>
      </c>
      <c r="B1411" s="12" t="s">
        <v>553</v>
      </c>
      <c r="C1411" s="12" t="s">
        <v>558</v>
      </c>
      <c r="D1411" s="13">
        <v>-69</v>
      </c>
      <c r="E1411" s="13">
        <v>-64.175282999999993</v>
      </c>
      <c r="F1411" s="13">
        <v>-63.209225000000011</v>
      </c>
      <c r="G1411" s="13">
        <v>-47.044086</v>
      </c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</row>
    <row r="1412" spans="1:19" x14ac:dyDescent="0.2">
      <c r="A1412" s="12" t="s">
        <v>257</v>
      </c>
      <c r="B1412" s="12" t="s">
        <v>553</v>
      </c>
      <c r="C1412" s="12" t="s">
        <v>560</v>
      </c>
      <c r="D1412" s="13">
        <v>0</v>
      </c>
      <c r="E1412" s="13">
        <v>0</v>
      </c>
      <c r="F1412" s="13">
        <v>0</v>
      </c>
      <c r="G1412" s="13">
        <v>0</v>
      </c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</row>
    <row r="1413" spans="1:19" x14ac:dyDescent="0.2">
      <c r="A1413" s="12" t="s">
        <v>257</v>
      </c>
      <c r="B1413" s="12" t="s">
        <v>553</v>
      </c>
      <c r="C1413" s="12" t="s">
        <v>561</v>
      </c>
      <c r="D1413" s="13">
        <v>7</v>
      </c>
      <c r="E1413" s="13">
        <v>7.6890039999999997</v>
      </c>
      <c r="F1413" s="13">
        <v>2.9767190000000001</v>
      </c>
      <c r="G1413" s="13">
        <v>2.5353460000000001</v>
      </c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</row>
    <row r="1414" spans="1:19" x14ac:dyDescent="0.2">
      <c r="A1414" s="12" t="s">
        <v>257</v>
      </c>
      <c r="B1414" s="12" t="s">
        <v>553</v>
      </c>
      <c r="C1414" s="12" t="s">
        <v>562</v>
      </c>
      <c r="D1414" s="13">
        <v>7</v>
      </c>
      <c r="E1414" s="13">
        <v>7.4951549999999996</v>
      </c>
      <c r="F1414" s="13">
        <v>2.7301449999999998</v>
      </c>
      <c r="G1414" s="13">
        <v>2.002726</v>
      </c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</row>
    <row r="1415" spans="1:19" x14ac:dyDescent="0.2">
      <c r="A1415" s="12" t="s">
        <v>257</v>
      </c>
      <c r="B1415" s="12" t="s">
        <v>553</v>
      </c>
      <c r="C1415" s="12" t="s">
        <v>563</v>
      </c>
      <c r="D1415" s="13">
        <v>0</v>
      </c>
      <c r="E1415" s="13">
        <v>0</v>
      </c>
      <c r="F1415" s="13">
        <v>0</v>
      </c>
      <c r="G1415" s="13">
        <v>0</v>
      </c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</row>
    <row r="1416" spans="1:19" x14ac:dyDescent="0.2">
      <c r="A1416" s="12" t="s">
        <v>257</v>
      </c>
      <c r="B1416" s="12" t="s">
        <v>553</v>
      </c>
      <c r="C1416" s="12" t="s">
        <v>564</v>
      </c>
      <c r="D1416" s="13">
        <v>0</v>
      </c>
      <c r="E1416" s="13">
        <v>0.13541400000000001</v>
      </c>
      <c r="F1416" s="13">
        <v>6.9539000000000004E-2</v>
      </c>
      <c r="G1416" s="13">
        <v>0</v>
      </c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</row>
    <row r="1417" spans="1:19" x14ac:dyDescent="0.2">
      <c r="A1417" s="12" t="s">
        <v>257</v>
      </c>
      <c r="B1417" s="12" t="s">
        <v>553</v>
      </c>
      <c r="C1417" s="12" t="s">
        <v>565</v>
      </c>
      <c r="D1417" s="13">
        <v>0</v>
      </c>
      <c r="E1417" s="13">
        <v>0</v>
      </c>
      <c r="F1417" s="13">
        <v>0.13118099999999999</v>
      </c>
      <c r="G1417" s="13">
        <v>0.50429999999999997</v>
      </c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</row>
    <row r="1418" spans="1:19" x14ac:dyDescent="0.2">
      <c r="A1418" s="12" t="s">
        <v>257</v>
      </c>
      <c r="B1418" s="12" t="s">
        <v>553</v>
      </c>
      <c r="C1418" s="12" t="s">
        <v>566</v>
      </c>
      <c r="D1418" s="13">
        <v>0</v>
      </c>
      <c r="E1418" s="13">
        <v>5.8436000000000009E-2</v>
      </c>
      <c r="F1418" s="13">
        <v>4.5858000000000003E-2</v>
      </c>
      <c r="G1418" s="13">
        <v>2.8320000000000001E-2</v>
      </c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</row>
    <row r="1419" spans="1:19" x14ac:dyDescent="0.2">
      <c r="A1419" s="12" t="s">
        <v>257</v>
      </c>
      <c r="B1419" s="12" t="s">
        <v>567</v>
      </c>
      <c r="C1419" s="12" t="s">
        <v>554</v>
      </c>
      <c r="D1419" s="13">
        <v>4</v>
      </c>
      <c r="E1419" s="13">
        <v>2.488286</v>
      </c>
      <c r="F1419" s="13">
        <v>0</v>
      </c>
      <c r="G1419" s="13">
        <v>2.1509309999999999</v>
      </c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</row>
    <row r="1420" spans="1:19" x14ac:dyDescent="0.2">
      <c r="A1420" s="12" t="s">
        <v>257</v>
      </c>
      <c r="B1420" s="12" t="s">
        <v>567</v>
      </c>
      <c r="C1420" s="12" t="s">
        <v>555</v>
      </c>
      <c r="D1420" s="13">
        <v>1128</v>
      </c>
      <c r="E1420" s="13">
        <v>1162.184006</v>
      </c>
      <c r="F1420" s="13">
        <v>1155.768405</v>
      </c>
      <c r="G1420" s="13">
        <v>1134.7897359999999</v>
      </c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</row>
    <row r="1421" spans="1:19" x14ac:dyDescent="0.2">
      <c r="A1421" s="12" t="s">
        <v>257</v>
      </c>
      <c r="B1421" s="12" t="s">
        <v>567</v>
      </c>
      <c r="C1421" s="12" t="s">
        <v>556</v>
      </c>
      <c r="D1421" s="13">
        <v>-4</v>
      </c>
      <c r="E1421" s="13">
        <v>-2.392245</v>
      </c>
      <c r="F1421" s="13">
        <v>-1.371097</v>
      </c>
      <c r="G1421" s="13">
        <v>-5.278219</v>
      </c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</row>
    <row r="1422" spans="1:19" x14ac:dyDescent="0.2">
      <c r="A1422" s="12" t="s">
        <v>257</v>
      </c>
      <c r="B1422" s="12" t="s">
        <v>567</v>
      </c>
      <c r="C1422" s="12" t="s">
        <v>557</v>
      </c>
      <c r="D1422" s="13">
        <v>1104</v>
      </c>
      <c r="E1422" s="13">
        <v>1172.5527669999999</v>
      </c>
      <c r="F1422" s="13">
        <v>1153.752373</v>
      </c>
      <c r="G1422" s="13">
        <v>1147.2708299999999</v>
      </c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</row>
    <row r="1423" spans="1:19" x14ac:dyDescent="0.2">
      <c r="A1423" s="12" t="s">
        <v>257</v>
      </c>
      <c r="B1423" s="12" t="s">
        <v>567</v>
      </c>
      <c r="C1423" s="12" t="s">
        <v>558</v>
      </c>
      <c r="D1423" s="13">
        <v>0</v>
      </c>
      <c r="E1423" s="13">
        <v>0</v>
      </c>
      <c r="F1423" s="13">
        <v>0</v>
      </c>
      <c r="G1423" s="13">
        <v>0</v>
      </c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</row>
    <row r="1424" spans="1:19" x14ac:dyDescent="0.2">
      <c r="A1424" s="12" t="s">
        <v>257</v>
      </c>
      <c r="B1424" s="12" t="s">
        <v>567</v>
      </c>
      <c r="C1424" s="12" t="s">
        <v>560</v>
      </c>
      <c r="D1424" s="13">
        <v>-1213</v>
      </c>
      <c r="E1424" s="13">
        <v>-1286.5905479999999</v>
      </c>
      <c r="F1424" s="13">
        <v>-1267.391382</v>
      </c>
      <c r="G1424" s="13">
        <v>-1276.742483</v>
      </c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</row>
    <row r="1425" spans="1:19" x14ac:dyDescent="0.2">
      <c r="A1425" s="12" t="s">
        <v>257</v>
      </c>
      <c r="B1425" s="12" t="s">
        <v>567</v>
      </c>
      <c r="C1425" s="12" t="s">
        <v>561</v>
      </c>
      <c r="D1425" s="13">
        <v>0</v>
      </c>
      <c r="E1425" s="13">
        <v>0</v>
      </c>
      <c r="F1425" s="13">
        <v>0</v>
      </c>
      <c r="G1425" s="13">
        <v>0</v>
      </c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</row>
    <row r="1426" spans="1:19" x14ac:dyDescent="0.2">
      <c r="A1426" s="12" t="s">
        <v>257</v>
      </c>
      <c r="B1426" s="12" t="s">
        <v>567</v>
      </c>
      <c r="C1426" s="12" t="s">
        <v>562</v>
      </c>
      <c r="D1426" s="13">
        <v>0</v>
      </c>
      <c r="E1426" s="13">
        <v>0</v>
      </c>
      <c r="F1426" s="13">
        <v>0</v>
      </c>
      <c r="G1426" s="13">
        <v>0</v>
      </c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</row>
    <row r="1427" spans="1:19" x14ac:dyDescent="0.2">
      <c r="A1427" s="12" t="s">
        <v>257</v>
      </c>
      <c r="B1427" s="12" t="s">
        <v>567</v>
      </c>
      <c r="C1427" s="12" t="s">
        <v>563</v>
      </c>
      <c r="D1427" s="13">
        <v>0</v>
      </c>
      <c r="E1427" s="13">
        <v>0</v>
      </c>
      <c r="F1427" s="13">
        <v>0</v>
      </c>
      <c r="G1427" s="13">
        <v>0</v>
      </c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</row>
    <row r="1428" spans="1:19" x14ac:dyDescent="0.2">
      <c r="A1428" s="12" t="s">
        <v>257</v>
      </c>
      <c r="B1428" s="12" t="s">
        <v>567</v>
      </c>
      <c r="C1428" s="12" t="s">
        <v>564</v>
      </c>
      <c r="D1428" s="13">
        <v>0</v>
      </c>
      <c r="E1428" s="13">
        <v>0</v>
      </c>
      <c r="F1428" s="13">
        <v>0</v>
      </c>
      <c r="G1428" s="13">
        <v>0</v>
      </c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</row>
    <row r="1429" spans="1:19" x14ac:dyDescent="0.2">
      <c r="A1429" s="12" t="s">
        <v>257</v>
      </c>
      <c r="B1429" s="12" t="s">
        <v>567</v>
      </c>
      <c r="C1429" s="12" t="s">
        <v>565</v>
      </c>
      <c r="D1429" s="13">
        <v>0</v>
      </c>
      <c r="E1429" s="13">
        <v>0</v>
      </c>
      <c r="F1429" s="13">
        <v>0</v>
      </c>
      <c r="G1429" s="13">
        <v>0</v>
      </c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</row>
    <row r="1430" spans="1:19" x14ac:dyDescent="0.2">
      <c r="A1430" s="12" t="s">
        <v>257</v>
      </c>
      <c r="B1430" s="12" t="s">
        <v>567</v>
      </c>
      <c r="C1430" s="12" t="s">
        <v>566</v>
      </c>
      <c r="D1430" s="13">
        <v>0</v>
      </c>
      <c r="E1430" s="13">
        <v>0</v>
      </c>
      <c r="F1430" s="13">
        <v>0</v>
      </c>
      <c r="G1430" s="13">
        <v>0</v>
      </c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</row>
    <row r="1431" spans="1:19" x14ac:dyDescent="0.2">
      <c r="A1431" s="12" t="s">
        <v>257</v>
      </c>
      <c r="B1431" s="12" t="s">
        <v>568</v>
      </c>
      <c r="C1431" s="12" t="s">
        <v>554</v>
      </c>
      <c r="D1431" s="13">
        <v>0</v>
      </c>
      <c r="E1431" s="13">
        <v>0</v>
      </c>
      <c r="F1431" s="13">
        <v>0</v>
      </c>
      <c r="G1431" s="13">
        <v>0</v>
      </c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</row>
    <row r="1432" spans="1:19" x14ac:dyDescent="0.2">
      <c r="A1432" s="12" t="s">
        <v>257</v>
      </c>
      <c r="B1432" s="12" t="s">
        <v>568</v>
      </c>
      <c r="C1432" s="12" t="s">
        <v>555</v>
      </c>
      <c r="D1432" s="13">
        <v>168</v>
      </c>
      <c r="E1432" s="13">
        <v>190.81046699999999</v>
      </c>
      <c r="F1432" s="13">
        <v>180.998605</v>
      </c>
      <c r="G1432" s="13">
        <v>170.25839099999999</v>
      </c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</row>
    <row r="1433" spans="1:19" x14ac:dyDescent="0.2">
      <c r="A1433" s="12" t="s">
        <v>257</v>
      </c>
      <c r="B1433" s="12" t="s">
        <v>568</v>
      </c>
      <c r="C1433" s="12" t="s">
        <v>556</v>
      </c>
      <c r="D1433" s="13">
        <v>-794</v>
      </c>
      <c r="E1433" s="13">
        <v>-882.95656299999996</v>
      </c>
      <c r="F1433" s="13">
        <v>-744.95412899999997</v>
      </c>
      <c r="G1433" s="13">
        <v>-750.89856900000007</v>
      </c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</row>
    <row r="1434" spans="1:19" x14ac:dyDescent="0.2">
      <c r="A1434" s="12" t="s">
        <v>257</v>
      </c>
      <c r="B1434" s="12" t="s">
        <v>568</v>
      </c>
      <c r="C1434" s="12" t="s">
        <v>557</v>
      </c>
      <c r="D1434" s="13">
        <v>-718</v>
      </c>
      <c r="E1434" s="13">
        <v>-775.72164199999997</v>
      </c>
      <c r="F1434" s="13">
        <v>-704.75285699999995</v>
      </c>
      <c r="G1434" s="13">
        <v>-719.17214999999999</v>
      </c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</row>
    <row r="1435" spans="1:19" x14ac:dyDescent="0.2">
      <c r="A1435" s="12" t="s">
        <v>257</v>
      </c>
      <c r="B1435" s="12" t="s">
        <v>568</v>
      </c>
      <c r="C1435" s="12" t="s">
        <v>558</v>
      </c>
      <c r="D1435" s="13">
        <v>-49</v>
      </c>
      <c r="E1435" s="13">
        <v>-47.663269</v>
      </c>
      <c r="F1435" s="13">
        <v>-56.444130000000001</v>
      </c>
      <c r="G1435" s="13">
        <v>-51.956522</v>
      </c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</row>
    <row r="1436" spans="1:19" x14ac:dyDescent="0.2">
      <c r="A1436" s="12" t="s">
        <v>257</v>
      </c>
      <c r="B1436" s="12" t="s">
        <v>568</v>
      </c>
      <c r="C1436" s="12" t="s">
        <v>560</v>
      </c>
      <c r="D1436" s="13">
        <v>1219</v>
      </c>
      <c r="E1436" s="13">
        <v>1292.8409549999999</v>
      </c>
      <c r="F1436" s="13">
        <v>1291.6753200000001</v>
      </c>
      <c r="G1436" s="13">
        <v>1304.997668</v>
      </c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</row>
    <row r="1437" spans="1:19" x14ac:dyDescent="0.2">
      <c r="A1437" s="12" t="s">
        <v>257</v>
      </c>
      <c r="B1437" s="12" t="s">
        <v>568</v>
      </c>
      <c r="C1437" s="12" t="s">
        <v>561</v>
      </c>
      <c r="D1437" s="13">
        <v>326</v>
      </c>
      <c r="E1437" s="13">
        <v>329.95792299999999</v>
      </c>
      <c r="F1437" s="13">
        <v>366.81006100000002</v>
      </c>
      <c r="G1437" s="13">
        <v>361.14022999999997</v>
      </c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</row>
    <row r="1438" spans="1:19" x14ac:dyDescent="0.2">
      <c r="A1438" s="12" t="s">
        <v>257</v>
      </c>
      <c r="B1438" s="12" t="s">
        <v>568</v>
      </c>
      <c r="C1438" s="12" t="s">
        <v>562</v>
      </c>
      <c r="D1438" s="13">
        <v>29</v>
      </c>
      <c r="E1438" s="13">
        <v>29.331419</v>
      </c>
      <c r="F1438" s="13">
        <v>32.998264000000013</v>
      </c>
      <c r="G1438" s="13">
        <v>30.920255000000001</v>
      </c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</row>
    <row r="1439" spans="1:19" x14ac:dyDescent="0.2">
      <c r="A1439" s="12" t="s">
        <v>257</v>
      </c>
      <c r="B1439" s="12" t="s">
        <v>568</v>
      </c>
      <c r="C1439" s="12" t="s">
        <v>563</v>
      </c>
      <c r="D1439" s="13">
        <v>206</v>
      </c>
      <c r="E1439" s="13">
        <v>220.90164300000001</v>
      </c>
      <c r="F1439" s="13">
        <v>243.66459599999999</v>
      </c>
      <c r="G1439" s="13">
        <v>254.50566599999999</v>
      </c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</row>
    <row r="1440" spans="1:19" x14ac:dyDescent="0.2">
      <c r="A1440" s="12" t="s">
        <v>257</v>
      </c>
      <c r="B1440" s="12" t="s">
        <v>568</v>
      </c>
      <c r="C1440" s="12" t="s">
        <v>564</v>
      </c>
      <c r="D1440" s="13">
        <v>54</v>
      </c>
      <c r="E1440" s="13">
        <v>47.783693</v>
      </c>
      <c r="F1440" s="13">
        <v>53.781204000000002</v>
      </c>
      <c r="G1440" s="13">
        <v>37.56335</v>
      </c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</row>
    <row r="1441" spans="1:19" x14ac:dyDescent="0.2">
      <c r="A1441" s="12" t="s">
        <v>257</v>
      </c>
      <c r="B1441" s="12" t="s">
        <v>568</v>
      </c>
      <c r="C1441" s="12" t="s">
        <v>565</v>
      </c>
      <c r="D1441" s="13">
        <v>4</v>
      </c>
      <c r="E1441" s="13">
        <v>4.1554160000000007</v>
      </c>
      <c r="F1441" s="13">
        <v>5.049385</v>
      </c>
      <c r="G1441" s="13">
        <v>5.5145179999999998</v>
      </c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</row>
    <row r="1442" spans="1:19" x14ac:dyDescent="0.2">
      <c r="A1442" s="12" t="s">
        <v>257</v>
      </c>
      <c r="B1442" s="12" t="s">
        <v>568</v>
      </c>
      <c r="C1442" s="12" t="s">
        <v>566</v>
      </c>
      <c r="D1442" s="13">
        <v>35</v>
      </c>
      <c r="E1442" s="13">
        <v>27.785744000000001</v>
      </c>
      <c r="F1442" s="13">
        <v>31.316614999999999</v>
      </c>
      <c r="G1442" s="13">
        <v>32.636437000000001</v>
      </c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</row>
    <row r="1443" spans="1:19" x14ac:dyDescent="0.2">
      <c r="A1443" s="12" t="s">
        <v>257</v>
      </c>
      <c r="B1443" s="12" t="s">
        <v>569</v>
      </c>
      <c r="C1443" s="12" t="s">
        <v>554</v>
      </c>
      <c r="D1443" s="13">
        <v>0</v>
      </c>
      <c r="E1443" s="13">
        <v>0.16994600000000001</v>
      </c>
      <c r="F1443" s="13">
        <v>0</v>
      </c>
      <c r="G1443" s="13">
        <v>0.109037</v>
      </c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</row>
    <row r="1444" spans="1:19" x14ac:dyDescent="0.2">
      <c r="A1444" s="12" t="s">
        <v>257</v>
      </c>
      <c r="B1444" s="12" t="s">
        <v>569</v>
      </c>
      <c r="C1444" s="12" t="s">
        <v>555</v>
      </c>
      <c r="D1444" s="13">
        <v>209</v>
      </c>
      <c r="E1444" s="13">
        <v>227.33503400000001</v>
      </c>
      <c r="F1444" s="13">
        <v>204.52737400000001</v>
      </c>
      <c r="G1444" s="13">
        <v>171.79110700000001</v>
      </c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</row>
    <row r="1445" spans="1:19" x14ac:dyDescent="0.2">
      <c r="A1445" s="12" t="s">
        <v>257</v>
      </c>
      <c r="B1445" s="12" t="s">
        <v>569</v>
      </c>
      <c r="C1445" s="12" t="s">
        <v>556</v>
      </c>
      <c r="D1445" s="13">
        <v>-1</v>
      </c>
      <c r="E1445" s="13">
        <v>-0.55986300000000011</v>
      </c>
      <c r="F1445" s="13">
        <v>-17.277194000000001</v>
      </c>
      <c r="G1445" s="13">
        <v>-9.427715000000001</v>
      </c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</row>
    <row r="1446" spans="1:19" x14ac:dyDescent="0.2">
      <c r="A1446" s="12" t="s">
        <v>257</v>
      </c>
      <c r="B1446" s="12" t="s">
        <v>569</v>
      </c>
      <c r="C1446" s="12" t="s">
        <v>557</v>
      </c>
      <c r="D1446" s="13">
        <v>206</v>
      </c>
      <c r="E1446" s="13">
        <v>228.124099</v>
      </c>
      <c r="F1446" s="13">
        <v>184.37260000000001</v>
      </c>
      <c r="G1446" s="13">
        <v>166.349289</v>
      </c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</row>
    <row r="1447" spans="1:19" x14ac:dyDescent="0.2">
      <c r="A1447" s="12" t="s">
        <v>257</v>
      </c>
      <c r="B1447" s="12" t="s">
        <v>569</v>
      </c>
      <c r="C1447" s="12" t="s">
        <v>558</v>
      </c>
      <c r="D1447" s="13">
        <v>-134</v>
      </c>
      <c r="E1447" s="13">
        <v>-156.11857900000001</v>
      </c>
      <c r="F1447" s="13">
        <v>-132.05588399999999</v>
      </c>
      <c r="G1447" s="13">
        <v>-110.98440600000001</v>
      </c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</row>
    <row r="1448" spans="1:19" x14ac:dyDescent="0.2">
      <c r="A1448" s="12" t="s">
        <v>257</v>
      </c>
      <c r="B1448" s="12" t="s">
        <v>569</v>
      </c>
      <c r="C1448" s="12" t="s">
        <v>560</v>
      </c>
      <c r="D1448" s="13">
        <v>0</v>
      </c>
      <c r="E1448" s="13">
        <v>0</v>
      </c>
      <c r="F1448" s="13">
        <v>0</v>
      </c>
      <c r="G1448" s="13">
        <v>0</v>
      </c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</row>
    <row r="1449" spans="1:19" x14ac:dyDescent="0.2">
      <c r="A1449" s="12" t="s">
        <v>257</v>
      </c>
      <c r="B1449" s="12" t="s">
        <v>569</v>
      </c>
      <c r="C1449" s="12" t="s">
        <v>561</v>
      </c>
      <c r="D1449" s="13">
        <v>62</v>
      </c>
      <c r="E1449" s="13">
        <v>62.037871000000003</v>
      </c>
      <c r="F1449" s="13">
        <v>50.385642999999988</v>
      </c>
      <c r="G1449" s="13">
        <v>49.900345999999999</v>
      </c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</row>
    <row r="1450" spans="1:19" x14ac:dyDescent="0.2">
      <c r="A1450" s="12" t="s">
        <v>257</v>
      </c>
      <c r="B1450" s="12" t="s">
        <v>569</v>
      </c>
      <c r="C1450" s="12" t="s">
        <v>562</v>
      </c>
      <c r="D1450" s="13">
        <v>21</v>
      </c>
      <c r="E1450" s="13">
        <v>21.244481</v>
      </c>
      <c r="F1450" s="13">
        <v>23.808858000000001</v>
      </c>
      <c r="G1450" s="13">
        <v>23.357126999999998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</row>
    <row r="1451" spans="1:19" x14ac:dyDescent="0.2">
      <c r="A1451" s="12" t="s">
        <v>257</v>
      </c>
      <c r="B1451" s="12" t="s">
        <v>569</v>
      </c>
      <c r="C1451" s="12" t="s">
        <v>563</v>
      </c>
      <c r="D1451" s="13">
        <v>1</v>
      </c>
      <c r="E1451" s="13">
        <v>0.88075199999999998</v>
      </c>
      <c r="F1451" s="13">
        <v>1.138441</v>
      </c>
      <c r="G1451" s="13">
        <v>1.2477750000000001</v>
      </c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</row>
    <row r="1452" spans="1:19" x14ac:dyDescent="0.2">
      <c r="A1452" s="12" t="s">
        <v>257</v>
      </c>
      <c r="B1452" s="12" t="s">
        <v>569</v>
      </c>
      <c r="C1452" s="12" t="s">
        <v>564</v>
      </c>
      <c r="D1452" s="13">
        <v>19</v>
      </c>
      <c r="E1452" s="13">
        <v>20.905124000000001</v>
      </c>
      <c r="F1452" s="13">
        <v>19.496219</v>
      </c>
      <c r="G1452" s="13">
        <v>15.251156</v>
      </c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</row>
    <row r="1453" spans="1:19" x14ac:dyDescent="0.2">
      <c r="A1453" s="12" t="s">
        <v>257</v>
      </c>
      <c r="B1453" s="12" t="s">
        <v>569</v>
      </c>
      <c r="C1453" s="12" t="s">
        <v>565</v>
      </c>
      <c r="D1453" s="13">
        <v>6</v>
      </c>
      <c r="E1453" s="13">
        <v>5.9754260000000006</v>
      </c>
      <c r="F1453" s="13">
        <v>4.5527680000000004</v>
      </c>
      <c r="G1453" s="13">
        <v>4.3373660000000003</v>
      </c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</row>
    <row r="1454" spans="1:19" x14ac:dyDescent="0.2">
      <c r="A1454" s="12" t="s">
        <v>257</v>
      </c>
      <c r="B1454" s="12" t="s">
        <v>569</v>
      </c>
      <c r="C1454" s="12" t="s">
        <v>566</v>
      </c>
      <c r="D1454" s="13">
        <v>16</v>
      </c>
      <c r="E1454" s="13">
        <v>13.032093</v>
      </c>
      <c r="F1454" s="13">
        <v>1.3893519999999999</v>
      </c>
      <c r="G1454" s="13">
        <v>5.7069259999999993</v>
      </c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</row>
    <row r="1455" spans="1:19" x14ac:dyDescent="0.2">
      <c r="A1455" s="12" t="s">
        <v>257</v>
      </c>
      <c r="B1455" s="12" t="s">
        <v>570</v>
      </c>
      <c r="C1455" s="12" t="s">
        <v>554</v>
      </c>
      <c r="D1455" s="13">
        <v>0</v>
      </c>
      <c r="E1455" s="13">
        <v>0</v>
      </c>
      <c r="F1455" s="13">
        <v>0</v>
      </c>
      <c r="G1455" s="13">
        <v>0</v>
      </c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</row>
    <row r="1456" spans="1:19" x14ac:dyDescent="0.2">
      <c r="A1456" s="12" t="s">
        <v>257</v>
      </c>
      <c r="B1456" s="12" t="s">
        <v>570</v>
      </c>
      <c r="C1456" s="12" t="s">
        <v>555</v>
      </c>
      <c r="D1456" s="13">
        <v>0</v>
      </c>
      <c r="E1456" s="13">
        <v>0</v>
      </c>
      <c r="F1456" s="13">
        <v>0</v>
      </c>
      <c r="G1456" s="13">
        <v>0</v>
      </c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</row>
    <row r="1457" spans="1:19" x14ac:dyDescent="0.2">
      <c r="A1457" s="12" t="s">
        <v>257</v>
      </c>
      <c r="B1457" s="12" t="s">
        <v>570</v>
      </c>
      <c r="C1457" s="12" t="s">
        <v>556</v>
      </c>
      <c r="D1457" s="13">
        <v>0</v>
      </c>
      <c r="E1457" s="13">
        <v>0</v>
      </c>
      <c r="F1457" s="13">
        <v>0</v>
      </c>
      <c r="G1457" s="13">
        <v>0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</row>
    <row r="1458" spans="1:19" x14ac:dyDescent="0.2">
      <c r="A1458" s="12" t="s">
        <v>257</v>
      </c>
      <c r="B1458" s="12" t="s">
        <v>570</v>
      </c>
      <c r="C1458" s="12" t="s">
        <v>557</v>
      </c>
      <c r="D1458" s="13">
        <v>0</v>
      </c>
      <c r="E1458" s="13">
        <v>0</v>
      </c>
      <c r="F1458" s="13">
        <v>0</v>
      </c>
      <c r="G1458" s="13">
        <v>0</v>
      </c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</row>
    <row r="1459" spans="1:19" x14ac:dyDescent="0.2">
      <c r="A1459" s="12" t="s">
        <v>257</v>
      </c>
      <c r="B1459" s="12" t="s">
        <v>570</v>
      </c>
      <c r="C1459" s="12" t="s">
        <v>558</v>
      </c>
      <c r="D1459" s="13">
        <v>0</v>
      </c>
      <c r="E1459" s="13">
        <v>0</v>
      </c>
      <c r="F1459" s="13">
        <v>0</v>
      </c>
      <c r="G1459" s="13">
        <v>0</v>
      </c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</row>
    <row r="1460" spans="1:19" x14ac:dyDescent="0.2">
      <c r="A1460" s="12" t="s">
        <v>257</v>
      </c>
      <c r="B1460" s="12" t="s">
        <v>570</v>
      </c>
      <c r="C1460" s="12" t="s">
        <v>560</v>
      </c>
      <c r="D1460" s="13">
        <v>0</v>
      </c>
      <c r="E1460" s="13">
        <v>0</v>
      </c>
      <c r="F1460" s="13">
        <v>0</v>
      </c>
      <c r="G1460" s="13">
        <v>0</v>
      </c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</row>
    <row r="1461" spans="1:19" x14ac:dyDescent="0.2">
      <c r="A1461" s="12" t="s">
        <v>257</v>
      </c>
      <c r="B1461" s="12" t="s">
        <v>570</v>
      </c>
      <c r="C1461" s="12" t="s">
        <v>561</v>
      </c>
      <c r="D1461" s="13">
        <v>0</v>
      </c>
      <c r="E1461" s="13">
        <v>0</v>
      </c>
      <c r="F1461" s="13">
        <v>0</v>
      </c>
      <c r="G1461" s="13">
        <v>0</v>
      </c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</row>
    <row r="1462" spans="1:19" x14ac:dyDescent="0.2">
      <c r="A1462" s="12" t="s">
        <v>257</v>
      </c>
      <c r="B1462" s="12" t="s">
        <v>570</v>
      </c>
      <c r="C1462" s="12" t="s">
        <v>562</v>
      </c>
      <c r="D1462" s="13">
        <v>0</v>
      </c>
      <c r="E1462" s="13">
        <v>0</v>
      </c>
      <c r="F1462" s="13">
        <v>0</v>
      </c>
      <c r="G1462" s="13">
        <v>0</v>
      </c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</row>
    <row r="1463" spans="1:19" x14ac:dyDescent="0.2">
      <c r="A1463" s="12" t="s">
        <v>257</v>
      </c>
      <c r="B1463" s="12" t="s">
        <v>570</v>
      </c>
      <c r="C1463" s="12" t="s">
        <v>563</v>
      </c>
      <c r="D1463" s="13">
        <v>0</v>
      </c>
      <c r="E1463" s="13">
        <v>0</v>
      </c>
      <c r="F1463" s="13">
        <v>0</v>
      </c>
      <c r="G1463" s="13">
        <v>0</v>
      </c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</row>
    <row r="1464" spans="1:19" x14ac:dyDescent="0.2">
      <c r="A1464" s="12" t="s">
        <v>257</v>
      </c>
      <c r="B1464" s="12" t="s">
        <v>570</v>
      </c>
      <c r="C1464" s="12" t="s">
        <v>564</v>
      </c>
      <c r="D1464" s="13">
        <v>0</v>
      </c>
      <c r="E1464" s="13">
        <v>0</v>
      </c>
      <c r="F1464" s="13">
        <v>0</v>
      </c>
      <c r="G1464" s="13">
        <v>0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</row>
    <row r="1465" spans="1:19" x14ac:dyDescent="0.2">
      <c r="A1465" s="12" t="s">
        <v>257</v>
      </c>
      <c r="B1465" s="12" t="s">
        <v>570</v>
      </c>
      <c r="C1465" s="12" t="s">
        <v>565</v>
      </c>
      <c r="D1465" s="13">
        <v>0</v>
      </c>
      <c r="E1465" s="13">
        <v>0</v>
      </c>
      <c r="F1465" s="13">
        <v>0</v>
      </c>
      <c r="G1465" s="13">
        <v>0</v>
      </c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</row>
    <row r="1466" spans="1:19" x14ac:dyDescent="0.2">
      <c r="A1466" s="12" t="s">
        <v>257</v>
      </c>
      <c r="B1466" s="12" t="s">
        <v>570</v>
      </c>
      <c r="C1466" s="12" t="s">
        <v>566</v>
      </c>
      <c r="D1466" s="13">
        <v>0</v>
      </c>
      <c r="E1466" s="13">
        <v>0</v>
      </c>
      <c r="F1466" s="13">
        <v>0</v>
      </c>
      <c r="G1466" s="13">
        <v>0</v>
      </c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</row>
    <row r="1467" spans="1:19" x14ac:dyDescent="0.2">
      <c r="A1467" s="12" t="s">
        <v>257</v>
      </c>
      <c r="B1467" s="12" t="s">
        <v>571</v>
      </c>
      <c r="C1467" s="12" t="s">
        <v>554</v>
      </c>
      <c r="D1467" s="13">
        <v>118</v>
      </c>
      <c r="E1467" s="13">
        <v>135.95498000000001</v>
      </c>
      <c r="F1467" s="13">
        <v>138.89233400000001</v>
      </c>
      <c r="G1467" s="13">
        <v>149.96327600000001</v>
      </c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</row>
    <row r="1468" spans="1:19" x14ac:dyDescent="0.2">
      <c r="A1468" s="12" t="s">
        <v>257</v>
      </c>
      <c r="B1468" s="12" t="s">
        <v>571</v>
      </c>
      <c r="C1468" s="12" t="s">
        <v>555</v>
      </c>
      <c r="D1468" s="13">
        <v>8</v>
      </c>
      <c r="E1468" s="13">
        <v>7.343032</v>
      </c>
      <c r="F1468" s="13">
        <v>7.2278320000000003</v>
      </c>
      <c r="G1468" s="13">
        <v>6.8459409999999998</v>
      </c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</row>
    <row r="1469" spans="1:19" x14ac:dyDescent="0.2">
      <c r="A1469" s="12" t="s">
        <v>257</v>
      </c>
      <c r="B1469" s="12" t="s">
        <v>571</v>
      </c>
      <c r="C1469" s="12" t="s">
        <v>556</v>
      </c>
      <c r="D1469" s="13">
        <v>-2</v>
      </c>
      <c r="E1469" s="13">
        <v>-1.9885630000000001</v>
      </c>
      <c r="F1469" s="13">
        <v>-2.0184440000000001</v>
      </c>
      <c r="G1469" s="13">
        <v>-1.9530749999999999</v>
      </c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</row>
    <row r="1470" spans="1:19" x14ac:dyDescent="0.2">
      <c r="A1470" s="12" t="s">
        <v>257</v>
      </c>
      <c r="B1470" s="12" t="s">
        <v>571</v>
      </c>
      <c r="C1470" s="12" t="s">
        <v>557</v>
      </c>
      <c r="D1470" s="13">
        <v>123</v>
      </c>
      <c r="E1470" s="13">
        <v>141.54331199999999</v>
      </c>
      <c r="F1470" s="13">
        <v>144.28903500000001</v>
      </c>
      <c r="G1470" s="13">
        <v>155.34307100000001</v>
      </c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</row>
    <row r="1471" spans="1:19" x14ac:dyDescent="0.2">
      <c r="A1471" s="12" t="s">
        <v>257</v>
      </c>
      <c r="B1471" s="12" t="s">
        <v>571</v>
      </c>
      <c r="C1471" s="12" t="s">
        <v>558</v>
      </c>
      <c r="D1471" s="13">
        <v>-67</v>
      </c>
      <c r="E1471" s="13">
        <v>-83.136576000000005</v>
      </c>
      <c r="F1471" s="13">
        <v>-84.661140000000003</v>
      </c>
      <c r="G1471" s="13">
        <v>-92.150531000000001</v>
      </c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</row>
    <row r="1472" spans="1:19" x14ac:dyDescent="0.2">
      <c r="A1472" s="12" t="s">
        <v>257</v>
      </c>
      <c r="B1472" s="12" t="s">
        <v>571</v>
      </c>
      <c r="C1472" s="12" t="s">
        <v>560</v>
      </c>
      <c r="D1472" s="13">
        <v>0</v>
      </c>
      <c r="E1472" s="13">
        <v>0</v>
      </c>
      <c r="F1472" s="13">
        <v>0</v>
      </c>
      <c r="G1472" s="13">
        <v>0</v>
      </c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</row>
    <row r="1473" spans="1:19" x14ac:dyDescent="0.2">
      <c r="A1473" s="12" t="s">
        <v>257</v>
      </c>
      <c r="B1473" s="12" t="s">
        <v>571</v>
      </c>
      <c r="C1473" s="12" t="s">
        <v>561</v>
      </c>
      <c r="D1473" s="13">
        <v>56</v>
      </c>
      <c r="E1473" s="13">
        <v>58.324213999999998</v>
      </c>
      <c r="F1473" s="13">
        <v>59.395322</v>
      </c>
      <c r="G1473" s="13">
        <v>62.844488000000013</v>
      </c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</row>
    <row r="1474" spans="1:19" x14ac:dyDescent="0.2">
      <c r="A1474" s="12" t="s">
        <v>257</v>
      </c>
      <c r="B1474" s="12" t="s">
        <v>571</v>
      </c>
      <c r="C1474" s="12" t="s">
        <v>562</v>
      </c>
      <c r="D1474" s="13">
        <v>7</v>
      </c>
      <c r="E1474" s="13">
        <v>5.5283300000000004</v>
      </c>
      <c r="F1474" s="13">
        <v>5.0639519999999996</v>
      </c>
      <c r="G1474" s="13">
        <v>5.7353180000000004</v>
      </c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</row>
    <row r="1475" spans="1:19" x14ac:dyDescent="0.2">
      <c r="A1475" s="12" t="s">
        <v>257</v>
      </c>
      <c r="B1475" s="12" t="s">
        <v>571</v>
      </c>
      <c r="C1475" s="12" t="s">
        <v>563</v>
      </c>
      <c r="D1475" s="13">
        <v>8</v>
      </c>
      <c r="E1475" s="13">
        <v>9.0654230000000009</v>
      </c>
      <c r="F1475" s="13">
        <v>9.013992</v>
      </c>
      <c r="G1475" s="13">
        <v>9.3104259999999996</v>
      </c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</row>
    <row r="1476" spans="1:19" x14ac:dyDescent="0.2">
      <c r="A1476" s="12" t="s">
        <v>257</v>
      </c>
      <c r="B1476" s="12" t="s">
        <v>571</v>
      </c>
      <c r="C1476" s="12" t="s">
        <v>564</v>
      </c>
      <c r="D1476" s="13">
        <v>39</v>
      </c>
      <c r="E1476" s="13">
        <v>40.883611999999999</v>
      </c>
      <c r="F1476" s="13">
        <v>42.512695999999998</v>
      </c>
      <c r="G1476" s="13">
        <v>45.059199</v>
      </c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</row>
    <row r="1477" spans="1:19" x14ac:dyDescent="0.2">
      <c r="A1477" s="12" t="s">
        <v>257</v>
      </c>
      <c r="B1477" s="12" t="s">
        <v>571</v>
      </c>
      <c r="C1477" s="12" t="s">
        <v>565</v>
      </c>
      <c r="D1477" s="13">
        <v>1</v>
      </c>
      <c r="E1477" s="13">
        <v>1.663144</v>
      </c>
      <c r="F1477" s="13">
        <v>1.551185</v>
      </c>
      <c r="G1477" s="13">
        <v>1.420615</v>
      </c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</row>
    <row r="1478" spans="1:19" x14ac:dyDescent="0.2">
      <c r="A1478" s="12" t="s">
        <v>257</v>
      </c>
      <c r="B1478" s="12" t="s">
        <v>571</v>
      </c>
      <c r="C1478" s="12" t="s">
        <v>566</v>
      </c>
      <c r="D1478" s="13">
        <v>1</v>
      </c>
      <c r="E1478" s="13">
        <v>1.1837009999999999</v>
      </c>
      <c r="F1478" s="13">
        <v>1.2534940000000001</v>
      </c>
      <c r="G1478" s="13">
        <v>1.3189299999999999</v>
      </c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</row>
    <row r="1479" spans="1:19" x14ac:dyDescent="0.2">
      <c r="A1479" s="12" t="s">
        <v>257</v>
      </c>
      <c r="B1479" s="12" t="s">
        <v>572</v>
      </c>
      <c r="C1479" s="12" t="s">
        <v>554</v>
      </c>
      <c r="D1479" s="13">
        <v>0</v>
      </c>
      <c r="E1479" s="13">
        <v>0</v>
      </c>
      <c r="F1479" s="13">
        <v>0</v>
      </c>
      <c r="G1479" s="13">
        <v>0</v>
      </c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</row>
    <row r="1480" spans="1:19" x14ac:dyDescent="0.2">
      <c r="A1480" s="12" t="s">
        <v>257</v>
      </c>
      <c r="B1480" s="12" t="s">
        <v>572</v>
      </c>
      <c r="C1480" s="12" t="s">
        <v>555</v>
      </c>
      <c r="D1480" s="13">
        <v>35</v>
      </c>
      <c r="E1480" s="13">
        <v>27.291601</v>
      </c>
      <c r="F1480" s="13">
        <v>27.903597999999999</v>
      </c>
      <c r="G1480" s="13">
        <v>29.343598</v>
      </c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</row>
    <row r="1481" spans="1:19" x14ac:dyDescent="0.2">
      <c r="A1481" s="12" t="s">
        <v>257</v>
      </c>
      <c r="B1481" s="12" t="s">
        <v>572</v>
      </c>
      <c r="C1481" s="12" t="s">
        <v>556</v>
      </c>
      <c r="D1481" s="13">
        <v>-3</v>
      </c>
      <c r="E1481" s="13">
        <v>-14.029201</v>
      </c>
      <c r="F1481" s="13">
        <v>-15.494401</v>
      </c>
      <c r="G1481" s="13">
        <v>-11.656801</v>
      </c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</row>
    <row r="1482" spans="1:19" x14ac:dyDescent="0.2">
      <c r="A1482" s="12" t="s">
        <v>257</v>
      </c>
      <c r="B1482" s="12" t="s">
        <v>572</v>
      </c>
      <c r="C1482" s="12" t="s">
        <v>557</v>
      </c>
      <c r="D1482" s="13">
        <v>32</v>
      </c>
      <c r="E1482" s="13">
        <v>13.262401000000001</v>
      </c>
      <c r="F1482" s="13">
        <v>12.409202000000001</v>
      </c>
      <c r="G1482" s="13">
        <v>17.686802</v>
      </c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</row>
    <row r="1483" spans="1:19" x14ac:dyDescent="0.2">
      <c r="A1483" s="12" t="s">
        <v>257</v>
      </c>
      <c r="B1483" s="12" t="s">
        <v>572</v>
      </c>
      <c r="C1483" s="12" t="s">
        <v>558</v>
      </c>
      <c r="D1483" s="13">
        <v>173</v>
      </c>
      <c r="E1483" s="13">
        <v>196.76566299999999</v>
      </c>
      <c r="F1483" s="13">
        <v>189.09161</v>
      </c>
      <c r="G1483" s="13">
        <v>178.87496400000001</v>
      </c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</row>
    <row r="1484" spans="1:19" x14ac:dyDescent="0.2">
      <c r="A1484" s="12" t="s">
        <v>257</v>
      </c>
      <c r="B1484" s="12" t="s">
        <v>572</v>
      </c>
      <c r="C1484" s="12" t="s">
        <v>560</v>
      </c>
      <c r="D1484" s="13">
        <v>0</v>
      </c>
      <c r="E1484" s="13">
        <v>0</v>
      </c>
      <c r="F1484" s="13">
        <v>0</v>
      </c>
      <c r="G1484" s="13">
        <v>0</v>
      </c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</row>
    <row r="1485" spans="1:19" x14ac:dyDescent="0.2">
      <c r="A1485" s="12" t="s">
        <v>257</v>
      </c>
      <c r="B1485" s="12" t="s">
        <v>572</v>
      </c>
      <c r="C1485" s="12" t="s">
        <v>561</v>
      </c>
      <c r="D1485" s="13">
        <v>171</v>
      </c>
      <c r="E1485" s="13">
        <v>177.272775</v>
      </c>
      <c r="F1485" s="13">
        <v>173.26127700000001</v>
      </c>
      <c r="G1485" s="13">
        <v>164.93948</v>
      </c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</row>
    <row r="1486" spans="1:19" x14ac:dyDescent="0.2">
      <c r="A1486" s="12" t="s">
        <v>257</v>
      </c>
      <c r="B1486" s="12" t="s">
        <v>572</v>
      </c>
      <c r="C1486" s="12" t="s">
        <v>562</v>
      </c>
      <c r="D1486" s="13">
        <v>43</v>
      </c>
      <c r="E1486" s="13">
        <v>43.813706000000003</v>
      </c>
      <c r="F1486" s="13">
        <v>42.814154000000002</v>
      </c>
      <c r="G1486" s="13">
        <v>41.067977999999997</v>
      </c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</row>
    <row r="1487" spans="1:19" x14ac:dyDescent="0.2">
      <c r="A1487" s="12" t="s">
        <v>257</v>
      </c>
      <c r="B1487" s="12" t="s">
        <v>572</v>
      </c>
      <c r="C1487" s="12" t="s">
        <v>563</v>
      </c>
      <c r="D1487" s="13">
        <v>1</v>
      </c>
      <c r="E1487" s="13">
        <v>0.70097100000000001</v>
      </c>
      <c r="F1487" s="13">
        <v>0.79603999999999997</v>
      </c>
      <c r="G1487" s="13">
        <v>0.70765700000000009</v>
      </c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</row>
    <row r="1488" spans="1:19" x14ac:dyDescent="0.2">
      <c r="A1488" s="12" t="s">
        <v>257</v>
      </c>
      <c r="B1488" s="12" t="s">
        <v>572</v>
      </c>
      <c r="C1488" s="12" t="s">
        <v>564</v>
      </c>
      <c r="D1488" s="13">
        <v>63</v>
      </c>
      <c r="E1488" s="13">
        <v>63.788254999999999</v>
      </c>
      <c r="F1488" s="13">
        <v>59.693505999999999</v>
      </c>
      <c r="G1488" s="13">
        <v>54.465364999999998</v>
      </c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</row>
    <row r="1489" spans="1:19" x14ac:dyDescent="0.2">
      <c r="A1489" s="12" t="s">
        <v>257</v>
      </c>
      <c r="B1489" s="12" t="s">
        <v>572</v>
      </c>
      <c r="C1489" s="12" t="s">
        <v>565</v>
      </c>
      <c r="D1489" s="13">
        <v>56</v>
      </c>
      <c r="E1489" s="13">
        <v>59.579064000000002</v>
      </c>
      <c r="F1489" s="13">
        <v>61.972054999999997</v>
      </c>
      <c r="G1489" s="13">
        <v>61.115729000000002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</row>
    <row r="1490" spans="1:19" x14ac:dyDescent="0.2">
      <c r="A1490" s="12" t="s">
        <v>257</v>
      </c>
      <c r="B1490" s="12" t="s">
        <v>572</v>
      </c>
      <c r="C1490" s="12" t="s">
        <v>566</v>
      </c>
      <c r="D1490" s="13">
        <v>9</v>
      </c>
      <c r="E1490" s="13">
        <v>9.3907790000000002</v>
      </c>
      <c r="F1490" s="13">
        <v>7.9855219999999996</v>
      </c>
      <c r="G1490" s="13">
        <v>7.582751</v>
      </c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</row>
    <row r="1491" spans="1:19" x14ac:dyDescent="0.2">
      <c r="A1491" s="12" t="s">
        <v>257</v>
      </c>
      <c r="B1491" s="12" t="s">
        <v>573</v>
      </c>
      <c r="C1491" s="12" t="s">
        <v>554</v>
      </c>
      <c r="D1491" s="13">
        <v>0</v>
      </c>
      <c r="E1491" s="13">
        <v>0</v>
      </c>
      <c r="F1491" s="13">
        <v>0</v>
      </c>
      <c r="G1491" s="13">
        <v>0</v>
      </c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</row>
    <row r="1492" spans="1:19" x14ac:dyDescent="0.2">
      <c r="A1492" s="12" t="s">
        <v>257</v>
      </c>
      <c r="B1492" s="12" t="s">
        <v>573</v>
      </c>
      <c r="C1492" s="12" t="s">
        <v>555</v>
      </c>
      <c r="D1492" s="13">
        <v>0</v>
      </c>
      <c r="E1492" s="13">
        <v>0</v>
      </c>
      <c r="F1492" s="13">
        <v>0</v>
      </c>
      <c r="G1492" s="13">
        <v>0</v>
      </c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</row>
    <row r="1493" spans="1:19" x14ac:dyDescent="0.2">
      <c r="A1493" s="12" t="s">
        <v>257</v>
      </c>
      <c r="B1493" s="12" t="s">
        <v>573</v>
      </c>
      <c r="C1493" s="12" t="s">
        <v>556</v>
      </c>
      <c r="D1493" s="13">
        <v>0</v>
      </c>
      <c r="E1493" s="13">
        <v>0</v>
      </c>
      <c r="F1493" s="13">
        <v>0</v>
      </c>
      <c r="G1493" s="13">
        <v>0</v>
      </c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</row>
    <row r="1494" spans="1:19" x14ac:dyDescent="0.2">
      <c r="A1494" s="12" t="s">
        <v>257</v>
      </c>
      <c r="B1494" s="12" t="s">
        <v>573</v>
      </c>
      <c r="C1494" s="12" t="s">
        <v>557</v>
      </c>
      <c r="D1494" s="13">
        <v>0</v>
      </c>
      <c r="E1494" s="13">
        <v>0</v>
      </c>
      <c r="F1494" s="13">
        <v>0</v>
      </c>
      <c r="G1494" s="13">
        <v>0</v>
      </c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</row>
    <row r="1495" spans="1:19" x14ac:dyDescent="0.2">
      <c r="A1495" s="12" t="s">
        <v>257</v>
      </c>
      <c r="B1495" s="12" t="s">
        <v>573</v>
      </c>
      <c r="C1495" s="12" t="s">
        <v>558</v>
      </c>
      <c r="D1495" s="13">
        <v>2</v>
      </c>
      <c r="E1495" s="13">
        <v>1.9708779999999999</v>
      </c>
      <c r="F1495" s="13">
        <v>1.507466</v>
      </c>
      <c r="G1495" s="13">
        <v>1.3898079999999999</v>
      </c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</row>
    <row r="1496" spans="1:19" x14ac:dyDescent="0.2">
      <c r="A1496" s="12" t="s">
        <v>257</v>
      </c>
      <c r="B1496" s="12" t="s">
        <v>573</v>
      </c>
      <c r="C1496" s="12" t="s">
        <v>560</v>
      </c>
      <c r="D1496" s="13">
        <v>0</v>
      </c>
      <c r="E1496" s="13">
        <v>0</v>
      </c>
      <c r="F1496" s="13">
        <v>0</v>
      </c>
      <c r="G1496" s="13">
        <v>0</v>
      </c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</row>
    <row r="1497" spans="1:19" x14ac:dyDescent="0.2">
      <c r="A1497" s="12" t="s">
        <v>257</v>
      </c>
      <c r="B1497" s="12" t="s">
        <v>573</v>
      </c>
      <c r="C1497" s="12" t="s">
        <v>561</v>
      </c>
      <c r="D1497" s="13">
        <v>2</v>
      </c>
      <c r="E1497" s="13">
        <v>1.4978739999999999</v>
      </c>
      <c r="F1497" s="13">
        <v>1.146463</v>
      </c>
      <c r="G1497" s="13">
        <v>1.070808</v>
      </c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</row>
    <row r="1498" spans="1:19" x14ac:dyDescent="0.2">
      <c r="A1498" s="12" t="s">
        <v>257</v>
      </c>
      <c r="B1498" s="12" t="s">
        <v>573</v>
      </c>
      <c r="C1498" s="12" t="s">
        <v>562</v>
      </c>
      <c r="D1498" s="13">
        <v>0</v>
      </c>
      <c r="E1498" s="13">
        <v>0</v>
      </c>
      <c r="F1498" s="13">
        <v>0</v>
      </c>
      <c r="G1498" s="13">
        <v>0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</row>
    <row r="1499" spans="1:19" x14ac:dyDescent="0.2">
      <c r="A1499" s="12" t="s">
        <v>257</v>
      </c>
      <c r="B1499" s="12" t="s">
        <v>573</v>
      </c>
      <c r="C1499" s="12" t="s">
        <v>563</v>
      </c>
      <c r="D1499" s="13">
        <v>0</v>
      </c>
      <c r="E1499" s="13">
        <v>0</v>
      </c>
      <c r="F1499" s="13">
        <v>0</v>
      </c>
      <c r="G1499" s="13">
        <v>0</v>
      </c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</row>
    <row r="1500" spans="1:19" x14ac:dyDescent="0.2">
      <c r="A1500" s="12" t="s">
        <v>257</v>
      </c>
      <c r="B1500" s="12" t="s">
        <v>573</v>
      </c>
      <c r="C1500" s="12" t="s">
        <v>564</v>
      </c>
      <c r="D1500" s="13">
        <v>2</v>
      </c>
      <c r="E1500" s="13">
        <v>1.4978739999999999</v>
      </c>
      <c r="F1500" s="13">
        <v>1.146463</v>
      </c>
      <c r="G1500" s="13">
        <v>1.070808</v>
      </c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</row>
    <row r="1501" spans="1:19" x14ac:dyDescent="0.2">
      <c r="A1501" s="12" t="s">
        <v>257</v>
      </c>
      <c r="B1501" s="12" t="s">
        <v>573</v>
      </c>
      <c r="C1501" s="12" t="s">
        <v>565</v>
      </c>
      <c r="D1501" s="13">
        <v>0</v>
      </c>
      <c r="E1501" s="13">
        <v>0</v>
      </c>
      <c r="F1501" s="13">
        <v>0</v>
      </c>
      <c r="G1501" s="13">
        <v>0</v>
      </c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</row>
    <row r="1502" spans="1:19" x14ac:dyDescent="0.2">
      <c r="A1502" s="12" t="s">
        <v>257</v>
      </c>
      <c r="B1502" s="12" t="s">
        <v>573</v>
      </c>
      <c r="C1502" s="12" t="s">
        <v>566</v>
      </c>
      <c r="D1502" s="13">
        <v>0</v>
      </c>
      <c r="E1502" s="13">
        <v>0</v>
      </c>
      <c r="F1502" s="13">
        <v>0</v>
      </c>
      <c r="G1502" s="13">
        <v>0</v>
      </c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</row>
    <row r="1503" spans="1:19" x14ac:dyDescent="0.2">
      <c r="A1503" s="12" t="s">
        <v>257</v>
      </c>
      <c r="B1503" s="12" t="s">
        <v>574</v>
      </c>
      <c r="C1503" s="12" t="s">
        <v>554</v>
      </c>
      <c r="D1503" s="13">
        <v>191</v>
      </c>
      <c r="E1503" s="13">
        <v>198.86733100000001</v>
      </c>
      <c r="F1503" s="13">
        <v>208.33667500000001</v>
      </c>
      <c r="G1503" s="13">
        <v>207.12530000000001</v>
      </c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</row>
    <row r="1504" spans="1:19" x14ac:dyDescent="0.2">
      <c r="A1504" s="12" t="s">
        <v>257</v>
      </c>
      <c r="B1504" s="12" t="s">
        <v>574</v>
      </c>
      <c r="C1504" s="12" t="s">
        <v>555</v>
      </c>
      <c r="D1504" s="13">
        <v>1556</v>
      </c>
      <c r="E1504" s="13">
        <v>1621.839326</v>
      </c>
      <c r="F1504" s="13">
        <v>1578.665191</v>
      </c>
      <c r="G1504" s="13">
        <v>1514.4014910000001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</row>
    <row r="1505" spans="1:19" x14ac:dyDescent="0.2">
      <c r="A1505" s="12" t="s">
        <v>257</v>
      </c>
      <c r="B1505" s="12" t="s">
        <v>574</v>
      </c>
      <c r="C1505" s="12" t="s">
        <v>556</v>
      </c>
      <c r="D1505" s="13">
        <v>-804</v>
      </c>
      <c r="E1505" s="13">
        <v>-901.92643500000008</v>
      </c>
      <c r="F1505" s="13">
        <v>-783.83401000000003</v>
      </c>
      <c r="G1505" s="13">
        <v>-785.275216</v>
      </c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</row>
    <row r="1506" spans="1:19" x14ac:dyDescent="0.2">
      <c r="A1506" s="12" t="s">
        <v>257</v>
      </c>
      <c r="B1506" s="12" t="s">
        <v>574</v>
      </c>
      <c r="C1506" s="12" t="s">
        <v>557</v>
      </c>
      <c r="D1506" s="13">
        <v>824</v>
      </c>
      <c r="E1506" s="13">
        <v>851.3938270000001</v>
      </c>
      <c r="F1506" s="13">
        <v>855.502748</v>
      </c>
      <c r="G1506" s="13">
        <v>816.98495500000001</v>
      </c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</row>
    <row r="1507" spans="1:19" x14ac:dyDescent="0.2">
      <c r="A1507" s="12" t="s">
        <v>257</v>
      </c>
      <c r="B1507" s="12" t="s">
        <v>574</v>
      </c>
      <c r="C1507" s="12" t="s">
        <v>558</v>
      </c>
      <c r="D1507" s="13">
        <v>-144</v>
      </c>
      <c r="E1507" s="13">
        <v>-152.357167</v>
      </c>
      <c r="F1507" s="13">
        <v>-145.771308</v>
      </c>
      <c r="G1507" s="13">
        <v>-121.870772</v>
      </c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</row>
    <row r="1508" spans="1:19" x14ac:dyDescent="0.2">
      <c r="A1508" s="12" t="s">
        <v>257</v>
      </c>
      <c r="B1508" s="12" t="s">
        <v>574</v>
      </c>
      <c r="C1508" s="12" t="s">
        <v>560</v>
      </c>
      <c r="D1508" s="13">
        <v>6</v>
      </c>
      <c r="E1508" s="13">
        <v>6.2503980000000006</v>
      </c>
      <c r="F1508" s="13">
        <v>24.283933999999999</v>
      </c>
      <c r="G1508" s="13">
        <v>28.255189000000001</v>
      </c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</row>
    <row r="1509" spans="1:19" x14ac:dyDescent="0.2">
      <c r="A1509" s="12" t="s">
        <v>257</v>
      </c>
      <c r="B1509" s="12" t="s">
        <v>574</v>
      </c>
      <c r="C1509" s="12" t="s">
        <v>561</v>
      </c>
      <c r="D1509" s="13">
        <v>624</v>
      </c>
      <c r="E1509" s="13">
        <v>636.77966100000003</v>
      </c>
      <c r="F1509" s="13">
        <v>653.97548500000005</v>
      </c>
      <c r="G1509" s="13">
        <v>642.43068900000003</v>
      </c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</row>
    <row r="1510" spans="1:19" x14ac:dyDescent="0.2">
      <c r="A1510" s="12" t="s">
        <v>257</v>
      </c>
      <c r="B1510" s="12" t="s">
        <v>574</v>
      </c>
      <c r="C1510" s="12" t="s">
        <v>562</v>
      </c>
      <c r="D1510" s="13">
        <v>106</v>
      </c>
      <c r="E1510" s="13">
        <v>107.413095</v>
      </c>
      <c r="F1510" s="13">
        <v>107.415373</v>
      </c>
      <c r="G1510" s="13">
        <v>103.083404</v>
      </c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</row>
    <row r="1511" spans="1:19" x14ac:dyDescent="0.2">
      <c r="A1511" s="12" t="s">
        <v>257</v>
      </c>
      <c r="B1511" s="12" t="s">
        <v>574</v>
      </c>
      <c r="C1511" s="12" t="s">
        <v>563</v>
      </c>
      <c r="D1511" s="13">
        <v>215</v>
      </c>
      <c r="E1511" s="13">
        <v>231.548788</v>
      </c>
      <c r="F1511" s="13">
        <v>254.61306999999999</v>
      </c>
      <c r="G1511" s="13">
        <v>265.771524</v>
      </c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</row>
    <row r="1512" spans="1:19" x14ac:dyDescent="0.2">
      <c r="A1512" s="12" t="s">
        <v>257</v>
      </c>
      <c r="B1512" s="12" t="s">
        <v>574</v>
      </c>
      <c r="C1512" s="12" t="s">
        <v>564</v>
      </c>
      <c r="D1512" s="13">
        <v>176</v>
      </c>
      <c r="E1512" s="13">
        <v>174.993976</v>
      </c>
      <c r="F1512" s="13">
        <v>176.699623</v>
      </c>
      <c r="G1512" s="13">
        <v>153.40987899999999</v>
      </c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</row>
    <row r="1513" spans="1:19" x14ac:dyDescent="0.2">
      <c r="A1513" s="12" t="s">
        <v>257</v>
      </c>
      <c r="B1513" s="12" t="s">
        <v>574</v>
      </c>
      <c r="C1513" s="12" t="s">
        <v>565</v>
      </c>
      <c r="D1513" s="13">
        <v>67</v>
      </c>
      <c r="E1513" s="13">
        <v>71.373048999999995</v>
      </c>
      <c r="F1513" s="13">
        <v>73.256574000000001</v>
      </c>
      <c r="G1513" s="13">
        <v>72.892522999999997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</row>
    <row r="1514" spans="1:19" x14ac:dyDescent="0.2">
      <c r="A1514" s="12" t="s">
        <v>257</v>
      </c>
      <c r="B1514" s="12" t="s">
        <v>574</v>
      </c>
      <c r="C1514" s="12" t="s">
        <v>566</v>
      </c>
      <c r="D1514" s="13">
        <v>60</v>
      </c>
      <c r="E1514" s="13">
        <v>51.450755999999998</v>
      </c>
      <c r="F1514" s="13">
        <v>41.990831999999997</v>
      </c>
      <c r="G1514" s="13">
        <v>47.273363000000003</v>
      </c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</row>
    <row r="1515" spans="1:19" x14ac:dyDescent="0.2">
      <c r="A1515" s="12" t="s">
        <v>279</v>
      </c>
      <c r="B1515" s="12" t="s">
        <v>553</v>
      </c>
      <c r="C1515" s="12" t="s">
        <v>554</v>
      </c>
      <c r="D1515" s="13">
        <v>39</v>
      </c>
      <c r="E1515" s="13">
        <v>32.367133000000003</v>
      </c>
      <c r="F1515" s="13">
        <v>32.611814000000003</v>
      </c>
      <c r="G1515" s="13">
        <v>27.795470000000002</v>
      </c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</row>
    <row r="1516" spans="1:19" x14ac:dyDescent="0.2">
      <c r="A1516" s="12" t="s">
        <v>279</v>
      </c>
      <c r="B1516" s="12" t="s">
        <v>553</v>
      </c>
      <c r="C1516" s="12" t="s">
        <v>555</v>
      </c>
      <c r="D1516" s="13">
        <v>39</v>
      </c>
      <c r="E1516" s="13">
        <v>36.276302999999999</v>
      </c>
      <c r="F1516" s="13">
        <v>26.352388999999999</v>
      </c>
      <c r="G1516" s="13">
        <v>12.811658</v>
      </c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</row>
    <row r="1517" spans="1:19" x14ac:dyDescent="0.2">
      <c r="A1517" s="12" t="s">
        <v>279</v>
      </c>
      <c r="B1517" s="12" t="s">
        <v>553</v>
      </c>
      <c r="C1517" s="12" t="s">
        <v>556</v>
      </c>
      <c r="D1517" s="13">
        <v>-8</v>
      </c>
      <c r="E1517" s="13">
        <v>-14.152685999999999</v>
      </c>
      <c r="F1517" s="13">
        <v>-4.826187</v>
      </c>
      <c r="G1517" s="13">
        <v>-3.4656400000000001</v>
      </c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</row>
    <row r="1518" spans="1:19" x14ac:dyDescent="0.2">
      <c r="A1518" s="12" t="s">
        <v>279</v>
      </c>
      <c r="B1518" s="12" t="s">
        <v>553</v>
      </c>
      <c r="C1518" s="12" t="s">
        <v>557</v>
      </c>
      <c r="D1518" s="13">
        <v>70</v>
      </c>
      <c r="E1518" s="13">
        <v>57.543932000000012</v>
      </c>
      <c r="F1518" s="13">
        <v>52.364224</v>
      </c>
      <c r="G1518" s="13">
        <v>37.452437000000003</v>
      </c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</row>
    <row r="1519" spans="1:19" x14ac:dyDescent="0.2">
      <c r="A1519" s="12" t="s">
        <v>279</v>
      </c>
      <c r="B1519" s="12" t="s">
        <v>553</v>
      </c>
      <c r="C1519" s="12" t="s">
        <v>558</v>
      </c>
      <c r="D1519" s="13">
        <v>-45</v>
      </c>
      <c r="E1519" s="13">
        <v>-36.560337999999987</v>
      </c>
      <c r="F1519" s="13">
        <v>-35.669313000000002</v>
      </c>
      <c r="G1519" s="13">
        <v>-28.466881000000001</v>
      </c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</row>
    <row r="1520" spans="1:19" x14ac:dyDescent="0.2">
      <c r="A1520" s="12" t="s">
        <v>279</v>
      </c>
      <c r="B1520" s="12" t="s">
        <v>553</v>
      </c>
      <c r="C1520" s="12" t="s">
        <v>560</v>
      </c>
      <c r="D1520" s="13">
        <v>0</v>
      </c>
      <c r="E1520" s="13">
        <v>0</v>
      </c>
      <c r="F1520" s="13">
        <v>0</v>
      </c>
      <c r="G1520" s="13">
        <v>0</v>
      </c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</row>
    <row r="1521" spans="1:19" x14ac:dyDescent="0.2">
      <c r="A1521" s="12" t="s">
        <v>279</v>
      </c>
      <c r="B1521" s="12" t="s">
        <v>553</v>
      </c>
      <c r="C1521" s="12" t="s">
        <v>561</v>
      </c>
      <c r="D1521" s="13">
        <v>8</v>
      </c>
      <c r="E1521" s="13">
        <v>7.7218790000000004</v>
      </c>
      <c r="F1521" s="13">
        <v>7.1148180000000014</v>
      </c>
      <c r="G1521" s="13">
        <v>4.3423230000000004</v>
      </c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</row>
    <row r="1522" spans="1:19" x14ac:dyDescent="0.2">
      <c r="A1522" s="12" t="s">
        <v>279</v>
      </c>
      <c r="B1522" s="12" t="s">
        <v>553</v>
      </c>
      <c r="C1522" s="12" t="s">
        <v>562</v>
      </c>
      <c r="D1522" s="13">
        <v>6</v>
      </c>
      <c r="E1522" s="13">
        <v>5.4701760000000004</v>
      </c>
      <c r="F1522" s="13">
        <v>4.4232579999999997</v>
      </c>
      <c r="G1522" s="13">
        <v>2.474809</v>
      </c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</row>
    <row r="1523" spans="1:19" x14ac:dyDescent="0.2">
      <c r="A1523" s="12" t="s">
        <v>279</v>
      </c>
      <c r="B1523" s="12" t="s">
        <v>553</v>
      </c>
      <c r="C1523" s="12" t="s">
        <v>563</v>
      </c>
      <c r="D1523" s="13">
        <v>0</v>
      </c>
      <c r="E1523" s="13">
        <v>0</v>
      </c>
      <c r="F1523" s="13">
        <v>0</v>
      </c>
      <c r="G1523" s="13">
        <v>0</v>
      </c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</row>
    <row r="1524" spans="1:19" x14ac:dyDescent="0.2">
      <c r="A1524" s="12" t="s">
        <v>279</v>
      </c>
      <c r="B1524" s="12" t="s">
        <v>553</v>
      </c>
      <c r="C1524" s="12" t="s">
        <v>564</v>
      </c>
      <c r="D1524" s="13">
        <v>2</v>
      </c>
      <c r="E1524" s="13">
        <v>1.8872169999999999</v>
      </c>
      <c r="F1524" s="13">
        <v>2.0891630000000001</v>
      </c>
      <c r="G1524" s="13">
        <v>1.350268</v>
      </c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</row>
    <row r="1525" spans="1:19" x14ac:dyDescent="0.2">
      <c r="A1525" s="12" t="s">
        <v>279</v>
      </c>
      <c r="B1525" s="12" t="s">
        <v>553</v>
      </c>
      <c r="C1525" s="12" t="s">
        <v>565</v>
      </c>
      <c r="D1525" s="13">
        <v>0</v>
      </c>
      <c r="E1525" s="13">
        <v>4.9994999999999998E-2</v>
      </c>
      <c r="F1525" s="13">
        <v>6.0193999999999998E-2</v>
      </c>
      <c r="G1525" s="13">
        <v>2.3244999999999998E-2</v>
      </c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</row>
    <row r="1526" spans="1:19" x14ac:dyDescent="0.2">
      <c r="A1526" s="12" t="s">
        <v>279</v>
      </c>
      <c r="B1526" s="12" t="s">
        <v>553</v>
      </c>
      <c r="C1526" s="12" t="s">
        <v>566</v>
      </c>
      <c r="D1526" s="13">
        <v>0</v>
      </c>
      <c r="E1526" s="13">
        <v>0.31449100000000002</v>
      </c>
      <c r="F1526" s="13">
        <v>0.54220800000000002</v>
      </c>
      <c r="G1526" s="13">
        <v>0.49400100000000002</v>
      </c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</row>
    <row r="1527" spans="1:19" x14ac:dyDescent="0.2">
      <c r="A1527" s="12" t="s">
        <v>279</v>
      </c>
      <c r="B1527" s="12" t="s">
        <v>567</v>
      </c>
      <c r="C1527" s="12" t="s">
        <v>554</v>
      </c>
      <c r="D1527" s="13">
        <v>43</v>
      </c>
      <c r="E1527" s="13">
        <v>45.638201000000002</v>
      </c>
      <c r="F1527" s="13">
        <v>45.339598000000002</v>
      </c>
      <c r="G1527" s="13">
        <v>47.384200999999997</v>
      </c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</row>
    <row r="1528" spans="1:19" x14ac:dyDescent="0.2">
      <c r="A1528" s="12" t="s">
        <v>279</v>
      </c>
      <c r="B1528" s="12" t="s">
        <v>567</v>
      </c>
      <c r="C1528" s="12" t="s">
        <v>555</v>
      </c>
      <c r="D1528" s="13">
        <v>264</v>
      </c>
      <c r="E1528" s="13">
        <v>256.86100099999999</v>
      </c>
      <c r="F1528" s="13">
        <v>255.356202</v>
      </c>
      <c r="G1528" s="13">
        <v>262.12779799999998</v>
      </c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</row>
    <row r="1529" spans="1:19" x14ac:dyDescent="0.2">
      <c r="A1529" s="12" t="s">
        <v>279</v>
      </c>
      <c r="B1529" s="12" t="s">
        <v>567</v>
      </c>
      <c r="C1529" s="12" t="s">
        <v>556</v>
      </c>
      <c r="D1529" s="13">
        <v>-9</v>
      </c>
      <c r="E1529" s="13">
        <v>-6.2700010000000006</v>
      </c>
      <c r="F1529" s="13">
        <v>-3.7619989999999999</v>
      </c>
      <c r="G1529" s="13">
        <v>-12.122</v>
      </c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</row>
    <row r="1530" spans="1:19" x14ac:dyDescent="0.2">
      <c r="A1530" s="12" t="s">
        <v>279</v>
      </c>
      <c r="B1530" s="12" t="s">
        <v>567</v>
      </c>
      <c r="C1530" s="12" t="s">
        <v>557</v>
      </c>
      <c r="D1530" s="13">
        <v>297</v>
      </c>
      <c r="E1530" s="13">
        <v>294.4676</v>
      </c>
      <c r="F1530" s="13">
        <v>280.75119999999998</v>
      </c>
      <c r="G1530" s="13">
        <v>299.39159899999999</v>
      </c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</row>
    <row r="1531" spans="1:19" x14ac:dyDescent="0.2">
      <c r="A1531" s="12" t="s">
        <v>279</v>
      </c>
      <c r="B1531" s="12" t="s">
        <v>567</v>
      </c>
      <c r="C1531" s="12" t="s">
        <v>558</v>
      </c>
      <c r="D1531" s="13">
        <v>0</v>
      </c>
      <c r="E1531" s="13">
        <v>0</v>
      </c>
      <c r="F1531" s="13">
        <v>0</v>
      </c>
      <c r="G1531" s="13">
        <v>0</v>
      </c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</row>
    <row r="1532" spans="1:19" x14ac:dyDescent="0.2">
      <c r="A1532" s="12" t="s">
        <v>279</v>
      </c>
      <c r="B1532" s="12" t="s">
        <v>567</v>
      </c>
      <c r="C1532" s="12" t="s">
        <v>560</v>
      </c>
      <c r="D1532" s="13">
        <v>-308</v>
      </c>
      <c r="E1532" s="13">
        <v>-304.97319800000002</v>
      </c>
      <c r="F1532" s="13">
        <v>-288.39300100000003</v>
      </c>
      <c r="G1532" s="13">
        <v>-308.66300000000001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</row>
    <row r="1533" spans="1:19" x14ac:dyDescent="0.2">
      <c r="A1533" s="12" t="s">
        <v>279</v>
      </c>
      <c r="B1533" s="12" t="s">
        <v>567</v>
      </c>
      <c r="C1533" s="12" t="s">
        <v>561</v>
      </c>
      <c r="D1533" s="13">
        <v>0</v>
      </c>
      <c r="E1533" s="13">
        <v>0</v>
      </c>
      <c r="F1533" s="13">
        <v>0</v>
      </c>
      <c r="G1533" s="13">
        <v>0</v>
      </c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</row>
    <row r="1534" spans="1:19" x14ac:dyDescent="0.2">
      <c r="A1534" s="12" t="s">
        <v>279</v>
      </c>
      <c r="B1534" s="12" t="s">
        <v>567</v>
      </c>
      <c r="C1534" s="12" t="s">
        <v>562</v>
      </c>
      <c r="D1534" s="13">
        <v>0</v>
      </c>
      <c r="E1534" s="13">
        <v>0</v>
      </c>
      <c r="F1534" s="13">
        <v>0</v>
      </c>
      <c r="G1534" s="13">
        <v>0</v>
      </c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</row>
    <row r="1535" spans="1:19" x14ac:dyDescent="0.2">
      <c r="A1535" s="12" t="s">
        <v>279</v>
      </c>
      <c r="B1535" s="12" t="s">
        <v>567</v>
      </c>
      <c r="C1535" s="12" t="s">
        <v>563</v>
      </c>
      <c r="D1535" s="13">
        <v>0</v>
      </c>
      <c r="E1535" s="13">
        <v>0</v>
      </c>
      <c r="F1535" s="13">
        <v>0</v>
      </c>
      <c r="G1535" s="13">
        <v>0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</row>
    <row r="1536" spans="1:19" x14ac:dyDescent="0.2">
      <c r="A1536" s="12" t="s">
        <v>279</v>
      </c>
      <c r="B1536" s="12" t="s">
        <v>567</v>
      </c>
      <c r="C1536" s="12" t="s">
        <v>564</v>
      </c>
      <c r="D1536" s="13">
        <v>0</v>
      </c>
      <c r="E1536" s="13">
        <v>0</v>
      </c>
      <c r="F1536" s="13">
        <v>0</v>
      </c>
      <c r="G1536" s="13">
        <v>0</v>
      </c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</row>
    <row r="1537" spans="1:19" x14ac:dyDescent="0.2">
      <c r="A1537" s="12" t="s">
        <v>279</v>
      </c>
      <c r="B1537" s="12" t="s">
        <v>567</v>
      </c>
      <c r="C1537" s="12" t="s">
        <v>565</v>
      </c>
      <c r="D1537" s="13">
        <v>0</v>
      </c>
      <c r="E1537" s="13">
        <v>0</v>
      </c>
      <c r="F1537" s="13">
        <v>0</v>
      </c>
      <c r="G1537" s="13">
        <v>0</v>
      </c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</row>
    <row r="1538" spans="1:19" x14ac:dyDescent="0.2">
      <c r="A1538" s="12" t="s">
        <v>279</v>
      </c>
      <c r="B1538" s="12" t="s">
        <v>567</v>
      </c>
      <c r="C1538" s="12" t="s">
        <v>566</v>
      </c>
      <c r="D1538" s="13">
        <v>0</v>
      </c>
      <c r="E1538" s="13">
        <v>0</v>
      </c>
      <c r="F1538" s="13">
        <v>0</v>
      </c>
      <c r="G1538" s="13">
        <v>0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</row>
    <row r="1539" spans="1:19" x14ac:dyDescent="0.2">
      <c r="A1539" s="12" t="s">
        <v>279</v>
      </c>
      <c r="B1539" s="12" t="s">
        <v>568</v>
      </c>
      <c r="C1539" s="12" t="s">
        <v>554</v>
      </c>
      <c r="D1539" s="13">
        <v>0</v>
      </c>
      <c r="E1539" s="13">
        <v>0</v>
      </c>
      <c r="F1539" s="13">
        <v>0</v>
      </c>
      <c r="G1539" s="13">
        <v>0</v>
      </c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</row>
    <row r="1540" spans="1:19" x14ac:dyDescent="0.2">
      <c r="A1540" s="12" t="s">
        <v>279</v>
      </c>
      <c r="B1540" s="12" t="s">
        <v>568</v>
      </c>
      <c r="C1540" s="12" t="s">
        <v>555</v>
      </c>
      <c r="D1540" s="13">
        <v>136</v>
      </c>
      <c r="E1540" s="13">
        <v>155.569602</v>
      </c>
      <c r="F1540" s="13">
        <v>147.96940000000001</v>
      </c>
      <c r="G1540" s="13">
        <v>146.340802</v>
      </c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</row>
    <row r="1541" spans="1:19" x14ac:dyDescent="0.2">
      <c r="A1541" s="12" t="s">
        <v>279</v>
      </c>
      <c r="B1541" s="12" t="s">
        <v>568</v>
      </c>
      <c r="C1541" s="12" t="s">
        <v>556</v>
      </c>
      <c r="D1541" s="13">
        <v>-119</v>
      </c>
      <c r="E1541" s="13">
        <v>-111.752002</v>
      </c>
      <c r="F1541" s="13">
        <v>-97.885198000000003</v>
      </c>
      <c r="G1541" s="13">
        <v>-104.203402</v>
      </c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</row>
    <row r="1542" spans="1:19" x14ac:dyDescent="0.2">
      <c r="A1542" s="12" t="s">
        <v>279</v>
      </c>
      <c r="B1542" s="12" t="s">
        <v>568</v>
      </c>
      <c r="C1542" s="12" t="s">
        <v>557</v>
      </c>
      <c r="D1542" s="13">
        <v>11</v>
      </c>
      <c r="E1542" s="13">
        <v>39.315199</v>
      </c>
      <c r="F1542" s="13">
        <v>45.851602</v>
      </c>
      <c r="G1542" s="13">
        <v>16.455400999999998</v>
      </c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</row>
    <row r="1543" spans="1:19" x14ac:dyDescent="0.2">
      <c r="A1543" s="12" t="s">
        <v>279</v>
      </c>
      <c r="B1543" s="12" t="s">
        <v>568</v>
      </c>
      <c r="C1543" s="12" t="s">
        <v>558</v>
      </c>
      <c r="D1543" s="13">
        <v>0</v>
      </c>
      <c r="E1543" s="13">
        <v>-0.70904600000000007</v>
      </c>
      <c r="F1543" s="13">
        <v>-0.65685099999999996</v>
      </c>
      <c r="G1543" s="13">
        <v>-0.57799600000000007</v>
      </c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</row>
    <row r="1544" spans="1:19" x14ac:dyDescent="0.2">
      <c r="A1544" s="12" t="s">
        <v>279</v>
      </c>
      <c r="B1544" s="12" t="s">
        <v>568</v>
      </c>
      <c r="C1544" s="12" t="s">
        <v>560</v>
      </c>
      <c r="D1544" s="13">
        <v>308</v>
      </c>
      <c r="E1544" s="13">
        <v>305.32599900000002</v>
      </c>
      <c r="F1544" s="13">
        <v>288.94110000000001</v>
      </c>
      <c r="G1544" s="13">
        <v>309.43939999999998</v>
      </c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</row>
    <row r="1545" spans="1:19" x14ac:dyDescent="0.2">
      <c r="A1545" s="12" t="s">
        <v>279</v>
      </c>
      <c r="B1545" s="12" t="s">
        <v>568</v>
      </c>
      <c r="C1545" s="12" t="s">
        <v>561</v>
      </c>
      <c r="D1545" s="13">
        <v>293</v>
      </c>
      <c r="E1545" s="13">
        <v>320.13999899999999</v>
      </c>
      <c r="F1545" s="13">
        <v>312.67600199999998</v>
      </c>
      <c r="G1545" s="13">
        <v>301.18660199999999</v>
      </c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</row>
    <row r="1546" spans="1:19" x14ac:dyDescent="0.2">
      <c r="A1546" s="12" t="s">
        <v>279</v>
      </c>
      <c r="B1546" s="12" t="s">
        <v>568</v>
      </c>
      <c r="C1546" s="12" t="s">
        <v>562</v>
      </c>
      <c r="D1546" s="13">
        <v>30</v>
      </c>
      <c r="E1546" s="13">
        <v>30.520600000000002</v>
      </c>
      <c r="F1546" s="13">
        <v>26.055398</v>
      </c>
      <c r="G1546" s="13">
        <v>24.152201000000002</v>
      </c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</row>
    <row r="1547" spans="1:19" x14ac:dyDescent="0.2">
      <c r="A1547" s="12" t="s">
        <v>279</v>
      </c>
      <c r="B1547" s="12" t="s">
        <v>568</v>
      </c>
      <c r="C1547" s="12" t="s">
        <v>563</v>
      </c>
      <c r="D1547" s="13">
        <v>167</v>
      </c>
      <c r="E1547" s="13">
        <v>186.31040200000001</v>
      </c>
      <c r="F1547" s="13">
        <v>201.28980100000001</v>
      </c>
      <c r="G1547" s="13">
        <v>186.721801</v>
      </c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</row>
    <row r="1548" spans="1:19" x14ac:dyDescent="0.2">
      <c r="A1548" s="12" t="s">
        <v>279</v>
      </c>
      <c r="B1548" s="12" t="s">
        <v>568</v>
      </c>
      <c r="C1548" s="12" t="s">
        <v>564</v>
      </c>
      <c r="D1548" s="13">
        <v>3</v>
      </c>
      <c r="E1548" s="13">
        <v>3.0819999999999999</v>
      </c>
      <c r="F1548" s="13">
        <v>2.7600009999999999</v>
      </c>
      <c r="G1548" s="13">
        <v>2.6680009999999998</v>
      </c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</row>
    <row r="1549" spans="1:19" x14ac:dyDescent="0.2">
      <c r="A1549" s="12" t="s">
        <v>279</v>
      </c>
      <c r="B1549" s="12" t="s">
        <v>568</v>
      </c>
      <c r="C1549" s="12" t="s">
        <v>565</v>
      </c>
      <c r="D1549" s="13">
        <v>2</v>
      </c>
      <c r="E1549" s="13">
        <v>1.2727999999999999</v>
      </c>
      <c r="F1549" s="13">
        <v>1.102401</v>
      </c>
      <c r="G1549" s="13">
        <v>1.102401</v>
      </c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</row>
    <row r="1550" spans="1:19" x14ac:dyDescent="0.2">
      <c r="A1550" s="12" t="s">
        <v>279</v>
      </c>
      <c r="B1550" s="12" t="s">
        <v>568</v>
      </c>
      <c r="C1550" s="12" t="s">
        <v>566</v>
      </c>
      <c r="D1550" s="13">
        <v>91</v>
      </c>
      <c r="E1550" s="13">
        <v>98.954204999999988</v>
      </c>
      <c r="F1550" s="13">
        <v>81.468399000000005</v>
      </c>
      <c r="G1550" s="13">
        <v>86.542198999999997</v>
      </c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</row>
    <row r="1551" spans="1:19" x14ac:dyDescent="0.2">
      <c r="A1551" s="12" t="s">
        <v>279</v>
      </c>
      <c r="B1551" s="12" t="s">
        <v>569</v>
      </c>
      <c r="C1551" s="12" t="s">
        <v>554</v>
      </c>
      <c r="D1551" s="13">
        <v>55</v>
      </c>
      <c r="E1551" s="13">
        <v>49.3371</v>
      </c>
      <c r="F1551" s="13">
        <v>49.424399000000001</v>
      </c>
      <c r="G1551" s="13">
        <v>51.831901999999999</v>
      </c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</row>
    <row r="1552" spans="1:19" x14ac:dyDescent="0.2">
      <c r="A1552" s="12" t="s">
        <v>279</v>
      </c>
      <c r="B1552" s="12" t="s">
        <v>569</v>
      </c>
      <c r="C1552" s="12" t="s">
        <v>555</v>
      </c>
      <c r="D1552" s="13">
        <v>277</v>
      </c>
      <c r="E1552" s="13">
        <v>261.55619999999999</v>
      </c>
      <c r="F1552" s="13">
        <v>327.94110000000001</v>
      </c>
      <c r="G1552" s="13">
        <v>291.59909800000003</v>
      </c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</row>
    <row r="1553" spans="1:19" x14ac:dyDescent="0.2">
      <c r="A1553" s="12" t="s">
        <v>279</v>
      </c>
      <c r="B1553" s="12" t="s">
        <v>569</v>
      </c>
      <c r="C1553" s="12" t="s">
        <v>556</v>
      </c>
      <c r="D1553" s="13">
        <v>0</v>
      </c>
      <c r="E1553" s="13">
        <v>0</v>
      </c>
      <c r="F1553" s="13">
        <v>0</v>
      </c>
      <c r="G1553" s="13">
        <v>0</v>
      </c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</row>
    <row r="1554" spans="1:19" x14ac:dyDescent="0.2">
      <c r="A1554" s="12" t="s">
        <v>279</v>
      </c>
      <c r="B1554" s="12" t="s">
        <v>569</v>
      </c>
      <c r="C1554" s="12" t="s">
        <v>557</v>
      </c>
      <c r="D1554" s="13">
        <v>367</v>
      </c>
      <c r="E1554" s="13">
        <v>389.17440199999999</v>
      </c>
      <c r="F1554" s="13">
        <v>330.87509999999997</v>
      </c>
      <c r="G1554" s="13">
        <v>295.733701</v>
      </c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</row>
    <row r="1555" spans="1:19" x14ac:dyDescent="0.2">
      <c r="A1555" s="12" t="s">
        <v>279</v>
      </c>
      <c r="B1555" s="12" t="s">
        <v>569</v>
      </c>
      <c r="C1555" s="12" t="s">
        <v>558</v>
      </c>
      <c r="D1555" s="13">
        <v>-93</v>
      </c>
      <c r="E1555" s="13">
        <v>-97.912802000000013</v>
      </c>
      <c r="F1555" s="13">
        <v>-88.325097000000014</v>
      </c>
      <c r="G1555" s="13">
        <v>-74.936694000000003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</row>
    <row r="1556" spans="1:19" x14ac:dyDescent="0.2">
      <c r="A1556" s="12" t="s">
        <v>279</v>
      </c>
      <c r="B1556" s="12" t="s">
        <v>569</v>
      </c>
      <c r="C1556" s="12" t="s">
        <v>560</v>
      </c>
      <c r="D1556" s="13">
        <v>0</v>
      </c>
      <c r="E1556" s="13">
        <v>0</v>
      </c>
      <c r="F1556" s="13">
        <v>0</v>
      </c>
      <c r="G1556" s="13">
        <v>0</v>
      </c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</row>
    <row r="1557" spans="1:19" x14ac:dyDescent="0.2">
      <c r="A1557" s="12" t="s">
        <v>279</v>
      </c>
      <c r="B1557" s="12" t="s">
        <v>569</v>
      </c>
      <c r="C1557" s="12" t="s">
        <v>561</v>
      </c>
      <c r="D1557" s="13">
        <v>261</v>
      </c>
      <c r="E1557" s="13">
        <v>277.15230200000002</v>
      </c>
      <c r="F1557" s="13">
        <v>231.07140100000001</v>
      </c>
      <c r="G1557" s="13">
        <v>208.11510100000001</v>
      </c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</row>
    <row r="1558" spans="1:19" x14ac:dyDescent="0.2">
      <c r="A1558" s="12" t="s">
        <v>279</v>
      </c>
      <c r="B1558" s="12" t="s">
        <v>569</v>
      </c>
      <c r="C1558" s="12" t="s">
        <v>562</v>
      </c>
      <c r="D1558" s="13">
        <v>58</v>
      </c>
      <c r="E1558" s="13">
        <v>60.687900000000013</v>
      </c>
      <c r="F1558" s="13">
        <v>53.218800000000002</v>
      </c>
      <c r="G1558" s="13">
        <v>48.691802000000003</v>
      </c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</row>
    <row r="1559" spans="1:19" x14ac:dyDescent="0.2">
      <c r="A1559" s="12" t="s">
        <v>279</v>
      </c>
      <c r="B1559" s="12" t="s">
        <v>569</v>
      </c>
      <c r="C1559" s="12" t="s">
        <v>563</v>
      </c>
      <c r="D1559" s="13">
        <v>3</v>
      </c>
      <c r="E1559" s="13">
        <v>1.428302</v>
      </c>
      <c r="F1559" s="13">
        <v>1.2464980000000001</v>
      </c>
      <c r="G1559" s="13">
        <v>1.122301</v>
      </c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</row>
    <row r="1560" spans="1:19" x14ac:dyDescent="0.2">
      <c r="A1560" s="12" t="s">
        <v>279</v>
      </c>
      <c r="B1560" s="12" t="s">
        <v>569</v>
      </c>
      <c r="C1560" s="12" t="s">
        <v>564</v>
      </c>
      <c r="D1560" s="13">
        <v>127</v>
      </c>
      <c r="E1560" s="13">
        <v>139.393799</v>
      </c>
      <c r="F1560" s="13">
        <v>119.8143</v>
      </c>
      <c r="G1560" s="13">
        <v>104.339699</v>
      </c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</row>
    <row r="1561" spans="1:19" x14ac:dyDescent="0.2">
      <c r="A1561" s="12" t="s">
        <v>279</v>
      </c>
      <c r="B1561" s="12" t="s">
        <v>569</v>
      </c>
      <c r="C1561" s="12" t="s">
        <v>565</v>
      </c>
      <c r="D1561" s="13">
        <v>44</v>
      </c>
      <c r="E1561" s="13">
        <v>46.5687</v>
      </c>
      <c r="F1561" s="13">
        <v>38.682899999999997</v>
      </c>
      <c r="G1561" s="13">
        <v>30.718799000000001</v>
      </c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</row>
    <row r="1562" spans="1:19" x14ac:dyDescent="0.2">
      <c r="A1562" s="12" t="s">
        <v>279</v>
      </c>
      <c r="B1562" s="12" t="s">
        <v>569</v>
      </c>
      <c r="C1562" s="12" t="s">
        <v>566</v>
      </c>
      <c r="D1562" s="13">
        <v>30</v>
      </c>
      <c r="E1562" s="13">
        <v>29.073598</v>
      </c>
      <c r="F1562" s="13">
        <v>18.108898</v>
      </c>
      <c r="G1562" s="13">
        <v>23.242497</v>
      </c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</row>
    <row r="1563" spans="1:19" x14ac:dyDescent="0.2">
      <c r="A1563" s="12" t="s">
        <v>279</v>
      </c>
      <c r="B1563" s="12" t="s">
        <v>570</v>
      </c>
      <c r="C1563" s="12" t="s">
        <v>554</v>
      </c>
      <c r="D1563" s="13">
        <v>176</v>
      </c>
      <c r="E1563" s="13">
        <v>174.824364</v>
      </c>
      <c r="F1563" s="13">
        <v>172.872545</v>
      </c>
      <c r="G1563" s="13">
        <v>174.01390799999999</v>
      </c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</row>
    <row r="1564" spans="1:19" x14ac:dyDescent="0.2">
      <c r="A1564" s="12" t="s">
        <v>279</v>
      </c>
      <c r="B1564" s="12" t="s">
        <v>570</v>
      </c>
      <c r="C1564" s="12" t="s">
        <v>555</v>
      </c>
      <c r="D1564" s="13">
        <v>0</v>
      </c>
      <c r="E1564" s="13">
        <v>0</v>
      </c>
      <c r="F1564" s="13">
        <v>0</v>
      </c>
      <c r="G1564" s="13">
        <v>0</v>
      </c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</row>
    <row r="1565" spans="1:19" x14ac:dyDescent="0.2">
      <c r="A1565" s="12" t="s">
        <v>279</v>
      </c>
      <c r="B1565" s="12" t="s">
        <v>570</v>
      </c>
      <c r="C1565" s="12" t="s">
        <v>556</v>
      </c>
      <c r="D1565" s="13">
        <v>0</v>
      </c>
      <c r="E1565" s="13">
        <v>0</v>
      </c>
      <c r="F1565" s="13">
        <v>0</v>
      </c>
      <c r="G1565" s="13">
        <v>0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</row>
    <row r="1566" spans="1:19" x14ac:dyDescent="0.2">
      <c r="A1566" s="12" t="s">
        <v>279</v>
      </c>
      <c r="B1566" s="12" t="s">
        <v>570</v>
      </c>
      <c r="C1566" s="12" t="s">
        <v>557</v>
      </c>
      <c r="D1566" s="13">
        <v>176</v>
      </c>
      <c r="E1566" s="13">
        <v>174.824364</v>
      </c>
      <c r="F1566" s="13">
        <v>172.872545</v>
      </c>
      <c r="G1566" s="13">
        <v>174.01390799999999</v>
      </c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</row>
    <row r="1567" spans="1:19" x14ac:dyDescent="0.2">
      <c r="A1567" s="12" t="s">
        <v>279</v>
      </c>
      <c r="B1567" s="12" t="s">
        <v>570</v>
      </c>
      <c r="C1567" s="12" t="s">
        <v>558</v>
      </c>
      <c r="D1567" s="13">
        <v>-176</v>
      </c>
      <c r="E1567" s="13">
        <v>-174.824364</v>
      </c>
      <c r="F1567" s="13">
        <v>-172.872545</v>
      </c>
      <c r="G1567" s="13">
        <v>-174.01390900000001</v>
      </c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</row>
    <row r="1568" spans="1:19" x14ac:dyDescent="0.2">
      <c r="A1568" s="12" t="s">
        <v>279</v>
      </c>
      <c r="B1568" s="12" t="s">
        <v>570</v>
      </c>
      <c r="C1568" s="12" t="s">
        <v>560</v>
      </c>
      <c r="D1568" s="13">
        <v>0</v>
      </c>
      <c r="E1568" s="13">
        <v>0</v>
      </c>
      <c r="F1568" s="13">
        <v>0</v>
      </c>
      <c r="G1568" s="13">
        <v>0</v>
      </c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</row>
    <row r="1569" spans="1:19" x14ac:dyDescent="0.2">
      <c r="A1569" s="12" t="s">
        <v>279</v>
      </c>
      <c r="B1569" s="12" t="s">
        <v>570</v>
      </c>
      <c r="C1569" s="12" t="s">
        <v>561</v>
      </c>
      <c r="D1569" s="13">
        <v>0</v>
      </c>
      <c r="E1569" s="13">
        <v>0</v>
      </c>
      <c r="F1569" s="13">
        <v>0</v>
      </c>
      <c r="G1569" s="13">
        <v>0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</row>
    <row r="1570" spans="1:19" x14ac:dyDescent="0.2">
      <c r="A1570" s="12" t="s">
        <v>279</v>
      </c>
      <c r="B1570" s="12" t="s">
        <v>570</v>
      </c>
      <c r="C1570" s="12" t="s">
        <v>562</v>
      </c>
      <c r="D1570" s="13">
        <v>0</v>
      </c>
      <c r="E1570" s="13">
        <v>0</v>
      </c>
      <c r="F1570" s="13">
        <v>0</v>
      </c>
      <c r="G1570" s="13">
        <v>0</v>
      </c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</row>
    <row r="1571" spans="1:19" x14ac:dyDescent="0.2">
      <c r="A1571" s="12" t="s">
        <v>279</v>
      </c>
      <c r="B1571" s="12" t="s">
        <v>570</v>
      </c>
      <c r="C1571" s="12" t="s">
        <v>563</v>
      </c>
      <c r="D1571" s="13">
        <v>0</v>
      </c>
      <c r="E1571" s="13">
        <v>0</v>
      </c>
      <c r="F1571" s="13">
        <v>0</v>
      </c>
      <c r="G1571" s="13">
        <v>0</v>
      </c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</row>
    <row r="1572" spans="1:19" x14ac:dyDescent="0.2">
      <c r="A1572" s="12" t="s">
        <v>279</v>
      </c>
      <c r="B1572" s="12" t="s">
        <v>570</v>
      </c>
      <c r="C1572" s="12" t="s">
        <v>564</v>
      </c>
      <c r="D1572" s="13">
        <v>0</v>
      </c>
      <c r="E1572" s="13">
        <v>0</v>
      </c>
      <c r="F1572" s="13">
        <v>0</v>
      </c>
      <c r="G1572" s="13">
        <v>0</v>
      </c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</row>
    <row r="1573" spans="1:19" x14ac:dyDescent="0.2">
      <c r="A1573" s="12" t="s">
        <v>279</v>
      </c>
      <c r="B1573" s="12" t="s">
        <v>570</v>
      </c>
      <c r="C1573" s="12" t="s">
        <v>565</v>
      </c>
      <c r="D1573" s="13">
        <v>0</v>
      </c>
      <c r="E1573" s="13">
        <v>0</v>
      </c>
      <c r="F1573" s="13">
        <v>0</v>
      </c>
      <c r="G1573" s="13">
        <v>0</v>
      </c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</row>
    <row r="1574" spans="1:19" x14ac:dyDescent="0.2">
      <c r="A1574" s="12" t="s">
        <v>279</v>
      </c>
      <c r="B1574" s="12" t="s">
        <v>570</v>
      </c>
      <c r="C1574" s="12" t="s">
        <v>566</v>
      </c>
      <c r="D1574" s="13">
        <v>0</v>
      </c>
      <c r="E1574" s="13">
        <v>0</v>
      </c>
      <c r="F1574" s="13">
        <v>0</v>
      </c>
      <c r="G1574" s="13">
        <v>0</v>
      </c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</row>
    <row r="1575" spans="1:19" x14ac:dyDescent="0.2">
      <c r="A1575" s="12" t="s">
        <v>279</v>
      </c>
      <c r="B1575" s="12" t="s">
        <v>571</v>
      </c>
      <c r="C1575" s="12" t="s">
        <v>554</v>
      </c>
      <c r="D1575" s="13">
        <v>138</v>
      </c>
      <c r="E1575" s="13">
        <v>151.91449600000001</v>
      </c>
      <c r="F1575" s="13">
        <v>150.74909700000001</v>
      </c>
      <c r="G1575" s="13">
        <v>149.027681</v>
      </c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</row>
    <row r="1576" spans="1:19" x14ac:dyDescent="0.2">
      <c r="A1576" s="12" t="s">
        <v>279</v>
      </c>
      <c r="B1576" s="12" t="s">
        <v>571</v>
      </c>
      <c r="C1576" s="12" t="s">
        <v>555</v>
      </c>
      <c r="D1576" s="13">
        <v>13</v>
      </c>
      <c r="E1576" s="13">
        <v>14.089796</v>
      </c>
      <c r="F1576" s="13">
        <v>15.774497999999999</v>
      </c>
      <c r="G1576" s="13">
        <v>14.906197000000001</v>
      </c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</row>
    <row r="1577" spans="1:19" x14ac:dyDescent="0.2">
      <c r="A1577" s="12" t="s">
        <v>279</v>
      </c>
      <c r="B1577" s="12" t="s">
        <v>571</v>
      </c>
      <c r="C1577" s="12" t="s">
        <v>556</v>
      </c>
      <c r="D1577" s="13">
        <v>-16</v>
      </c>
      <c r="E1577" s="13">
        <v>-17.775100999999999</v>
      </c>
      <c r="F1577" s="13">
        <v>-17.963298000000002</v>
      </c>
      <c r="G1577" s="13">
        <v>-16.484100999999999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</row>
    <row r="1578" spans="1:19" x14ac:dyDescent="0.2">
      <c r="A1578" s="12" t="s">
        <v>279</v>
      </c>
      <c r="B1578" s="12" t="s">
        <v>571</v>
      </c>
      <c r="C1578" s="12" t="s">
        <v>557</v>
      </c>
      <c r="D1578" s="13">
        <v>135</v>
      </c>
      <c r="E1578" s="13">
        <v>148.24489600000001</v>
      </c>
      <c r="F1578" s="13">
        <v>148.41989599999999</v>
      </c>
      <c r="G1578" s="13">
        <v>147.183785</v>
      </c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</row>
    <row r="1579" spans="1:19" x14ac:dyDescent="0.2">
      <c r="A1579" s="12" t="s">
        <v>279</v>
      </c>
      <c r="B1579" s="12" t="s">
        <v>571</v>
      </c>
      <c r="C1579" s="12" t="s">
        <v>558</v>
      </c>
      <c r="D1579" s="13">
        <v>-50</v>
      </c>
      <c r="E1579" s="13">
        <v>-56.894198000000003</v>
      </c>
      <c r="F1579" s="13">
        <v>-58.566201999999997</v>
      </c>
      <c r="G1579" s="13">
        <v>-60.656578000000003</v>
      </c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</row>
    <row r="1580" spans="1:19" x14ac:dyDescent="0.2">
      <c r="A1580" s="12" t="s">
        <v>279</v>
      </c>
      <c r="B1580" s="12" t="s">
        <v>571</v>
      </c>
      <c r="C1580" s="12" t="s">
        <v>560</v>
      </c>
      <c r="D1580" s="13">
        <v>0</v>
      </c>
      <c r="E1580" s="13">
        <v>0</v>
      </c>
      <c r="F1580" s="13">
        <v>0</v>
      </c>
      <c r="G1580" s="13">
        <v>0</v>
      </c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</row>
    <row r="1581" spans="1:19" x14ac:dyDescent="0.2">
      <c r="A1581" s="12" t="s">
        <v>279</v>
      </c>
      <c r="B1581" s="12" t="s">
        <v>571</v>
      </c>
      <c r="C1581" s="12" t="s">
        <v>561</v>
      </c>
      <c r="D1581" s="13">
        <v>85</v>
      </c>
      <c r="E1581" s="13">
        <v>90.530699999999996</v>
      </c>
      <c r="F1581" s="13">
        <v>88.967699999999994</v>
      </c>
      <c r="G1581" s="13">
        <v>85.543203000000005</v>
      </c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</row>
    <row r="1582" spans="1:19" x14ac:dyDescent="0.2">
      <c r="A1582" s="12" t="s">
        <v>279</v>
      </c>
      <c r="B1582" s="12" t="s">
        <v>571</v>
      </c>
      <c r="C1582" s="12" t="s">
        <v>562</v>
      </c>
      <c r="D1582" s="13">
        <v>15</v>
      </c>
      <c r="E1582" s="13">
        <v>18.401994999999999</v>
      </c>
      <c r="F1582" s="13">
        <v>17.051998999999999</v>
      </c>
      <c r="G1582" s="13">
        <v>15.407992999999999</v>
      </c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</row>
    <row r="1583" spans="1:19" x14ac:dyDescent="0.2">
      <c r="A1583" s="12" t="s">
        <v>279</v>
      </c>
      <c r="B1583" s="12" t="s">
        <v>571</v>
      </c>
      <c r="C1583" s="12" t="s">
        <v>563</v>
      </c>
      <c r="D1583" s="13">
        <v>12</v>
      </c>
      <c r="E1583" s="13">
        <v>11.931698000000001</v>
      </c>
      <c r="F1583" s="13">
        <v>12.739699999999999</v>
      </c>
      <c r="G1583" s="13">
        <v>13.094200000000001</v>
      </c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</row>
    <row r="1584" spans="1:19" x14ac:dyDescent="0.2">
      <c r="A1584" s="12" t="s">
        <v>279</v>
      </c>
      <c r="B1584" s="12" t="s">
        <v>571</v>
      </c>
      <c r="C1584" s="12" t="s">
        <v>564</v>
      </c>
      <c r="D1584" s="13">
        <v>54</v>
      </c>
      <c r="E1584" s="13">
        <v>55.801001000000007</v>
      </c>
      <c r="F1584" s="13">
        <v>54.188001999999997</v>
      </c>
      <c r="G1584" s="13">
        <v>51.697003000000002</v>
      </c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</row>
    <row r="1585" spans="1:19" x14ac:dyDescent="0.2">
      <c r="A1585" s="12" t="s">
        <v>279</v>
      </c>
      <c r="B1585" s="12" t="s">
        <v>571</v>
      </c>
      <c r="C1585" s="12" t="s">
        <v>565</v>
      </c>
      <c r="D1585" s="13">
        <v>2</v>
      </c>
      <c r="E1585" s="13">
        <v>2.3509980000000001</v>
      </c>
      <c r="F1585" s="13">
        <v>2.5949990000000001</v>
      </c>
      <c r="G1585" s="13">
        <v>2.9050029999999998</v>
      </c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</row>
    <row r="1586" spans="1:19" x14ac:dyDescent="0.2">
      <c r="A1586" s="12" t="s">
        <v>279</v>
      </c>
      <c r="B1586" s="12" t="s">
        <v>571</v>
      </c>
      <c r="C1586" s="12" t="s">
        <v>566</v>
      </c>
      <c r="D1586" s="13">
        <v>2</v>
      </c>
      <c r="E1586" s="13">
        <v>2.0450050000000002</v>
      </c>
      <c r="F1586" s="13">
        <v>2.3930030000000002</v>
      </c>
      <c r="G1586" s="13">
        <v>2.4389989999999999</v>
      </c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</row>
    <row r="1587" spans="1:19" x14ac:dyDescent="0.2">
      <c r="A1587" s="12" t="s">
        <v>279</v>
      </c>
      <c r="B1587" s="12" t="s">
        <v>572</v>
      </c>
      <c r="C1587" s="12" t="s">
        <v>554</v>
      </c>
      <c r="D1587" s="13">
        <v>0</v>
      </c>
      <c r="E1587" s="13">
        <v>0</v>
      </c>
      <c r="F1587" s="13">
        <v>0</v>
      </c>
      <c r="G1587" s="13">
        <v>0</v>
      </c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</row>
    <row r="1588" spans="1:19" x14ac:dyDescent="0.2">
      <c r="A1588" s="12" t="s">
        <v>279</v>
      </c>
      <c r="B1588" s="12" t="s">
        <v>572</v>
      </c>
      <c r="C1588" s="12" t="s">
        <v>555</v>
      </c>
      <c r="D1588" s="13">
        <v>69</v>
      </c>
      <c r="E1588" s="13">
        <v>71.881201000000004</v>
      </c>
      <c r="F1588" s="13">
        <v>77.720402000000007</v>
      </c>
      <c r="G1588" s="13">
        <v>71.870399000000006</v>
      </c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</row>
    <row r="1589" spans="1:19" x14ac:dyDescent="0.2">
      <c r="A1589" s="12" t="s">
        <v>279</v>
      </c>
      <c r="B1589" s="12" t="s">
        <v>572</v>
      </c>
      <c r="C1589" s="12" t="s">
        <v>556</v>
      </c>
      <c r="D1589" s="13">
        <v>-27</v>
      </c>
      <c r="E1589" s="13">
        <v>-25.966802000000001</v>
      </c>
      <c r="F1589" s="13">
        <v>-33.973197999999996</v>
      </c>
      <c r="G1589" s="13">
        <v>-31.914000000000001</v>
      </c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</row>
    <row r="1590" spans="1:19" x14ac:dyDescent="0.2">
      <c r="A1590" s="12" t="s">
        <v>279</v>
      </c>
      <c r="B1590" s="12" t="s">
        <v>572</v>
      </c>
      <c r="C1590" s="12" t="s">
        <v>557</v>
      </c>
      <c r="D1590" s="13">
        <v>42</v>
      </c>
      <c r="E1590" s="13">
        <v>45.914400000000001</v>
      </c>
      <c r="F1590" s="13">
        <v>43.747199000000002</v>
      </c>
      <c r="G1590" s="13">
        <v>39.956398999999998</v>
      </c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</row>
    <row r="1591" spans="1:19" x14ac:dyDescent="0.2">
      <c r="A1591" s="12" t="s">
        <v>279</v>
      </c>
      <c r="B1591" s="12" t="s">
        <v>572</v>
      </c>
      <c r="C1591" s="12" t="s">
        <v>558</v>
      </c>
      <c r="D1591" s="13">
        <v>126</v>
      </c>
      <c r="E1591" s="13">
        <v>130.03307699999999</v>
      </c>
      <c r="F1591" s="13">
        <v>128.88633400000001</v>
      </c>
      <c r="G1591" s="13">
        <v>127.964958</v>
      </c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</row>
    <row r="1592" spans="1:19" x14ac:dyDescent="0.2">
      <c r="A1592" s="12" t="s">
        <v>279</v>
      </c>
      <c r="B1592" s="12" t="s">
        <v>572</v>
      </c>
      <c r="C1592" s="12" t="s">
        <v>560</v>
      </c>
      <c r="D1592" s="13">
        <v>0</v>
      </c>
      <c r="E1592" s="13">
        <v>0</v>
      </c>
      <c r="F1592" s="13">
        <v>0</v>
      </c>
      <c r="G1592" s="13">
        <v>0</v>
      </c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</row>
    <row r="1593" spans="1:19" x14ac:dyDescent="0.2">
      <c r="A1593" s="12" t="s">
        <v>279</v>
      </c>
      <c r="B1593" s="12" t="s">
        <v>572</v>
      </c>
      <c r="C1593" s="12" t="s">
        <v>561</v>
      </c>
      <c r="D1593" s="13">
        <v>144</v>
      </c>
      <c r="E1593" s="13">
        <v>150.17760200000001</v>
      </c>
      <c r="F1593" s="13">
        <v>148.69799900000001</v>
      </c>
      <c r="G1593" s="13">
        <v>144.579599</v>
      </c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</row>
    <row r="1594" spans="1:19" x14ac:dyDescent="0.2">
      <c r="A1594" s="12" t="s">
        <v>279</v>
      </c>
      <c r="B1594" s="12" t="s">
        <v>572</v>
      </c>
      <c r="C1594" s="12" t="s">
        <v>562</v>
      </c>
      <c r="D1594" s="13">
        <v>63</v>
      </c>
      <c r="E1594" s="13">
        <v>67.589998999999992</v>
      </c>
      <c r="F1594" s="13">
        <v>65.390400999999997</v>
      </c>
      <c r="G1594" s="13">
        <v>63.082800000000013</v>
      </c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</row>
    <row r="1595" spans="1:19" x14ac:dyDescent="0.2">
      <c r="A1595" s="12" t="s">
        <v>279</v>
      </c>
      <c r="B1595" s="12" t="s">
        <v>572</v>
      </c>
      <c r="C1595" s="12" t="s">
        <v>563</v>
      </c>
      <c r="D1595" s="13">
        <v>4</v>
      </c>
      <c r="E1595" s="13">
        <v>4.4819990000000001</v>
      </c>
      <c r="F1595" s="13">
        <v>4.7052009999999997</v>
      </c>
      <c r="G1595" s="13">
        <v>4.7088019999999986</v>
      </c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</row>
    <row r="1596" spans="1:19" x14ac:dyDescent="0.2">
      <c r="A1596" s="12" t="s">
        <v>279</v>
      </c>
      <c r="B1596" s="12" t="s">
        <v>572</v>
      </c>
      <c r="C1596" s="12" t="s">
        <v>564</v>
      </c>
      <c r="D1596" s="13">
        <v>44</v>
      </c>
      <c r="E1596" s="13">
        <v>44.909999000000013</v>
      </c>
      <c r="F1596" s="13">
        <v>44.452801000000001</v>
      </c>
      <c r="G1596" s="13">
        <v>45.115197999999999</v>
      </c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</row>
    <row r="1597" spans="1:19" x14ac:dyDescent="0.2">
      <c r="A1597" s="12" t="s">
        <v>279</v>
      </c>
      <c r="B1597" s="12" t="s">
        <v>572</v>
      </c>
      <c r="C1597" s="12" t="s">
        <v>565</v>
      </c>
      <c r="D1597" s="13">
        <v>29</v>
      </c>
      <c r="E1597" s="13">
        <v>29.376000000000001</v>
      </c>
      <c r="F1597" s="13">
        <v>30.347999000000002</v>
      </c>
      <c r="G1597" s="13">
        <v>28.231199</v>
      </c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</row>
    <row r="1598" spans="1:19" x14ac:dyDescent="0.2">
      <c r="A1598" s="12" t="s">
        <v>279</v>
      </c>
      <c r="B1598" s="12" t="s">
        <v>572</v>
      </c>
      <c r="C1598" s="12" t="s">
        <v>566</v>
      </c>
      <c r="D1598" s="13">
        <v>4</v>
      </c>
      <c r="E1598" s="13">
        <v>3.819601</v>
      </c>
      <c r="F1598" s="13">
        <v>3.8016019999999999</v>
      </c>
      <c r="G1598" s="13">
        <v>3.4416039999999999</v>
      </c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</row>
    <row r="1599" spans="1:19" x14ac:dyDescent="0.2">
      <c r="A1599" s="12" t="s">
        <v>279</v>
      </c>
      <c r="B1599" s="12" t="s">
        <v>573</v>
      </c>
      <c r="C1599" s="12" t="s">
        <v>554</v>
      </c>
      <c r="D1599" s="13">
        <v>0</v>
      </c>
      <c r="E1599" s="13">
        <v>0</v>
      </c>
      <c r="F1599" s="13">
        <v>0</v>
      </c>
      <c r="G1599" s="13">
        <v>0</v>
      </c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</row>
    <row r="1600" spans="1:19" x14ac:dyDescent="0.2">
      <c r="A1600" s="12" t="s">
        <v>279</v>
      </c>
      <c r="B1600" s="12" t="s">
        <v>573</v>
      </c>
      <c r="C1600" s="12" t="s">
        <v>555</v>
      </c>
      <c r="D1600" s="13">
        <v>0</v>
      </c>
      <c r="E1600" s="13">
        <v>0</v>
      </c>
      <c r="F1600" s="13">
        <v>0</v>
      </c>
      <c r="G1600" s="13">
        <v>0</v>
      </c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</row>
    <row r="1601" spans="1:19" x14ac:dyDescent="0.2">
      <c r="A1601" s="12" t="s">
        <v>279</v>
      </c>
      <c r="B1601" s="12" t="s">
        <v>573</v>
      </c>
      <c r="C1601" s="12" t="s">
        <v>556</v>
      </c>
      <c r="D1601" s="13">
        <v>0</v>
      </c>
      <c r="E1601" s="13">
        <v>0</v>
      </c>
      <c r="F1601" s="13">
        <v>0</v>
      </c>
      <c r="G1601" s="13">
        <v>0</v>
      </c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</row>
    <row r="1602" spans="1:19" x14ac:dyDescent="0.2">
      <c r="A1602" s="12" t="s">
        <v>279</v>
      </c>
      <c r="B1602" s="12" t="s">
        <v>573</v>
      </c>
      <c r="C1602" s="12" t="s">
        <v>557</v>
      </c>
      <c r="D1602" s="13">
        <v>0</v>
      </c>
      <c r="E1602" s="13">
        <v>0</v>
      </c>
      <c r="F1602" s="13">
        <v>0</v>
      </c>
      <c r="G1602" s="13">
        <v>0</v>
      </c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</row>
    <row r="1603" spans="1:19" x14ac:dyDescent="0.2">
      <c r="A1603" s="12" t="s">
        <v>279</v>
      </c>
      <c r="B1603" s="12" t="s">
        <v>573</v>
      </c>
      <c r="C1603" s="12" t="s">
        <v>558</v>
      </c>
      <c r="D1603" s="13">
        <v>48</v>
      </c>
      <c r="E1603" s="13">
        <v>52.116604000000002</v>
      </c>
      <c r="F1603" s="13">
        <v>46.808599000000001</v>
      </c>
      <c r="G1603" s="13">
        <v>42.829101000000001</v>
      </c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</row>
    <row r="1604" spans="1:19" x14ac:dyDescent="0.2">
      <c r="A1604" s="12" t="s">
        <v>279</v>
      </c>
      <c r="B1604" s="12" t="s">
        <v>573</v>
      </c>
      <c r="C1604" s="12" t="s">
        <v>560</v>
      </c>
      <c r="D1604" s="13">
        <v>0</v>
      </c>
      <c r="E1604" s="13">
        <v>0</v>
      </c>
      <c r="F1604" s="13">
        <v>0</v>
      </c>
      <c r="G1604" s="13">
        <v>0</v>
      </c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</row>
    <row r="1605" spans="1:19" x14ac:dyDescent="0.2">
      <c r="A1605" s="12" t="s">
        <v>279</v>
      </c>
      <c r="B1605" s="12" t="s">
        <v>573</v>
      </c>
      <c r="C1605" s="12" t="s">
        <v>561</v>
      </c>
      <c r="D1605" s="13">
        <v>41</v>
      </c>
      <c r="E1605" s="13">
        <v>44.544001999999999</v>
      </c>
      <c r="F1605" s="13">
        <v>40.118001</v>
      </c>
      <c r="G1605" s="13">
        <v>36.180998000000002</v>
      </c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</row>
    <row r="1606" spans="1:19" x14ac:dyDescent="0.2">
      <c r="A1606" s="12" t="s">
        <v>279</v>
      </c>
      <c r="B1606" s="12" t="s">
        <v>573</v>
      </c>
      <c r="C1606" s="12" t="s">
        <v>562</v>
      </c>
      <c r="D1606" s="13">
        <v>15</v>
      </c>
      <c r="E1606" s="13">
        <v>16.368998000000001</v>
      </c>
      <c r="F1606" s="13">
        <v>14.676999</v>
      </c>
      <c r="G1606" s="13">
        <v>13.298000999999999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</row>
    <row r="1607" spans="1:19" x14ac:dyDescent="0.2">
      <c r="A1607" s="12" t="s">
        <v>279</v>
      </c>
      <c r="B1607" s="12" t="s">
        <v>573</v>
      </c>
      <c r="C1607" s="12" t="s">
        <v>563</v>
      </c>
      <c r="D1607" s="13">
        <v>0</v>
      </c>
      <c r="E1607" s="13">
        <v>0</v>
      </c>
      <c r="F1607" s="13">
        <v>0</v>
      </c>
      <c r="G1607" s="13">
        <v>0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</row>
    <row r="1608" spans="1:19" x14ac:dyDescent="0.2">
      <c r="A1608" s="12" t="s">
        <v>279</v>
      </c>
      <c r="B1608" s="12" t="s">
        <v>573</v>
      </c>
      <c r="C1608" s="12" t="s">
        <v>564</v>
      </c>
      <c r="D1608" s="13">
        <v>20</v>
      </c>
      <c r="E1608" s="13">
        <v>20.963998</v>
      </c>
      <c r="F1608" s="13">
        <v>19.180999</v>
      </c>
      <c r="G1608" s="13">
        <v>18.070999</v>
      </c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</row>
    <row r="1609" spans="1:19" x14ac:dyDescent="0.2">
      <c r="A1609" s="12" t="s">
        <v>279</v>
      </c>
      <c r="B1609" s="12" t="s">
        <v>573</v>
      </c>
      <c r="C1609" s="12" t="s">
        <v>565</v>
      </c>
      <c r="D1609" s="13">
        <v>7</v>
      </c>
      <c r="E1609" s="13">
        <v>7.069998</v>
      </c>
      <c r="F1609" s="13">
        <v>6.1290020000000007</v>
      </c>
      <c r="G1609" s="13">
        <v>4.7549989999999998</v>
      </c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</row>
    <row r="1610" spans="1:19" x14ac:dyDescent="0.2">
      <c r="A1610" s="12" t="s">
        <v>279</v>
      </c>
      <c r="B1610" s="12" t="s">
        <v>573</v>
      </c>
      <c r="C1610" s="12" t="s">
        <v>566</v>
      </c>
      <c r="D1610" s="13">
        <v>0</v>
      </c>
      <c r="E1610" s="13">
        <v>0.14099900000000001</v>
      </c>
      <c r="F1610" s="13">
        <v>0.130996</v>
      </c>
      <c r="G1610" s="13">
        <v>5.6998999999999987E-2</v>
      </c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</row>
    <row r="1611" spans="1:19" x14ac:dyDescent="0.2">
      <c r="A1611" s="12" t="s">
        <v>279</v>
      </c>
      <c r="B1611" s="12" t="s">
        <v>574</v>
      </c>
      <c r="C1611" s="12" t="s">
        <v>554</v>
      </c>
      <c r="D1611" s="13">
        <v>452</v>
      </c>
      <c r="E1611" s="13">
        <v>454.08129500000001</v>
      </c>
      <c r="F1611" s="13">
        <v>450.99745300000001</v>
      </c>
      <c r="G1611" s="13">
        <v>450.05316199999999</v>
      </c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</row>
    <row r="1612" spans="1:19" x14ac:dyDescent="0.2">
      <c r="A1612" s="12" t="s">
        <v>279</v>
      </c>
      <c r="B1612" s="12" t="s">
        <v>574</v>
      </c>
      <c r="C1612" s="12" t="s">
        <v>555</v>
      </c>
      <c r="D1612" s="13">
        <v>798</v>
      </c>
      <c r="E1612" s="13">
        <v>796.23410200000001</v>
      </c>
      <c r="F1612" s="13">
        <v>851.11399399999993</v>
      </c>
      <c r="G1612" s="13">
        <v>799.65595299999995</v>
      </c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</row>
    <row r="1613" spans="1:19" x14ac:dyDescent="0.2">
      <c r="A1613" s="12" t="s">
        <v>279</v>
      </c>
      <c r="B1613" s="12" t="s">
        <v>574</v>
      </c>
      <c r="C1613" s="12" t="s">
        <v>556</v>
      </c>
      <c r="D1613" s="13">
        <v>-178</v>
      </c>
      <c r="E1613" s="13">
        <v>-175.91659100000001</v>
      </c>
      <c r="F1613" s="13">
        <v>-158.409885</v>
      </c>
      <c r="G1613" s="13">
        <v>-168.18913599999999</v>
      </c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</row>
    <row r="1614" spans="1:19" x14ac:dyDescent="0.2">
      <c r="A1614" s="12" t="s">
        <v>279</v>
      </c>
      <c r="B1614" s="12" t="s">
        <v>574</v>
      </c>
      <c r="C1614" s="12" t="s">
        <v>557</v>
      </c>
      <c r="D1614" s="13">
        <v>1099</v>
      </c>
      <c r="E1614" s="13">
        <v>1149.4847890000001</v>
      </c>
      <c r="F1614" s="13">
        <v>1074.8817610000001</v>
      </c>
      <c r="G1614" s="13">
        <v>1010.187227</v>
      </c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</row>
    <row r="1615" spans="1:19" x14ac:dyDescent="0.2">
      <c r="A1615" s="12" t="s">
        <v>279</v>
      </c>
      <c r="B1615" s="12" t="s">
        <v>574</v>
      </c>
      <c r="C1615" s="12" t="s">
        <v>558</v>
      </c>
      <c r="D1615" s="13">
        <v>-189</v>
      </c>
      <c r="E1615" s="13">
        <v>-184.751069</v>
      </c>
      <c r="F1615" s="13">
        <v>-180.39507399999999</v>
      </c>
      <c r="G1615" s="13">
        <v>-167.858002</v>
      </c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</row>
    <row r="1616" spans="1:19" x14ac:dyDescent="0.2">
      <c r="A1616" s="12" t="s">
        <v>279</v>
      </c>
      <c r="B1616" s="12" t="s">
        <v>574</v>
      </c>
      <c r="C1616" s="12" t="s">
        <v>560</v>
      </c>
      <c r="D1616" s="13">
        <v>0</v>
      </c>
      <c r="E1616" s="13">
        <v>0.35280099999999998</v>
      </c>
      <c r="F1616" s="13">
        <v>0.54810199999999998</v>
      </c>
      <c r="G1616" s="13">
        <v>0.77639599999999998</v>
      </c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</row>
    <row r="1617" spans="1:19" x14ac:dyDescent="0.2">
      <c r="A1617" s="12" t="s">
        <v>279</v>
      </c>
      <c r="B1617" s="12" t="s">
        <v>574</v>
      </c>
      <c r="C1617" s="12" t="s">
        <v>561</v>
      </c>
      <c r="D1617" s="13">
        <v>833</v>
      </c>
      <c r="E1617" s="13">
        <v>890.2664860000001</v>
      </c>
      <c r="F1617" s="13">
        <v>828.64591299999995</v>
      </c>
      <c r="G1617" s="13">
        <v>779.94782299999997</v>
      </c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</row>
    <row r="1618" spans="1:19" x14ac:dyDescent="0.2">
      <c r="A1618" s="12" t="s">
        <v>279</v>
      </c>
      <c r="B1618" s="12" t="s">
        <v>574</v>
      </c>
      <c r="C1618" s="12" t="s">
        <v>562</v>
      </c>
      <c r="D1618" s="13">
        <v>186</v>
      </c>
      <c r="E1618" s="13">
        <v>199.03966800000001</v>
      </c>
      <c r="F1618" s="13">
        <v>180.81685999999999</v>
      </c>
      <c r="G1618" s="13">
        <v>167.107606</v>
      </c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</row>
    <row r="1619" spans="1:19" x14ac:dyDescent="0.2">
      <c r="A1619" s="12" t="s">
        <v>279</v>
      </c>
      <c r="B1619" s="12" t="s">
        <v>574</v>
      </c>
      <c r="C1619" s="12" t="s">
        <v>563</v>
      </c>
      <c r="D1619" s="13">
        <v>186</v>
      </c>
      <c r="E1619" s="13">
        <v>204.1524</v>
      </c>
      <c r="F1619" s="13">
        <v>219.98119600000001</v>
      </c>
      <c r="G1619" s="13">
        <v>205.64709999999999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</row>
    <row r="1620" spans="1:19" x14ac:dyDescent="0.2">
      <c r="A1620" s="12" t="s">
        <v>279</v>
      </c>
      <c r="B1620" s="12" t="s">
        <v>574</v>
      </c>
      <c r="C1620" s="12" t="s">
        <v>564</v>
      </c>
      <c r="D1620" s="13">
        <v>250</v>
      </c>
      <c r="E1620" s="13">
        <v>266.03801399999998</v>
      </c>
      <c r="F1620" s="13">
        <v>242.48526699999999</v>
      </c>
      <c r="G1620" s="13">
        <v>223.24116799999999</v>
      </c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</row>
    <row r="1621" spans="1:19" x14ac:dyDescent="0.2">
      <c r="A1621" s="12" t="s">
        <v>279</v>
      </c>
      <c r="B1621" s="12" t="s">
        <v>574</v>
      </c>
      <c r="C1621" s="12" t="s">
        <v>565</v>
      </c>
      <c r="D1621" s="13">
        <v>84</v>
      </c>
      <c r="E1621" s="13">
        <v>86.688489000000004</v>
      </c>
      <c r="F1621" s="13">
        <v>78.917496</v>
      </c>
      <c r="G1621" s="13">
        <v>67.735645999999988</v>
      </c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</row>
    <row r="1622" spans="1:19" x14ac:dyDescent="0.2">
      <c r="A1622" s="12" t="s">
        <v>279</v>
      </c>
      <c r="B1622" s="12" t="s">
        <v>574</v>
      </c>
      <c r="C1622" s="12" t="s">
        <v>566</v>
      </c>
      <c r="D1622" s="13">
        <v>127</v>
      </c>
      <c r="E1622" s="13">
        <v>134.34789799999999</v>
      </c>
      <c r="F1622" s="13">
        <v>106.44510699999999</v>
      </c>
      <c r="G1622" s="13">
        <v>116.21629799999999</v>
      </c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</row>
    <row r="1623" spans="1:19" x14ac:dyDescent="0.2">
      <c r="A1623" s="12" t="s">
        <v>292</v>
      </c>
      <c r="B1623" s="12" t="s">
        <v>553</v>
      </c>
      <c r="C1623" s="12" t="s">
        <v>554</v>
      </c>
      <c r="D1623" s="13">
        <v>0</v>
      </c>
      <c r="E1623" s="13">
        <v>0</v>
      </c>
      <c r="F1623" s="13">
        <v>0</v>
      </c>
      <c r="G1623" s="13">
        <v>0</v>
      </c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</row>
    <row r="1624" spans="1:19" x14ac:dyDescent="0.2">
      <c r="A1624" s="12" t="s">
        <v>292</v>
      </c>
      <c r="B1624" s="12" t="s">
        <v>553</v>
      </c>
      <c r="C1624" s="12" t="s">
        <v>555</v>
      </c>
      <c r="D1624" s="13">
        <v>4</v>
      </c>
      <c r="E1624" s="13">
        <v>5.3798620000000001</v>
      </c>
      <c r="F1624" s="13">
        <v>5.3260579999999997</v>
      </c>
      <c r="G1624" s="13">
        <v>3.8258390000000002</v>
      </c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</row>
    <row r="1625" spans="1:19" x14ac:dyDescent="0.2">
      <c r="A1625" s="12" t="s">
        <v>292</v>
      </c>
      <c r="B1625" s="12" t="s">
        <v>553</v>
      </c>
      <c r="C1625" s="12" t="s">
        <v>556</v>
      </c>
      <c r="D1625" s="13">
        <v>0</v>
      </c>
      <c r="E1625" s="13">
        <v>0</v>
      </c>
      <c r="F1625" s="13">
        <v>0</v>
      </c>
      <c r="G1625" s="13">
        <v>0</v>
      </c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</row>
    <row r="1626" spans="1:19" x14ac:dyDescent="0.2">
      <c r="A1626" s="12" t="s">
        <v>292</v>
      </c>
      <c r="B1626" s="12" t="s">
        <v>553</v>
      </c>
      <c r="C1626" s="12" t="s">
        <v>557</v>
      </c>
      <c r="D1626" s="13">
        <v>4</v>
      </c>
      <c r="E1626" s="13">
        <v>5.3798620000000001</v>
      </c>
      <c r="F1626" s="13">
        <v>5.3260579999999997</v>
      </c>
      <c r="G1626" s="13">
        <v>3.8258390000000002</v>
      </c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</row>
    <row r="1627" spans="1:19" x14ac:dyDescent="0.2">
      <c r="A1627" s="12" t="s">
        <v>292</v>
      </c>
      <c r="B1627" s="12" t="s">
        <v>553</v>
      </c>
      <c r="C1627" s="12" t="s">
        <v>558</v>
      </c>
      <c r="D1627" s="13">
        <v>0</v>
      </c>
      <c r="E1627" s="13">
        <v>0</v>
      </c>
      <c r="F1627" s="13">
        <v>0</v>
      </c>
      <c r="G1627" s="13">
        <v>0</v>
      </c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</row>
    <row r="1628" spans="1:19" x14ac:dyDescent="0.2">
      <c r="A1628" s="12" t="s">
        <v>292</v>
      </c>
      <c r="B1628" s="12" t="s">
        <v>553</v>
      </c>
      <c r="C1628" s="12" t="s">
        <v>560</v>
      </c>
      <c r="D1628" s="13">
        <v>0</v>
      </c>
      <c r="E1628" s="13">
        <v>0</v>
      </c>
      <c r="F1628" s="13">
        <v>0</v>
      </c>
      <c r="G1628" s="13">
        <v>0</v>
      </c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</row>
    <row r="1629" spans="1:19" x14ac:dyDescent="0.2">
      <c r="A1629" s="12" t="s">
        <v>292</v>
      </c>
      <c r="B1629" s="12" t="s">
        <v>553</v>
      </c>
      <c r="C1629" s="12" t="s">
        <v>561</v>
      </c>
      <c r="D1629" s="13">
        <v>4</v>
      </c>
      <c r="E1629" s="13">
        <v>4.7121180000000003</v>
      </c>
      <c r="F1629" s="13">
        <v>5.1691909999999996</v>
      </c>
      <c r="G1629" s="13">
        <v>4.0931540000000002</v>
      </c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</row>
    <row r="1630" spans="1:19" x14ac:dyDescent="0.2">
      <c r="A1630" s="12" t="s">
        <v>292</v>
      </c>
      <c r="B1630" s="12" t="s">
        <v>553</v>
      </c>
      <c r="C1630" s="12" t="s">
        <v>562</v>
      </c>
      <c r="D1630" s="13">
        <v>0</v>
      </c>
      <c r="E1630" s="13">
        <v>0</v>
      </c>
      <c r="F1630" s="13">
        <v>0</v>
      </c>
      <c r="G1630" s="13">
        <v>0</v>
      </c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</row>
    <row r="1631" spans="1:19" x14ac:dyDescent="0.2">
      <c r="A1631" s="12" t="s">
        <v>292</v>
      </c>
      <c r="B1631" s="12" t="s">
        <v>553</v>
      </c>
      <c r="C1631" s="12" t="s">
        <v>563</v>
      </c>
      <c r="D1631" s="13">
        <v>0</v>
      </c>
      <c r="E1631" s="13">
        <v>0</v>
      </c>
      <c r="F1631" s="13">
        <v>0</v>
      </c>
      <c r="G1631" s="13">
        <v>0</v>
      </c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</row>
    <row r="1632" spans="1:19" x14ac:dyDescent="0.2">
      <c r="A1632" s="12" t="s">
        <v>292</v>
      </c>
      <c r="B1632" s="12" t="s">
        <v>553</v>
      </c>
      <c r="C1632" s="12" t="s">
        <v>564</v>
      </c>
      <c r="D1632" s="13">
        <v>0</v>
      </c>
      <c r="E1632" s="13">
        <v>0</v>
      </c>
      <c r="F1632" s="13">
        <v>0</v>
      </c>
      <c r="G1632" s="13">
        <v>0</v>
      </c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</row>
    <row r="1633" spans="1:19" x14ac:dyDescent="0.2">
      <c r="A1633" s="12" t="s">
        <v>292</v>
      </c>
      <c r="B1633" s="12" t="s">
        <v>553</v>
      </c>
      <c r="C1633" s="12" t="s">
        <v>565</v>
      </c>
      <c r="D1633" s="13">
        <v>0</v>
      </c>
      <c r="E1633" s="13">
        <v>0</v>
      </c>
      <c r="F1633" s="13">
        <v>0</v>
      </c>
      <c r="G1633" s="13">
        <v>0</v>
      </c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</row>
    <row r="1634" spans="1:19" x14ac:dyDescent="0.2">
      <c r="A1634" s="12" t="s">
        <v>292</v>
      </c>
      <c r="B1634" s="12" t="s">
        <v>553</v>
      </c>
      <c r="C1634" s="12" t="s">
        <v>566</v>
      </c>
      <c r="D1634" s="13">
        <v>4</v>
      </c>
      <c r="E1634" s="13">
        <v>4.7121180000000003</v>
      </c>
      <c r="F1634" s="13">
        <v>5.1691909999999996</v>
      </c>
      <c r="G1634" s="13">
        <v>4.0931540000000002</v>
      </c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</row>
    <row r="1635" spans="1:19" x14ac:dyDescent="0.2">
      <c r="A1635" s="12" t="s">
        <v>292</v>
      </c>
      <c r="B1635" s="12" t="s">
        <v>567</v>
      </c>
      <c r="C1635" s="12" t="s">
        <v>554</v>
      </c>
      <c r="D1635" s="13">
        <v>0</v>
      </c>
      <c r="E1635" s="13">
        <v>0</v>
      </c>
      <c r="F1635" s="13">
        <v>0</v>
      </c>
      <c r="G1635" s="13">
        <v>0</v>
      </c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</row>
    <row r="1636" spans="1:19" x14ac:dyDescent="0.2">
      <c r="A1636" s="12" t="s">
        <v>292</v>
      </c>
      <c r="B1636" s="12" t="s">
        <v>567</v>
      </c>
      <c r="C1636" s="12" t="s">
        <v>555</v>
      </c>
      <c r="D1636" s="13">
        <v>0</v>
      </c>
      <c r="E1636" s="13">
        <v>0</v>
      </c>
      <c r="F1636" s="13">
        <v>0</v>
      </c>
      <c r="G1636" s="13">
        <v>0</v>
      </c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</row>
    <row r="1637" spans="1:19" x14ac:dyDescent="0.2">
      <c r="A1637" s="12" t="s">
        <v>292</v>
      </c>
      <c r="B1637" s="12" t="s">
        <v>567</v>
      </c>
      <c r="C1637" s="12" t="s">
        <v>556</v>
      </c>
      <c r="D1637" s="13">
        <v>0</v>
      </c>
      <c r="E1637" s="13">
        <v>0</v>
      </c>
      <c r="F1637" s="13">
        <v>0</v>
      </c>
      <c r="G1637" s="13">
        <v>0</v>
      </c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</row>
    <row r="1638" spans="1:19" x14ac:dyDescent="0.2">
      <c r="A1638" s="12" t="s">
        <v>292</v>
      </c>
      <c r="B1638" s="12" t="s">
        <v>567</v>
      </c>
      <c r="C1638" s="12" t="s">
        <v>557</v>
      </c>
      <c r="D1638" s="13">
        <v>0</v>
      </c>
      <c r="E1638" s="13">
        <v>0</v>
      </c>
      <c r="F1638" s="13">
        <v>0</v>
      </c>
      <c r="G1638" s="13">
        <v>0</v>
      </c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</row>
    <row r="1639" spans="1:19" x14ac:dyDescent="0.2">
      <c r="A1639" s="12" t="s">
        <v>292</v>
      </c>
      <c r="B1639" s="12" t="s">
        <v>567</v>
      </c>
      <c r="C1639" s="12" t="s">
        <v>558</v>
      </c>
      <c r="D1639" s="13">
        <v>0</v>
      </c>
      <c r="E1639" s="13">
        <v>0</v>
      </c>
      <c r="F1639" s="13">
        <v>0</v>
      </c>
      <c r="G1639" s="13">
        <v>0</v>
      </c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</row>
    <row r="1640" spans="1:19" x14ac:dyDescent="0.2">
      <c r="A1640" s="12" t="s">
        <v>292</v>
      </c>
      <c r="B1640" s="12" t="s">
        <v>567</v>
      </c>
      <c r="C1640" s="12" t="s">
        <v>560</v>
      </c>
      <c r="D1640" s="13">
        <v>0</v>
      </c>
      <c r="E1640" s="13">
        <v>0</v>
      </c>
      <c r="F1640" s="13">
        <v>0</v>
      </c>
      <c r="G1640" s="13">
        <v>0</v>
      </c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</row>
    <row r="1641" spans="1:19" x14ac:dyDescent="0.2">
      <c r="A1641" s="12" t="s">
        <v>292</v>
      </c>
      <c r="B1641" s="12" t="s">
        <v>567</v>
      </c>
      <c r="C1641" s="12" t="s">
        <v>561</v>
      </c>
      <c r="D1641" s="13">
        <v>0</v>
      </c>
      <c r="E1641" s="13">
        <v>0</v>
      </c>
      <c r="F1641" s="13">
        <v>0</v>
      </c>
      <c r="G1641" s="13">
        <v>0</v>
      </c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</row>
    <row r="1642" spans="1:19" x14ac:dyDescent="0.2">
      <c r="A1642" s="12" t="s">
        <v>292</v>
      </c>
      <c r="B1642" s="12" t="s">
        <v>567</v>
      </c>
      <c r="C1642" s="12" t="s">
        <v>562</v>
      </c>
      <c r="D1642" s="13">
        <v>0</v>
      </c>
      <c r="E1642" s="13">
        <v>0</v>
      </c>
      <c r="F1642" s="13">
        <v>0</v>
      </c>
      <c r="G1642" s="13">
        <v>0</v>
      </c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</row>
    <row r="1643" spans="1:19" x14ac:dyDescent="0.2">
      <c r="A1643" s="12" t="s">
        <v>292</v>
      </c>
      <c r="B1643" s="12" t="s">
        <v>567</v>
      </c>
      <c r="C1643" s="12" t="s">
        <v>563</v>
      </c>
      <c r="D1643" s="13">
        <v>0</v>
      </c>
      <c r="E1643" s="13">
        <v>0</v>
      </c>
      <c r="F1643" s="13">
        <v>0</v>
      </c>
      <c r="G1643" s="13">
        <v>0</v>
      </c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</row>
    <row r="1644" spans="1:19" x14ac:dyDescent="0.2">
      <c r="A1644" s="12" t="s">
        <v>292</v>
      </c>
      <c r="B1644" s="12" t="s">
        <v>567</v>
      </c>
      <c r="C1644" s="12" t="s">
        <v>564</v>
      </c>
      <c r="D1644" s="13">
        <v>0</v>
      </c>
      <c r="E1644" s="13">
        <v>0</v>
      </c>
      <c r="F1644" s="13">
        <v>0</v>
      </c>
      <c r="G1644" s="13">
        <v>0</v>
      </c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</row>
    <row r="1645" spans="1:19" x14ac:dyDescent="0.2">
      <c r="A1645" s="12" t="s">
        <v>292</v>
      </c>
      <c r="B1645" s="12" t="s">
        <v>567</v>
      </c>
      <c r="C1645" s="12" t="s">
        <v>565</v>
      </c>
      <c r="D1645" s="13">
        <v>0</v>
      </c>
      <c r="E1645" s="13">
        <v>0</v>
      </c>
      <c r="F1645" s="13">
        <v>0</v>
      </c>
      <c r="G1645" s="13">
        <v>0</v>
      </c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</row>
    <row r="1646" spans="1:19" x14ac:dyDescent="0.2">
      <c r="A1646" s="12" t="s">
        <v>292</v>
      </c>
      <c r="B1646" s="12" t="s">
        <v>567</v>
      </c>
      <c r="C1646" s="12" t="s">
        <v>566</v>
      </c>
      <c r="D1646" s="13">
        <v>0</v>
      </c>
      <c r="E1646" s="13">
        <v>0</v>
      </c>
      <c r="F1646" s="13">
        <v>0</v>
      </c>
      <c r="G1646" s="13">
        <v>0</v>
      </c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</row>
    <row r="1647" spans="1:19" x14ac:dyDescent="0.2">
      <c r="A1647" s="12" t="s">
        <v>292</v>
      </c>
      <c r="B1647" s="12" t="s">
        <v>568</v>
      </c>
      <c r="C1647" s="12" t="s">
        <v>554</v>
      </c>
      <c r="D1647" s="13">
        <v>0</v>
      </c>
      <c r="E1647" s="13">
        <v>0</v>
      </c>
      <c r="F1647" s="13">
        <v>0</v>
      </c>
      <c r="G1647" s="13">
        <v>0</v>
      </c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</row>
    <row r="1648" spans="1:19" x14ac:dyDescent="0.2">
      <c r="A1648" s="12" t="s">
        <v>292</v>
      </c>
      <c r="B1648" s="12" t="s">
        <v>568</v>
      </c>
      <c r="C1648" s="12" t="s">
        <v>555</v>
      </c>
      <c r="D1648" s="13">
        <v>25</v>
      </c>
      <c r="E1648" s="13">
        <v>31.711781999999999</v>
      </c>
      <c r="F1648" s="13">
        <v>39.866760000000014</v>
      </c>
      <c r="G1648" s="13">
        <v>41.017560000000003</v>
      </c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</row>
    <row r="1649" spans="1:19" x14ac:dyDescent="0.2">
      <c r="A1649" s="12" t="s">
        <v>292</v>
      </c>
      <c r="B1649" s="12" t="s">
        <v>568</v>
      </c>
      <c r="C1649" s="12" t="s">
        <v>556</v>
      </c>
      <c r="D1649" s="13">
        <v>0</v>
      </c>
      <c r="E1649" s="13">
        <v>0</v>
      </c>
      <c r="F1649" s="13">
        <v>0</v>
      </c>
      <c r="G1649" s="13">
        <v>0</v>
      </c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</row>
    <row r="1650" spans="1:19" x14ac:dyDescent="0.2">
      <c r="A1650" s="12" t="s">
        <v>292</v>
      </c>
      <c r="B1650" s="12" t="s">
        <v>568</v>
      </c>
      <c r="C1650" s="12" t="s">
        <v>557</v>
      </c>
      <c r="D1650" s="13">
        <v>22</v>
      </c>
      <c r="E1650" s="13">
        <v>22.006813000000001</v>
      </c>
      <c r="F1650" s="13">
        <v>24.160126000000002</v>
      </c>
      <c r="G1650" s="13">
        <v>23.680900999999999</v>
      </c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</row>
    <row r="1651" spans="1:19" x14ac:dyDescent="0.2">
      <c r="A1651" s="12" t="s">
        <v>292</v>
      </c>
      <c r="B1651" s="12" t="s">
        <v>568</v>
      </c>
      <c r="C1651" s="12" t="s">
        <v>558</v>
      </c>
      <c r="D1651" s="13">
        <v>0</v>
      </c>
      <c r="E1651" s="13">
        <v>-3.4462000000000013E-2</v>
      </c>
      <c r="F1651" s="13">
        <v>-7.0757E-2</v>
      </c>
      <c r="G1651" s="13">
        <v>-8.5926000000000002E-2</v>
      </c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</row>
    <row r="1652" spans="1:19" x14ac:dyDescent="0.2">
      <c r="A1652" s="12" t="s">
        <v>292</v>
      </c>
      <c r="B1652" s="12" t="s">
        <v>568</v>
      </c>
      <c r="C1652" s="12" t="s">
        <v>560</v>
      </c>
      <c r="D1652" s="13">
        <v>0</v>
      </c>
      <c r="E1652" s="13">
        <v>0</v>
      </c>
      <c r="F1652" s="13">
        <v>0</v>
      </c>
      <c r="G1652" s="13">
        <v>0</v>
      </c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</row>
    <row r="1653" spans="1:19" x14ac:dyDescent="0.2">
      <c r="A1653" s="12" t="s">
        <v>292</v>
      </c>
      <c r="B1653" s="12" t="s">
        <v>568</v>
      </c>
      <c r="C1653" s="12" t="s">
        <v>561</v>
      </c>
      <c r="D1653" s="13">
        <v>21</v>
      </c>
      <c r="E1653" s="13">
        <v>22.031548999999998</v>
      </c>
      <c r="F1653" s="13">
        <v>22.864595999999999</v>
      </c>
      <c r="G1653" s="13">
        <v>22.443190999999999</v>
      </c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</row>
    <row r="1654" spans="1:19" x14ac:dyDescent="0.2">
      <c r="A1654" s="12" t="s">
        <v>292</v>
      </c>
      <c r="B1654" s="12" t="s">
        <v>568</v>
      </c>
      <c r="C1654" s="12" t="s">
        <v>562</v>
      </c>
      <c r="D1654" s="13">
        <v>1</v>
      </c>
      <c r="E1654" s="13">
        <v>0.98064499999999999</v>
      </c>
      <c r="F1654" s="13">
        <v>0.82260600000000006</v>
      </c>
      <c r="G1654" s="13">
        <v>0.9173150000000001</v>
      </c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</row>
    <row r="1655" spans="1:19" x14ac:dyDescent="0.2">
      <c r="A1655" s="12" t="s">
        <v>292</v>
      </c>
      <c r="B1655" s="12" t="s">
        <v>568</v>
      </c>
      <c r="C1655" s="12" t="s">
        <v>563</v>
      </c>
      <c r="D1655" s="13">
        <v>12</v>
      </c>
      <c r="E1655" s="13">
        <v>12.057817</v>
      </c>
      <c r="F1655" s="13">
        <v>13.091666999999999</v>
      </c>
      <c r="G1655" s="13">
        <v>12.904584</v>
      </c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</row>
    <row r="1656" spans="1:19" x14ac:dyDescent="0.2">
      <c r="A1656" s="12" t="s">
        <v>292</v>
      </c>
      <c r="B1656" s="12" t="s">
        <v>568</v>
      </c>
      <c r="C1656" s="12" t="s">
        <v>564</v>
      </c>
      <c r="D1656" s="13">
        <v>0</v>
      </c>
      <c r="E1656" s="13">
        <v>7.5635000000000008E-2</v>
      </c>
      <c r="F1656" s="13">
        <v>6.8379000000000009E-2</v>
      </c>
      <c r="G1656" s="13">
        <v>6.2304000000000012E-2</v>
      </c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</row>
    <row r="1657" spans="1:19" x14ac:dyDescent="0.2">
      <c r="A1657" s="12" t="s">
        <v>292</v>
      </c>
      <c r="B1657" s="12" t="s">
        <v>568</v>
      </c>
      <c r="C1657" s="12" t="s">
        <v>565</v>
      </c>
      <c r="D1657" s="13">
        <v>0</v>
      </c>
      <c r="E1657" s="13">
        <v>2.605E-2</v>
      </c>
      <c r="F1657" s="13">
        <v>3.1559999999999998E-2</v>
      </c>
      <c r="G1657" s="13">
        <v>3.4365E-2</v>
      </c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</row>
    <row r="1658" spans="1:19" x14ac:dyDescent="0.2">
      <c r="A1658" s="12" t="s">
        <v>292</v>
      </c>
      <c r="B1658" s="12" t="s">
        <v>568</v>
      </c>
      <c r="C1658" s="12" t="s">
        <v>566</v>
      </c>
      <c r="D1658" s="13">
        <v>9</v>
      </c>
      <c r="E1658" s="13">
        <v>8.8914059999999999</v>
      </c>
      <c r="F1658" s="13">
        <v>8.8503769999999999</v>
      </c>
      <c r="G1658" s="13">
        <v>8.5246259999999996</v>
      </c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</row>
    <row r="1659" spans="1:19" x14ac:dyDescent="0.2">
      <c r="A1659" s="12" t="s">
        <v>292</v>
      </c>
      <c r="B1659" s="12" t="s">
        <v>569</v>
      </c>
      <c r="C1659" s="12" t="s">
        <v>554</v>
      </c>
      <c r="D1659" s="13">
        <v>0</v>
      </c>
      <c r="E1659" s="13">
        <v>0</v>
      </c>
      <c r="F1659" s="13">
        <v>0</v>
      </c>
      <c r="G1659" s="13">
        <v>0</v>
      </c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</row>
    <row r="1660" spans="1:19" x14ac:dyDescent="0.2">
      <c r="A1660" s="12" t="s">
        <v>292</v>
      </c>
      <c r="B1660" s="12" t="s">
        <v>569</v>
      </c>
      <c r="C1660" s="12" t="s">
        <v>555</v>
      </c>
      <c r="D1660" s="13">
        <v>0</v>
      </c>
      <c r="E1660" s="13">
        <v>0</v>
      </c>
      <c r="F1660" s="13">
        <v>0</v>
      </c>
      <c r="G1660" s="13">
        <v>0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</row>
    <row r="1661" spans="1:19" x14ac:dyDescent="0.2">
      <c r="A1661" s="12" t="s">
        <v>292</v>
      </c>
      <c r="B1661" s="12" t="s">
        <v>569</v>
      </c>
      <c r="C1661" s="12" t="s">
        <v>556</v>
      </c>
      <c r="D1661" s="13">
        <v>0</v>
      </c>
      <c r="E1661" s="13">
        <v>0</v>
      </c>
      <c r="F1661" s="13">
        <v>0</v>
      </c>
      <c r="G1661" s="13">
        <v>0</v>
      </c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</row>
    <row r="1662" spans="1:19" x14ac:dyDescent="0.2">
      <c r="A1662" s="12" t="s">
        <v>292</v>
      </c>
      <c r="B1662" s="12" t="s">
        <v>569</v>
      </c>
      <c r="C1662" s="12" t="s">
        <v>557</v>
      </c>
      <c r="D1662" s="13">
        <v>0</v>
      </c>
      <c r="E1662" s="13">
        <v>0</v>
      </c>
      <c r="F1662" s="13">
        <v>0</v>
      </c>
      <c r="G1662" s="13">
        <v>0</v>
      </c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</row>
    <row r="1663" spans="1:19" x14ac:dyDescent="0.2">
      <c r="A1663" s="12" t="s">
        <v>292</v>
      </c>
      <c r="B1663" s="12" t="s">
        <v>569</v>
      </c>
      <c r="C1663" s="12" t="s">
        <v>558</v>
      </c>
      <c r="D1663" s="13">
        <v>0</v>
      </c>
      <c r="E1663" s="13">
        <v>0</v>
      </c>
      <c r="F1663" s="13">
        <v>0</v>
      </c>
      <c r="G1663" s="13">
        <v>0</v>
      </c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</row>
    <row r="1664" spans="1:19" x14ac:dyDescent="0.2">
      <c r="A1664" s="12" t="s">
        <v>292</v>
      </c>
      <c r="B1664" s="12" t="s">
        <v>569</v>
      </c>
      <c r="C1664" s="12" t="s">
        <v>560</v>
      </c>
      <c r="D1664" s="13">
        <v>0</v>
      </c>
      <c r="E1664" s="13">
        <v>0</v>
      </c>
      <c r="F1664" s="13">
        <v>0</v>
      </c>
      <c r="G1664" s="13">
        <v>0</v>
      </c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</row>
    <row r="1665" spans="1:19" x14ac:dyDescent="0.2">
      <c r="A1665" s="12" t="s">
        <v>292</v>
      </c>
      <c r="B1665" s="12" t="s">
        <v>569</v>
      </c>
      <c r="C1665" s="12" t="s">
        <v>561</v>
      </c>
      <c r="D1665" s="13">
        <v>0</v>
      </c>
      <c r="E1665" s="13">
        <v>0</v>
      </c>
      <c r="F1665" s="13">
        <v>0</v>
      </c>
      <c r="G1665" s="13">
        <v>0</v>
      </c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</row>
    <row r="1666" spans="1:19" x14ac:dyDescent="0.2">
      <c r="A1666" s="12" t="s">
        <v>292</v>
      </c>
      <c r="B1666" s="12" t="s">
        <v>569</v>
      </c>
      <c r="C1666" s="12" t="s">
        <v>562</v>
      </c>
      <c r="D1666" s="13">
        <v>0</v>
      </c>
      <c r="E1666" s="13">
        <v>0</v>
      </c>
      <c r="F1666" s="13">
        <v>0</v>
      </c>
      <c r="G1666" s="13">
        <v>0</v>
      </c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</row>
    <row r="1667" spans="1:19" x14ac:dyDescent="0.2">
      <c r="A1667" s="12" t="s">
        <v>292</v>
      </c>
      <c r="B1667" s="12" t="s">
        <v>569</v>
      </c>
      <c r="C1667" s="12" t="s">
        <v>563</v>
      </c>
      <c r="D1667" s="13">
        <v>0</v>
      </c>
      <c r="E1667" s="13">
        <v>0</v>
      </c>
      <c r="F1667" s="13">
        <v>0</v>
      </c>
      <c r="G1667" s="13">
        <v>0</v>
      </c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</row>
    <row r="1668" spans="1:19" x14ac:dyDescent="0.2">
      <c r="A1668" s="12" t="s">
        <v>292</v>
      </c>
      <c r="B1668" s="12" t="s">
        <v>569</v>
      </c>
      <c r="C1668" s="12" t="s">
        <v>564</v>
      </c>
      <c r="D1668" s="13">
        <v>0</v>
      </c>
      <c r="E1668" s="13">
        <v>0</v>
      </c>
      <c r="F1668" s="13">
        <v>0</v>
      </c>
      <c r="G1668" s="13">
        <v>0</v>
      </c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</row>
    <row r="1669" spans="1:19" x14ac:dyDescent="0.2">
      <c r="A1669" s="12" t="s">
        <v>292</v>
      </c>
      <c r="B1669" s="12" t="s">
        <v>569</v>
      </c>
      <c r="C1669" s="12" t="s">
        <v>565</v>
      </c>
      <c r="D1669" s="13">
        <v>0</v>
      </c>
      <c r="E1669" s="13">
        <v>0</v>
      </c>
      <c r="F1669" s="13">
        <v>0</v>
      </c>
      <c r="G1669" s="13">
        <v>0</v>
      </c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</row>
    <row r="1670" spans="1:19" x14ac:dyDescent="0.2">
      <c r="A1670" s="12" t="s">
        <v>292</v>
      </c>
      <c r="B1670" s="12" t="s">
        <v>569</v>
      </c>
      <c r="C1670" s="12" t="s">
        <v>566</v>
      </c>
      <c r="D1670" s="13">
        <v>0</v>
      </c>
      <c r="E1670" s="13">
        <v>0</v>
      </c>
      <c r="F1670" s="13">
        <v>0</v>
      </c>
      <c r="G1670" s="13">
        <v>0</v>
      </c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</row>
    <row r="1671" spans="1:19" x14ac:dyDescent="0.2">
      <c r="A1671" s="12" t="s">
        <v>292</v>
      </c>
      <c r="B1671" s="12" t="s">
        <v>570</v>
      </c>
      <c r="C1671" s="12" t="s">
        <v>554</v>
      </c>
      <c r="D1671" s="13">
        <v>0</v>
      </c>
      <c r="E1671" s="13">
        <v>0</v>
      </c>
      <c r="F1671" s="13">
        <v>0</v>
      </c>
      <c r="G1671" s="13">
        <v>0</v>
      </c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</row>
    <row r="1672" spans="1:19" x14ac:dyDescent="0.2">
      <c r="A1672" s="12" t="s">
        <v>292</v>
      </c>
      <c r="B1672" s="12" t="s">
        <v>570</v>
      </c>
      <c r="C1672" s="12" t="s">
        <v>555</v>
      </c>
      <c r="D1672" s="13">
        <v>0</v>
      </c>
      <c r="E1672" s="13">
        <v>0</v>
      </c>
      <c r="F1672" s="13">
        <v>0</v>
      </c>
      <c r="G1672" s="13">
        <v>0</v>
      </c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</row>
    <row r="1673" spans="1:19" x14ac:dyDescent="0.2">
      <c r="A1673" s="12" t="s">
        <v>292</v>
      </c>
      <c r="B1673" s="12" t="s">
        <v>570</v>
      </c>
      <c r="C1673" s="12" t="s">
        <v>556</v>
      </c>
      <c r="D1673" s="13">
        <v>0</v>
      </c>
      <c r="E1673" s="13">
        <v>0</v>
      </c>
      <c r="F1673" s="13">
        <v>0</v>
      </c>
      <c r="G1673" s="13">
        <v>0</v>
      </c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</row>
    <row r="1674" spans="1:19" x14ac:dyDescent="0.2">
      <c r="A1674" s="12" t="s">
        <v>292</v>
      </c>
      <c r="B1674" s="12" t="s">
        <v>570</v>
      </c>
      <c r="C1674" s="12" t="s">
        <v>557</v>
      </c>
      <c r="D1674" s="13">
        <v>0</v>
      </c>
      <c r="E1674" s="13">
        <v>0</v>
      </c>
      <c r="F1674" s="13">
        <v>0</v>
      </c>
      <c r="G1674" s="13">
        <v>0</v>
      </c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</row>
    <row r="1675" spans="1:19" x14ac:dyDescent="0.2">
      <c r="A1675" s="12" t="s">
        <v>292</v>
      </c>
      <c r="B1675" s="12" t="s">
        <v>570</v>
      </c>
      <c r="C1675" s="12" t="s">
        <v>558</v>
      </c>
      <c r="D1675" s="13">
        <v>0</v>
      </c>
      <c r="E1675" s="13">
        <v>0</v>
      </c>
      <c r="F1675" s="13">
        <v>0</v>
      </c>
      <c r="G1675" s="13">
        <v>0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</row>
    <row r="1676" spans="1:19" x14ac:dyDescent="0.2">
      <c r="A1676" s="12" t="s">
        <v>292</v>
      </c>
      <c r="B1676" s="12" t="s">
        <v>570</v>
      </c>
      <c r="C1676" s="12" t="s">
        <v>560</v>
      </c>
      <c r="D1676" s="13">
        <v>0</v>
      </c>
      <c r="E1676" s="13">
        <v>0</v>
      </c>
      <c r="F1676" s="13">
        <v>0</v>
      </c>
      <c r="G1676" s="13">
        <v>0</v>
      </c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</row>
    <row r="1677" spans="1:19" x14ac:dyDescent="0.2">
      <c r="A1677" s="12" t="s">
        <v>292</v>
      </c>
      <c r="B1677" s="12" t="s">
        <v>570</v>
      </c>
      <c r="C1677" s="12" t="s">
        <v>561</v>
      </c>
      <c r="D1677" s="13">
        <v>0</v>
      </c>
      <c r="E1677" s="13">
        <v>0</v>
      </c>
      <c r="F1677" s="13">
        <v>0</v>
      </c>
      <c r="G1677" s="13">
        <v>0</v>
      </c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</row>
    <row r="1678" spans="1:19" x14ac:dyDescent="0.2">
      <c r="A1678" s="12" t="s">
        <v>292</v>
      </c>
      <c r="B1678" s="12" t="s">
        <v>570</v>
      </c>
      <c r="C1678" s="12" t="s">
        <v>562</v>
      </c>
      <c r="D1678" s="13">
        <v>0</v>
      </c>
      <c r="E1678" s="13">
        <v>0</v>
      </c>
      <c r="F1678" s="13">
        <v>0</v>
      </c>
      <c r="G1678" s="13">
        <v>0</v>
      </c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</row>
    <row r="1679" spans="1:19" x14ac:dyDescent="0.2">
      <c r="A1679" s="12" t="s">
        <v>292</v>
      </c>
      <c r="B1679" s="12" t="s">
        <v>570</v>
      </c>
      <c r="C1679" s="12" t="s">
        <v>563</v>
      </c>
      <c r="D1679" s="13">
        <v>0</v>
      </c>
      <c r="E1679" s="13">
        <v>0</v>
      </c>
      <c r="F1679" s="13">
        <v>0</v>
      </c>
      <c r="G1679" s="13">
        <v>0</v>
      </c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</row>
    <row r="1680" spans="1:19" x14ac:dyDescent="0.2">
      <c r="A1680" s="12" t="s">
        <v>292</v>
      </c>
      <c r="B1680" s="12" t="s">
        <v>570</v>
      </c>
      <c r="C1680" s="12" t="s">
        <v>564</v>
      </c>
      <c r="D1680" s="13">
        <v>0</v>
      </c>
      <c r="E1680" s="13">
        <v>0</v>
      </c>
      <c r="F1680" s="13">
        <v>0</v>
      </c>
      <c r="G1680" s="13">
        <v>0</v>
      </c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</row>
    <row r="1681" spans="1:19" x14ac:dyDescent="0.2">
      <c r="A1681" s="12" t="s">
        <v>292</v>
      </c>
      <c r="B1681" s="12" t="s">
        <v>570</v>
      </c>
      <c r="C1681" s="12" t="s">
        <v>565</v>
      </c>
      <c r="D1681" s="13">
        <v>0</v>
      </c>
      <c r="E1681" s="13">
        <v>0</v>
      </c>
      <c r="F1681" s="13">
        <v>0</v>
      </c>
      <c r="G1681" s="13">
        <v>0</v>
      </c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</row>
    <row r="1682" spans="1:19" x14ac:dyDescent="0.2">
      <c r="A1682" s="12" t="s">
        <v>292</v>
      </c>
      <c r="B1682" s="12" t="s">
        <v>570</v>
      </c>
      <c r="C1682" s="12" t="s">
        <v>566</v>
      </c>
      <c r="D1682" s="13">
        <v>0</v>
      </c>
      <c r="E1682" s="13">
        <v>0</v>
      </c>
      <c r="F1682" s="13">
        <v>0</v>
      </c>
      <c r="G1682" s="13">
        <v>0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</row>
    <row r="1683" spans="1:19" x14ac:dyDescent="0.2">
      <c r="A1683" s="12" t="s">
        <v>292</v>
      </c>
      <c r="B1683" s="12" t="s">
        <v>571</v>
      </c>
      <c r="C1683" s="12" t="s">
        <v>554</v>
      </c>
      <c r="D1683" s="13">
        <v>220</v>
      </c>
      <c r="E1683" s="13">
        <v>217.47986800000001</v>
      </c>
      <c r="F1683" s="13">
        <v>222.591779</v>
      </c>
      <c r="G1683" s="13">
        <v>225.045738</v>
      </c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</row>
    <row r="1684" spans="1:19" x14ac:dyDescent="0.2">
      <c r="A1684" s="12" t="s">
        <v>292</v>
      </c>
      <c r="B1684" s="12" t="s">
        <v>571</v>
      </c>
      <c r="C1684" s="12" t="s">
        <v>555</v>
      </c>
      <c r="D1684" s="13">
        <v>1</v>
      </c>
      <c r="E1684" s="13">
        <v>1.131985</v>
      </c>
      <c r="F1684" s="13">
        <v>0.80523</v>
      </c>
      <c r="G1684" s="13">
        <v>0.70797500000000002</v>
      </c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</row>
    <row r="1685" spans="1:19" x14ac:dyDescent="0.2">
      <c r="A1685" s="12" t="s">
        <v>292</v>
      </c>
      <c r="B1685" s="12" t="s">
        <v>571</v>
      </c>
      <c r="C1685" s="12" t="s">
        <v>556</v>
      </c>
      <c r="D1685" s="13">
        <v>0</v>
      </c>
      <c r="E1685" s="13">
        <v>0</v>
      </c>
      <c r="F1685" s="13">
        <v>0</v>
      </c>
      <c r="G1685" s="13">
        <v>0</v>
      </c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</row>
    <row r="1686" spans="1:19" x14ac:dyDescent="0.2">
      <c r="A1686" s="12" t="s">
        <v>292</v>
      </c>
      <c r="B1686" s="12" t="s">
        <v>571</v>
      </c>
      <c r="C1686" s="12" t="s">
        <v>557</v>
      </c>
      <c r="D1686" s="13">
        <v>221</v>
      </c>
      <c r="E1686" s="13">
        <v>218.723816</v>
      </c>
      <c r="F1686" s="13">
        <v>223.323275</v>
      </c>
      <c r="G1686" s="13">
        <v>225.76952199999999</v>
      </c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</row>
    <row r="1687" spans="1:19" x14ac:dyDescent="0.2">
      <c r="A1687" s="12" t="s">
        <v>292</v>
      </c>
      <c r="B1687" s="12" t="s">
        <v>571</v>
      </c>
      <c r="C1687" s="12" t="s">
        <v>558</v>
      </c>
      <c r="D1687" s="13">
        <v>-225</v>
      </c>
      <c r="E1687" s="13">
        <v>-217.399833</v>
      </c>
      <c r="F1687" s="13">
        <v>-220.68215799999999</v>
      </c>
      <c r="G1687" s="13">
        <v>-222.97811100000001</v>
      </c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</row>
    <row r="1688" spans="1:19" x14ac:dyDescent="0.2">
      <c r="A1688" s="12" t="s">
        <v>292</v>
      </c>
      <c r="B1688" s="12" t="s">
        <v>571</v>
      </c>
      <c r="C1688" s="12" t="s">
        <v>560</v>
      </c>
      <c r="D1688" s="13">
        <v>0</v>
      </c>
      <c r="E1688" s="13">
        <v>0</v>
      </c>
      <c r="F1688" s="13">
        <v>0</v>
      </c>
      <c r="G1688" s="13">
        <v>0</v>
      </c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</row>
    <row r="1689" spans="1:19" x14ac:dyDescent="0.2">
      <c r="A1689" s="12" t="s">
        <v>292</v>
      </c>
      <c r="B1689" s="12" t="s">
        <v>571</v>
      </c>
      <c r="C1689" s="12" t="s">
        <v>561</v>
      </c>
      <c r="D1689" s="13">
        <v>3</v>
      </c>
      <c r="E1689" s="13">
        <v>4.2382099999999996</v>
      </c>
      <c r="F1689" s="13">
        <v>4.2321759999999999</v>
      </c>
      <c r="G1689" s="13">
        <v>4.2787250000000014</v>
      </c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</row>
    <row r="1690" spans="1:19" x14ac:dyDescent="0.2">
      <c r="A1690" s="12" t="s">
        <v>292</v>
      </c>
      <c r="B1690" s="12" t="s">
        <v>571</v>
      </c>
      <c r="C1690" s="12" t="s">
        <v>562</v>
      </c>
      <c r="D1690" s="13">
        <v>0</v>
      </c>
      <c r="E1690" s="13">
        <v>0.49770999999999999</v>
      </c>
      <c r="F1690" s="13">
        <v>0.47952299999999998</v>
      </c>
      <c r="G1690" s="13">
        <v>0.56770100000000001</v>
      </c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</row>
    <row r="1691" spans="1:19" x14ac:dyDescent="0.2">
      <c r="A1691" s="12" t="s">
        <v>292</v>
      </c>
      <c r="B1691" s="12" t="s">
        <v>571</v>
      </c>
      <c r="C1691" s="12" t="s">
        <v>563</v>
      </c>
      <c r="D1691" s="13">
        <v>1</v>
      </c>
      <c r="E1691" s="13">
        <v>1.2844930000000001</v>
      </c>
      <c r="F1691" s="13">
        <v>0.81555100000000003</v>
      </c>
      <c r="G1691" s="13">
        <v>0.76042300000000007</v>
      </c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</row>
    <row r="1692" spans="1:19" x14ac:dyDescent="0.2">
      <c r="A1692" s="12" t="s">
        <v>292</v>
      </c>
      <c r="B1692" s="12" t="s">
        <v>571</v>
      </c>
      <c r="C1692" s="12" t="s">
        <v>564</v>
      </c>
      <c r="D1692" s="13">
        <v>0</v>
      </c>
      <c r="E1692" s="13">
        <v>0.499</v>
      </c>
      <c r="F1692" s="13">
        <v>0.50499900000000009</v>
      </c>
      <c r="G1692" s="13">
        <v>0.50999799999999995</v>
      </c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</row>
    <row r="1693" spans="1:19" x14ac:dyDescent="0.2">
      <c r="A1693" s="12" t="s">
        <v>292</v>
      </c>
      <c r="B1693" s="12" t="s">
        <v>571</v>
      </c>
      <c r="C1693" s="12" t="s">
        <v>565</v>
      </c>
      <c r="D1693" s="13">
        <v>0</v>
      </c>
      <c r="E1693" s="13">
        <v>0.26100099999999998</v>
      </c>
      <c r="F1693" s="13">
        <v>0.26200200000000001</v>
      </c>
      <c r="G1693" s="13">
        <v>0.26299800000000001</v>
      </c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</row>
    <row r="1694" spans="1:19" x14ac:dyDescent="0.2">
      <c r="A1694" s="12" t="s">
        <v>292</v>
      </c>
      <c r="B1694" s="12" t="s">
        <v>571</v>
      </c>
      <c r="C1694" s="12" t="s">
        <v>566</v>
      </c>
      <c r="D1694" s="13">
        <v>1</v>
      </c>
      <c r="E1694" s="13">
        <v>1.69601</v>
      </c>
      <c r="F1694" s="13">
        <v>2.170102</v>
      </c>
      <c r="G1694" s="13">
        <v>2.1776059999999999</v>
      </c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</row>
    <row r="1695" spans="1:19" x14ac:dyDescent="0.2">
      <c r="A1695" s="12" t="s">
        <v>292</v>
      </c>
      <c r="B1695" s="12" t="s">
        <v>572</v>
      </c>
      <c r="C1695" s="12" t="s">
        <v>554</v>
      </c>
      <c r="D1695" s="13">
        <v>0</v>
      </c>
      <c r="E1695" s="13">
        <v>0</v>
      </c>
      <c r="F1695" s="13">
        <v>0</v>
      </c>
      <c r="G1695" s="13">
        <v>0</v>
      </c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</row>
    <row r="1696" spans="1:19" x14ac:dyDescent="0.2">
      <c r="A1696" s="12" t="s">
        <v>292</v>
      </c>
      <c r="B1696" s="12" t="s">
        <v>572</v>
      </c>
      <c r="C1696" s="12" t="s">
        <v>555</v>
      </c>
      <c r="D1696" s="13">
        <v>0</v>
      </c>
      <c r="E1696" s="13">
        <v>0</v>
      </c>
      <c r="F1696" s="13">
        <v>0</v>
      </c>
      <c r="G1696" s="13">
        <v>0</v>
      </c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</row>
    <row r="1697" spans="1:19" x14ac:dyDescent="0.2">
      <c r="A1697" s="12" t="s">
        <v>292</v>
      </c>
      <c r="B1697" s="12" t="s">
        <v>572</v>
      </c>
      <c r="C1697" s="12" t="s">
        <v>556</v>
      </c>
      <c r="D1697" s="13">
        <v>0</v>
      </c>
      <c r="E1697" s="13">
        <v>0</v>
      </c>
      <c r="F1697" s="13">
        <v>0</v>
      </c>
      <c r="G1697" s="13">
        <v>0</v>
      </c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</row>
    <row r="1698" spans="1:19" x14ac:dyDescent="0.2">
      <c r="A1698" s="12" t="s">
        <v>292</v>
      </c>
      <c r="B1698" s="12" t="s">
        <v>572</v>
      </c>
      <c r="C1698" s="12" t="s">
        <v>557</v>
      </c>
      <c r="D1698" s="13">
        <v>0</v>
      </c>
      <c r="E1698" s="13">
        <v>0</v>
      </c>
      <c r="F1698" s="13">
        <v>0</v>
      </c>
      <c r="G1698" s="13">
        <v>0</v>
      </c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</row>
    <row r="1699" spans="1:19" x14ac:dyDescent="0.2">
      <c r="A1699" s="12" t="s">
        <v>292</v>
      </c>
      <c r="B1699" s="12" t="s">
        <v>572</v>
      </c>
      <c r="C1699" s="12" t="s">
        <v>558</v>
      </c>
      <c r="D1699" s="13">
        <v>69</v>
      </c>
      <c r="E1699" s="13">
        <v>70.611111000000008</v>
      </c>
      <c r="F1699" s="13">
        <v>72.433863000000002</v>
      </c>
      <c r="G1699" s="13">
        <v>72.877139999999997</v>
      </c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</row>
    <row r="1700" spans="1:19" x14ac:dyDescent="0.2">
      <c r="A1700" s="12" t="s">
        <v>292</v>
      </c>
      <c r="B1700" s="12" t="s">
        <v>572</v>
      </c>
      <c r="C1700" s="12" t="s">
        <v>560</v>
      </c>
      <c r="D1700" s="13">
        <v>0</v>
      </c>
      <c r="E1700" s="13">
        <v>0</v>
      </c>
      <c r="F1700" s="13">
        <v>0</v>
      </c>
      <c r="G1700" s="13">
        <v>0</v>
      </c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</row>
    <row r="1701" spans="1:19" x14ac:dyDescent="0.2">
      <c r="A1701" s="12" t="s">
        <v>292</v>
      </c>
      <c r="B1701" s="12" t="s">
        <v>572</v>
      </c>
      <c r="C1701" s="12" t="s">
        <v>561</v>
      </c>
      <c r="D1701" s="13">
        <v>64</v>
      </c>
      <c r="E1701" s="13">
        <v>66.043274000000011</v>
      </c>
      <c r="F1701" s="13">
        <v>67.944023000000001</v>
      </c>
      <c r="G1701" s="13">
        <v>68.037095000000008</v>
      </c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</row>
    <row r="1702" spans="1:19" x14ac:dyDescent="0.2">
      <c r="A1702" s="12" t="s">
        <v>292</v>
      </c>
      <c r="B1702" s="12" t="s">
        <v>572</v>
      </c>
      <c r="C1702" s="12" t="s">
        <v>562</v>
      </c>
      <c r="D1702" s="13">
        <v>53</v>
      </c>
      <c r="E1702" s="13">
        <v>54.205016999999998</v>
      </c>
      <c r="F1702" s="13">
        <v>55.166511999999997</v>
      </c>
      <c r="G1702" s="13">
        <v>55.496206000000001</v>
      </c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</row>
    <row r="1703" spans="1:19" x14ac:dyDescent="0.2">
      <c r="A1703" s="12" t="s">
        <v>292</v>
      </c>
      <c r="B1703" s="12" t="s">
        <v>572</v>
      </c>
      <c r="C1703" s="12" t="s">
        <v>563</v>
      </c>
      <c r="D1703" s="13">
        <v>0</v>
      </c>
      <c r="E1703" s="13">
        <v>0.15001700000000001</v>
      </c>
      <c r="F1703" s="13">
        <v>0.21931300000000001</v>
      </c>
      <c r="G1703" s="13">
        <v>0.327098</v>
      </c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</row>
    <row r="1704" spans="1:19" x14ac:dyDescent="0.2">
      <c r="A1704" s="12" t="s">
        <v>292</v>
      </c>
      <c r="B1704" s="12" t="s">
        <v>572</v>
      </c>
      <c r="C1704" s="12" t="s">
        <v>564</v>
      </c>
      <c r="D1704" s="13">
        <v>3</v>
      </c>
      <c r="E1704" s="13">
        <v>3.1715849999999999</v>
      </c>
      <c r="F1704" s="13">
        <v>3.1080709999999998</v>
      </c>
      <c r="G1704" s="13">
        <v>3.1198610000000002</v>
      </c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</row>
    <row r="1705" spans="1:19" x14ac:dyDescent="0.2">
      <c r="A1705" s="12" t="s">
        <v>292</v>
      </c>
      <c r="B1705" s="12" t="s">
        <v>572</v>
      </c>
      <c r="C1705" s="12" t="s">
        <v>565</v>
      </c>
      <c r="D1705" s="13">
        <v>7</v>
      </c>
      <c r="E1705" s="13">
        <v>7.1927000000000003</v>
      </c>
      <c r="F1705" s="13">
        <v>8.0926869999999997</v>
      </c>
      <c r="G1705" s="13">
        <v>7.7448720000000009</v>
      </c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</row>
    <row r="1706" spans="1:19" x14ac:dyDescent="0.2">
      <c r="A1706" s="12" t="s">
        <v>292</v>
      </c>
      <c r="B1706" s="12" t="s">
        <v>572</v>
      </c>
      <c r="C1706" s="12" t="s">
        <v>566</v>
      </c>
      <c r="D1706" s="13">
        <v>1</v>
      </c>
      <c r="E1706" s="13">
        <v>1.323958</v>
      </c>
      <c r="F1706" s="13">
        <v>1.3574440000000001</v>
      </c>
      <c r="G1706" s="13">
        <v>1.3490580000000001</v>
      </c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</row>
    <row r="1707" spans="1:19" x14ac:dyDescent="0.2">
      <c r="A1707" s="12" t="s">
        <v>292</v>
      </c>
      <c r="B1707" s="12" t="s">
        <v>573</v>
      </c>
      <c r="C1707" s="12" t="s">
        <v>554</v>
      </c>
      <c r="D1707" s="13">
        <v>0</v>
      </c>
      <c r="E1707" s="13">
        <v>0</v>
      </c>
      <c r="F1707" s="13">
        <v>0</v>
      </c>
      <c r="G1707" s="13">
        <v>0</v>
      </c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</row>
    <row r="1708" spans="1:19" x14ac:dyDescent="0.2">
      <c r="A1708" s="12" t="s">
        <v>292</v>
      </c>
      <c r="B1708" s="12" t="s">
        <v>573</v>
      </c>
      <c r="C1708" s="12" t="s">
        <v>555</v>
      </c>
      <c r="D1708" s="13">
        <v>0</v>
      </c>
      <c r="E1708" s="13">
        <v>0</v>
      </c>
      <c r="F1708" s="13">
        <v>0</v>
      </c>
      <c r="G1708" s="13">
        <v>0</v>
      </c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</row>
    <row r="1709" spans="1:19" x14ac:dyDescent="0.2">
      <c r="A1709" s="12" t="s">
        <v>292</v>
      </c>
      <c r="B1709" s="12" t="s">
        <v>573</v>
      </c>
      <c r="C1709" s="12" t="s">
        <v>556</v>
      </c>
      <c r="D1709" s="13">
        <v>0</v>
      </c>
      <c r="E1709" s="13">
        <v>0</v>
      </c>
      <c r="F1709" s="13">
        <v>0</v>
      </c>
      <c r="G1709" s="13">
        <v>0</v>
      </c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</row>
    <row r="1710" spans="1:19" x14ac:dyDescent="0.2">
      <c r="A1710" s="12" t="s">
        <v>292</v>
      </c>
      <c r="B1710" s="12" t="s">
        <v>573</v>
      </c>
      <c r="C1710" s="12" t="s">
        <v>557</v>
      </c>
      <c r="D1710" s="13">
        <v>0</v>
      </c>
      <c r="E1710" s="13">
        <v>0</v>
      </c>
      <c r="F1710" s="13">
        <v>0</v>
      </c>
      <c r="G1710" s="13">
        <v>0</v>
      </c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</row>
    <row r="1711" spans="1:19" x14ac:dyDescent="0.2">
      <c r="A1711" s="12" t="s">
        <v>292</v>
      </c>
      <c r="B1711" s="12" t="s">
        <v>573</v>
      </c>
      <c r="C1711" s="12" t="s">
        <v>558</v>
      </c>
      <c r="D1711" s="13">
        <v>36</v>
      </c>
      <c r="E1711" s="13">
        <v>36.159692</v>
      </c>
      <c r="F1711" s="13">
        <v>35.806652</v>
      </c>
      <c r="G1711" s="13">
        <v>37.742583000000003</v>
      </c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</row>
    <row r="1712" spans="1:19" x14ac:dyDescent="0.2">
      <c r="A1712" s="12" t="s">
        <v>292</v>
      </c>
      <c r="B1712" s="12" t="s">
        <v>573</v>
      </c>
      <c r="C1712" s="12" t="s">
        <v>560</v>
      </c>
      <c r="D1712" s="13">
        <v>0</v>
      </c>
      <c r="E1712" s="13">
        <v>0</v>
      </c>
      <c r="F1712" s="13">
        <v>0</v>
      </c>
      <c r="G1712" s="13">
        <v>0</v>
      </c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</row>
    <row r="1713" spans="1:19" x14ac:dyDescent="0.2">
      <c r="A1713" s="12" t="s">
        <v>292</v>
      </c>
      <c r="B1713" s="12" t="s">
        <v>573</v>
      </c>
      <c r="C1713" s="12" t="s">
        <v>561</v>
      </c>
      <c r="D1713" s="13">
        <v>33</v>
      </c>
      <c r="E1713" s="13">
        <v>33.426887999999998</v>
      </c>
      <c r="F1713" s="13">
        <v>32.301338000000001</v>
      </c>
      <c r="G1713" s="13">
        <v>33.745804999999997</v>
      </c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</row>
    <row r="1714" spans="1:19" x14ac:dyDescent="0.2">
      <c r="A1714" s="12" t="s">
        <v>292</v>
      </c>
      <c r="B1714" s="12" t="s">
        <v>573</v>
      </c>
      <c r="C1714" s="12" t="s">
        <v>562</v>
      </c>
      <c r="D1714" s="13">
        <v>0</v>
      </c>
      <c r="E1714" s="13">
        <v>0</v>
      </c>
      <c r="F1714" s="13">
        <v>1.080031</v>
      </c>
      <c r="G1714" s="13">
        <v>1.19547</v>
      </c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</row>
    <row r="1715" spans="1:19" x14ac:dyDescent="0.2">
      <c r="A1715" s="12" t="s">
        <v>292</v>
      </c>
      <c r="B1715" s="12" t="s">
        <v>573</v>
      </c>
      <c r="C1715" s="12" t="s">
        <v>563</v>
      </c>
      <c r="D1715" s="13">
        <v>0</v>
      </c>
      <c r="E1715" s="13">
        <v>0</v>
      </c>
      <c r="F1715" s="13">
        <v>0</v>
      </c>
      <c r="G1715" s="13">
        <v>0</v>
      </c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</row>
    <row r="1716" spans="1:19" x14ac:dyDescent="0.2">
      <c r="A1716" s="12" t="s">
        <v>292</v>
      </c>
      <c r="B1716" s="12" t="s">
        <v>573</v>
      </c>
      <c r="C1716" s="12" t="s">
        <v>564</v>
      </c>
      <c r="D1716" s="13">
        <v>16</v>
      </c>
      <c r="E1716" s="13">
        <v>17.220220000000001</v>
      </c>
      <c r="F1716" s="13">
        <v>14.874038000000001</v>
      </c>
      <c r="G1716" s="13">
        <v>15.283310999999999</v>
      </c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</row>
    <row r="1717" spans="1:19" x14ac:dyDescent="0.2">
      <c r="A1717" s="12" t="s">
        <v>292</v>
      </c>
      <c r="B1717" s="12" t="s">
        <v>573</v>
      </c>
      <c r="C1717" s="12" t="s">
        <v>565</v>
      </c>
      <c r="D1717" s="13">
        <v>14</v>
      </c>
      <c r="E1717" s="13">
        <v>13.436463</v>
      </c>
      <c r="F1717" s="13">
        <v>11.710861</v>
      </c>
      <c r="G1717" s="13">
        <v>12.630796999999999</v>
      </c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</row>
    <row r="1718" spans="1:19" x14ac:dyDescent="0.2">
      <c r="A1718" s="12" t="s">
        <v>292</v>
      </c>
      <c r="B1718" s="12" t="s">
        <v>573</v>
      </c>
      <c r="C1718" s="12" t="s">
        <v>566</v>
      </c>
      <c r="D1718" s="13">
        <v>3</v>
      </c>
      <c r="E1718" s="13">
        <v>2.7702040000000001</v>
      </c>
      <c r="F1718" s="13">
        <v>4.6364040000000006</v>
      </c>
      <c r="G1718" s="13">
        <v>4.636228</v>
      </c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</row>
    <row r="1719" spans="1:19" x14ac:dyDescent="0.2">
      <c r="A1719" s="12" t="s">
        <v>292</v>
      </c>
      <c r="B1719" s="12" t="s">
        <v>574</v>
      </c>
      <c r="C1719" s="12" t="s">
        <v>554</v>
      </c>
      <c r="D1719" s="13">
        <v>220</v>
      </c>
      <c r="E1719" s="13">
        <v>217.47986800000001</v>
      </c>
      <c r="F1719" s="13">
        <v>222.591779</v>
      </c>
      <c r="G1719" s="13">
        <v>225.045738</v>
      </c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</row>
    <row r="1720" spans="1:19" x14ac:dyDescent="0.2">
      <c r="A1720" s="12" t="s">
        <v>292</v>
      </c>
      <c r="B1720" s="12" t="s">
        <v>574</v>
      </c>
      <c r="C1720" s="12" t="s">
        <v>555</v>
      </c>
      <c r="D1720" s="13">
        <v>30</v>
      </c>
      <c r="E1720" s="13">
        <v>38.223638000000001</v>
      </c>
      <c r="F1720" s="13">
        <v>45.998047999999997</v>
      </c>
      <c r="G1720" s="13">
        <v>45.551366999999999</v>
      </c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</row>
    <row r="1721" spans="1:19" x14ac:dyDescent="0.2">
      <c r="A1721" s="12" t="s">
        <v>292</v>
      </c>
      <c r="B1721" s="12" t="s">
        <v>574</v>
      </c>
      <c r="C1721" s="12" t="s">
        <v>556</v>
      </c>
      <c r="D1721" s="13">
        <v>0</v>
      </c>
      <c r="E1721" s="13">
        <v>0</v>
      </c>
      <c r="F1721" s="13">
        <v>0</v>
      </c>
      <c r="G1721" s="13">
        <v>0</v>
      </c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</row>
    <row r="1722" spans="1:19" x14ac:dyDescent="0.2">
      <c r="A1722" s="12" t="s">
        <v>292</v>
      </c>
      <c r="B1722" s="12" t="s">
        <v>574</v>
      </c>
      <c r="C1722" s="12" t="s">
        <v>557</v>
      </c>
      <c r="D1722" s="13">
        <v>247</v>
      </c>
      <c r="E1722" s="13">
        <v>246.1105</v>
      </c>
      <c r="F1722" s="13">
        <v>252.809459</v>
      </c>
      <c r="G1722" s="13">
        <v>253.276262</v>
      </c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</row>
    <row r="1723" spans="1:19" x14ac:dyDescent="0.2">
      <c r="A1723" s="12" t="s">
        <v>292</v>
      </c>
      <c r="B1723" s="12" t="s">
        <v>574</v>
      </c>
      <c r="C1723" s="12" t="s">
        <v>558</v>
      </c>
      <c r="D1723" s="13">
        <v>-120</v>
      </c>
      <c r="E1723" s="13">
        <v>-110.663493</v>
      </c>
      <c r="F1723" s="13">
        <v>-112.5124</v>
      </c>
      <c r="G1723" s="13">
        <v>-112.44431400000001</v>
      </c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</row>
    <row r="1724" spans="1:19" x14ac:dyDescent="0.2">
      <c r="A1724" s="12" t="s">
        <v>292</v>
      </c>
      <c r="B1724" s="12" t="s">
        <v>574</v>
      </c>
      <c r="C1724" s="12" t="s">
        <v>560</v>
      </c>
      <c r="D1724" s="13">
        <v>0</v>
      </c>
      <c r="E1724" s="13">
        <v>0</v>
      </c>
      <c r="F1724" s="13">
        <v>0</v>
      </c>
      <c r="G1724" s="13">
        <v>0</v>
      </c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</row>
    <row r="1725" spans="1:19" x14ac:dyDescent="0.2">
      <c r="A1725" s="12" t="s">
        <v>292</v>
      </c>
      <c r="B1725" s="12" t="s">
        <v>574</v>
      </c>
      <c r="C1725" s="12" t="s">
        <v>561</v>
      </c>
      <c r="D1725" s="13">
        <v>127</v>
      </c>
      <c r="E1725" s="13">
        <v>130.452046</v>
      </c>
      <c r="F1725" s="13">
        <v>132.51132000000001</v>
      </c>
      <c r="G1725" s="13">
        <v>132.597961</v>
      </c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</row>
    <row r="1726" spans="1:19" x14ac:dyDescent="0.2">
      <c r="A1726" s="12" t="s">
        <v>292</v>
      </c>
      <c r="B1726" s="12" t="s">
        <v>574</v>
      </c>
      <c r="C1726" s="12" t="s">
        <v>562</v>
      </c>
      <c r="D1726" s="13">
        <v>54</v>
      </c>
      <c r="E1726" s="13">
        <v>55.683372000000013</v>
      </c>
      <c r="F1726" s="13">
        <v>57.548676</v>
      </c>
      <c r="G1726" s="13">
        <v>58.176690999999998</v>
      </c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</row>
    <row r="1727" spans="1:19" x14ac:dyDescent="0.2">
      <c r="A1727" s="12" t="s">
        <v>292</v>
      </c>
      <c r="B1727" s="12" t="s">
        <v>574</v>
      </c>
      <c r="C1727" s="12" t="s">
        <v>563</v>
      </c>
      <c r="D1727" s="13">
        <v>13</v>
      </c>
      <c r="E1727" s="13">
        <v>13.492327</v>
      </c>
      <c r="F1727" s="13">
        <v>14.126531</v>
      </c>
      <c r="G1727" s="13">
        <v>13.992106</v>
      </c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</row>
    <row r="1728" spans="1:19" x14ac:dyDescent="0.2">
      <c r="A1728" s="12" t="s">
        <v>292</v>
      </c>
      <c r="B1728" s="12" t="s">
        <v>574</v>
      </c>
      <c r="C1728" s="12" t="s">
        <v>564</v>
      </c>
      <c r="D1728" s="13">
        <v>20</v>
      </c>
      <c r="E1728" s="13">
        <v>20.966439000000001</v>
      </c>
      <c r="F1728" s="13">
        <v>18.555486999999999</v>
      </c>
      <c r="G1728" s="13">
        <v>18.975469</v>
      </c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</row>
    <row r="1729" spans="1:19" x14ac:dyDescent="0.2">
      <c r="A1729" s="12" t="s">
        <v>292</v>
      </c>
      <c r="B1729" s="12" t="s">
        <v>574</v>
      </c>
      <c r="C1729" s="12" t="s">
        <v>565</v>
      </c>
      <c r="D1729" s="13">
        <v>21</v>
      </c>
      <c r="E1729" s="13">
        <v>20.916214</v>
      </c>
      <c r="F1729" s="13">
        <v>20.097109</v>
      </c>
      <c r="G1729" s="13">
        <v>20.673033</v>
      </c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</row>
    <row r="1730" spans="1:19" x14ac:dyDescent="0.2">
      <c r="A1730" s="12" t="s">
        <v>292</v>
      </c>
      <c r="B1730" s="12" t="s">
        <v>574</v>
      </c>
      <c r="C1730" s="12" t="s">
        <v>566</v>
      </c>
      <c r="D1730" s="13">
        <v>19</v>
      </c>
      <c r="E1730" s="13">
        <v>19.393702000000001</v>
      </c>
      <c r="F1730" s="13">
        <v>22.183516000000001</v>
      </c>
      <c r="G1730" s="13">
        <v>20.780662</v>
      </c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</row>
    <row r="1731" spans="1:19" x14ac:dyDescent="0.2">
      <c r="A1731" s="12" t="s">
        <v>286</v>
      </c>
      <c r="B1731" s="12" t="s">
        <v>553</v>
      </c>
      <c r="C1731" s="12" t="s">
        <v>554</v>
      </c>
      <c r="D1731" s="13">
        <v>5</v>
      </c>
      <c r="E1731" s="13">
        <v>5.346711</v>
      </c>
      <c r="F1731" s="13">
        <v>5.346711</v>
      </c>
      <c r="G1731" s="13">
        <v>5.346711</v>
      </c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</row>
    <row r="1732" spans="1:19" x14ac:dyDescent="0.2">
      <c r="A1732" s="12" t="s">
        <v>286</v>
      </c>
      <c r="B1732" s="12" t="s">
        <v>553</v>
      </c>
      <c r="C1732" s="12" t="s">
        <v>555</v>
      </c>
      <c r="D1732" s="13">
        <v>10</v>
      </c>
      <c r="E1732" s="13">
        <v>40.626137</v>
      </c>
      <c r="F1732" s="13">
        <v>38.614491999999998</v>
      </c>
      <c r="G1732" s="13">
        <v>15.795385</v>
      </c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</row>
    <row r="1733" spans="1:19" x14ac:dyDescent="0.2">
      <c r="A1733" s="12" t="s">
        <v>286</v>
      </c>
      <c r="B1733" s="12" t="s">
        <v>553</v>
      </c>
      <c r="C1733" s="12" t="s">
        <v>556</v>
      </c>
      <c r="D1733" s="13">
        <v>0</v>
      </c>
      <c r="E1733" s="13">
        <v>-0.109003</v>
      </c>
      <c r="F1733" s="13">
        <v>-5.3414999999999997E-2</v>
      </c>
      <c r="G1733" s="13">
        <v>-1.3594999999999999E-2</v>
      </c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</row>
    <row r="1734" spans="1:19" x14ac:dyDescent="0.2">
      <c r="A1734" s="12" t="s">
        <v>286</v>
      </c>
      <c r="B1734" s="12" t="s">
        <v>553</v>
      </c>
      <c r="C1734" s="12" t="s">
        <v>557</v>
      </c>
      <c r="D1734" s="13">
        <v>43</v>
      </c>
      <c r="E1734" s="13">
        <v>52.992696000000002</v>
      </c>
      <c r="F1734" s="13">
        <v>44.543512000000007</v>
      </c>
      <c r="G1734" s="13">
        <v>28.785354999999999</v>
      </c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</row>
    <row r="1735" spans="1:19" x14ac:dyDescent="0.2">
      <c r="A1735" s="12" t="s">
        <v>286</v>
      </c>
      <c r="B1735" s="12" t="s">
        <v>553</v>
      </c>
      <c r="C1735" s="12" t="s">
        <v>558</v>
      </c>
      <c r="D1735" s="13">
        <v>-17</v>
      </c>
      <c r="E1735" s="13">
        <v>-31.155564999999999</v>
      </c>
      <c r="F1735" s="13">
        <v>-25.871597999999999</v>
      </c>
      <c r="G1735" s="13">
        <v>-14.650696999999999</v>
      </c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</row>
    <row r="1736" spans="1:19" x14ac:dyDescent="0.2">
      <c r="A1736" s="12" t="s">
        <v>286</v>
      </c>
      <c r="B1736" s="12" t="s">
        <v>553</v>
      </c>
      <c r="C1736" s="12" t="s">
        <v>560</v>
      </c>
      <c r="D1736" s="13">
        <v>0</v>
      </c>
      <c r="E1736" s="13">
        <v>0</v>
      </c>
      <c r="F1736" s="13">
        <v>0</v>
      </c>
      <c r="G1736" s="13">
        <v>0</v>
      </c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</row>
    <row r="1737" spans="1:19" x14ac:dyDescent="0.2">
      <c r="A1737" s="12" t="s">
        <v>286</v>
      </c>
      <c r="B1737" s="12" t="s">
        <v>553</v>
      </c>
      <c r="C1737" s="12" t="s">
        <v>561</v>
      </c>
      <c r="D1737" s="13">
        <v>18</v>
      </c>
      <c r="E1737" s="13">
        <v>17.811899</v>
      </c>
      <c r="F1737" s="13">
        <v>13.868171999999999</v>
      </c>
      <c r="G1737" s="13">
        <v>11.106835</v>
      </c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</row>
    <row r="1738" spans="1:19" x14ac:dyDescent="0.2">
      <c r="A1738" s="12" t="s">
        <v>286</v>
      </c>
      <c r="B1738" s="12" t="s">
        <v>553</v>
      </c>
      <c r="C1738" s="12" t="s">
        <v>562</v>
      </c>
      <c r="D1738" s="13">
        <v>3</v>
      </c>
      <c r="E1738" s="13">
        <v>3.7420149999999999</v>
      </c>
      <c r="F1738" s="13">
        <v>2.9654479999999999</v>
      </c>
      <c r="G1738" s="13">
        <v>2.191271</v>
      </c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</row>
    <row r="1739" spans="1:19" x14ac:dyDescent="0.2">
      <c r="A1739" s="12" t="s">
        <v>286</v>
      </c>
      <c r="B1739" s="12" t="s">
        <v>553</v>
      </c>
      <c r="C1739" s="12" t="s">
        <v>563</v>
      </c>
      <c r="D1739" s="13">
        <v>0</v>
      </c>
      <c r="E1739" s="13">
        <v>0</v>
      </c>
      <c r="F1739" s="13">
        <v>0</v>
      </c>
      <c r="G1739" s="13">
        <v>0</v>
      </c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</row>
    <row r="1740" spans="1:19" x14ac:dyDescent="0.2">
      <c r="A1740" s="12" t="s">
        <v>286</v>
      </c>
      <c r="B1740" s="12" t="s">
        <v>553</v>
      </c>
      <c r="C1740" s="12" t="s">
        <v>564</v>
      </c>
      <c r="D1740" s="13">
        <v>15</v>
      </c>
      <c r="E1740" s="13">
        <v>14.061643999999999</v>
      </c>
      <c r="F1740" s="13">
        <v>10.893848</v>
      </c>
      <c r="G1740" s="13">
        <v>8.9066840000000003</v>
      </c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</row>
    <row r="1741" spans="1:19" x14ac:dyDescent="0.2">
      <c r="A1741" s="12" t="s">
        <v>286</v>
      </c>
      <c r="B1741" s="12" t="s">
        <v>553</v>
      </c>
      <c r="C1741" s="12" t="s">
        <v>565</v>
      </c>
      <c r="D1741" s="13">
        <v>0</v>
      </c>
      <c r="E1741" s="13">
        <v>8.2400000000000008E-3</v>
      </c>
      <c r="F1741" s="13">
        <v>8.8800000000000007E-3</v>
      </c>
      <c r="G1741" s="13">
        <v>8.8800000000000007E-3</v>
      </c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</row>
    <row r="1742" spans="1:19" x14ac:dyDescent="0.2">
      <c r="A1742" s="12" t="s">
        <v>286</v>
      </c>
      <c r="B1742" s="12" t="s">
        <v>553</v>
      </c>
      <c r="C1742" s="12" t="s">
        <v>566</v>
      </c>
      <c r="D1742" s="13" t="s">
        <v>575</v>
      </c>
      <c r="E1742" s="13" t="s">
        <v>575</v>
      </c>
      <c r="F1742" s="13" t="s">
        <v>575</v>
      </c>
      <c r="G1742" s="13">
        <v>0</v>
      </c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</row>
    <row r="1743" spans="1:19" x14ac:dyDescent="0.2">
      <c r="A1743" s="12" t="s">
        <v>286</v>
      </c>
      <c r="B1743" s="12" t="s">
        <v>567</v>
      </c>
      <c r="C1743" s="12" t="s">
        <v>554</v>
      </c>
      <c r="D1743" s="13">
        <v>0</v>
      </c>
      <c r="E1743" s="13">
        <v>0</v>
      </c>
      <c r="F1743" s="13">
        <v>0</v>
      </c>
      <c r="G1743" s="13">
        <v>0</v>
      </c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</row>
    <row r="1744" spans="1:19" x14ac:dyDescent="0.2">
      <c r="A1744" s="12" t="s">
        <v>286</v>
      </c>
      <c r="B1744" s="12" t="s">
        <v>567</v>
      </c>
      <c r="C1744" s="12" t="s">
        <v>555</v>
      </c>
      <c r="D1744" s="13">
        <v>124</v>
      </c>
      <c r="E1744" s="13">
        <v>127.297498</v>
      </c>
      <c r="F1744" s="13">
        <v>130.95297600000001</v>
      </c>
      <c r="G1744" s="13">
        <v>115.67095500000001</v>
      </c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</row>
    <row r="1745" spans="1:19" x14ac:dyDescent="0.2">
      <c r="A1745" s="12" t="s">
        <v>286</v>
      </c>
      <c r="B1745" s="12" t="s">
        <v>567</v>
      </c>
      <c r="C1745" s="12" t="s">
        <v>556</v>
      </c>
      <c r="D1745" s="13">
        <v>0</v>
      </c>
      <c r="E1745" s="13">
        <v>0</v>
      </c>
      <c r="F1745" s="13">
        <v>0</v>
      </c>
      <c r="G1745" s="13">
        <v>0</v>
      </c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</row>
    <row r="1746" spans="1:19" x14ac:dyDescent="0.2">
      <c r="A1746" s="12" t="s">
        <v>286</v>
      </c>
      <c r="B1746" s="12" t="s">
        <v>567</v>
      </c>
      <c r="C1746" s="12" t="s">
        <v>557</v>
      </c>
      <c r="D1746" s="13">
        <v>122</v>
      </c>
      <c r="E1746" s="13">
        <v>129.62347</v>
      </c>
      <c r="F1746" s="13">
        <v>127.620631</v>
      </c>
      <c r="G1746" s="13">
        <v>118.659631</v>
      </c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</row>
    <row r="1747" spans="1:19" x14ac:dyDescent="0.2">
      <c r="A1747" s="12" t="s">
        <v>286</v>
      </c>
      <c r="B1747" s="12" t="s">
        <v>567</v>
      </c>
      <c r="C1747" s="12" t="s">
        <v>558</v>
      </c>
      <c r="D1747" s="13">
        <v>0</v>
      </c>
      <c r="E1747" s="13">
        <v>0</v>
      </c>
      <c r="F1747" s="13">
        <v>0</v>
      </c>
      <c r="G1747" s="13">
        <v>0</v>
      </c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</row>
    <row r="1748" spans="1:19" x14ac:dyDescent="0.2">
      <c r="A1748" s="12" t="s">
        <v>286</v>
      </c>
      <c r="B1748" s="12" t="s">
        <v>567</v>
      </c>
      <c r="C1748" s="12" t="s">
        <v>560</v>
      </c>
      <c r="D1748" s="13">
        <v>-124</v>
      </c>
      <c r="E1748" s="13">
        <v>-130.99405300000001</v>
      </c>
      <c r="F1748" s="13">
        <v>-130.00302500000001</v>
      </c>
      <c r="G1748" s="13">
        <v>-121.302243</v>
      </c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</row>
    <row r="1749" spans="1:19" x14ac:dyDescent="0.2">
      <c r="A1749" s="12" t="s">
        <v>286</v>
      </c>
      <c r="B1749" s="12" t="s">
        <v>567</v>
      </c>
      <c r="C1749" s="12" t="s">
        <v>561</v>
      </c>
      <c r="D1749" s="13">
        <v>0</v>
      </c>
      <c r="E1749" s="13">
        <v>0</v>
      </c>
      <c r="F1749" s="13">
        <v>0</v>
      </c>
      <c r="G1749" s="13">
        <v>0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</row>
    <row r="1750" spans="1:19" x14ac:dyDescent="0.2">
      <c r="A1750" s="12" t="s">
        <v>286</v>
      </c>
      <c r="B1750" s="12" t="s">
        <v>567</v>
      </c>
      <c r="C1750" s="12" t="s">
        <v>562</v>
      </c>
      <c r="D1750" s="13">
        <v>0</v>
      </c>
      <c r="E1750" s="13">
        <v>0</v>
      </c>
      <c r="F1750" s="13">
        <v>0</v>
      </c>
      <c r="G1750" s="13">
        <v>0</v>
      </c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</row>
    <row r="1751" spans="1:19" x14ac:dyDescent="0.2">
      <c r="A1751" s="12" t="s">
        <v>286</v>
      </c>
      <c r="B1751" s="12" t="s">
        <v>567</v>
      </c>
      <c r="C1751" s="12" t="s">
        <v>563</v>
      </c>
      <c r="D1751" s="13">
        <v>0</v>
      </c>
      <c r="E1751" s="13">
        <v>0</v>
      </c>
      <c r="F1751" s="13">
        <v>0</v>
      </c>
      <c r="G1751" s="13">
        <v>0</v>
      </c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</row>
    <row r="1752" spans="1:19" x14ac:dyDescent="0.2">
      <c r="A1752" s="12" t="s">
        <v>286</v>
      </c>
      <c r="B1752" s="12" t="s">
        <v>567</v>
      </c>
      <c r="C1752" s="12" t="s">
        <v>564</v>
      </c>
      <c r="D1752" s="13">
        <v>0</v>
      </c>
      <c r="E1752" s="13">
        <v>0</v>
      </c>
      <c r="F1752" s="13">
        <v>0</v>
      </c>
      <c r="G1752" s="13">
        <v>0</v>
      </c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</row>
    <row r="1753" spans="1:19" x14ac:dyDescent="0.2">
      <c r="A1753" s="12" t="s">
        <v>286</v>
      </c>
      <c r="B1753" s="12" t="s">
        <v>567</v>
      </c>
      <c r="C1753" s="12" t="s">
        <v>565</v>
      </c>
      <c r="D1753" s="13">
        <v>0</v>
      </c>
      <c r="E1753" s="13">
        <v>0</v>
      </c>
      <c r="F1753" s="13">
        <v>0</v>
      </c>
      <c r="G1753" s="13">
        <v>0</v>
      </c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</row>
    <row r="1754" spans="1:19" x14ac:dyDescent="0.2">
      <c r="A1754" s="12" t="s">
        <v>286</v>
      </c>
      <c r="B1754" s="12" t="s">
        <v>567</v>
      </c>
      <c r="C1754" s="12" t="s">
        <v>566</v>
      </c>
      <c r="D1754" s="13">
        <v>0</v>
      </c>
      <c r="E1754" s="13">
        <v>0</v>
      </c>
      <c r="F1754" s="13">
        <v>0</v>
      </c>
      <c r="G1754" s="13">
        <v>0</v>
      </c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</row>
    <row r="1755" spans="1:19" x14ac:dyDescent="0.2">
      <c r="A1755" s="12" t="s">
        <v>286</v>
      </c>
      <c r="B1755" s="12" t="s">
        <v>568</v>
      </c>
      <c r="C1755" s="12" t="s">
        <v>554</v>
      </c>
      <c r="D1755" s="13">
        <v>0</v>
      </c>
      <c r="E1755" s="13">
        <v>0</v>
      </c>
      <c r="F1755" s="13">
        <v>0</v>
      </c>
      <c r="G1755" s="13">
        <v>0</v>
      </c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</row>
    <row r="1756" spans="1:19" x14ac:dyDescent="0.2">
      <c r="A1756" s="12" t="s">
        <v>286</v>
      </c>
      <c r="B1756" s="12" t="s">
        <v>568</v>
      </c>
      <c r="C1756" s="12" t="s">
        <v>555</v>
      </c>
      <c r="D1756" s="13">
        <v>213</v>
      </c>
      <c r="E1756" s="13">
        <v>221.087684</v>
      </c>
      <c r="F1756" s="13">
        <v>233.875159</v>
      </c>
      <c r="G1756" s="13">
        <v>232.64362399999999</v>
      </c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</row>
    <row r="1757" spans="1:19" x14ac:dyDescent="0.2">
      <c r="A1757" s="12" t="s">
        <v>286</v>
      </c>
      <c r="B1757" s="12" t="s">
        <v>568</v>
      </c>
      <c r="C1757" s="12" t="s">
        <v>556</v>
      </c>
      <c r="D1757" s="13">
        <v>-63</v>
      </c>
      <c r="E1757" s="13">
        <v>-66.50940700000001</v>
      </c>
      <c r="F1757" s="13">
        <v>-61.338679999999997</v>
      </c>
      <c r="G1757" s="13">
        <v>-49.434063000000002</v>
      </c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</row>
    <row r="1758" spans="1:19" x14ac:dyDescent="0.2">
      <c r="A1758" s="12" t="s">
        <v>286</v>
      </c>
      <c r="B1758" s="12" t="s">
        <v>568</v>
      </c>
      <c r="C1758" s="12" t="s">
        <v>557</v>
      </c>
      <c r="D1758" s="13">
        <v>121</v>
      </c>
      <c r="E1758" s="13">
        <v>131.79866799999999</v>
      </c>
      <c r="F1758" s="13">
        <v>127.37165</v>
      </c>
      <c r="G1758" s="13">
        <v>129.63870600000001</v>
      </c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</row>
    <row r="1759" spans="1:19" x14ac:dyDescent="0.2">
      <c r="A1759" s="12" t="s">
        <v>286</v>
      </c>
      <c r="B1759" s="12" t="s">
        <v>568</v>
      </c>
      <c r="C1759" s="12" t="s">
        <v>558</v>
      </c>
      <c r="D1759" s="13">
        <v>-4</v>
      </c>
      <c r="E1759" s="13">
        <v>-14.876981000000001</v>
      </c>
      <c r="F1759" s="13">
        <v>-10.498087</v>
      </c>
      <c r="G1759" s="13">
        <v>-2.316967</v>
      </c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</row>
    <row r="1760" spans="1:19" x14ac:dyDescent="0.2">
      <c r="A1760" s="12" t="s">
        <v>286</v>
      </c>
      <c r="B1760" s="12" t="s">
        <v>568</v>
      </c>
      <c r="C1760" s="12" t="s">
        <v>560</v>
      </c>
      <c r="D1760" s="13">
        <v>123</v>
      </c>
      <c r="E1760" s="13">
        <v>129.317294</v>
      </c>
      <c r="F1760" s="13">
        <v>128.72021799999999</v>
      </c>
      <c r="G1760" s="13">
        <v>120.304298</v>
      </c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</row>
    <row r="1761" spans="1:19" x14ac:dyDescent="0.2">
      <c r="A1761" s="12" t="s">
        <v>286</v>
      </c>
      <c r="B1761" s="12" t="s">
        <v>568</v>
      </c>
      <c r="C1761" s="12" t="s">
        <v>561</v>
      </c>
      <c r="D1761" s="13">
        <v>234</v>
      </c>
      <c r="E1761" s="13">
        <v>244.97818799999999</v>
      </c>
      <c r="F1761" s="13">
        <v>241.63673199999999</v>
      </c>
      <c r="G1761" s="13">
        <v>240.33895799999999</v>
      </c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</row>
    <row r="1762" spans="1:19" x14ac:dyDescent="0.2">
      <c r="A1762" s="12" t="s">
        <v>286</v>
      </c>
      <c r="B1762" s="12" t="s">
        <v>568</v>
      </c>
      <c r="C1762" s="12" t="s">
        <v>562</v>
      </c>
      <c r="D1762" s="13">
        <v>14</v>
      </c>
      <c r="E1762" s="13">
        <v>14.081917000000001</v>
      </c>
      <c r="F1762" s="13">
        <v>14.295669999999999</v>
      </c>
      <c r="G1762" s="13">
        <v>13.892308999999999</v>
      </c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</row>
    <row r="1763" spans="1:19" x14ac:dyDescent="0.2">
      <c r="A1763" s="12" t="s">
        <v>286</v>
      </c>
      <c r="B1763" s="12" t="s">
        <v>568</v>
      </c>
      <c r="C1763" s="12" t="s">
        <v>563</v>
      </c>
      <c r="D1763" s="13">
        <v>137</v>
      </c>
      <c r="E1763" s="13">
        <v>145.90956600000001</v>
      </c>
      <c r="F1763" s="13">
        <v>154.881246</v>
      </c>
      <c r="G1763" s="13">
        <v>155.33582799999999</v>
      </c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</row>
    <row r="1764" spans="1:19" x14ac:dyDescent="0.2">
      <c r="A1764" s="12" t="s">
        <v>286</v>
      </c>
      <c r="B1764" s="12" t="s">
        <v>568</v>
      </c>
      <c r="C1764" s="12" t="s">
        <v>564</v>
      </c>
      <c r="D1764" s="13">
        <v>58</v>
      </c>
      <c r="E1764" s="13">
        <v>52.244858000000001</v>
      </c>
      <c r="F1764" s="13">
        <v>43.654975999999998</v>
      </c>
      <c r="G1764" s="13">
        <v>43.366999999999997</v>
      </c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</row>
    <row r="1765" spans="1:19" x14ac:dyDescent="0.2">
      <c r="A1765" s="12" t="s">
        <v>286</v>
      </c>
      <c r="B1765" s="12" t="s">
        <v>568</v>
      </c>
      <c r="C1765" s="12" t="s">
        <v>565</v>
      </c>
      <c r="D1765" s="13">
        <v>8</v>
      </c>
      <c r="E1765" s="13">
        <v>8.0394389999999998</v>
      </c>
      <c r="F1765" s="13">
        <v>7.7796690000000002</v>
      </c>
      <c r="G1765" s="13">
        <v>7.969544</v>
      </c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</row>
    <row r="1766" spans="1:19" x14ac:dyDescent="0.2">
      <c r="A1766" s="12" t="s">
        <v>286</v>
      </c>
      <c r="B1766" s="12" t="s">
        <v>568</v>
      </c>
      <c r="C1766" s="12" t="s">
        <v>566</v>
      </c>
      <c r="D1766" s="13">
        <v>18</v>
      </c>
      <c r="E1766" s="13">
        <v>24.702408999999999</v>
      </c>
      <c r="F1766" s="13">
        <v>21.025175999999998</v>
      </c>
      <c r="G1766" s="13">
        <v>19.774281999999999</v>
      </c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</row>
    <row r="1767" spans="1:19" x14ac:dyDescent="0.2">
      <c r="A1767" s="12" t="s">
        <v>286</v>
      </c>
      <c r="B1767" s="12" t="s">
        <v>569</v>
      </c>
      <c r="C1767" s="12" t="s">
        <v>554</v>
      </c>
      <c r="D1767" s="13">
        <v>70</v>
      </c>
      <c r="E1767" s="13">
        <v>52.569892000000003</v>
      </c>
      <c r="F1767" s="13">
        <v>48.663980000000002</v>
      </c>
      <c r="G1767" s="13">
        <v>39.059361000000003</v>
      </c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</row>
    <row r="1768" spans="1:19" x14ac:dyDescent="0.2">
      <c r="A1768" s="12" t="s">
        <v>286</v>
      </c>
      <c r="B1768" s="12" t="s">
        <v>569</v>
      </c>
      <c r="C1768" s="12" t="s">
        <v>555</v>
      </c>
      <c r="D1768" s="13">
        <v>122</v>
      </c>
      <c r="E1768" s="13">
        <v>130.37010699999999</v>
      </c>
      <c r="F1768" s="13">
        <v>138.03662299999999</v>
      </c>
      <c r="G1768" s="13">
        <v>134.24669800000001</v>
      </c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</row>
    <row r="1769" spans="1:19" x14ac:dyDescent="0.2">
      <c r="A1769" s="12" t="s">
        <v>286</v>
      </c>
      <c r="B1769" s="12" t="s">
        <v>569</v>
      </c>
      <c r="C1769" s="12" t="s">
        <v>556</v>
      </c>
      <c r="D1769" s="13">
        <v>0</v>
      </c>
      <c r="E1769" s="13">
        <v>0</v>
      </c>
      <c r="F1769" s="13">
        <v>0</v>
      </c>
      <c r="G1769" s="13">
        <v>0</v>
      </c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</row>
    <row r="1770" spans="1:19" x14ac:dyDescent="0.2">
      <c r="A1770" s="12" t="s">
        <v>286</v>
      </c>
      <c r="B1770" s="12" t="s">
        <v>569</v>
      </c>
      <c r="C1770" s="12" t="s">
        <v>557</v>
      </c>
      <c r="D1770" s="13">
        <v>191</v>
      </c>
      <c r="E1770" s="13">
        <v>182.93999400000001</v>
      </c>
      <c r="F1770" s="13">
        <v>186.700603</v>
      </c>
      <c r="G1770" s="13">
        <v>173.30606299999999</v>
      </c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</row>
    <row r="1771" spans="1:19" x14ac:dyDescent="0.2">
      <c r="A1771" s="12" t="s">
        <v>286</v>
      </c>
      <c r="B1771" s="12" t="s">
        <v>569</v>
      </c>
      <c r="C1771" s="12" t="s">
        <v>558</v>
      </c>
      <c r="D1771" s="13">
        <v>-107</v>
      </c>
      <c r="E1771" s="13">
        <v>-98.026180999999994</v>
      </c>
      <c r="F1771" s="13">
        <v>-108.52497099999999</v>
      </c>
      <c r="G1771" s="13">
        <v>-101.158765</v>
      </c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</row>
    <row r="1772" spans="1:19" x14ac:dyDescent="0.2">
      <c r="A1772" s="12" t="s">
        <v>286</v>
      </c>
      <c r="B1772" s="12" t="s">
        <v>569</v>
      </c>
      <c r="C1772" s="12" t="s">
        <v>560</v>
      </c>
      <c r="D1772" s="13">
        <v>0</v>
      </c>
      <c r="E1772" s="13">
        <v>0</v>
      </c>
      <c r="F1772" s="13">
        <v>0</v>
      </c>
      <c r="G1772" s="13">
        <v>0</v>
      </c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</row>
    <row r="1773" spans="1:19" x14ac:dyDescent="0.2">
      <c r="A1773" s="12" t="s">
        <v>286</v>
      </c>
      <c r="B1773" s="12" t="s">
        <v>569</v>
      </c>
      <c r="C1773" s="12" t="s">
        <v>561</v>
      </c>
      <c r="D1773" s="13">
        <v>82</v>
      </c>
      <c r="E1773" s="13">
        <v>81.15445299999999</v>
      </c>
      <c r="F1773" s="13">
        <v>75.371762000000004</v>
      </c>
      <c r="G1773" s="13">
        <v>69.310996000000003</v>
      </c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</row>
    <row r="1774" spans="1:19" x14ac:dyDescent="0.2">
      <c r="A1774" s="12" t="s">
        <v>286</v>
      </c>
      <c r="B1774" s="12" t="s">
        <v>569</v>
      </c>
      <c r="C1774" s="12" t="s">
        <v>562</v>
      </c>
      <c r="D1774" s="13">
        <v>43</v>
      </c>
      <c r="E1774" s="13">
        <v>40.961678999999997</v>
      </c>
      <c r="F1774" s="13">
        <v>37.629559999999998</v>
      </c>
      <c r="G1774" s="13">
        <v>35.540284</v>
      </c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</row>
    <row r="1775" spans="1:19" x14ac:dyDescent="0.2">
      <c r="A1775" s="12" t="s">
        <v>286</v>
      </c>
      <c r="B1775" s="12" t="s">
        <v>569</v>
      </c>
      <c r="C1775" s="12" t="s">
        <v>563</v>
      </c>
      <c r="D1775" s="13">
        <v>1</v>
      </c>
      <c r="E1775" s="13">
        <v>0.71678399999999998</v>
      </c>
      <c r="F1775" s="13">
        <v>0.74509100000000006</v>
      </c>
      <c r="G1775" s="13">
        <v>0.70844799999999997</v>
      </c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</row>
    <row r="1776" spans="1:19" x14ac:dyDescent="0.2">
      <c r="A1776" s="12" t="s">
        <v>286</v>
      </c>
      <c r="B1776" s="12" t="s">
        <v>569</v>
      </c>
      <c r="C1776" s="12" t="s">
        <v>564</v>
      </c>
      <c r="D1776" s="13">
        <v>25</v>
      </c>
      <c r="E1776" s="13">
        <v>24.860807999999999</v>
      </c>
      <c r="F1776" s="13">
        <v>22.55425</v>
      </c>
      <c r="G1776" s="13">
        <v>19.421690000000002</v>
      </c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</row>
    <row r="1777" spans="1:19" x14ac:dyDescent="0.2">
      <c r="A1777" s="12" t="s">
        <v>286</v>
      </c>
      <c r="B1777" s="12" t="s">
        <v>569</v>
      </c>
      <c r="C1777" s="12" t="s">
        <v>565</v>
      </c>
      <c r="D1777" s="13">
        <v>13</v>
      </c>
      <c r="E1777" s="13">
        <v>14.615181</v>
      </c>
      <c r="F1777" s="13">
        <v>14.442861000000001</v>
      </c>
      <c r="G1777" s="13">
        <v>13.640573</v>
      </c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</row>
    <row r="1778" spans="1:19" x14ac:dyDescent="0.2">
      <c r="A1778" s="12" t="s">
        <v>286</v>
      </c>
      <c r="B1778" s="12" t="s">
        <v>569</v>
      </c>
      <c r="C1778" s="12" t="s">
        <v>566</v>
      </c>
      <c r="D1778" s="13">
        <v>0</v>
      </c>
      <c r="E1778" s="13">
        <v>0</v>
      </c>
      <c r="F1778" s="13">
        <v>0</v>
      </c>
      <c r="G1778" s="13">
        <v>0</v>
      </c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</row>
    <row r="1779" spans="1:19" x14ac:dyDescent="0.2">
      <c r="A1779" s="12" t="s">
        <v>286</v>
      </c>
      <c r="B1779" s="12" t="s">
        <v>570</v>
      </c>
      <c r="C1779" s="12" t="s">
        <v>554</v>
      </c>
      <c r="D1779" s="13">
        <v>0</v>
      </c>
      <c r="E1779" s="13">
        <v>0</v>
      </c>
      <c r="F1779" s="13">
        <v>0</v>
      </c>
      <c r="G1779" s="13">
        <v>0</v>
      </c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</row>
    <row r="1780" spans="1:19" x14ac:dyDescent="0.2">
      <c r="A1780" s="12" t="s">
        <v>286</v>
      </c>
      <c r="B1780" s="12" t="s">
        <v>570</v>
      </c>
      <c r="C1780" s="12" t="s">
        <v>555</v>
      </c>
      <c r="D1780" s="13">
        <v>0</v>
      </c>
      <c r="E1780" s="13">
        <v>0</v>
      </c>
      <c r="F1780" s="13">
        <v>0</v>
      </c>
      <c r="G1780" s="13">
        <v>0</v>
      </c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</row>
    <row r="1781" spans="1:19" x14ac:dyDescent="0.2">
      <c r="A1781" s="12" t="s">
        <v>286</v>
      </c>
      <c r="B1781" s="12" t="s">
        <v>570</v>
      </c>
      <c r="C1781" s="12" t="s">
        <v>556</v>
      </c>
      <c r="D1781" s="13">
        <v>0</v>
      </c>
      <c r="E1781" s="13">
        <v>0</v>
      </c>
      <c r="F1781" s="13">
        <v>0</v>
      </c>
      <c r="G1781" s="13">
        <v>0</v>
      </c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</row>
    <row r="1782" spans="1:19" x14ac:dyDescent="0.2">
      <c r="A1782" s="12" t="s">
        <v>286</v>
      </c>
      <c r="B1782" s="12" t="s">
        <v>570</v>
      </c>
      <c r="C1782" s="12" t="s">
        <v>557</v>
      </c>
      <c r="D1782" s="13">
        <v>0</v>
      </c>
      <c r="E1782" s="13">
        <v>0</v>
      </c>
      <c r="F1782" s="13">
        <v>0</v>
      </c>
      <c r="G1782" s="13">
        <v>0</v>
      </c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</row>
    <row r="1783" spans="1:19" x14ac:dyDescent="0.2">
      <c r="A1783" s="12" t="s">
        <v>286</v>
      </c>
      <c r="B1783" s="12" t="s">
        <v>570</v>
      </c>
      <c r="C1783" s="12" t="s">
        <v>558</v>
      </c>
      <c r="D1783" s="13">
        <v>0</v>
      </c>
      <c r="E1783" s="13">
        <v>0</v>
      </c>
      <c r="F1783" s="13">
        <v>0</v>
      </c>
      <c r="G1783" s="13">
        <v>0</v>
      </c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</row>
    <row r="1784" spans="1:19" x14ac:dyDescent="0.2">
      <c r="A1784" s="12" t="s">
        <v>286</v>
      </c>
      <c r="B1784" s="12" t="s">
        <v>570</v>
      </c>
      <c r="C1784" s="12" t="s">
        <v>560</v>
      </c>
      <c r="D1784" s="13">
        <v>0</v>
      </c>
      <c r="E1784" s="13">
        <v>0</v>
      </c>
      <c r="F1784" s="13">
        <v>0</v>
      </c>
      <c r="G1784" s="13">
        <v>0</v>
      </c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</row>
    <row r="1785" spans="1:19" x14ac:dyDescent="0.2">
      <c r="A1785" s="12" t="s">
        <v>286</v>
      </c>
      <c r="B1785" s="12" t="s">
        <v>570</v>
      </c>
      <c r="C1785" s="12" t="s">
        <v>561</v>
      </c>
      <c r="D1785" s="13">
        <v>0</v>
      </c>
      <c r="E1785" s="13">
        <v>0</v>
      </c>
      <c r="F1785" s="13">
        <v>0</v>
      </c>
      <c r="G1785" s="13">
        <v>0</v>
      </c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</row>
    <row r="1786" spans="1:19" x14ac:dyDescent="0.2">
      <c r="A1786" s="12" t="s">
        <v>286</v>
      </c>
      <c r="B1786" s="12" t="s">
        <v>570</v>
      </c>
      <c r="C1786" s="12" t="s">
        <v>562</v>
      </c>
      <c r="D1786" s="13">
        <v>0</v>
      </c>
      <c r="E1786" s="13">
        <v>0</v>
      </c>
      <c r="F1786" s="13">
        <v>0</v>
      </c>
      <c r="G1786" s="13">
        <v>0</v>
      </c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</row>
    <row r="1787" spans="1:19" x14ac:dyDescent="0.2">
      <c r="A1787" s="12" t="s">
        <v>286</v>
      </c>
      <c r="B1787" s="12" t="s">
        <v>570</v>
      </c>
      <c r="C1787" s="12" t="s">
        <v>563</v>
      </c>
      <c r="D1787" s="13">
        <v>0</v>
      </c>
      <c r="E1787" s="13">
        <v>0</v>
      </c>
      <c r="F1787" s="13">
        <v>0</v>
      </c>
      <c r="G1787" s="13">
        <v>0</v>
      </c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</row>
    <row r="1788" spans="1:19" x14ac:dyDescent="0.2">
      <c r="A1788" s="12" t="s">
        <v>286</v>
      </c>
      <c r="B1788" s="12" t="s">
        <v>570</v>
      </c>
      <c r="C1788" s="12" t="s">
        <v>564</v>
      </c>
      <c r="D1788" s="13">
        <v>0</v>
      </c>
      <c r="E1788" s="13">
        <v>0</v>
      </c>
      <c r="F1788" s="13">
        <v>0</v>
      </c>
      <c r="G1788" s="13">
        <v>0</v>
      </c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</row>
    <row r="1789" spans="1:19" x14ac:dyDescent="0.2">
      <c r="A1789" s="12" t="s">
        <v>286</v>
      </c>
      <c r="B1789" s="12" t="s">
        <v>570</v>
      </c>
      <c r="C1789" s="12" t="s">
        <v>565</v>
      </c>
      <c r="D1789" s="13">
        <v>0</v>
      </c>
      <c r="E1789" s="13">
        <v>0</v>
      </c>
      <c r="F1789" s="13">
        <v>0</v>
      </c>
      <c r="G1789" s="13">
        <v>0</v>
      </c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</row>
    <row r="1790" spans="1:19" x14ac:dyDescent="0.2">
      <c r="A1790" s="12" t="s">
        <v>286</v>
      </c>
      <c r="B1790" s="12" t="s">
        <v>570</v>
      </c>
      <c r="C1790" s="12" t="s">
        <v>566</v>
      </c>
      <c r="D1790" s="13">
        <v>0</v>
      </c>
      <c r="E1790" s="13">
        <v>0</v>
      </c>
      <c r="F1790" s="13">
        <v>0</v>
      </c>
      <c r="G1790" s="13">
        <v>0</v>
      </c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</row>
    <row r="1791" spans="1:19" x14ac:dyDescent="0.2">
      <c r="A1791" s="12" t="s">
        <v>286</v>
      </c>
      <c r="B1791" s="12" t="s">
        <v>571</v>
      </c>
      <c r="C1791" s="12" t="s">
        <v>554</v>
      </c>
      <c r="D1791" s="13">
        <v>73</v>
      </c>
      <c r="E1791" s="13">
        <v>66.647254000000004</v>
      </c>
      <c r="F1791" s="13">
        <v>73.935378999999998</v>
      </c>
      <c r="G1791" s="13">
        <v>76.651603000000009</v>
      </c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</row>
    <row r="1792" spans="1:19" x14ac:dyDescent="0.2">
      <c r="A1792" s="12" t="s">
        <v>286</v>
      </c>
      <c r="B1792" s="12" t="s">
        <v>571</v>
      </c>
      <c r="C1792" s="12" t="s">
        <v>555</v>
      </c>
      <c r="D1792" s="13">
        <v>8</v>
      </c>
      <c r="E1792" s="13">
        <v>6.3143479999999998</v>
      </c>
      <c r="F1792" s="13">
        <v>7.5510359999999999</v>
      </c>
      <c r="G1792" s="13">
        <v>10.662469</v>
      </c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</row>
    <row r="1793" spans="1:19" x14ac:dyDescent="0.2">
      <c r="A1793" s="12" t="s">
        <v>286</v>
      </c>
      <c r="B1793" s="12" t="s">
        <v>571</v>
      </c>
      <c r="C1793" s="12" t="s">
        <v>556</v>
      </c>
      <c r="D1793" s="13">
        <v>-1</v>
      </c>
      <c r="E1793" s="13">
        <v>-0.73347700000000005</v>
      </c>
      <c r="F1793" s="13">
        <v>-0.61129800000000001</v>
      </c>
      <c r="G1793" s="13">
        <v>-0.68884600000000007</v>
      </c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</row>
    <row r="1794" spans="1:19" x14ac:dyDescent="0.2">
      <c r="A1794" s="12" t="s">
        <v>286</v>
      </c>
      <c r="B1794" s="12" t="s">
        <v>571</v>
      </c>
      <c r="C1794" s="12" t="s">
        <v>557</v>
      </c>
      <c r="D1794" s="13">
        <v>80</v>
      </c>
      <c r="E1794" s="13">
        <v>72.373641000000006</v>
      </c>
      <c r="F1794" s="13">
        <v>80.344377000000009</v>
      </c>
      <c r="G1794" s="13">
        <v>86.605874999999997</v>
      </c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</row>
    <row r="1795" spans="1:19" x14ac:dyDescent="0.2">
      <c r="A1795" s="12" t="s">
        <v>286</v>
      </c>
      <c r="B1795" s="12" t="s">
        <v>571</v>
      </c>
      <c r="C1795" s="12" t="s">
        <v>558</v>
      </c>
      <c r="D1795" s="13">
        <v>-60</v>
      </c>
      <c r="E1795" s="13">
        <v>-52.476275000000001</v>
      </c>
      <c r="F1795" s="13">
        <v>-58.023547000000001</v>
      </c>
      <c r="G1795" s="13">
        <v>-61.181244</v>
      </c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</row>
    <row r="1796" spans="1:19" x14ac:dyDescent="0.2">
      <c r="A1796" s="12" t="s">
        <v>286</v>
      </c>
      <c r="B1796" s="12" t="s">
        <v>571</v>
      </c>
      <c r="C1796" s="12" t="s">
        <v>560</v>
      </c>
      <c r="D1796" s="13">
        <v>0</v>
      </c>
      <c r="E1796" s="13">
        <v>0</v>
      </c>
      <c r="F1796" s="13">
        <v>0</v>
      </c>
      <c r="G1796" s="13">
        <v>0</v>
      </c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</row>
    <row r="1797" spans="1:19" x14ac:dyDescent="0.2">
      <c r="A1797" s="12" t="s">
        <v>286</v>
      </c>
      <c r="B1797" s="12" t="s">
        <v>571</v>
      </c>
      <c r="C1797" s="12" t="s">
        <v>561</v>
      </c>
      <c r="D1797" s="13">
        <v>20</v>
      </c>
      <c r="E1797" s="13">
        <v>19.951771999999998</v>
      </c>
      <c r="F1797" s="13">
        <v>22.192481000000001</v>
      </c>
      <c r="G1797" s="13">
        <v>25.566711000000002</v>
      </c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</row>
    <row r="1798" spans="1:19" x14ac:dyDescent="0.2">
      <c r="A1798" s="12" t="s">
        <v>286</v>
      </c>
      <c r="B1798" s="12" t="s">
        <v>571</v>
      </c>
      <c r="C1798" s="12" t="s">
        <v>562</v>
      </c>
      <c r="D1798" s="13">
        <v>10</v>
      </c>
      <c r="E1798" s="13">
        <v>9.7140629999999994</v>
      </c>
      <c r="F1798" s="13">
        <v>10.067387</v>
      </c>
      <c r="G1798" s="13">
        <v>10.280767000000001</v>
      </c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</row>
    <row r="1799" spans="1:19" x14ac:dyDescent="0.2">
      <c r="A1799" s="12" t="s">
        <v>286</v>
      </c>
      <c r="B1799" s="12" t="s">
        <v>571</v>
      </c>
      <c r="C1799" s="12" t="s">
        <v>563</v>
      </c>
      <c r="D1799" s="13">
        <v>7</v>
      </c>
      <c r="E1799" s="13">
        <v>7.5523210000000001</v>
      </c>
      <c r="F1799" s="13">
        <v>9.4901990000000005</v>
      </c>
      <c r="G1799" s="13">
        <v>12.639999</v>
      </c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</row>
    <row r="1800" spans="1:19" x14ac:dyDescent="0.2">
      <c r="A1800" s="12" t="s">
        <v>286</v>
      </c>
      <c r="B1800" s="12" t="s">
        <v>571</v>
      </c>
      <c r="C1800" s="12" t="s">
        <v>564</v>
      </c>
      <c r="D1800" s="13">
        <v>2</v>
      </c>
      <c r="E1800" s="13">
        <v>1.6824570000000001</v>
      </c>
      <c r="F1800" s="13">
        <v>1.5586739999999999</v>
      </c>
      <c r="G1800" s="13">
        <v>1.6319729999999999</v>
      </c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</row>
    <row r="1801" spans="1:19" x14ac:dyDescent="0.2">
      <c r="A1801" s="12" t="s">
        <v>286</v>
      </c>
      <c r="B1801" s="12" t="s">
        <v>571</v>
      </c>
      <c r="C1801" s="12" t="s">
        <v>565</v>
      </c>
      <c r="D1801" s="13">
        <v>1</v>
      </c>
      <c r="E1801" s="13">
        <v>1.0029269999999999</v>
      </c>
      <c r="F1801" s="13">
        <v>1.076225</v>
      </c>
      <c r="G1801" s="13">
        <v>1.013968</v>
      </c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</row>
    <row r="1802" spans="1:19" x14ac:dyDescent="0.2">
      <c r="A1802" s="12" t="s">
        <v>286</v>
      </c>
      <c r="B1802" s="12" t="s">
        <v>571</v>
      </c>
      <c r="C1802" s="12" t="s">
        <v>566</v>
      </c>
      <c r="D1802" s="13">
        <v>0</v>
      </c>
      <c r="E1802" s="13">
        <v>0</v>
      </c>
      <c r="F1802" s="13">
        <v>0</v>
      </c>
      <c r="G1802" s="13">
        <v>0</v>
      </c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</row>
    <row r="1803" spans="1:19" x14ac:dyDescent="0.2">
      <c r="A1803" s="12" t="s">
        <v>286</v>
      </c>
      <c r="B1803" s="12" t="s">
        <v>572</v>
      </c>
      <c r="C1803" s="12" t="s">
        <v>554</v>
      </c>
      <c r="D1803" s="13">
        <v>0</v>
      </c>
      <c r="E1803" s="13">
        <v>0</v>
      </c>
      <c r="F1803" s="13">
        <v>0</v>
      </c>
      <c r="G1803" s="13">
        <v>0</v>
      </c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</row>
    <row r="1804" spans="1:19" x14ac:dyDescent="0.2">
      <c r="A1804" s="12" t="s">
        <v>286</v>
      </c>
      <c r="B1804" s="12" t="s">
        <v>572</v>
      </c>
      <c r="C1804" s="12" t="s">
        <v>555</v>
      </c>
      <c r="D1804" s="13">
        <v>6</v>
      </c>
      <c r="E1804" s="13">
        <v>8.8225759999999998</v>
      </c>
      <c r="F1804" s="13">
        <v>5.6938639999999996</v>
      </c>
      <c r="G1804" s="13">
        <v>13.396207</v>
      </c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</row>
    <row r="1805" spans="1:19" x14ac:dyDescent="0.2">
      <c r="A1805" s="12" t="s">
        <v>286</v>
      </c>
      <c r="B1805" s="12" t="s">
        <v>572</v>
      </c>
      <c r="C1805" s="12" t="s">
        <v>556</v>
      </c>
      <c r="D1805" s="13">
        <v>-7</v>
      </c>
      <c r="E1805" s="13">
        <v>-3.1072380000000002</v>
      </c>
      <c r="F1805" s="13">
        <v>-4.787032</v>
      </c>
      <c r="G1805" s="13">
        <v>-1.6071029999999999</v>
      </c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</row>
    <row r="1806" spans="1:19" x14ac:dyDescent="0.2">
      <c r="A1806" s="12" t="s">
        <v>286</v>
      </c>
      <c r="B1806" s="12" t="s">
        <v>572</v>
      </c>
      <c r="C1806" s="12" t="s">
        <v>557</v>
      </c>
      <c r="D1806" s="13">
        <v>-1</v>
      </c>
      <c r="E1806" s="13">
        <v>5.7153340000000004</v>
      </c>
      <c r="F1806" s="13">
        <v>0.90683199999999997</v>
      </c>
      <c r="G1806" s="13">
        <v>11.789104</v>
      </c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</row>
    <row r="1807" spans="1:19" x14ac:dyDescent="0.2">
      <c r="A1807" s="12" t="s">
        <v>286</v>
      </c>
      <c r="B1807" s="12" t="s">
        <v>572</v>
      </c>
      <c r="C1807" s="12" t="s">
        <v>558</v>
      </c>
      <c r="D1807" s="13">
        <v>116</v>
      </c>
      <c r="E1807" s="13">
        <v>114.27064300000001</v>
      </c>
      <c r="F1807" s="13">
        <v>121.67356599999999</v>
      </c>
      <c r="G1807" s="13">
        <v>113.60919800000001</v>
      </c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</row>
    <row r="1808" spans="1:19" x14ac:dyDescent="0.2">
      <c r="A1808" s="12" t="s">
        <v>286</v>
      </c>
      <c r="B1808" s="12" t="s">
        <v>572</v>
      </c>
      <c r="C1808" s="12" t="s">
        <v>560</v>
      </c>
      <c r="D1808" s="13">
        <v>0</v>
      </c>
      <c r="E1808" s="13">
        <v>0</v>
      </c>
      <c r="F1808" s="13">
        <v>0</v>
      </c>
      <c r="G1808" s="13">
        <v>0</v>
      </c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</row>
    <row r="1809" spans="1:19" x14ac:dyDescent="0.2">
      <c r="A1809" s="12" t="s">
        <v>286</v>
      </c>
      <c r="B1809" s="12" t="s">
        <v>572</v>
      </c>
      <c r="C1809" s="12" t="s">
        <v>561</v>
      </c>
      <c r="D1809" s="13">
        <v>103</v>
      </c>
      <c r="E1809" s="13">
        <v>107.710082</v>
      </c>
      <c r="F1809" s="13">
        <v>109.15630299999999</v>
      </c>
      <c r="G1809" s="13">
        <v>113.63652999999999</v>
      </c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</row>
    <row r="1810" spans="1:19" x14ac:dyDescent="0.2">
      <c r="A1810" s="12" t="s">
        <v>286</v>
      </c>
      <c r="B1810" s="12" t="s">
        <v>572</v>
      </c>
      <c r="C1810" s="12" t="s">
        <v>562</v>
      </c>
      <c r="D1810" s="13">
        <v>24</v>
      </c>
      <c r="E1810" s="13">
        <v>24.451125999999999</v>
      </c>
      <c r="F1810" s="13">
        <v>23.806279</v>
      </c>
      <c r="G1810" s="13">
        <v>24.140536000000001</v>
      </c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</row>
    <row r="1811" spans="1:19" x14ac:dyDescent="0.2">
      <c r="A1811" s="12" t="s">
        <v>286</v>
      </c>
      <c r="B1811" s="12" t="s">
        <v>572</v>
      </c>
      <c r="C1811" s="12" t="s">
        <v>563</v>
      </c>
      <c r="D1811" s="13">
        <v>0</v>
      </c>
      <c r="E1811" s="13">
        <v>0.53235199999999994</v>
      </c>
      <c r="F1811" s="13">
        <v>0.79789900000000002</v>
      </c>
      <c r="G1811" s="13">
        <v>1.1832990000000001</v>
      </c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</row>
    <row r="1812" spans="1:19" x14ac:dyDescent="0.2">
      <c r="A1812" s="12" t="s">
        <v>286</v>
      </c>
      <c r="B1812" s="12" t="s">
        <v>572</v>
      </c>
      <c r="C1812" s="12" t="s">
        <v>564</v>
      </c>
      <c r="D1812" s="13">
        <v>31</v>
      </c>
      <c r="E1812" s="13">
        <v>31.495479</v>
      </c>
      <c r="F1812" s="13">
        <v>29.571825</v>
      </c>
      <c r="G1812" s="13">
        <v>29.097166999999999</v>
      </c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</row>
    <row r="1813" spans="1:19" x14ac:dyDescent="0.2">
      <c r="A1813" s="12" t="s">
        <v>286</v>
      </c>
      <c r="B1813" s="12" t="s">
        <v>572</v>
      </c>
      <c r="C1813" s="12" t="s">
        <v>565</v>
      </c>
      <c r="D1813" s="13">
        <v>45</v>
      </c>
      <c r="E1813" s="13">
        <v>49.237036000000003</v>
      </c>
      <c r="F1813" s="13">
        <v>53.056356000000001</v>
      </c>
      <c r="G1813" s="13">
        <v>57.360483000000002</v>
      </c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</row>
    <row r="1814" spans="1:19" x14ac:dyDescent="0.2">
      <c r="A1814" s="12" t="s">
        <v>286</v>
      </c>
      <c r="B1814" s="12" t="s">
        <v>572</v>
      </c>
      <c r="C1814" s="12" t="s">
        <v>566</v>
      </c>
      <c r="D1814" s="13">
        <v>2</v>
      </c>
      <c r="E1814" s="13">
        <v>1.9940850000000001</v>
      </c>
      <c r="F1814" s="13">
        <v>1.9239390000000001</v>
      </c>
      <c r="G1814" s="13">
        <v>1.8550500000000001</v>
      </c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</row>
    <row r="1815" spans="1:19" x14ac:dyDescent="0.2">
      <c r="A1815" s="12" t="s">
        <v>286</v>
      </c>
      <c r="B1815" s="12" t="s">
        <v>573</v>
      </c>
      <c r="C1815" s="12" t="s">
        <v>554</v>
      </c>
      <c r="D1815" s="13">
        <v>0</v>
      </c>
      <c r="E1815" s="13">
        <v>0</v>
      </c>
      <c r="F1815" s="13">
        <v>0</v>
      </c>
      <c r="G1815" s="13">
        <v>0</v>
      </c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</row>
    <row r="1816" spans="1:19" x14ac:dyDescent="0.2">
      <c r="A1816" s="12" t="s">
        <v>286</v>
      </c>
      <c r="B1816" s="12" t="s">
        <v>573</v>
      </c>
      <c r="C1816" s="12" t="s">
        <v>555</v>
      </c>
      <c r="D1816" s="13">
        <v>0</v>
      </c>
      <c r="E1816" s="13">
        <v>0</v>
      </c>
      <c r="F1816" s="13">
        <v>0</v>
      </c>
      <c r="G1816" s="13">
        <v>0</v>
      </c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</row>
    <row r="1817" spans="1:19" x14ac:dyDescent="0.2">
      <c r="A1817" s="12" t="s">
        <v>286</v>
      </c>
      <c r="B1817" s="12" t="s">
        <v>573</v>
      </c>
      <c r="C1817" s="12" t="s">
        <v>556</v>
      </c>
      <c r="D1817" s="13">
        <v>0</v>
      </c>
      <c r="E1817" s="13">
        <v>0</v>
      </c>
      <c r="F1817" s="13">
        <v>0</v>
      </c>
      <c r="G1817" s="13">
        <v>0</v>
      </c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</row>
    <row r="1818" spans="1:19" x14ac:dyDescent="0.2">
      <c r="A1818" s="12" t="s">
        <v>286</v>
      </c>
      <c r="B1818" s="12" t="s">
        <v>573</v>
      </c>
      <c r="C1818" s="12" t="s">
        <v>557</v>
      </c>
      <c r="D1818" s="13">
        <v>0</v>
      </c>
      <c r="E1818" s="13">
        <v>0</v>
      </c>
      <c r="F1818" s="13">
        <v>0</v>
      </c>
      <c r="G1818" s="13">
        <v>0</v>
      </c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</row>
    <row r="1819" spans="1:19" x14ac:dyDescent="0.2">
      <c r="A1819" s="12" t="s">
        <v>286</v>
      </c>
      <c r="B1819" s="12" t="s">
        <v>573</v>
      </c>
      <c r="C1819" s="12" t="s">
        <v>558</v>
      </c>
      <c r="D1819" s="13">
        <v>0</v>
      </c>
      <c r="E1819" s="13">
        <v>0</v>
      </c>
      <c r="F1819" s="13">
        <v>0</v>
      </c>
      <c r="G1819" s="13">
        <v>0</v>
      </c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</row>
    <row r="1820" spans="1:19" x14ac:dyDescent="0.2">
      <c r="A1820" s="12" t="s">
        <v>286</v>
      </c>
      <c r="B1820" s="12" t="s">
        <v>573</v>
      </c>
      <c r="C1820" s="12" t="s">
        <v>560</v>
      </c>
      <c r="D1820" s="13">
        <v>0</v>
      </c>
      <c r="E1820" s="13">
        <v>0</v>
      </c>
      <c r="F1820" s="13">
        <v>0</v>
      </c>
      <c r="G1820" s="13">
        <v>0</v>
      </c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</row>
    <row r="1821" spans="1:19" x14ac:dyDescent="0.2">
      <c r="A1821" s="12" t="s">
        <v>286</v>
      </c>
      <c r="B1821" s="12" t="s">
        <v>573</v>
      </c>
      <c r="C1821" s="12" t="s">
        <v>561</v>
      </c>
      <c r="D1821" s="13">
        <v>0</v>
      </c>
      <c r="E1821" s="13">
        <v>0</v>
      </c>
      <c r="F1821" s="13">
        <v>0</v>
      </c>
      <c r="G1821" s="13">
        <v>0</v>
      </c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</row>
    <row r="1822" spans="1:19" x14ac:dyDescent="0.2">
      <c r="A1822" s="12" t="s">
        <v>286</v>
      </c>
      <c r="B1822" s="12" t="s">
        <v>573</v>
      </c>
      <c r="C1822" s="12" t="s">
        <v>562</v>
      </c>
      <c r="D1822" s="13">
        <v>0</v>
      </c>
      <c r="E1822" s="13">
        <v>0</v>
      </c>
      <c r="F1822" s="13">
        <v>0</v>
      </c>
      <c r="G1822" s="13">
        <v>0</v>
      </c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</row>
    <row r="1823" spans="1:19" x14ac:dyDescent="0.2">
      <c r="A1823" s="12" t="s">
        <v>286</v>
      </c>
      <c r="B1823" s="12" t="s">
        <v>573</v>
      </c>
      <c r="C1823" s="12" t="s">
        <v>563</v>
      </c>
      <c r="D1823" s="13">
        <v>0</v>
      </c>
      <c r="E1823" s="13">
        <v>0</v>
      </c>
      <c r="F1823" s="13">
        <v>0</v>
      </c>
      <c r="G1823" s="13">
        <v>0</v>
      </c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</row>
    <row r="1824" spans="1:19" x14ac:dyDescent="0.2">
      <c r="A1824" s="12" t="s">
        <v>286</v>
      </c>
      <c r="B1824" s="12" t="s">
        <v>573</v>
      </c>
      <c r="C1824" s="12" t="s">
        <v>564</v>
      </c>
      <c r="D1824" s="13">
        <v>0</v>
      </c>
      <c r="E1824" s="13">
        <v>0</v>
      </c>
      <c r="F1824" s="13">
        <v>0</v>
      </c>
      <c r="G1824" s="13">
        <v>0</v>
      </c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</row>
    <row r="1825" spans="1:19" x14ac:dyDescent="0.2">
      <c r="A1825" s="12" t="s">
        <v>286</v>
      </c>
      <c r="B1825" s="12" t="s">
        <v>573</v>
      </c>
      <c r="C1825" s="12" t="s">
        <v>565</v>
      </c>
      <c r="D1825" s="13">
        <v>0</v>
      </c>
      <c r="E1825" s="13">
        <v>0</v>
      </c>
      <c r="F1825" s="13">
        <v>0</v>
      </c>
      <c r="G1825" s="13">
        <v>0</v>
      </c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</row>
    <row r="1826" spans="1:19" x14ac:dyDescent="0.2">
      <c r="A1826" s="12" t="s">
        <v>286</v>
      </c>
      <c r="B1826" s="12" t="s">
        <v>573</v>
      </c>
      <c r="C1826" s="12" t="s">
        <v>566</v>
      </c>
      <c r="D1826" s="13">
        <v>0</v>
      </c>
      <c r="E1826" s="13">
        <v>0</v>
      </c>
      <c r="F1826" s="13">
        <v>0</v>
      </c>
      <c r="G1826" s="13">
        <v>0</v>
      </c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</row>
    <row r="1827" spans="1:19" x14ac:dyDescent="0.2">
      <c r="A1827" s="12" t="s">
        <v>286</v>
      </c>
      <c r="B1827" s="12" t="s">
        <v>574</v>
      </c>
      <c r="C1827" s="12" t="s">
        <v>554</v>
      </c>
      <c r="D1827" s="13">
        <v>148</v>
      </c>
      <c r="E1827" s="13">
        <v>124.563857</v>
      </c>
      <c r="F1827" s="13">
        <v>127.946071</v>
      </c>
      <c r="G1827" s="13">
        <v>121.057675</v>
      </c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</row>
    <row r="1828" spans="1:19" x14ac:dyDescent="0.2">
      <c r="A1828" s="12" t="s">
        <v>286</v>
      </c>
      <c r="B1828" s="12" t="s">
        <v>574</v>
      </c>
      <c r="C1828" s="12" t="s">
        <v>555</v>
      </c>
      <c r="D1828" s="13">
        <v>483</v>
      </c>
      <c r="E1828" s="13">
        <v>534.51835199999994</v>
      </c>
      <c r="F1828" s="13">
        <v>554.724154</v>
      </c>
      <c r="G1828" s="13">
        <v>522.41533900000002</v>
      </c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</row>
    <row r="1829" spans="1:19" x14ac:dyDescent="0.2">
      <c r="A1829" s="12" t="s">
        <v>286</v>
      </c>
      <c r="B1829" s="12" t="s">
        <v>574</v>
      </c>
      <c r="C1829" s="12" t="s">
        <v>556</v>
      </c>
      <c r="D1829" s="13">
        <v>-71</v>
      </c>
      <c r="E1829" s="13">
        <v>-70.459125</v>
      </c>
      <c r="F1829" s="13">
        <v>-66.790429000000003</v>
      </c>
      <c r="G1829" s="13">
        <v>-51.743602000000003</v>
      </c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</row>
    <row r="1830" spans="1:19" x14ac:dyDescent="0.2">
      <c r="A1830" s="12" t="s">
        <v>286</v>
      </c>
      <c r="B1830" s="12" t="s">
        <v>574</v>
      </c>
      <c r="C1830" s="12" t="s">
        <v>557</v>
      </c>
      <c r="D1830" s="13">
        <v>556</v>
      </c>
      <c r="E1830" s="13">
        <v>575.443803</v>
      </c>
      <c r="F1830" s="13">
        <v>567.48761000000002</v>
      </c>
      <c r="G1830" s="13">
        <v>548.78472600000009</v>
      </c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</row>
    <row r="1831" spans="1:19" x14ac:dyDescent="0.2">
      <c r="A1831" s="12" t="s">
        <v>286</v>
      </c>
      <c r="B1831" s="12" t="s">
        <v>574</v>
      </c>
      <c r="C1831" s="12" t="s">
        <v>558</v>
      </c>
      <c r="D1831" s="13">
        <v>-73</v>
      </c>
      <c r="E1831" s="13">
        <v>-82.264361000000008</v>
      </c>
      <c r="F1831" s="13">
        <v>-81.244636000000014</v>
      </c>
      <c r="G1831" s="13">
        <v>-65.69847</v>
      </c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</row>
    <row r="1832" spans="1:19" x14ac:dyDescent="0.2">
      <c r="A1832" s="12" t="s">
        <v>286</v>
      </c>
      <c r="B1832" s="12" t="s">
        <v>574</v>
      </c>
      <c r="C1832" s="12" t="s">
        <v>560</v>
      </c>
      <c r="D1832" s="13">
        <v>-1</v>
      </c>
      <c r="E1832" s="13">
        <v>-1.6767590000000001</v>
      </c>
      <c r="F1832" s="13">
        <v>-1.28281</v>
      </c>
      <c r="G1832" s="13">
        <v>-0.99794500000000008</v>
      </c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</row>
    <row r="1833" spans="1:19" x14ac:dyDescent="0.2">
      <c r="A1833" s="12" t="s">
        <v>286</v>
      </c>
      <c r="B1833" s="12" t="s">
        <v>574</v>
      </c>
      <c r="C1833" s="12" t="s">
        <v>561</v>
      </c>
      <c r="D1833" s="13">
        <v>457</v>
      </c>
      <c r="E1833" s="13">
        <v>471.60639400000002</v>
      </c>
      <c r="F1833" s="13">
        <v>462.22545400000001</v>
      </c>
      <c r="G1833" s="13">
        <v>459.96003100000001</v>
      </c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</row>
    <row r="1834" spans="1:19" x14ac:dyDescent="0.2">
      <c r="A1834" s="12" t="s">
        <v>286</v>
      </c>
      <c r="B1834" s="12" t="s">
        <v>574</v>
      </c>
      <c r="C1834" s="12" t="s">
        <v>562</v>
      </c>
      <c r="D1834" s="13">
        <v>94</v>
      </c>
      <c r="E1834" s="13">
        <v>92.950799000000004</v>
      </c>
      <c r="F1834" s="13">
        <v>88.764342999999997</v>
      </c>
      <c r="G1834" s="13">
        <v>86.045167000000006</v>
      </c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</row>
    <row r="1835" spans="1:19" x14ac:dyDescent="0.2">
      <c r="A1835" s="12" t="s">
        <v>286</v>
      </c>
      <c r="B1835" s="12" t="s">
        <v>574</v>
      </c>
      <c r="C1835" s="12" t="s">
        <v>563</v>
      </c>
      <c r="D1835" s="13">
        <v>145</v>
      </c>
      <c r="E1835" s="13">
        <v>154.71102300000001</v>
      </c>
      <c r="F1835" s="13">
        <v>165.91443100000001</v>
      </c>
      <c r="G1835" s="13">
        <v>169.86757399999999</v>
      </c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</row>
    <row r="1836" spans="1:19" x14ac:dyDescent="0.2">
      <c r="A1836" s="12" t="s">
        <v>286</v>
      </c>
      <c r="B1836" s="12" t="s">
        <v>574</v>
      </c>
      <c r="C1836" s="12" t="s">
        <v>564</v>
      </c>
      <c r="D1836" s="13">
        <v>131</v>
      </c>
      <c r="E1836" s="13">
        <v>124.345243</v>
      </c>
      <c r="F1836" s="13">
        <v>108.233574</v>
      </c>
      <c r="G1836" s="13">
        <v>102.424514</v>
      </c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</row>
    <row r="1837" spans="1:19" x14ac:dyDescent="0.2">
      <c r="A1837" s="12" t="s">
        <v>286</v>
      </c>
      <c r="B1837" s="12" t="s">
        <v>574</v>
      </c>
      <c r="C1837" s="12" t="s">
        <v>565</v>
      </c>
      <c r="D1837" s="13">
        <v>67</v>
      </c>
      <c r="E1837" s="13">
        <v>72.902822</v>
      </c>
      <c r="F1837" s="13">
        <v>76.363990999999999</v>
      </c>
      <c r="G1837" s="13">
        <v>79.993448999999998</v>
      </c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</row>
    <row r="1838" spans="1:19" x14ac:dyDescent="0.2">
      <c r="A1838" s="12" t="s">
        <v>286</v>
      </c>
      <c r="B1838" s="12" t="s">
        <v>574</v>
      </c>
      <c r="C1838" s="12" t="s">
        <v>566</v>
      </c>
      <c r="D1838" s="13">
        <v>20</v>
      </c>
      <c r="E1838" s="13">
        <v>26.696494000000001</v>
      </c>
      <c r="F1838" s="13">
        <v>22.949119</v>
      </c>
      <c r="G1838" s="13">
        <v>21.629331000000001</v>
      </c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</row>
    <row r="1839" spans="1:19" x14ac:dyDescent="0.2">
      <c r="A1839" s="12" t="s">
        <v>294</v>
      </c>
      <c r="B1839" s="12" t="s">
        <v>553</v>
      </c>
      <c r="C1839" s="12" t="s">
        <v>554</v>
      </c>
      <c r="D1839" s="13">
        <v>2</v>
      </c>
      <c r="E1839" s="13">
        <v>1.7104330000000001</v>
      </c>
      <c r="F1839" s="13">
        <v>1.0100659999999999</v>
      </c>
      <c r="G1839" s="13">
        <v>1.0100659999999999</v>
      </c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</row>
    <row r="1840" spans="1:19" x14ac:dyDescent="0.2">
      <c r="A1840" s="12" t="s">
        <v>294</v>
      </c>
      <c r="B1840" s="12" t="s">
        <v>553</v>
      </c>
      <c r="C1840" s="12" t="s">
        <v>555</v>
      </c>
      <c r="D1840" s="13">
        <v>191</v>
      </c>
      <c r="E1840" s="13">
        <v>161.144803</v>
      </c>
      <c r="F1840" s="13">
        <v>161.66360599999999</v>
      </c>
      <c r="G1840" s="13">
        <v>121.178423</v>
      </c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</row>
    <row r="1841" spans="1:19" x14ac:dyDescent="0.2">
      <c r="A1841" s="12" t="s">
        <v>294</v>
      </c>
      <c r="B1841" s="12" t="s">
        <v>553</v>
      </c>
      <c r="C1841" s="12" t="s">
        <v>556</v>
      </c>
      <c r="D1841" s="13">
        <v>0</v>
      </c>
      <c r="E1841" s="13">
        <v>0</v>
      </c>
      <c r="F1841" s="13">
        <v>0</v>
      </c>
      <c r="G1841" s="13">
        <v>0</v>
      </c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</row>
    <row r="1842" spans="1:19" x14ac:dyDescent="0.2">
      <c r="A1842" s="12" t="s">
        <v>294</v>
      </c>
      <c r="B1842" s="12" t="s">
        <v>553</v>
      </c>
      <c r="C1842" s="12" t="s">
        <v>557</v>
      </c>
      <c r="D1842" s="13">
        <v>189</v>
      </c>
      <c r="E1842" s="13">
        <v>158.32111599999999</v>
      </c>
      <c r="F1842" s="13">
        <v>160.57018199999999</v>
      </c>
      <c r="G1842" s="13">
        <v>132.31249700000001</v>
      </c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</row>
    <row r="1843" spans="1:19" x14ac:dyDescent="0.2">
      <c r="A1843" s="12" t="s">
        <v>294</v>
      </c>
      <c r="B1843" s="12" t="s">
        <v>553</v>
      </c>
      <c r="C1843" s="12" t="s">
        <v>558</v>
      </c>
      <c r="D1843" s="13">
        <v>-181</v>
      </c>
      <c r="E1843" s="13">
        <v>-161.544714</v>
      </c>
      <c r="F1843" s="13">
        <v>-158.76928799999999</v>
      </c>
      <c r="G1843" s="13">
        <v>-126.704015</v>
      </c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</row>
    <row r="1844" spans="1:19" x14ac:dyDescent="0.2">
      <c r="A1844" s="12" t="s">
        <v>294</v>
      </c>
      <c r="B1844" s="12" t="s">
        <v>553</v>
      </c>
      <c r="C1844" s="12" t="s">
        <v>560</v>
      </c>
      <c r="D1844" s="13">
        <v>0</v>
      </c>
      <c r="E1844" s="13">
        <v>0</v>
      </c>
      <c r="F1844" s="13">
        <v>0</v>
      </c>
      <c r="G1844" s="13">
        <v>0</v>
      </c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</row>
    <row r="1845" spans="1:19" x14ac:dyDescent="0.2">
      <c r="A1845" s="12" t="s">
        <v>294</v>
      </c>
      <c r="B1845" s="12" t="s">
        <v>553</v>
      </c>
      <c r="C1845" s="12" t="s">
        <v>561</v>
      </c>
      <c r="D1845" s="13">
        <v>1</v>
      </c>
      <c r="E1845" s="13">
        <v>1.099278</v>
      </c>
      <c r="F1845" s="13">
        <v>0.80545699999999998</v>
      </c>
      <c r="G1845" s="13">
        <v>0.85844900000000002</v>
      </c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</row>
    <row r="1846" spans="1:19" x14ac:dyDescent="0.2">
      <c r="A1846" s="12" t="s">
        <v>294</v>
      </c>
      <c r="B1846" s="12" t="s">
        <v>553</v>
      </c>
      <c r="C1846" s="12" t="s">
        <v>562</v>
      </c>
      <c r="D1846" s="13">
        <v>1</v>
      </c>
      <c r="E1846" s="13">
        <v>1.099278</v>
      </c>
      <c r="F1846" s="13">
        <v>0.80545699999999998</v>
      </c>
      <c r="G1846" s="13">
        <v>0.85844900000000002</v>
      </c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</row>
    <row r="1847" spans="1:19" x14ac:dyDescent="0.2">
      <c r="A1847" s="12" t="s">
        <v>294</v>
      </c>
      <c r="B1847" s="12" t="s">
        <v>553</v>
      </c>
      <c r="C1847" s="12" t="s">
        <v>563</v>
      </c>
      <c r="D1847" s="13">
        <v>0</v>
      </c>
      <c r="E1847" s="13">
        <v>0</v>
      </c>
      <c r="F1847" s="13">
        <v>0</v>
      </c>
      <c r="G1847" s="13">
        <v>0</v>
      </c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</row>
    <row r="1848" spans="1:19" x14ac:dyDescent="0.2">
      <c r="A1848" s="12" t="s">
        <v>294</v>
      </c>
      <c r="B1848" s="12" t="s">
        <v>553</v>
      </c>
      <c r="C1848" s="12" t="s">
        <v>564</v>
      </c>
      <c r="D1848" s="13">
        <v>0</v>
      </c>
      <c r="E1848" s="13">
        <v>0</v>
      </c>
      <c r="F1848" s="13">
        <v>0</v>
      </c>
      <c r="G1848" s="13">
        <v>0</v>
      </c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</row>
    <row r="1849" spans="1:19" x14ac:dyDescent="0.2">
      <c r="A1849" s="12" t="s">
        <v>294</v>
      </c>
      <c r="B1849" s="12" t="s">
        <v>553</v>
      </c>
      <c r="C1849" s="12" t="s">
        <v>565</v>
      </c>
      <c r="D1849" s="13">
        <v>0</v>
      </c>
      <c r="E1849" s="13">
        <v>0</v>
      </c>
      <c r="F1849" s="13">
        <v>0</v>
      </c>
      <c r="G1849" s="13">
        <v>0</v>
      </c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</row>
    <row r="1850" spans="1:19" x14ac:dyDescent="0.2">
      <c r="A1850" s="12" t="s">
        <v>294</v>
      </c>
      <c r="B1850" s="12" t="s">
        <v>553</v>
      </c>
      <c r="C1850" s="12" t="s">
        <v>566</v>
      </c>
      <c r="D1850" s="13">
        <v>0</v>
      </c>
      <c r="E1850" s="13">
        <v>0</v>
      </c>
      <c r="F1850" s="13">
        <v>0</v>
      </c>
      <c r="G1850" s="13">
        <v>0</v>
      </c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</row>
    <row r="1851" spans="1:19" x14ac:dyDescent="0.2">
      <c r="A1851" s="12" t="s">
        <v>294</v>
      </c>
      <c r="B1851" s="12" t="s">
        <v>567</v>
      </c>
      <c r="C1851" s="12" t="s">
        <v>554</v>
      </c>
      <c r="D1851" s="13">
        <v>6</v>
      </c>
      <c r="E1851" s="13">
        <v>7.0087740000000007</v>
      </c>
      <c r="F1851" s="13">
        <v>8.0047510000000006</v>
      </c>
      <c r="G1851" s="13">
        <v>19.610607000000002</v>
      </c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</row>
    <row r="1852" spans="1:19" x14ac:dyDescent="0.2">
      <c r="A1852" s="12" t="s">
        <v>294</v>
      </c>
      <c r="B1852" s="12" t="s">
        <v>567</v>
      </c>
      <c r="C1852" s="12" t="s">
        <v>555</v>
      </c>
      <c r="D1852" s="13">
        <v>524</v>
      </c>
      <c r="E1852" s="13">
        <v>554.76091900000006</v>
      </c>
      <c r="F1852" s="13">
        <v>586.41750200000001</v>
      </c>
      <c r="G1852" s="13">
        <v>605.53430900000001</v>
      </c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</row>
    <row r="1853" spans="1:19" x14ac:dyDescent="0.2">
      <c r="A1853" s="12" t="s">
        <v>294</v>
      </c>
      <c r="B1853" s="12" t="s">
        <v>567</v>
      </c>
      <c r="C1853" s="12" t="s">
        <v>556</v>
      </c>
      <c r="D1853" s="13">
        <v>0</v>
      </c>
      <c r="E1853" s="13">
        <v>0</v>
      </c>
      <c r="F1853" s="13">
        <v>0</v>
      </c>
      <c r="G1853" s="13">
        <v>0</v>
      </c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</row>
    <row r="1854" spans="1:19" x14ac:dyDescent="0.2">
      <c r="A1854" s="12" t="s">
        <v>294</v>
      </c>
      <c r="B1854" s="12" t="s">
        <v>567</v>
      </c>
      <c r="C1854" s="12" t="s">
        <v>557</v>
      </c>
      <c r="D1854" s="13">
        <v>534</v>
      </c>
      <c r="E1854" s="13">
        <v>564.08581400000003</v>
      </c>
      <c r="F1854" s="13">
        <v>592.04740400000003</v>
      </c>
      <c r="G1854" s="13">
        <v>629.86544100000003</v>
      </c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</row>
    <row r="1855" spans="1:19" x14ac:dyDescent="0.2">
      <c r="A1855" s="12" t="s">
        <v>294</v>
      </c>
      <c r="B1855" s="12" t="s">
        <v>567</v>
      </c>
      <c r="C1855" s="12" t="s">
        <v>558</v>
      </c>
      <c r="D1855" s="13">
        <v>0</v>
      </c>
      <c r="E1855" s="13">
        <v>0</v>
      </c>
      <c r="F1855" s="13">
        <v>0</v>
      </c>
      <c r="G1855" s="13">
        <v>0</v>
      </c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</row>
    <row r="1856" spans="1:19" x14ac:dyDescent="0.2">
      <c r="A1856" s="12" t="s">
        <v>294</v>
      </c>
      <c r="B1856" s="12" t="s">
        <v>567</v>
      </c>
      <c r="C1856" s="12" t="s">
        <v>560</v>
      </c>
      <c r="D1856" s="13">
        <v>-549</v>
      </c>
      <c r="E1856" s="13">
        <v>-577.55884400000002</v>
      </c>
      <c r="F1856" s="13">
        <v>-611.23223400000006</v>
      </c>
      <c r="G1856" s="13">
        <v>-616.42547400000001</v>
      </c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</row>
    <row r="1857" spans="1:19" x14ac:dyDescent="0.2">
      <c r="A1857" s="12" t="s">
        <v>294</v>
      </c>
      <c r="B1857" s="12" t="s">
        <v>567</v>
      </c>
      <c r="C1857" s="12" t="s">
        <v>561</v>
      </c>
      <c r="D1857" s="13">
        <v>0</v>
      </c>
      <c r="E1857" s="13">
        <v>0</v>
      </c>
      <c r="F1857" s="13">
        <v>0</v>
      </c>
      <c r="G1857" s="13">
        <v>0</v>
      </c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</row>
    <row r="1858" spans="1:19" x14ac:dyDescent="0.2">
      <c r="A1858" s="12" t="s">
        <v>294</v>
      </c>
      <c r="B1858" s="12" t="s">
        <v>567</v>
      </c>
      <c r="C1858" s="12" t="s">
        <v>562</v>
      </c>
      <c r="D1858" s="13">
        <v>0</v>
      </c>
      <c r="E1858" s="13">
        <v>0</v>
      </c>
      <c r="F1858" s="13">
        <v>0</v>
      </c>
      <c r="G1858" s="13">
        <v>0</v>
      </c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</row>
    <row r="1859" spans="1:19" x14ac:dyDescent="0.2">
      <c r="A1859" s="12" t="s">
        <v>294</v>
      </c>
      <c r="B1859" s="12" t="s">
        <v>567</v>
      </c>
      <c r="C1859" s="12" t="s">
        <v>563</v>
      </c>
      <c r="D1859" s="13">
        <v>0</v>
      </c>
      <c r="E1859" s="13">
        <v>0</v>
      </c>
      <c r="F1859" s="13">
        <v>0</v>
      </c>
      <c r="G1859" s="13">
        <v>0</v>
      </c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</row>
    <row r="1860" spans="1:19" x14ac:dyDescent="0.2">
      <c r="A1860" s="12" t="s">
        <v>294</v>
      </c>
      <c r="B1860" s="12" t="s">
        <v>567</v>
      </c>
      <c r="C1860" s="12" t="s">
        <v>564</v>
      </c>
      <c r="D1860" s="13">
        <v>0</v>
      </c>
      <c r="E1860" s="13">
        <v>0</v>
      </c>
      <c r="F1860" s="13">
        <v>0</v>
      </c>
      <c r="G1860" s="13">
        <v>0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</row>
    <row r="1861" spans="1:19" x14ac:dyDescent="0.2">
      <c r="A1861" s="12" t="s">
        <v>294</v>
      </c>
      <c r="B1861" s="12" t="s">
        <v>567</v>
      </c>
      <c r="C1861" s="12" t="s">
        <v>565</v>
      </c>
      <c r="D1861" s="13">
        <v>0</v>
      </c>
      <c r="E1861" s="13">
        <v>0</v>
      </c>
      <c r="F1861" s="13">
        <v>0</v>
      </c>
      <c r="G1861" s="13">
        <v>0</v>
      </c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</row>
    <row r="1862" spans="1:19" x14ac:dyDescent="0.2">
      <c r="A1862" s="12" t="s">
        <v>294</v>
      </c>
      <c r="B1862" s="12" t="s">
        <v>567</v>
      </c>
      <c r="C1862" s="12" t="s">
        <v>566</v>
      </c>
      <c r="D1862" s="13">
        <v>0</v>
      </c>
      <c r="E1862" s="13">
        <v>0</v>
      </c>
      <c r="F1862" s="13">
        <v>0</v>
      </c>
      <c r="G1862" s="13">
        <v>0</v>
      </c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</row>
    <row r="1863" spans="1:19" x14ac:dyDescent="0.2">
      <c r="A1863" s="12" t="s">
        <v>294</v>
      </c>
      <c r="B1863" s="12" t="s">
        <v>568</v>
      </c>
      <c r="C1863" s="12" t="s">
        <v>554</v>
      </c>
      <c r="D1863" s="13">
        <v>0</v>
      </c>
      <c r="E1863" s="13">
        <v>0</v>
      </c>
      <c r="F1863" s="13">
        <v>0</v>
      </c>
      <c r="G1863" s="13">
        <v>0</v>
      </c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</row>
    <row r="1864" spans="1:19" x14ac:dyDescent="0.2">
      <c r="A1864" s="12" t="s">
        <v>294</v>
      </c>
      <c r="B1864" s="12" t="s">
        <v>568</v>
      </c>
      <c r="C1864" s="12" t="s">
        <v>555</v>
      </c>
      <c r="D1864" s="13">
        <v>58</v>
      </c>
      <c r="E1864" s="13">
        <v>59.155352000000001</v>
      </c>
      <c r="F1864" s="13">
        <v>88.329605999999998</v>
      </c>
      <c r="G1864" s="13">
        <v>51.997829000000003</v>
      </c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</row>
    <row r="1865" spans="1:19" x14ac:dyDescent="0.2">
      <c r="A1865" s="12" t="s">
        <v>294</v>
      </c>
      <c r="B1865" s="12" t="s">
        <v>568</v>
      </c>
      <c r="C1865" s="12" t="s">
        <v>556</v>
      </c>
      <c r="D1865" s="13">
        <v>-219</v>
      </c>
      <c r="E1865" s="13">
        <v>-240.991354</v>
      </c>
      <c r="F1865" s="13">
        <v>-237.67365000000001</v>
      </c>
      <c r="G1865" s="13">
        <v>-218.686972</v>
      </c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</row>
    <row r="1866" spans="1:19" x14ac:dyDescent="0.2">
      <c r="A1866" s="12" t="s">
        <v>294</v>
      </c>
      <c r="B1866" s="12" t="s">
        <v>568</v>
      </c>
      <c r="C1866" s="12" t="s">
        <v>557</v>
      </c>
      <c r="D1866" s="13">
        <v>-202</v>
      </c>
      <c r="E1866" s="13">
        <v>-214.99615299999999</v>
      </c>
      <c r="F1866" s="13">
        <v>-215.768944</v>
      </c>
      <c r="G1866" s="13">
        <v>-230.64276100000001</v>
      </c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</row>
    <row r="1867" spans="1:19" x14ac:dyDescent="0.2">
      <c r="A1867" s="12" t="s">
        <v>294</v>
      </c>
      <c r="B1867" s="12" t="s">
        <v>568</v>
      </c>
      <c r="C1867" s="12" t="s">
        <v>558</v>
      </c>
      <c r="D1867" s="13">
        <v>-2</v>
      </c>
      <c r="E1867" s="13">
        <v>-1.4920169999999999</v>
      </c>
      <c r="F1867" s="13">
        <v>-2.745892</v>
      </c>
      <c r="G1867" s="13">
        <v>-2.6632989999999999</v>
      </c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</row>
    <row r="1868" spans="1:19" x14ac:dyDescent="0.2">
      <c r="A1868" s="12" t="s">
        <v>294</v>
      </c>
      <c r="B1868" s="12" t="s">
        <v>568</v>
      </c>
      <c r="C1868" s="12" t="s">
        <v>560</v>
      </c>
      <c r="D1868" s="13">
        <v>560</v>
      </c>
      <c r="E1868" s="13">
        <v>583.84596900000008</v>
      </c>
      <c r="F1868" s="13">
        <v>617.50730099999998</v>
      </c>
      <c r="G1868" s="13">
        <v>622.30480000000011</v>
      </c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</row>
    <row r="1869" spans="1:19" x14ac:dyDescent="0.2">
      <c r="A1869" s="12" t="s">
        <v>294</v>
      </c>
      <c r="B1869" s="12" t="s">
        <v>568</v>
      </c>
      <c r="C1869" s="12" t="s">
        <v>561</v>
      </c>
      <c r="D1869" s="13">
        <v>340</v>
      </c>
      <c r="E1869" s="13">
        <v>350.07337899999999</v>
      </c>
      <c r="F1869" s="13">
        <v>369.97772700000002</v>
      </c>
      <c r="G1869" s="13">
        <v>369.98106000000001</v>
      </c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</row>
    <row r="1870" spans="1:19" x14ac:dyDescent="0.2">
      <c r="A1870" s="12" t="s">
        <v>294</v>
      </c>
      <c r="B1870" s="12" t="s">
        <v>568</v>
      </c>
      <c r="C1870" s="12" t="s">
        <v>562</v>
      </c>
      <c r="D1870" s="13">
        <v>14</v>
      </c>
      <c r="E1870" s="13">
        <v>14.975982999999999</v>
      </c>
      <c r="F1870" s="13">
        <v>11.638612999999999</v>
      </c>
      <c r="G1870" s="13">
        <v>11.481783999999999</v>
      </c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</row>
    <row r="1871" spans="1:19" x14ac:dyDescent="0.2">
      <c r="A1871" s="12" t="s">
        <v>294</v>
      </c>
      <c r="B1871" s="12" t="s">
        <v>568</v>
      </c>
      <c r="C1871" s="12" t="s">
        <v>563</v>
      </c>
      <c r="D1871" s="13">
        <v>228</v>
      </c>
      <c r="E1871" s="13">
        <v>243.00687099999999</v>
      </c>
      <c r="F1871" s="13">
        <v>261.50590399999999</v>
      </c>
      <c r="G1871" s="13">
        <v>257.01726000000002</v>
      </c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</row>
    <row r="1872" spans="1:19" x14ac:dyDescent="0.2">
      <c r="A1872" s="12" t="s">
        <v>294</v>
      </c>
      <c r="B1872" s="12" t="s">
        <v>568</v>
      </c>
      <c r="C1872" s="12" t="s">
        <v>564</v>
      </c>
      <c r="D1872" s="13">
        <v>7</v>
      </c>
      <c r="E1872" s="13">
        <v>7.4985040000000014</v>
      </c>
      <c r="F1872" s="13">
        <v>7.5534560000000006</v>
      </c>
      <c r="G1872" s="13">
        <v>7.034707</v>
      </c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</row>
    <row r="1873" spans="1:19" x14ac:dyDescent="0.2">
      <c r="A1873" s="12" t="s">
        <v>294</v>
      </c>
      <c r="B1873" s="12" t="s">
        <v>568</v>
      </c>
      <c r="C1873" s="12" t="s">
        <v>565</v>
      </c>
      <c r="D1873" s="13">
        <v>3</v>
      </c>
      <c r="E1873" s="13">
        <v>3.0192060000000001</v>
      </c>
      <c r="F1873" s="13">
        <v>6.2929320000000004</v>
      </c>
      <c r="G1873" s="13">
        <v>6.6333520000000004</v>
      </c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</row>
    <row r="1874" spans="1:19" x14ac:dyDescent="0.2">
      <c r="A1874" s="12" t="s">
        <v>294</v>
      </c>
      <c r="B1874" s="12" t="s">
        <v>568</v>
      </c>
      <c r="C1874" s="12" t="s">
        <v>566</v>
      </c>
      <c r="D1874" s="13">
        <v>87</v>
      </c>
      <c r="E1874" s="13">
        <v>81.572813999999994</v>
      </c>
      <c r="F1874" s="13">
        <v>82.986822000000004</v>
      </c>
      <c r="G1874" s="13">
        <v>87.813955000000007</v>
      </c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</row>
    <row r="1875" spans="1:19" x14ac:dyDescent="0.2">
      <c r="A1875" s="12" t="s">
        <v>294</v>
      </c>
      <c r="B1875" s="12" t="s">
        <v>569</v>
      </c>
      <c r="C1875" s="12" t="s">
        <v>554</v>
      </c>
      <c r="D1875" s="13">
        <v>528</v>
      </c>
      <c r="E1875" s="13">
        <v>659.78748300000007</v>
      </c>
      <c r="F1875" s="13">
        <v>750.42701800000009</v>
      </c>
      <c r="G1875" s="13">
        <v>844.82897100000002</v>
      </c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</row>
    <row r="1876" spans="1:19" x14ac:dyDescent="0.2">
      <c r="A1876" s="12" t="s">
        <v>294</v>
      </c>
      <c r="B1876" s="12" t="s">
        <v>569</v>
      </c>
      <c r="C1876" s="12" t="s">
        <v>555</v>
      </c>
      <c r="D1876" s="13">
        <v>23</v>
      </c>
      <c r="E1876" s="13">
        <v>6.8407200000000001</v>
      </c>
      <c r="F1876" s="13">
        <v>1.710178</v>
      </c>
      <c r="G1876" s="13">
        <v>0</v>
      </c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</row>
    <row r="1877" spans="1:19" x14ac:dyDescent="0.2">
      <c r="A1877" s="12" t="s">
        <v>294</v>
      </c>
      <c r="B1877" s="12" t="s">
        <v>569</v>
      </c>
      <c r="C1877" s="12" t="s">
        <v>556</v>
      </c>
      <c r="D1877" s="13">
        <v>-145</v>
      </c>
      <c r="E1877" s="13">
        <v>-244.21367799999999</v>
      </c>
      <c r="F1877" s="13">
        <v>-315.015175</v>
      </c>
      <c r="G1877" s="13">
        <v>-396.76178399999998</v>
      </c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</row>
    <row r="1878" spans="1:19" x14ac:dyDescent="0.2">
      <c r="A1878" s="12" t="s">
        <v>294</v>
      </c>
      <c r="B1878" s="12" t="s">
        <v>569</v>
      </c>
      <c r="C1878" s="12" t="s">
        <v>557</v>
      </c>
      <c r="D1878" s="13">
        <v>406</v>
      </c>
      <c r="E1878" s="13">
        <v>422.41452500000003</v>
      </c>
      <c r="F1878" s="13">
        <v>437.12202500000001</v>
      </c>
      <c r="G1878" s="13">
        <v>448.06718699999999</v>
      </c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</row>
    <row r="1879" spans="1:19" x14ac:dyDescent="0.2">
      <c r="A1879" s="12" t="s">
        <v>294</v>
      </c>
      <c r="B1879" s="12" t="s">
        <v>569</v>
      </c>
      <c r="C1879" s="12" t="s">
        <v>558</v>
      </c>
      <c r="D1879" s="13">
        <v>-286</v>
      </c>
      <c r="E1879" s="13">
        <v>-306.01543199999998</v>
      </c>
      <c r="F1879" s="13">
        <v>-319.00850400000002</v>
      </c>
      <c r="G1879" s="13">
        <v>-325.541921</v>
      </c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</row>
    <row r="1880" spans="1:19" x14ac:dyDescent="0.2">
      <c r="A1880" s="12" t="s">
        <v>294</v>
      </c>
      <c r="B1880" s="12" t="s">
        <v>569</v>
      </c>
      <c r="C1880" s="12" t="s">
        <v>560</v>
      </c>
      <c r="D1880" s="13">
        <v>0</v>
      </c>
      <c r="E1880" s="13">
        <v>0</v>
      </c>
      <c r="F1880" s="13">
        <v>0</v>
      </c>
      <c r="G1880" s="13">
        <v>0</v>
      </c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</row>
    <row r="1881" spans="1:19" x14ac:dyDescent="0.2">
      <c r="A1881" s="12" t="s">
        <v>294</v>
      </c>
      <c r="B1881" s="12" t="s">
        <v>569</v>
      </c>
      <c r="C1881" s="12" t="s">
        <v>561</v>
      </c>
      <c r="D1881" s="13">
        <v>53</v>
      </c>
      <c r="E1881" s="13">
        <v>44.760722999999999</v>
      </c>
      <c r="F1881" s="13">
        <v>44.273027999999996</v>
      </c>
      <c r="G1881" s="13">
        <v>42.808883000000002</v>
      </c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</row>
    <row r="1882" spans="1:19" x14ac:dyDescent="0.2">
      <c r="A1882" s="12" t="s">
        <v>294</v>
      </c>
      <c r="B1882" s="12" t="s">
        <v>569</v>
      </c>
      <c r="C1882" s="12" t="s">
        <v>562</v>
      </c>
      <c r="D1882" s="13">
        <v>50</v>
      </c>
      <c r="E1882" s="13">
        <v>41.581781999999997</v>
      </c>
      <c r="F1882" s="13">
        <v>41.128724000000012</v>
      </c>
      <c r="G1882" s="13">
        <v>39.768563</v>
      </c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</row>
    <row r="1883" spans="1:19" x14ac:dyDescent="0.2">
      <c r="A1883" s="12" t="s">
        <v>294</v>
      </c>
      <c r="B1883" s="12" t="s">
        <v>569</v>
      </c>
      <c r="C1883" s="12" t="s">
        <v>563</v>
      </c>
      <c r="D1883" s="13">
        <v>0</v>
      </c>
      <c r="E1883" s="13">
        <v>0</v>
      </c>
      <c r="F1883" s="13">
        <v>0</v>
      </c>
      <c r="G1883" s="13">
        <v>0</v>
      </c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</row>
    <row r="1884" spans="1:19" x14ac:dyDescent="0.2">
      <c r="A1884" s="12" t="s">
        <v>294</v>
      </c>
      <c r="B1884" s="12" t="s">
        <v>569</v>
      </c>
      <c r="C1884" s="12" t="s">
        <v>564</v>
      </c>
      <c r="D1884" s="13">
        <v>0</v>
      </c>
      <c r="E1884" s="13">
        <v>0</v>
      </c>
      <c r="F1884" s="13">
        <v>0</v>
      </c>
      <c r="G1884" s="13">
        <v>0</v>
      </c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</row>
    <row r="1885" spans="1:19" x14ac:dyDescent="0.2">
      <c r="A1885" s="12" t="s">
        <v>294</v>
      </c>
      <c r="B1885" s="12" t="s">
        <v>569</v>
      </c>
      <c r="C1885" s="12" t="s">
        <v>565</v>
      </c>
      <c r="D1885" s="13">
        <v>0</v>
      </c>
      <c r="E1885" s="13">
        <v>0</v>
      </c>
      <c r="F1885" s="13">
        <v>0</v>
      </c>
      <c r="G1885" s="13">
        <v>0</v>
      </c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</row>
    <row r="1886" spans="1:19" x14ac:dyDescent="0.2">
      <c r="A1886" s="12" t="s">
        <v>294</v>
      </c>
      <c r="B1886" s="12" t="s">
        <v>569</v>
      </c>
      <c r="C1886" s="12" t="s">
        <v>566</v>
      </c>
      <c r="D1886" s="13">
        <v>4</v>
      </c>
      <c r="E1886" s="13">
        <v>3.178941</v>
      </c>
      <c r="F1886" s="13">
        <v>3.144304</v>
      </c>
      <c r="G1886" s="13">
        <v>3.0403199999999999</v>
      </c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</row>
    <row r="1887" spans="1:19" x14ac:dyDescent="0.2">
      <c r="A1887" s="12" t="s">
        <v>294</v>
      </c>
      <c r="B1887" s="12" t="s">
        <v>570</v>
      </c>
      <c r="C1887" s="12" t="s">
        <v>554</v>
      </c>
      <c r="D1887" s="13">
        <v>0</v>
      </c>
      <c r="E1887" s="13">
        <v>0</v>
      </c>
      <c r="F1887" s="13">
        <v>0</v>
      </c>
      <c r="G1887" s="13">
        <v>0</v>
      </c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</row>
    <row r="1888" spans="1:19" x14ac:dyDescent="0.2">
      <c r="A1888" s="12" t="s">
        <v>294</v>
      </c>
      <c r="B1888" s="12" t="s">
        <v>570</v>
      </c>
      <c r="C1888" s="12" t="s">
        <v>555</v>
      </c>
      <c r="D1888" s="13">
        <v>0</v>
      </c>
      <c r="E1888" s="13">
        <v>0</v>
      </c>
      <c r="F1888" s="13">
        <v>0</v>
      </c>
      <c r="G1888" s="13">
        <v>0</v>
      </c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</row>
    <row r="1889" spans="1:19" x14ac:dyDescent="0.2">
      <c r="A1889" s="12" t="s">
        <v>294</v>
      </c>
      <c r="B1889" s="12" t="s">
        <v>570</v>
      </c>
      <c r="C1889" s="12" t="s">
        <v>556</v>
      </c>
      <c r="D1889" s="13">
        <v>0</v>
      </c>
      <c r="E1889" s="13">
        <v>0</v>
      </c>
      <c r="F1889" s="13">
        <v>0</v>
      </c>
      <c r="G1889" s="13">
        <v>0</v>
      </c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</row>
    <row r="1890" spans="1:19" x14ac:dyDescent="0.2">
      <c r="A1890" s="12" t="s">
        <v>294</v>
      </c>
      <c r="B1890" s="12" t="s">
        <v>570</v>
      </c>
      <c r="C1890" s="12" t="s">
        <v>557</v>
      </c>
      <c r="D1890" s="13">
        <v>0</v>
      </c>
      <c r="E1890" s="13">
        <v>0</v>
      </c>
      <c r="F1890" s="13">
        <v>0</v>
      </c>
      <c r="G1890" s="13">
        <v>0</v>
      </c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</row>
    <row r="1891" spans="1:19" x14ac:dyDescent="0.2">
      <c r="A1891" s="12" t="s">
        <v>294</v>
      </c>
      <c r="B1891" s="12" t="s">
        <v>570</v>
      </c>
      <c r="C1891" s="12" t="s">
        <v>558</v>
      </c>
      <c r="D1891" s="13">
        <v>0</v>
      </c>
      <c r="E1891" s="13">
        <v>0</v>
      </c>
      <c r="F1891" s="13">
        <v>0</v>
      </c>
      <c r="G1891" s="13">
        <v>0</v>
      </c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</row>
    <row r="1892" spans="1:19" x14ac:dyDescent="0.2">
      <c r="A1892" s="12" t="s">
        <v>294</v>
      </c>
      <c r="B1892" s="12" t="s">
        <v>570</v>
      </c>
      <c r="C1892" s="12" t="s">
        <v>560</v>
      </c>
      <c r="D1892" s="13">
        <v>0</v>
      </c>
      <c r="E1892" s="13">
        <v>0</v>
      </c>
      <c r="F1892" s="13">
        <v>0</v>
      </c>
      <c r="G1892" s="13">
        <v>0</v>
      </c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</row>
    <row r="1893" spans="1:19" x14ac:dyDescent="0.2">
      <c r="A1893" s="12" t="s">
        <v>294</v>
      </c>
      <c r="B1893" s="12" t="s">
        <v>570</v>
      </c>
      <c r="C1893" s="12" t="s">
        <v>561</v>
      </c>
      <c r="D1893" s="13">
        <v>0</v>
      </c>
      <c r="E1893" s="13">
        <v>0</v>
      </c>
      <c r="F1893" s="13">
        <v>0</v>
      </c>
      <c r="G1893" s="13">
        <v>0</v>
      </c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</row>
    <row r="1894" spans="1:19" x14ac:dyDescent="0.2">
      <c r="A1894" s="12" t="s">
        <v>294</v>
      </c>
      <c r="B1894" s="12" t="s">
        <v>570</v>
      </c>
      <c r="C1894" s="12" t="s">
        <v>562</v>
      </c>
      <c r="D1894" s="13">
        <v>0</v>
      </c>
      <c r="E1894" s="13">
        <v>0</v>
      </c>
      <c r="F1894" s="13">
        <v>0</v>
      </c>
      <c r="G1894" s="13">
        <v>0</v>
      </c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</row>
    <row r="1895" spans="1:19" x14ac:dyDescent="0.2">
      <c r="A1895" s="12" t="s">
        <v>294</v>
      </c>
      <c r="B1895" s="12" t="s">
        <v>570</v>
      </c>
      <c r="C1895" s="12" t="s">
        <v>563</v>
      </c>
      <c r="D1895" s="13">
        <v>0</v>
      </c>
      <c r="E1895" s="13">
        <v>0</v>
      </c>
      <c r="F1895" s="13">
        <v>0</v>
      </c>
      <c r="G1895" s="13">
        <v>0</v>
      </c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</row>
    <row r="1896" spans="1:19" x14ac:dyDescent="0.2">
      <c r="A1896" s="12" t="s">
        <v>294</v>
      </c>
      <c r="B1896" s="12" t="s">
        <v>570</v>
      </c>
      <c r="C1896" s="12" t="s">
        <v>564</v>
      </c>
      <c r="D1896" s="13">
        <v>0</v>
      </c>
      <c r="E1896" s="13">
        <v>0</v>
      </c>
      <c r="F1896" s="13">
        <v>0</v>
      </c>
      <c r="G1896" s="13">
        <v>0</v>
      </c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</row>
    <row r="1897" spans="1:19" x14ac:dyDescent="0.2">
      <c r="A1897" s="12" t="s">
        <v>294</v>
      </c>
      <c r="B1897" s="12" t="s">
        <v>570</v>
      </c>
      <c r="C1897" s="12" t="s">
        <v>565</v>
      </c>
      <c r="D1897" s="13">
        <v>0</v>
      </c>
      <c r="E1897" s="13">
        <v>0</v>
      </c>
      <c r="F1897" s="13">
        <v>0</v>
      </c>
      <c r="G1897" s="13">
        <v>0</v>
      </c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</row>
    <row r="1898" spans="1:19" x14ac:dyDescent="0.2">
      <c r="A1898" s="12" t="s">
        <v>294</v>
      </c>
      <c r="B1898" s="12" t="s">
        <v>570</v>
      </c>
      <c r="C1898" s="12" t="s">
        <v>566</v>
      </c>
      <c r="D1898" s="13">
        <v>0</v>
      </c>
      <c r="E1898" s="13">
        <v>0</v>
      </c>
      <c r="F1898" s="13">
        <v>0</v>
      </c>
      <c r="G1898" s="13">
        <v>0</v>
      </c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</row>
    <row r="1899" spans="1:19" x14ac:dyDescent="0.2">
      <c r="A1899" s="12" t="s">
        <v>294</v>
      </c>
      <c r="B1899" s="12" t="s">
        <v>571</v>
      </c>
      <c r="C1899" s="12" t="s">
        <v>554</v>
      </c>
      <c r="D1899" s="13">
        <v>42</v>
      </c>
      <c r="E1899" s="13">
        <v>47.107742000000002</v>
      </c>
      <c r="F1899" s="13">
        <v>51.250016000000002</v>
      </c>
      <c r="G1899" s="13">
        <v>58.606214999999999</v>
      </c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</row>
    <row r="1900" spans="1:19" x14ac:dyDescent="0.2">
      <c r="A1900" s="12" t="s">
        <v>294</v>
      </c>
      <c r="B1900" s="12" t="s">
        <v>571</v>
      </c>
      <c r="C1900" s="12" t="s">
        <v>555</v>
      </c>
      <c r="D1900" s="13">
        <v>1</v>
      </c>
      <c r="E1900" s="13">
        <v>0.98988100000000001</v>
      </c>
      <c r="F1900" s="13">
        <v>0.98988100000000001</v>
      </c>
      <c r="G1900" s="13">
        <v>0.98988100000000001</v>
      </c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</row>
    <row r="1901" spans="1:19" x14ac:dyDescent="0.2">
      <c r="A1901" s="12" t="s">
        <v>294</v>
      </c>
      <c r="B1901" s="12" t="s">
        <v>571</v>
      </c>
      <c r="C1901" s="12" t="s">
        <v>556</v>
      </c>
      <c r="D1901" s="13">
        <v>0</v>
      </c>
      <c r="E1901" s="13">
        <v>0</v>
      </c>
      <c r="F1901" s="13">
        <v>0</v>
      </c>
      <c r="G1901" s="13">
        <v>0</v>
      </c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</row>
    <row r="1902" spans="1:19" x14ac:dyDescent="0.2">
      <c r="A1902" s="12" t="s">
        <v>294</v>
      </c>
      <c r="B1902" s="12" t="s">
        <v>571</v>
      </c>
      <c r="C1902" s="12" t="s">
        <v>557</v>
      </c>
      <c r="D1902" s="13">
        <v>43</v>
      </c>
      <c r="E1902" s="13">
        <v>48.097622999999999</v>
      </c>
      <c r="F1902" s="13">
        <v>52.239896999999999</v>
      </c>
      <c r="G1902" s="13">
        <v>59.596096000000003</v>
      </c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</row>
    <row r="1903" spans="1:19" x14ac:dyDescent="0.2">
      <c r="A1903" s="12" t="s">
        <v>294</v>
      </c>
      <c r="B1903" s="12" t="s">
        <v>571</v>
      </c>
      <c r="C1903" s="12" t="s">
        <v>558</v>
      </c>
      <c r="D1903" s="13">
        <v>-21</v>
      </c>
      <c r="E1903" s="13">
        <v>-26.424871</v>
      </c>
      <c r="F1903" s="13">
        <v>-30.097425999999999</v>
      </c>
      <c r="G1903" s="13">
        <v>-38.051877999999988</v>
      </c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</row>
    <row r="1904" spans="1:19" x14ac:dyDescent="0.2">
      <c r="A1904" s="12" t="s">
        <v>294</v>
      </c>
      <c r="B1904" s="12" t="s">
        <v>571</v>
      </c>
      <c r="C1904" s="12" t="s">
        <v>560</v>
      </c>
      <c r="D1904" s="13">
        <v>0</v>
      </c>
      <c r="E1904" s="13">
        <v>0</v>
      </c>
      <c r="F1904" s="13">
        <v>0</v>
      </c>
      <c r="G1904" s="13">
        <v>0</v>
      </c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</row>
    <row r="1905" spans="1:19" x14ac:dyDescent="0.2">
      <c r="A1905" s="12" t="s">
        <v>294</v>
      </c>
      <c r="B1905" s="12" t="s">
        <v>571</v>
      </c>
      <c r="C1905" s="12" t="s">
        <v>561</v>
      </c>
      <c r="D1905" s="13">
        <v>22</v>
      </c>
      <c r="E1905" s="13">
        <v>21.672751999999999</v>
      </c>
      <c r="F1905" s="13">
        <v>22.142468999999998</v>
      </c>
      <c r="G1905" s="13">
        <v>21.544218000000001</v>
      </c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</row>
    <row r="1906" spans="1:19" x14ac:dyDescent="0.2">
      <c r="A1906" s="12" t="s">
        <v>294</v>
      </c>
      <c r="B1906" s="12" t="s">
        <v>571</v>
      </c>
      <c r="C1906" s="12" t="s">
        <v>562</v>
      </c>
      <c r="D1906" s="13">
        <v>4</v>
      </c>
      <c r="E1906" s="13">
        <v>3.4095209999999998</v>
      </c>
      <c r="F1906" s="13">
        <v>3.5069469999999998</v>
      </c>
      <c r="G1906" s="13">
        <v>2.2880859999999998</v>
      </c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</row>
    <row r="1907" spans="1:19" x14ac:dyDescent="0.2">
      <c r="A1907" s="12" t="s">
        <v>294</v>
      </c>
      <c r="B1907" s="12" t="s">
        <v>571</v>
      </c>
      <c r="C1907" s="12" t="s">
        <v>563</v>
      </c>
      <c r="D1907" s="13">
        <v>0</v>
      </c>
      <c r="E1907" s="13">
        <v>0</v>
      </c>
      <c r="F1907" s="13">
        <v>0</v>
      </c>
      <c r="G1907" s="13">
        <v>0</v>
      </c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</row>
    <row r="1908" spans="1:19" x14ac:dyDescent="0.2">
      <c r="A1908" s="12" t="s">
        <v>294</v>
      </c>
      <c r="B1908" s="12" t="s">
        <v>571</v>
      </c>
      <c r="C1908" s="12" t="s">
        <v>564</v>
      </c>
      <c r="D1908" s="13">
        <v>17</v>
      </c>
      <c r="E1908" s="13">
        <v>17.273351000000002</v>
      </c>
      <c r="F1908" s="13">
        <v>17.645641000000001</v>
      </c>
      <c r="G1908" s="13">
        <v>18.266251</v>
      </c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</row>
    <row r="1909" spans="1:19" x14ac:dyDescent="0.2">
      <c r="A1909" s="12" t="s">
        <v>294</v>
      </c>
      <c r="B1909" s="12" t="s">
        <v>571</v>
      </c>
      <c r="C1909" s="12" t="s">
        <v>565</v>
      </c>
      <c r="D1909" s="13">
        <v>0</v>
      </c>
      <c r="E1909" s="13">
        <v>0</v>
      </c>
      <c r="F1909" s="13">
        <v>0</v>
      </c>
      <c r="G1909" s="13">
        <v>0</v>
      </c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</row>
    <row r="1910" spans="1:19" x14ac:dyDescent="0.2">
      <c r="A1910" s="12" t="s">
        <v>294</v>
      </c>
      <c r="B1910" s="12" t="s">
        <v>571</v>
      </c>
      <c r="C1910" s="12" t="s">
        <v>566</v>
      </c>
      <c r="D1910" s="13">
        <v>1</v>
      </c>
      <c r="E1910" s="13">
        <v>0.98988100000000001</v>
      </c>
      <c r="F1910" s="13">
        <v>0.98988100000000001</v>
      </c>
      <c r="G1910" s="13">
        <v>0.98988100000000001</v>
      </c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</row>
    <row r="1911" spans="1:19" x14ac:dyDescent="0.2">
      <c r="A1911" s="12" t="s">
        <v>294</v>
      </c>
      <c r="B1911" s="12" t="s">
        <v>572</v>
      </c>
      <c r="C1911" s="12" t="s">
        <v>554</v>
      </c>
      <c r="D1911" s="13">
        <v>0</v>
      </c>
      <c r="E1911" s="13">
        <v>0</v>
      </c>
      <c r="F1911" s="13">
        <v>0</v>
      </c>
      <c r="G1911" s="13">
        <v>0</v>
      </c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</row>
    <row r="1912" spans="1:19" x14ac:dyDescent="0.2">
      <c r="A1912" s="12" t="s">
        <v>294</v>
      </c>
      <c r="B1912" s="12" t="s">
        <v>572</v>
      </c>
      <c r="C1912" s="12" t="s">
        <v>555</v>
      </c>
      <c r="D1912" s="13">
        <v>0</v>
      </c>
      <c r="E1912" s="13">
        <v>0</v>
      </c>
      <c r="F1912" s="13">
        <v>0</v>
      </c>
      <c r="G1912" s="13">
        <v>0</v>
      </c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</row>
    <row r="1913" spans="1:19" x14ac:dyDescent="0.2">
      <c r="A1913" s="12" t="s">
        <v>294</v>
      </c>
      <c r="B1913" s="12" t="s">
        <v>572</v>
      </c>
      <c r="C1913" s="12" t="s">
        <v>556</v>
      </c>
      <c r="D1913" s="13">
        <v>-22</v>
      </c>
      <c r="E1913" s="13">
        <v>-23.482797999999999</v>
      </c>
      <c r="F1913" s="13">
        <v>-25.2576</v>
      </c>
      <c r="G1913" s="13">
        <v>-24.952318999999999</v>
      </c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</row>
    <row r="1914" spans="1:19" x14ac:dyDescent="0.2">
      <c r="A1914" s="12" t="s">
        <v>294</v>
      </c>
      <c r="B1914" s="12" t="s">
        <v>572</v>
      </c>
      <c r="C1914" s="12" t="s">
        <v>557</v>
      </c>
      <c r="D1914" s="13">
        <v>-22</v>
      </c>
      <c r="E1914" s="13">
        <v>-23.482797999999999</v>
      </c>
      <c r="F1914" s="13">
        <v>-25.2576</v>
      </c>
      <c r="G1914" s="13">
        <v>-24.952318999999999</v>
      </c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</row>
    <row r="1915" spans="1:19" x14ac:dyDescent="0.2">
      <c r="A1915" s="12" t="s">
        <v>294</v>
      </c>
      <c r="B1915" s="12" t="s">
        <v>572</v>
      </c>
      <c r="C1915" s="12" t="s">
        <v>558</v>
      </c>
      <c r="D1915" s="13">
        <v>259</v>
      </c>
      <c r="E1915" s="13">
        <v>264.89747199999999</v>
      </c>
      <c r="F1915" s="13">
        <v>272.68902200000002</v>
      </c>
      <c r="G1915" s="13">
        <v>274.91712799999999</v>
      </c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</row>
    <row r="1916" spans="1:19" x14ac:dyDescent="0.2">
      <c r="A1916" s="12" t="s">
        <v>294</v>
      </c>
      <c r="B1916" s="12" t="s">
        <v>572</v>
      </c>
      <c r="C1916" s="12" t="s">
        <v>560</v>
      </c>
      <c r="D1916" s="13">
        <v>0</v>
      </c>
      <c r="E1916" s="13">
        <v>0</v>
      </c>
      <c r="F1916" s="13">
        <v>0</v>
      </c>
      <c r="G1916" s="13">
        <v>0</v>
      </c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</row>
    <row r="1917" spans="1:19" x14ac:dyDescent="0.2">
      <c r="A1917" s="12" t="s">
        <v>294</v>
      </c>
      <c r="B1917" s="12" t="s">
        <v>572</v>
      </c>
      <c r="C1917" s="12" t="s">
        <v>561</v>
      </c>
      <c r="D1917" s="13">
        <v>216</v>
      </c>
      <c r="E1917" s="13">
        <v>218.542461</v>
      </c>
      <c r="F1917" s="13">
        <v>228.96464900000001</v>
      </c>
      <c r="G1917" s="13">
        <v>228.882869</v>
      </c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</row>
    <row r="1918" spans="1:19" x14ac:dyDescent="0.2">
      <c r="A1918" s="12" t="s">
        <v>294</v>
      </c>
      <c r="B1918" s="12" t="s">
        <v>572</v>
      </c>
      <c r="C1918" s="12" t="s">
        <v>562</v>
      </c>
      <c r="D1918" s="13">
        <v>45</v>
      </c>
      <c r="E1918" s="13">
        <v>46.840440000000001</v>
      </c>
      <c r="F1918" s="13">
        <v>43.576700000000002</v>
      </c>
      <c r="G1918" s="13">
        <v>39.452685000000002</v>
      </c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</row>
    <row r="1919" spans="1:19" x14ac:dyDescent="0.2">
      <c r="A1919" s="12" t="s">
        <v>294</v>
      </c>
      <c r="B1919" s="12" t="s">
        <v>572</v>
      </c>
      <c r="C1919" s="12" t="s">
        <v>563</v>
      </c>
      <c r="D1919" s="13">
        <v>0</v>
      </c>
      <c r="E1919" s="13">
        <v>0</v>
      </c>
      <c r="F1919" s="13">
        <v>0</v>
      </c>
      <c r="G1919" s="13">
        <v>0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</row>
    <row r="1920" spans="1:19" x14ac:dyDescent="0.2">
      <c r="A1920" s="12" t="s">
        <v>294</v>
      </c>
      <c r="B1920" s="12" t="s">
        <v>572</v>
      </c>
      <c r="C1920" s="12" t="s">
        <v>564</v>
      </c>
      <c r="D1920" s="13">
        <v>78</v>
      </c>
      <c r="E1920" s="13">
        <v>76.112892000000002</v>
      </c>
      <c r="F1920" s="13">
        <v>81.726629000000003</v>
      </c>
      <c r="G1920" s="13">
        <v>83.575745999999995</v>
      </c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</row>
    <row r="1921" spans="1:19" x14ac:dyDescent="0.2">
      <c r="A1921" s="12" t="s">
        <v>294</v>
      </c>
      <c r="B1921" s="12" t="s">
        <v>572</v>
      </c>
      <c r="C1921" s="12" t="s">
        <v>565</v>
      </c>
      <c r="D1921" s="13">
        <v>61</v>
      </c>
      <c r="E1921" s="13">
        <v>63.937145999999998</v>
      </c>
      <c r="F1921" s="13">
        <v>75.423276000000001</v>
      </c>
      <c r="G1921" s="13">
        <v>74.516933999999992</v>
      </c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</row>
    <row r="1922" spans="1:19" x14ac:dyDescent="0.2">
      <c r="A1922" s="12" t="s">
        <v>294</v>
      </c>
      <c r="B1922" s="12" t="s">
        <v>572</v>
      </c>
      <c r="C1922" s="12" t="s">
        <v>566</v>
      </c>
      <c r="D1922" s="13">
        <v>32</v>
      </c>
      <c r="E1922" s="13">
        <v>31.651982</v>
      </c>
      <c r="F1922" s="13">
        <v>28.238043999999999</v>
      </c>
      <c r="G1922" s="13">
        <v>31.337506999999999</v>
      </c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</row>
    <row r="1923" spans="1:19" x14ac:dyDescent="0.2">
      <c r="A1923" s="12" t="s">
        <v>294</v>
      </c>
      <c r="B1923" s="12" t="s">
        <v>573</v>
      </c>
      <c r="C1923" s="12" t="s">
        <v>554</v>
      </c>
      <c r="D1923" s="13">
        <v>0</v>
      </c>
      <c r="E1923" s="13">
        <v>0</v>
      </c>
      <c r="F1923" s="13">
        <v>0</v>
      </c>
      <c r="G1923" s="13">
        <v>0</v>
      </c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</row>
    <row r="1924" spans="1:19" x14ac:dyDescent="0.2">
      <c r="A1924" s="12" t="s">
        <v>294</v>
      </c>
      <c r="B1924" s="12" t="s">
        <v>573</v>
      </c>
      <c r="C1924" s="12" t="s">
        <v>555</v>
      </c>
      <c r="D1924" s="13">
        <v>0</v>
      </c>
      <c r="E1924" s="13">
        <v>0</v>
      </c>
      <c r="F1924" s="13">
        <v>0</v>
      </c>
      <c r="G1924" s="13">
        <v>0</v>
      </c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</row>
    <row r="1925" spans="1:19" x14ac:dyDescent="0.2">
      <c r="A1925" s="12" t="s">
        <v>294</v>
      </c>
      <c r="B1925" s="12" t="s">
        <v>573</v>
      </c>
      <c r="C1925" s="12" t="s">
        <v>556</v>
      </c>
      <c r="D1925" s="13">
        <v>0</v>
      </c>
      <c r="E1925" s="13">
        <v>0</v>
      </c>
      <c r="F1925" s="13">
        <v>0</v>
      </c>
      <c r="G1925" s="13">
        <v>0</v>
      </c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</row>
    <row r="1926" spans="1:19" x14ac:dyDescent="0.2">
      <c r="A1926" s="12" t="s">
        <v>294</v>
      </c>
      <c r="B1926" s="12" t="s">
        <v>573</v>
      </c>
      <c r="C1926" s="12" t="s">
        <v>557</v>
      </c>
      <c r="D1926" s="13">
        <v>0</v>
      </c>
      <c r="E1926" s="13">
        <v>0</v>
      </c>
      <c r="F1926" s="13">
        <v>0</v>
      </c>
      <c r="G1926" s="13">
        <v>0</v>
      </c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</row>
    <row r="1927" spans="1:19" x14ac:dyDescent="0.2">
      <c r="A1927" s="12" t="s">
        <v>294</v>
      </c>
      <c r="B1927" s="12" t="s">
        <v>573</v>
      </c>
      <c r="C1927" s="12" t="s">
        <v>558</v>
      </c>
      <c r="D1927" s="13">
        <v>0</v>
      </c>
      <c r="E1927" s="13">
        <v>0</v>
      </c>
      <c r="F1927" s="13">
        <v>0</v>
      </c>
      <c r="G1927" s="13" t="s">
        <v>559</v>
      </c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</row>
    <row r="1928" spans="1:19" x14ac:dyDescent="0.2">
      <c r="A1928" s="12" t="s">
        <v>294</v>
      </c>
      <c r="B1928" s="12" t="s">
        <v>573</v>
      </c>
      <c r="C1928" s="12" t="s">
        <v>560</v>
      </c>
      <c r="D1928" s="13">
        <v>0</v>
      </c>
      <c r="E1928" s="13">
        <v>0</v>
      </c>
      <c r="F1928" s="13">
        <v>0</v>
      </c>
      <c r="G1928" s="13">
        <v>0</v>
      </c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</row>
    <row r="1929" spans="1:19" x14ac:dyDescent="0.2">
      <c r="A1929" s="12" t="s">
        <v>294</v>
      </c>
      <c r="B1929" s="12" t="s">
        <v>573</v>
      </c>
      <c r="C1929" s="12" t="s">
        <v>561</v>
      </c>
      <c r="D1929" s="13">
        <v>0</v>
      </c>
      <c r="E1929" s="13">
        <v>0</v>
      </c>
      <c r="F1929" s="13">
        <v>0</v>
      </c>
      <c r="G1929" s="13">
        <v>0</v>
      </c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</row>
    <row r="1930" spans="1:19" x14ac:dyDescent="0.2">
      <c r="A1930" s="12" t="s">
        <v>294</v>
      </c>
      <c r="B1930" s="12" t="s">
        <v>573</v>
      </c>
      <c r="C1930" s="12" t="s">
        <v>562</v>
      </c>
      <c r="D1930" s="13">
        <v>0</v>
      </c>
      <c r="E1930" s="13">
        <v>0</v>
      </c>
      <c r="F1930" s="13">
        <v>0</v>
      </c>
      <c r="G1930" s="13">
        <v>0</v>
      </c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</row>
    <row r="1931" spans="1:19" x14ac:dyDescent="0.2">
      <c r="A1931" s="12" t="s">
        <v>294</v>
      </c>
      <c r="B1931" s="12" t="s">
        <v>573</v>
      </c>
      <c r="C1931" s="12" t="s">
        <v>563</v>
      </c>
      <c r="D1931" s="13">
        <v>0</v>
      </c>
      <c r="E1931" s="13">
        <v>0</v>
      </c>
      <c r="F1931" s="13">
        <v>0</v>
      </c>
      <c r="G1931" s="13">
        <v>0</v>
      </c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</row>
    <row r="1932" spans="1:19" x14ac:dyDescent="0.2">
      <c r="A1932" s="12" t="s">
        <v>294</v>
      </c>
      <c r="B1932" s="12" t="s">
        <v>573</v>
      </c>
      <c r="C1932" s="12" t="s">
        <v>564</v>
      </c>
      <c r="D1932" s="13">
        <v>0</v>
      </c>
      <c r="E1932" s="13">
        <v>0</v>
      </c>
      <c r="F1932" s="13">
        <v>0</v>
      </c>
      <c r="G1932" s="13">
        <v>0</v>
      </c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</row>
    <row r="1933" spans="1:19" x14ac:dyDescent="0.2">
      <c r="A1933" s="12" t="s">
        <v>294</v>
      </c>
      <c r="B1933" s="12" t="s">
        <v>573</v>
      </c>
      <c r="C1933" s="12" t="s">
        <v>565</v>
      </c>
      <c r="D1933" s="13">
        <v>0</v>
      </c>
      <c r="E1933" s="13">
        <v>0</v>
      </c>
      <c r="F1933" s="13">
        <v>0</v>
      </c>
      <c r="G1933" s="13">
        <v>0</v>
      </c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</row>
    <row r="1934" spans="1:19" x14ac:dyDescent="0.2">
      <c r="A1934" s="12" t="s">
        <v>294</v>
      </c>
      <c r="B1934" s="12" t="s">
        <v>573</v>
      </c>
      <c r="C1934" s="12" t="s">
        <v>566</v>
      </c>
      <c r="D1934" s="13">
        <v>0</v>
      </c>
      <c r="E1934" s="13">
        <v>0</v>
      </c>
      <c r="F1934" s="13">
        <v>0</v>
      </c>
      <c r="G1934" s="13">
        <v>0</v>
      </c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</row>
    <row r="1935" spans="1:19" x14ac:dyDescent="0.2">
      <c r="A1935" s="12" t="s">
        <v>294</v>
      </c>
      <c r="B1935" s="12" t="s">
        <v>574</v>
      </c>
      <c r="C1935" s="12" t="s">
        <v>554</v>
      </c>
      <c r="D1935" s="13">
        <v>577</v>
      </c>
      <c r="E1935" s="13">
        <v>715.61443299999996</v>
      </c>
      <c r="F1935" s="13">
        <v>810.69185100000004</v>
      </c>
      <c r="G1935" s="13">
        <v>924.05585800000006</v>
      </c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</row>
    <row r="1936" spans="1:19" x14ac:dyDescent="0.2">
      <c r="A1936" s="12" t="s">
        <v>294</v>
      </c>
      <c r="B1936" s="12" t="s">
        <v>574</v>
      </c>
      <c r="C1936" s="12" t="s">
        <v>555</v>
      </c>
      <c r="D1936" s="13">
        <v>797</v>
      </c>
      <c r="E1936" s="13">
        <v>782.89167000000009</v>
      </c>
      <c r="F1936" s="13">
        <v>839.11076500000001</v>
      </c>
      <c r="G1936" s="13">
        <v>779.70044499999995</v>
      </c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</row>
    <row r="1937" spans="1:19" x14ac:dyDescent="0.2">
      <c r="A1937" s="12" t="s">
        <v>294</v>
      </c>
      <c r="B1937" s="12" t="s">
        <v>574</v>
      </c>
      <c r="C1937" s="12" t="s">
        <v>556</v>
      </c>
      <c r="D1937" s="13">
        <v>-387</v>
      </c>
      <c r="E1937" s="13">
        <v>-508.68783100000002</v>
      </c>
      <c r="F1937" s="13">
        <v>-577.94642500000009</v>
      </c>
      <c r="G1937" s="13">
        <v>-640.401071</v>
      </c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</row>
    <row r="1938" spans="1:19" x14ac:dyDescent="0.2">
      <c r="A1938" s="12" t="s">
        <v>294</v>
      </c>
      <c r="B1938" s="12" t="s">
        <v>574</v>
      </c>
      <c r="C1938" s="12" t="s">
        <v>557</v>
      </c>
      <c r="D1938" s="13">
        <v>947</v>
      </c>
      <c r="E1938" s="13">
        <v>954.44011899999998</v>
      </c>
      <c r="F1938" s="13">
        <v>1000.9529669999999</v>
      </c>
      <c r="G1938" s="13">
        <v>1014.2461499999999</v>
      </c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</row>
    <row r="1939" spans="1:19" x14ac:dyDescent="0.2">
      <c r="A1939" s="12" t="s">
        <v>294</v>
      </c>
      <c r="B1939" s="12" t="s">
        <v>574</v>
      </c>
      <c r="C1939" s="12" t="s">
        <v>558</v>
      </c>
      <c r="D1939" s="13">
        <v>-230</v>
      </c>
      <c r="E1939" s="13">
        <v>-230.57956100000001</v>
      </c>
      <c r="F1939" s="13">
        <v>-237.93209300000001</v>
      </c>
      <c r="G1939" s="13">
        <v>-218.04398399999999</v>
      </c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</row>
    <row r="1940" spans="1:19" x14ac:dyDescent="0.2">
      <c r="A1940" s="12" t="s">
        <v>294</v>
      </c>
      <c r="B1940" s="12" t="s">
        <v>574</v>
      </c>
      <c r="C1940" s="12" t="s">
        <v>560</v>
      </c>
      <c r="D1940" s="13">
        <v>11</v>
      </c>
      <c r="E1940" s="13">
        <v>6.2871170000000003</v>
      </c>
      <c r="F1940" s="13">
        <v>6.275067</v>
      </c>
      <c r="G1940" s="13">
        <v>5.8793259999999998</v>
      </c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</row>
    <row r="1941" spans="1:19" x14ac:dyDescent="0.2">
      <c r="A1941" s="12" t="s">
        <v>294</v>
      </c>
      <c r="B1941" s="12" t="s">
        <v>574</v>
      </c>
      <c r="C1941" s="12" t="s">
        <v>561</v>
      </c>
      <c r="D1941" s="13">
        <v>632</v>
      </c>
      <c r="E1941" s="13">
        <v>636.14859300000001</v>
      </c>
      <c r="F1941" s="13">
        <v>666.16333499999996</v>
      </c>
      <c r="G1941" s="13">
        <v>664.07547799999998</v>
      </c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</row>
    <row r="1942" spans="1:19" x14ac:dyDescent="0.2">
      <c r="A1942" s="12" t="s">
        <v>294</v>
      </c>
      <c r="B1942" s="12" t="s">
        <v>574</v>
      </c>
      <c r="C1942" s="12" t="s">
        <v>562</v>
      </c>
      <c r="D1942" s="13">
        <v>114</v>
      </c>
      <c r="E1942" s="13">
        <v>107.907003</v>
      </c>
      <c r="F1942" s="13">
        <v>100.656441</v>
      </c>
      <c r="G1942" s="13">
        <v>93.849563000000003</v>
      </c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</row>
    <row r="1943" spans="1:19" x14ac:dyDescent="0.2">
      <c r="A1943" s="12" t="s">
        <v>294</v>
      </c>
      <c r="B1943" s="12" t="s">
        <v>574</v>
      </c>
      <c r="C1943" s="12" t="s">
        <v>563</v>
      </c>
      <c r="D1943" s="13">
        <v>228</v>
      </c>
      <c r="E1943" s="13">
        <v>243.00687099999999</v>
      </c>
      <c r="F1943" s="13">
        <v>261.50590799999998</v>
      </c>
      <c r="G1943" s="13">
        <v>257.01726000000002</v>
      </c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</row>
    <row r="1944" spans="1:19" x14ac:dyDescent="0.2">
      <c r="A1944" s="12" t="s">
        <v>294</v>
      </c>
      <c r="B1944" s="12" t="s">
        <v>574</v>
      </c>
      <c r="C1944" s="12" t="s">
        <v>564</v>
      </c>
      <c r="D1944" s="13">
        <v>102</v>
      </c>
      <c r="E1944" s="13">
        <v>100.884748</v>
      </c>
      <c r="F1944" s="13">
        <v>106.925726</v>
      </c>
      <c r="G1944" s="13">
        <v>108.87670799999999</v>
      </c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</row>
    <row r="1945" spans="1:19" x14ac:dyDescent="0.2">
      <c r="A1945" s="12" t="s">
        <v>294</v>
      </c>
      <c r="B1945" s="12" t="s">
        <v>574</v>
      </c>
      <c r="C1945" s="12" t="s">
        <v>565</v>
      </c>
      <c r="D1945" s="13">
        <v>64</v>
      </c>
      <c r="E1945" s="13">
        <v>66.956351999999995</v>
      </c>
      <c r="F1945" s="13">
        <v>81.716207999999995</v>
      </c>
      <c r="G1945" s="13">
        <v>81.150286999999992</v>
      </c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</row>
    <row r="1946" spans="1:19" x14ac:dyDescent="0.2">
      <c r="A1946" s="12" t="s">
        <v>294</v>
      </c>
      <c r="B1946" s="12" t="s">
        <v>574</v>
      </c>
      <c r="C1946" s="12" t="s">
        <v>566</v>
      </c>
      <c r="D1946" s="13">
        <v>124</v>
      </c>
      <c r="E1946" s="13">
        <v>117.393618</v>
      </c>
      <c r="F1946" s="13">
        <v>115.35905</v>
      </c>
      <c r="G1946" s="13">
        <v>123.181659</v>
      </c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</row>
    <row r="1947" spans="1:19" x14ac:dyDescent="0.2">
      <c r="A1947" s="12" t="s">
        <v>296</v>
      </c>
      <c r="B1947" s="12" t="s">
        <v>553</v>
      </c>
      <c r="C1947" s="12" t="s">
        <v>554</v>
      </c>
      <c r="D1947" s="13">
        <v>0</v>
      </c>
      <c r="E1947" s="13">
        <v>0</v>
      </c>
      <c r="F1947" s="13">
        <v>0</v>
      </c>
      <c r="G1947" s="13">
        <v>0</v>
      </c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</row>
    <row r="1948" spans="1:19" x14ac:dyDescent="0.2">
      <c r="A1948" s="12" t="s">
        <v>296</v>
      </c>
      <c r="B1948" s="12" t="s">
        <v>553</v>
      </c>
      <c r="C1948" s="12" t="s">
        <v>555</v>
      </c>
      <c r="D1948" s="13">
        <v>207</v>
      </c>
      <c r="E1948" s="13">
        <v>232.57879600000001</v>
      </c>
      <c r="F1948" s="13">
        <v>327.74170800000002</v>
      </c>
      <c r="G1948" s="13">
        <v>201.54656499999999</v>
      </c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</row>
    <row r="1949" spans="1:19" x14ac:dyDescent="0.2">
      <c r="A1949" s="12" t="s">
        <v>296</v>
      </c>
      <c r="B1949" s="12" t="s">
        <v>553</v>
      </c>
      <c r="C1949" s="12" t="s">
        <v>556</v>
      </c>
      <c r="D1949" s="13">
        <v>-9</v>
      </c>
      <c r="E1949" s="13">
        <v>-7.5663349999999996</v>
      </c>
      <c r="F1949" s="13">
        <v>-9.911893000000001</v>
      </c>
      <c r="G1949" s="13">
        <v>-7.2138020000000003</v>
      </c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</row>
    <row r="1950" spans="1:19" x14ac:dyDescent="0.2">
      <c r="A1950" s="12" t="s">
        <v>296</v>
      </c>
      <c r="B1950" s="12" t="s">
        <v>553</v>
      </c>
      <c r="C1950" s="12" t="s">
        <v>557</v>
      </c>
      <c r="D1950" s="13">
        <v>213</v>
      </c>
      <c r="E1950" s="13">
        <v>231.99247199999999</v>
      </c>
      <c r="F1950" s="13">
        <v>310.21654599999999</v>
      </c>
      <c r="G1950" s="13">
        <v>201.82129</v>
      </c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</row>
    <row r="1951" spans="1:19" x14ac:dyDescent="0.2">
      <c r="A1951" s="12" t="s">
        <v>296</v>
      </c>
      <c r="B1951" s="12" t="s">
        <v>553</v>
      </c>
      <c r="C1951" s="12" t="s">
        <v>558</v>
      </c>
      <c r="D1951" s="13">
        <v>-151</v>
      </c>
      <c r="E1951" s="13">
        <v>-161.85395500000001</v>
      </c>
      <c r="F1951" s="13">
        <v>-243.45362800000001</v>
      </c>
      <c r="G1951" s="13">
        <v>-141.98698999999999</v>
      </c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</row>
    <row r="1952" spans="1:19" x14ac:dyDescent="0.2">
      <c r="A1952" s="12" t="s">
        <v>296</v>
      </c>
      <c r="B1952" s="12" t="s">
        <v>553</v>
      </c>
      <c r="C1952" s="12" t="s">
        <v>560</v>
      </c>
      <c r="D1952" s="13">
        <v>0</v>
      </c>
      <c r="E1952" s="13">
        <v>0</v>
      </c>
      <c r="F1952" s="13">
        <v>0</v>
      </c>
      <c r="G1952" s="13">
        <v>0</v>
      </c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</row>
    <row r="1953" spans="1:19" x14ac:dyDescent="0.2">
      <c r="A1953" s="12" t="s">
        <v>296</v>
      </c>
      <c r="B1953" s="12" t="s">
        <v>553</v>
      </c>
      <c r="C1953" s="12" t="s">
        <v>561</v>
      </c>
      <c r="D1953" s="13">
        <v>30</v>
      </c>
      <c r="E1953" s="13">
        <v>38.153483999999999</v>
      </c>
      <c r="F1953" s="13">
        <v>33.349812999999997</v>
      </c>
      <c r="G1953" s="13">
        <v>26.530366000000001</v>
      </c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</row>
    <row r="1954" spans="1:19" x14ac:dyDescent="0.2">
      <c r="A1954" s="12" t="s">
        <v>296</v>
      </c>
      <c r="B1954" s="12" t="s">
        <v>553</v>
      </c>
      <c r="C1954" s="12" t="s">
        <v>562</v>
      </c>
      <c r="D1954" s="13">
        <v>30</v>
      </c>
      <c r="E1954" s="13">
        <v>37.948819999999998</v>
      </c>
      <c r="F1954" s="13">
        <v>32.982332999999997</v>
      </c>
      <c r="G1954" s="13">
        <v>26.302847</v>
      </c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</row>
    <row r="1955" spans="1:19" x14ac:dyDescent="0.2">
      <c r="A1955" s="12" t="s">
        <v>296</v>
      </c>
      <c r="B1955" s="12" t="s">
        <v>553</v>
      </c>
      <c r="C1955" s="12" t="s">
        <v>563</v>
      </c>
      <c r="D1955" s="13">
        <v>0</v>
      </c>
      <c r="E1955" s="13">
        <v>0</v>
      </c>
      <c r="F1955" s="13">
        <v>0</v>
      </c>
      <c r="G1955" s="13">
        <v>0</v>
      </c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</row>
    <row r="1956" spans="1:19" x14ac:dyDescent="0.2">
      <c r="A1956" s="12" t="s">
        <v>296</v>
      </c>
      <c r="B1956" s="12" t="s">
        <v>553</v>
      </c>
      <c r="C1956" s="12" t="s">
        <v>564</v>
      </c>
      <c r="D1956" s="13">
        <v>0</v>
      </c>
      <c r="E1956" s="13">
        <v>0</v>
      </c>
      <c r="F1956" s="13">
        <v>0</v>
      </c>
      <c r="G1956" s="13">
        <v>0</v>
      </c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</row>
    <row r="1957" spans="1:19" x14ac:dyDescent="0.2">
      <c r="A1957" s="12" t="s">
        <v>296</v>
      </c>
      <c r="B1957" s="12" t="s">
        <v>553</v>
      </c>
      <c r="C1957" s="12" t="s">
        <v>565</v>
      </c>
      <c r="D1957" s="13">
        <v>0</v>
      </c>
      <c r="E1957" s="13">
        <v>0</v>
      </c>
      <c r="F1957" s="13">
        <v>0</v>
      </c>
      <c r="G1957" s="13">
        <v>0</v>
      </c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</row>
    <row r="1958" spans="1:19" x14ac:dyDescent="0.2">
      <c r="A1958" s="12" t="s">
        <v>296</v>
      </c>
      <c r="B1958" s="12" t="s">
        <v>553</v>
      </c>
      <c r="C1958" s="12" t="s">
        <v>566</v>
      </c>
      <c r="D1958" s="13">
        <v>0</v>
      </c>
      <c r="E1958" s="13">
        <v>0.20466300000000001</v>
      </c>
      <c r="F1958" s="13">
        <v>0.36747999999999997</v>
      </c>
      <c r="G1958" s="13">
        <v>0.227519</v>
      </c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</row>
    <row r="1959" spans="1:19" x14ac:dyDescent="0.2">
      <c r="A1959" s="12" t="s">
        <v>296</v>
      </c>
      <c r="B1959" s="12" t="s">
        <v>567</v>
      </c>
      <c r="C1959" s="12" t="s">
        <v>554</v>
      </c>
      <c r="D1959" s="13">
        <v>245</v>
      </c>
      <c r="E1959" s="13">
        <v>218.58386400000001</v>
      </c>
      <c r="F1959" s="13">
        <v>201.720384</v>
      </c>
      <c r="G1959" s="13">
        <v>232.20093700000001</v>
      </c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</row>
    <row r="1960" spans="1:19" x14ac:dyDescent="0.2">
      <c r="A1960" s="12" t="s">
        <v>296</v>
      </c>
      <c r="B1960" s="12" t="s">
        <v>567</v>
      </c>
      <c r="C1960" s="12" t="s">
        <v>555</v>
      </c>
      <c r="D1960" s="13">
        <v>2227</v>
      </c>
      <c r="E1960" s="13">
        <v>2489.5366819999999</v>
      </c>
      <c r="F1960" s="13">
        <v>2698.8132810000002</v>
      </c>
      <c r="G1960" s="13">
        <v>2643.5759250000001</v>
      </c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</row>
    <row r="1961" spans="1:19" x14ac:dyDescent="0.2">
      <c r="A1961" s="12" t="s">
        <v>296</v>
      </c>
      <c r="B1961" s="12" t="s">
        <v>567</v>
      </c>
      <c r="C1961" s="12" t="s">
        <v>556</v>
      </c>
      <c r="D1961" s="13">
        <v>-52</v>
      </c>
      <c r="E1961" s="13">
        <v>-50.717066000000003</v>
      </c>
      <c r="F1961" s="13">
        <v>-111.07010200000001</v>
      </c>
      <c r="G1961" s="13">
        <v>-143.00364200000001</v>
      </c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</row>
    <row r="1962" spans="1:19" x14ac:dyDescent="0.2">
      <c r="A1962" s="12" t="s">
        <v>296</v>
      </c>
      <c r="B1962" s="12" t="s">
        <v>567</v>
      </c>
      <c r="C1962" s="12" t="s">
        <v>557</v>
      </c>
      <c r="D1962" s="13">
        <v>2388</v>
      </c>
      <c r="E1962" s="13">
        <v>2661.970781</v>
      </c>
      <c r="F1962" s="13">
        <v>2761.5561680000001</v>
      </c>
      <c r="G1962" s="13">
        <v>2757.5718120000001</v>
      </c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</row>
    <row r="1963" spans="1:19" x14ac:dyDescent="0.2">
      <c r="A1963" s="12" t="s">
        <v>296</v>
      </c>
      <c r="B1963" s="12" t="s">
        <v>567</v>
      </c>
      <c r="C1963" s="12" t="s">
        <v>558</v>
      </c>
      <c r="D1963" s="13">
        <v>0</v>
      </c>
      <c r="E1963" s="13">
        <v>0</v>
      </c>
      <c r="F1963" s="13">
        <v>0</v>
      </c>
      <c r="G1963" s="13">
        <v>0</v>
      </c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</row>
    <row r="1964" spans="1:19" x14ac:dyDescent="0.2">
      <c r="A1964" s="12" t="s">
        <v>296</v>
      </c>
      <c r="B1964" s="12" t="s">
        <v>567</v>
      </c>
      <c r="C1964" s="12" t="s">
        <v>560</v>
      </c>
      <c r="D1964" s="13">
        <v>-2550</v>
      </c>
      <c r="E1964" s="13">
        <v>-2906.8698850000001</v>
      </c>
      <c r="F1964" s="13">
        <v>-3082.5051149999999</v>
      </c>
      <c r="G1964" s="13">
        <v>-2968.0319399999998</v>
      </c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</row>
    <row r="1965" spans="1:19" x14ac:dyDescent="0.2">
      <c r="A1965" s="12" t="s">
        <v>296</v>
      </c>
      <c r="B1965" s="12" t="s">
        <v>567</v>
      </c>
      <c r="C1965" s="12" t="s">
        <v>561</v>
      </c>
      <c r="D1965" s="13">
        <v>0</v>
      </c>
      <c r="E1965" s="13">
        <v>0</v>
      </c>
      <c r="F1965" s="13">
        <v>0</v>
      </c>
      <c r="G1965" s="13">
        <v>0</v>
      </c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</row>
    <row r="1966" spans="1:19" x14ac:dyDescent="0.2">
      <c r="A1966" s="12" t="s">
        <v>296</v>
      </c>
      <c r="B1966" s="12" t="s">
        <v>567</v>
      </c>
      <c r="C1966" s="12" t="s">
        <v>562</v>
      </c>
      <c r="D1966" s="13">
        <v>0</v>
      </c>
      <c r="E1966" s="13">
        <v>0</v>
      </c>
      <c r="F1966" s="13">
        <v>0</v>
      </c>
      <c r="G1966" s="13">
        <v>0</v>
      </c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</row>
    <row r="1967" spans="1:19" x14ac:dyDescent="0.2">
      <c r="A1967" s="12" t="s">
        <v>296</v>
      </c>
      <c r="B1967" s="12" t="s">
        <v>567</v>
      </c>
      <c r="C1967" s="12" t="s">
        <v>563</v>
      </c>
      <c r="D1967" s="13">
        <v>0</v>
      </c>
      <c r="E1967" s="13">
        <v>0</v>
      </c>
      <c r="F1967" s="13">
        <v>0</v>
      </c>
      <c r="G1967" s="13">
        <v>0</v>
      </c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</row>
    <row r="1968" spans="1:19" x14ac:dyDescent="0.2">
      <c r="A1968" s="12" t="s">
        <v>296</v>
      </c>
      <c r="B1968" s="12" t="s">
        <v>567</v>
      </c>
      <c r="C1968" s="12" t="s">
        <v>564</v>
      </c>
      <c r="D1968" s="13">
        <v>0</v>
      </c>
      <c r="E1968" s="13">
        <v>0</v>
      </c>
      <c r="F1968" s="13">
        <v>0</v>
      </c>
      <c r="G1968" s="13">
        <v>0</v>
      </c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</row>
    <row r="1969" spans="1:19" x14ac:dyDescent="0.2">
      <c r="A1969" s="12" t="s">
        <v>296</v>
      </c>
      <c r="B1969" s="12" t="s">
        <v>567</v>
      </c>
      <c r="C1969" s="12" t="s">
        <v>565</v>
      </c>
      <c r="D1969" s="13">
        <v>0</v>
      </c>
      <c r="E1969" s="13">
        <v>0</v>
      </c>
      <c r="F1969" s="13">
        <v>0</v>
      </c>
      <c r="G1969" s="13">
        <v>0</v>
      </c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</row>
    <row r="1970" spans="1:19" x14ac:dyDescent="0.2">
      <c r="A1970" s="12" t="s">
        <v>296</v>
      </c>
      <c r="B1970" s="12" t="s">
        <v>567</v>
      </c>
      <c r="C1970" s="12" t="s">
        <v>566</v>
      </c>
      <c r="D1970" s="13">
        <v>0</v>
      </c>
      <c r="E1970" s="13">
        <v>0</v>
      </c>
      <c r="F1970" s="13">
        <v>0</v>
      </c>
      <c r="G1970" s="13">
        <v>0</v>
      </c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</row>
    <row r="1971" spans="1:19" x14ac:dyDescent="0.2">
      <c r="A1971" s="12" t="s">
        <v>296</v>
      </c>
      <c r="B1971" s="12" t="s">
        <v>568</v>
      </c>
      <c r="C1971" s="12" t="s">
        <v>554</v>
      </c>
      <c r="D1971" s="13">
        <v>0</v>
      </c>
      <c r="E1971" s="13">
        <v>0</v>
      </c>
      <c r="F1971" s="13">
        <v>0</v>
      </c>
      <c r="G1971" s="13">
        <v>0</v>
      </c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</row>
    <row r="1972" spans="1:19" x14ac:dyDescent="0.2">
      <c r="A1972" s="12" t="s">
        <v>296</v>
      </c>
      <c r="B1972" s="12" t="s">
        <v>568</v>
      </c>
      <c r="C1972" s="12" t="s">
        <v>555</v>
      </c>
      <c r="D1972" s="13">
        <v>520</v>
      </c>
      <c r="E1972" s="13">
        <v>517.57855900000004</v>
      </c>
      <c r="F1972" s="13">
        <v>571.590779</v>
      </c>
      <c r="G1972" s="13">
        <v>560.01172699999995</v>
      </c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</row>
    <row r="1973" spans="1:19" x14ac:dyDescent="0.2">
      <c r="A1973" s="12" t="s">
        <v>296</v>
      </c>
      <c r="B1973" s="12" t="s">
        <v>568</v>
      </c>
      <c r="C1973" s="12" t="s">
        <v>556</v>
      </c>
      <c r="D1973" s="13">
        <v>-941</v>
      </c>
      <c r="E1973" s="13">
        <v>-1073.638989</v>
      </c>
      <c r="F1973" s="13">
        <v>-1064.49431</v>
      </c>
      <c r="G1973" s="13">
        <v>-1033.9436029999999</v>
      </c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</row>
    <row r="1974" spans="1:19" x14ac:dyDescent="0.2">
      <c r="A1974" s="12" t="s">
        <v>296</v>
      </c>
      <c r="B1974" s="12" t="s">
        <v>568</v>
      </c>
      <c r="C1974" s="12" t="s">
        <v>557</v>
      </c>
      <c r="D1974" s="13">
        <v>-576</v>
      </c>
      <c r="E1974" s="13">
        <v>-602.29486499999996</v>
      </c>
      <c r="F1974" s="13">
        <v>-729.17613600000004</v>
      </c>
      <c r="G1974" s="13">
        <v>-727.40841899999998</v>
      </c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</row>
    <row r="1975" spans="1:19" x14ac:dyDescent="0.2">
      <c r="A1975" s="12" t="s">
        <v>296</v>
      </c>
      <c r="B1975" s="12" t="s">
        <v>568</v>
      </c>
      <c r="C1975" s="12" t="s">
        <v>558</v>
      </c>
      <c r="D1975" s="13">
        <v>-147</v>
      </c>
      <c r="E1975" s="13">
        <v>-107.944806</v>
      </c>
      <c r="F1975" s="13">
        <v>-144.698362</v>
      </c>
      <c r="G1975" s="13">
        <v>-123.666269</v>
      </c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</row>
    <row r="1976" spans="1:19" x14ac:dyDescent="0.2">
      <c r="A1976" s="12" t="s">
        <v>296</v>
      </c>
      <c r="B1976" s="12" t="s">
        <v>568</v>
      </c>
      <c r="C1976" s="12" t="s">
        <v>560</v>
      </c>
      <c r="D1976" s="13">
        <v>2570</v>
      </c>
      <c r="E1976" s="13">
        <v>2934.03602</v>
      </c>
      <c r="F1976" s="13">
        <v>3118.6276149999999</v>
      </c>
      <c r="G1976" s="13">
        <v>3009.3167400000002</v>
      </c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</row>
    <row r="1977" spans="1:19" x14ac:dyDescent="0.2">
      <c r="A1977" s="12" t="s">
        <v>296</v>
      </c>
      <c r="B1977" s="12" t="s">
        <v>568</v>
      </c>
      <c r="C1977" s="12" t="s">
        <v>561</v>
      </c>
      <c r="D1977" s="13">
        <v>1600</v>
      </c>
      <c r="E1977" s="13">
        <v>1839.1181979999999</v>
      </c>
      <c r="F1977" s="13">
        <v>1921.723708</v>
      </c>
      <c r="G1977" s="13">
        <v>1877.67626</v>
      </c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</row>
    <row r="1978" spans="1:19" x14ac:dyDescent="0.2">
      <c r="A1978" s="12" t="s">
        <v>296</v>
      </c>
      <c r="B1978" s="12" t="s">
        <v>568</v>
      </c>
      <c r="C1978" s="12" t="s">
        <v>562</v>
      </c>
      <c r="D1978" s="13">
        <v>68</v>
      </c>
      <c r="E1978" s="13">
        <v>112.51644400000001</v>
      </c>
      <c r="F1978" s="13">
        <v>122.302482</v>
      </c>
      <c r="G1978" s="13">
        <v>113.90433899999999</v>
      </c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</row>
    <row r="1979" spans="1:19" x14ac:dyDescent="0.2">
      <c r="A1979" s="12" t="s">
        <v>296</v>
      </c>
      <c r="B1979" s="12" t="s">
        <v>568</v>
      </c>
      <c r="C1979" s="12" t="s">
        <v>563</v>
      </c>
      <c r="D1979" s="13">
        <v>1083</v>
      </c>
      <c r="E1979" s="13">
        <v>1313.4120339999999</v>
      </c>
      <c r="F1979" s="13">
        <v>1401.4175990000001</v>
      </c>
      <c r="G1979" s="13">
        <v>1417.8167880000001</v>
      </c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</row>
    <row r="1980" spans="1:19" x14ac:dyDescent="0.2">
      <c r="A1980" s="12" t="s">
        <v>296</v>
      </c>
      <c r="B1980" s="12" t="s">
        <v>568</v>
      </c>
      <c r="C1980" s="12" t="s">
        <v>564</v>
      </c>
      <c r="D1980" s="13">
        <v>78</v>
      </c>
      <c r="E1980" s="13">
        <v>78.631649999999993</v>
      </c>
      <c r="F1980" s="13">
        <v>70.196348999999998</v>
      </c>
      <c r="G1980" s="13">
        <v>66.805841000000001</v>
      </c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</row>
    <row r="1981" spans="1:19" x14ac:dyDescent="0.2">
      <c r="A1981" s="12" t="s">
        <v>296</v>
      </c>
      <c r="B1981" s="12" t="s">
        <v>568</v>
      </c>
      <c r="C1981" s="12" t="s">
        <v>565</v>
      </c>
      <c r="D1981" s="13">
        <v>22</v>
      </c>
      <c r="E1981" s="13">
        <v>23.562431</v>
      </c>
      <c r="F1981" s="13">
        <v>21.569065999999999</v>
      </c>
      <c r="G1981" s="13">
        <v>21.157503999999999</v>
      </c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</row>
    <row r="1982" spans="1:19" x14ac:dyDescent="0.2">
      <c r="A1982" s="12" t="s">
        <v>296</v>
      </c>
      <c r="B1982" s="12" t="s">
        <v>568</v>
      </c>
      <c r="C1982" s="12" t="s">
        <v>566</v>
      </c>
      <c r="D1982" s="13">
        <v>349</v>
      </c>
      <c r="E1982" s="13">
        <v>310.995634</v>
      </c>
      <c r="F1982" s="13">
        <v>306.23821500000003</v>
      </c>
      <c r="G1982" s="13">
        <v>257.99178799999999</v>
      </c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</row>
    <row r="1983" spans="1:19" x14ac:dyDescent="0.2">
      <c r="A1983" s="12" t="s">
        <v>296</v>
      </c>
      <c r="B1983" s="12" t="s">
        <v>569</v>
      </c>
      <c r="C1983" s="12" t="s">
        <v>554</v>
      </c>
      <c r="D1983" s="13">
        <v>138</v>
      </c>
      <c r="E1983" s="13">
        <v>109.186356</v>
      </c>
      <c r="F1983" s="13">
        <v>106.505426</v>
      </c>
      <c r="G1983" s="13">
        <v>92.740082000000001</v>
      </c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</row>
    <row r="1984" spans="1:19" x14ac:dyDescent="0.2">
      <c r="A1984" s="12" t="s">
        <v>296</v>
      </c>
      <c r="B1984" s="12" t="s">
        <v>569</v>
      </c>
      <c r="C1984" s="12" t="s">
        <v>555</v>
      </c>
      <c r="D1984" s="13">
        <v>2277</v>
      </c>
      <c r="E1984" s="13">
        <v>2503.0166880000002</v>
      </c>
      <c r="F1984" s="13">
        <v>2489.1576679999998</v>
      </c>
      <c r="G1984" s="13">
        <v>2119.9350169999998</v>
      </c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</row>
    <row r="1985" spans="1:19" x14ac:dyDescent="0.2">
      <c r="A1985" s="12" t="s">
        <v>296</v>
      </c>
      <c r="B1985" s="12" t="s">
        <v>569</v>
      </c>
      <c r="C1985" s="12" t="s">
        <v>556</v>
      </c>
      <c r="D1985" s="13">
        <v>-11</v>
      </c>
      <c r="E1985" s="13">
        <v>-52.926510999999998</v>
      </c>
      <c r="F1985" s="13">
        <v>-158.21251899999999</v>
      </c>
      <c r="G1985" s="13">
        <v>-89.822280000000006</v>
      </c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</row>
    <row r="1986" spans="1:19" x14ac:dyDescent="0.2">
      <c r="A1986" s="12" t="s">
        <v>296</v>
      </c>
      <c r="B1986" s="12" t="s">
        <v>569</v>
      </c>
      <c r="C1986" s="12" t="s">
        <v>557</v>
      </c>
      <c r="D1986" s="13">
        <v>2440</v>
      </c>
      <c r="E1986" s="13">
        <v>2613.837888</v>
      </c>
      <c r="F1986" s="13">
        <v>2348.959777</v>
      </c>
      <c r="G1986" s="13">
        <v>2107.1961759999999</v>
      </c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</row>
    <row r="1987" spans="1:19" x14ac:dyDescent="0.2">
      <c r="A1987" s="12" t="s">
        <v>296</v>
      </c>
      <c r="B1987" s="12" t="s">
        <v>569</v>
      </c>
      <c r="C1987" s="12" t="s">
        <v>558</v>
      </c>
      <c r="D1987" s="13">
        <v>-1014</v>
      </c>
      <c r="E1987" s="13">
        <v>-1003.9400439999999</v>
      </c>
      <c r="F1987" s="13">
        <v>-963.17717100000004</v>
      </c>
      <c r="G1987" s="13">
        <v>-814.86365300000011</v>
      </c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</row>
    <row r="1988" spans="1:19" x14ac:dyDescent="0.2">
      <c r="A1988" s="12" t="s">
        <v>296</v>
      </c>
      <c r="B1988" s="12" t="s">
        <v>569</v>
      </c>
      <c r="C1988" s="12" t="s">
        <v>560</v>
      </c>
      <c r="D1988" s="13">
        <v>0</v>
      </c>
      <c r="E1988" s="13">
        <v>0</v>
      </c>
      <c r="F1988" s="13">
        <v>0</v>
      </c>
      <c r="G1988" s="13">
        <v>0</v>
      </c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</row>
    <row r="1989" spans="1:19" x14ac:dyDescent="0.2">
      <c r="A1989" s="12" t="s">
        <v>296</v>
      </c>
      <c r="B1989" s="12" t="s">
        <v>569</v>
      </c>
      <c r="C1989" s="12" t="s">
        <v>561</v>
      </c>
      <c r="D1989" s="13">
        <v>1359</v>
      </c>
      <c r="E1989" s="13">
        <v>1559.5390050000001</v>
      </c>
      <c r="F1989" s="13">
        <v>1344.8933790000001</v>
      </c>
      <c r="G1989" s="13">
        <v>1252.9510789999999</v>
      </c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</row>
    <row r="1990" spans="1:19" x14ac:dyDescent="0.2">
      <c r="A1990" s="12" t="s">
        <v>296</v>
      </c>
      <c r="B1990" s="12" t="s">
        <v>569</v>
      </c>
      <c r="C1990" s="12" t="s">
        <v>562</v>
      </c>
      <c r="D1990" s="13">
        <v>338</v>
      </c>
      <c r="E1990" s="13">
        <v>488.40521699999999</v>
      </c>
      <c r="F1990" s="13">
        <v>425.45241700000003</v>
      </c>
      <c r="G1990" s="13">
        <v>405.21497900000003</v>
      </c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</row>
    <row r="1991" spans="1:19" x14ac:dyDescent="0.2">
      <c r="A1991" s="12" t="s">
        <v>296</v>
      </c>
      <c r="B1991" s="12" t="s">
        <v>569</v>
      </c>
      <c r="C1991" s="12" t="s">
        <v>563</v>
      </c>
      <c r="D1991" s="13">
        <v>40</v>
      </c>
      <c r="E1991" s="13">
        <v>53.478821000000003</v>
      </c>
      <c r="F1991" s="13">
        <v>43.910317000000013</v>
      </c>
      <c r="G1991" s="13">
        <v>40.940264000000013</v>
      </c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</row>
    <row r="1992" spans="1:19" x14ac:dyDescent="0.2">
      <c r="A1992" s="12" t="s">
        <v>296</v>
      </c>
      <c r="B1992" s="12" t="s">
        <v>569</v>
      </c>
      <c r="C1992" s="12" t="s">
        <v>564</v>
      </c>
      <c r="D1992" s="13">
        <v>667</v>
      </c>
      <c r="E1992" s="13">
        <v>728.72273899999993</v>
      </c>
      <c r="F1992" s="13">
        <v>626.93475600000011</v>
      </c>
      <c r="G1992" s="13">
        <v>539.36715200000003</v>
      </c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</row>
    <row r="1993" spans="1:19" x14ac:dyDescent="0.2">
      <c r="A1993" s="12" t="s">
        <v>296</v>
      </c>
      <c r="B1993" s="12" t="s">
        <v>569</v>
      </c>
      <c r="C1993" s="12" t="s">
        <v>565</v>
      </c>
      <c r="D1993" s="13">
        <v>280</v>
      </c>
      <c r="E1993" s="13">
        <v>246.67552499999999</v>
      </c>
      <c r="F1993" s="13">
        <v>209.588089</v>
      </c>
      <c r="G1993" s="13">
        <v>232.988843</v>
      </c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</row>
    <row r="1994" spans="1:19" x14ac:dyDescent="0.2">
      <c r="A1994" s="12" t="s">
        <v>296</v>
      </c>
      <c r="B1994" s="12" t="s">
        <v>569</v>
      </c>
      <c r="C1994" s="12" t="s">
        <v>566</v>
      </c>
      <c r="D1994" s="13">
        <v>33</v>
      </c>
      <c r="E1994" s="13">
        <v>42.256706999999999</v>
      </c>
      <c r="F1994" s="13">
        <v>39.007800000000003</v>
      </c>
      <c r="G1994" s="13">
        <v>34.439846000000003</v>
      </c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</row>
    <row r="1995" spans="1:19" x14ac:dyDescent="0.2">
      <c r="A1995" s="12" t="s">
        <v>296</v>
      </c>
      <c r="B1995" s="12" t="s">
        <v>570</v>
      </c>
      <c r="C1995" s="12" t="s">
        <v>554</v>
      </c>
      <c r="D1995" s="13">
        <v>0</v>
      </c>
      <c r="E1995" s="13">
        <v>0</v>
      </c>
      <c r="F1995" s="13">
        <v>0</v>
      </c>
      <c r="G1995" s="13">
        <v>0</v>
      </c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</row>
    <row r="1996" spans="1:19" x14ac:dyDescent="0.2">
      <c r="A1996" s="12" t="s">
        <v>296</v>
      </c>
      <c r="B1996" s="12" t="s">
        <v>570</v>
      </c>
      <c r="C1996" s="12" t="s">
        <v>555</v>
      </c>
      <c r="D1996" s="13">
        <v>0</v>
      </c>
      <c r="E1996" s="13">
        <v>0</v>
      </c>
      <c r="F1996" s="13">
        <v>0</v>
      </c>
      <c r="G1996" s="13">
        <v>0</v>
      </c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</row>
    <row r="1997" spans="1:19" x14ac:dyDescent="0.2">
      <c r="A1997" s="12" t="s">
        <v>296</v>
      </c>
      <c r="B1997" s="12" t="s">
        <v>570</v>
      </c>
      <c r="C1997" s="12" t="s">
        <v>556</v>
      </c>
      <c r="D1997" s="13">
        <v>0</v>
      </c>
      <c r="E1997" s="13">
        <v>0</v>
      </c>
      <c r="F1997" s="13">
        <v>0</v>
      </c>
      <c r="G1997" s="13">
        <v>0</v>
      </c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</row>
    <row r="1998" spans="1:19" x14ac:dyDescent="0.2">
      <c r="A1998" s="12" t="s">
        <v>296</v>
      </c>
      <c r="B1998" s="12" t="s">
        <v>570</v>
      </c>
      <c r="C1998" s="12" t="s">
        <v>557</v>
      </c>
      <c r="D1998" s="13">
        <v>0</v>
      </c>
      <c r="E1998" s="13">
        <v>0</v>
      </c>
      <c r="F1998" s="13">
        <v>0</v>
      </c>
      <c r="G1998" s="13">
        <v>0</v>
      </c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</row>
    <row r="1999" spans="1:19" x14ac:dyDescent="0.2">
      <c r="A1999" s="12" t="s">
        <v>296</v>
      </c>
      <c r="B1999" s="12" t="s">
        <v>570</v>
      </c>
      <c r="C1999" s="12" t="s">
        <v>558</v>
      </c>
      <c r="D1999" s="13">
        <v>0</v>
      </c>
      <c r="E1999" s="13">
        <v>0</v>
      </c>
      <c r="F1999" s="13">
        <v>0</v>
      </c>
      <c r="G1999" s="13">
        <v>0</v>
      </c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</row>
    <row r="2000" spans="1:19" x14ac:dyDescent="0.2">
      <c r="A2000" s="12" t="s">
        <v>296</v>
      </c>
      <c r="B2000" s="12" t="s">
        <v>570</v>
      </c>
      <c r="C2000" s="12" t="s">
        <v>560</v>
      </c>
      <c r="D2000" s="13">
        <v>0</v>
      </c>
      <c r="E2000" s="13">
        <v>0</v>
      </c>
      <c r="F2000" s="13">
        <v>0</v>
      </c>
      <c r="G2000" s="13">
        <v>0</v>
      </c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</row>
    <row r="2001" spans="1:19" x14ac:dyDescent="0.2">
      <c r="A2001" s="12" t="s">
        <v>296</v>
      </c>
      <c r="B2001" s="12" t="s">
        <v>570</v>
      </c>
      <c r="C2001" s="12" t="s">
        <v>561</v>
      </c>
      <c r="D2001" s="13">
        <v>0</v>
      </c>
      <c r="E2001" s="13">
        <v>0</v>
      </c>
      <c r="F2001" s="13">
        <v>0</v>
      </c>
      <c r="G2001" s="13">
        <v>0</v>
      </c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</row>
    <row r="2002" spans="1:19" x14ac:dyDescent="0.2">
      <c r="A2002" s="12" t="s">
        <v>296</v>
      </c>
      <c r="B2002" s="12" t="s">
        <v>570</v>
      </c>
      <c r="C2002" s="12" t="s">
        <v>562</v>
      </c>
      <c r="D2002" s="13">
        <v>0</v>
      </c>
      <c r="E2002" s="13">
        <v>0</v>
      </c>
      <c r="F2002" s="13">
        <v>0</v>
      </c>
      <c r="G2002" s="13">
        <v>0</v>
      </c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</row>
    <row r="2003" spans="1:19" x14ac:dyDescent="0.2">
      <c r="A2003" s="12" t="s">
        <v>296</v>
      </c>
      <c r="B2003" s="12" t="s">
        <v>570</v>
      </c>
      <c r="C2003" s="12" t="s">
        <v>563</v>
      </c>
      <c r="D2003" s="13">
        <v>0</v>
      </c>
      <c r="E2003" s="13">
        <v>0</v>
      </c>
      <c r="F2003" s="13">
        <v>0</v>
      </c>
      <c r="G2003" s="13">
        <v>0</v>
      </c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</row>
    <row r="2004" spans="1:19" x14ac:dyDescent="0.2">
      <c r="A2004" s="12" t="s">
        <v>296</v>
      </c>
      <c r="B2004" s="12" t="s">
        <v>570</v>
      </c>
      <c r="C2004" s="12" t="s">
        <v>564</v>
      </c>
      <c r="D2004" s="13">
        <v>0</v>
      </c>
      <c r="E2004" s="13">
        <v>0</v>
      </c>
      <c r="F2004" s="13">
        <v>0</v>
      </c>
      <c r="G2004" s="13">
        <v>0</v>
      </c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</row>
    <row r="2005" spans="1:19" x14ac:dyDescent="0.2">
      <c r="A2005" s="12" t="s">
        <v>296</v>
      </c>
      <c r="B2005" s="12" t="s">
        <v>570</v>
      </c>
      <c r="C2005" s="12" t="s">
        <v>565</v>
      </c>
      <c r="D2005" s="13">
        <v>0</v>
      </c>
      <c r="E2005" s="13">
        <v>0</v>
      </c>
      <c r="F2005" s="13">
        <v>0</v>
      </c>
      <c r="G2005" s="13">
        <v>0</v>
      </c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</row>
    <row r="2006" spans="1:19" x14ac:dyDescent="0.2">
      <c r="A2006" s="12" t="s">
        <v>296</v>
      </c>
      <c r="B2006" s="12" t="s">
        <v>570</v>
      </c>
      <c r="C2006" s="12" t="s">
        <v>566</v>
      </c>
      <c r="D2006" s="13">
        <v>0</v>
      </c>
      <c r="E2006" s="13">
        <v>0</v>
      </c>
      <c r="F2006" s="13">
        <v>0</v>
      </c>
      <c r="G2006" s="13">
        <v>0</v>
      </c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</row>
    <row r="2007" spans="1:19" x14ac:dyDescent="0.2">
      <c r="A2007" s="12" t="s">
        <v>296</v>
      </c>
      <c r="B2007" s="12" t="s">
        <v>571</v>
      </c>
      <c r="C2007" s="12" t="s">
        <v>554</v>
      </c>
      <c r="D2007" s="13">
        <v>1083</v>
      </c>
      <c r="E2007" s="13">
        <v>1115.465774</v>
      </c>
      <c r="F2007" s="13">
        <v>1029.361302</v>
      </c>
      <c r="G2007" s="13">
        <v>1067.746574</v>
      </c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</row>
    <row r="2008" spans="1:19" x14ac:dyDescent="0.2">
      <c r="A2008" s="12" t="s">
        <v>296</v>
      </c>
      <c r="B2008" s="12" t="s">
        <v>571</v>
      </c>
      <c r="C2008" s="12" t="s">
        <v>555</v>
      </c>
      <c r="D2008" s="13">
        <v>111</v>
      </c>
      <c r="E2008" s="13">
        <v>120.098919</v>
      </c>
      <c r="F2008" s="13">
        <v>110.362369</v>
      </c>
      <c r="G2008" s="13">
        <v>104.539489</v>
      </c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</row>
    <row r="2009" spans="1:19" x14ac:dyDescent="0.2">
      <c r="A2009" s="12" t="s">
        <v>296</v>
      </c>
      <c r="B2009" s="12" t="s">
        <v>571</v>
      </c>
      <c r="C2009" s="12" t="s">
        <v>556</v>
      </c>
      <c r="D2009" s="13">
        <v>-21</v>
      </c>
      <c r="E2009" s="13">
        <v>-29.848371</v>
      </c>
      <c r="F2009" s="13">
        <v>-25.550542</v>
      </c>
      <c r="G2009" s="13">
        <v>-22.149788000000001</v>
      </c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</row>
    <row r="2010" spans="1:19" x14ac:dyDescent="0.2">
      <c r="A2010" s="12" t="s">
        <v>296</v>
      </c>
      <c r="B2010" s="12" t="s">
        <v>571</v>
      </c>
      <c r="C2010" s="12" t="s">
        <v>557</v>
      </c>
      <c r="D2010" s="13">
        <v>1175</v>
      </c>
      <c r="E2010" s="13">
        <v>1206.885372</v>
      </c>
      <c r="F2010" s="13">
        <v>1112.2751410000001</v>
      </c>
      <c r="G2010" s="13">
        <v>1152.238546</v>
      </c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</row>
    <row r="2011" spans="1:19" x14ac:dyDescent="0.2">
      <c r="A2011" s="12" t="s">
        <v>296</v>
      </c>
      <c r="B2011" s="12" t="s">
        <v>571</v>
      </c>
      <c r="C2011" s="12" t="s">
        <v>558</v>
      </c>
      <c r="D2011" s="13">
        <v>-815</v>
      </c>
      <c r="E2011" s="13">
        <v>-791.62716399999999</v>
      </c>
      <c r="F2011" s="13">
        <v>-722.96354900000006</v>
      </c>
      <c r="G2011" s="13">
        <v>-761.82107000000008</v>
      </c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</row>
    <row r="2012" spans="1:19" x14ac:dyDescent="0.2">
      <c r="A2012" s="12" t="s">
        <v>296</v>
      </c>
      <c r="B2012" s="12" t="s">
        <v>571</v>
      </c>
      <c r="C2012" s="12" t="s">
        <v>560</v>
      </c>
      <c r="D2012" s="13">
        <v>0</v>
      </c>
      <c r="E2012" s="13">
        <v>0</v>
      </c>
      <c r="F2012" s="13">
        <v>0</v>
      </c>
      <c r="G2012" s="13">
        <v>0</v>
      </c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</row>
    <row r="2013" spans="1:19" x14ac:dyDescent="0.2">
      <c r="A2013" s="12" t="s">
        <v>296</v>
      </c>
      <c r="B2013" s="12" t="s">
        <v>571</v>
      </c>
      <c r="C2013" s="12" t="s">
        <v>561</v>
      </c>
      <c r="D2013" s="13">
        <v>356</v>
      </c>
      <c r="E2013" s="13">
        <v>400.15717400000011</v>
      </c>
      <c r="F2013" s="13">
        <v>372.33094299999999</v>
      </c>
      <c r="G2013" s="13">
        <v>371.88345399999997</v>
      </c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</row>
    <row r="2014" spans="1:19" x14ac:dyDescent="0.2">
      <c r="A2014" s="12" t="s">
        <v>296</v>
      </c>
      <c r="B2014" s="12" t="s">
        <v>571</v>
      </c>
      <c r="C2014" s="12" t="s">
        <v>562</v>
      </c>
      <c r="D2014" s="13">
        <v>31</v>
      </c>
      <c r="E2014" s="13">
        <v>34.417802999999999</v>
      </c>
      <c r="F2014" s="13">
        <v>33.121187999999997</v>
      </c>
      <c r="G2014" s="13">
        <v>35.449469000000001</v>
      </c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</row>
    <row r="2015" spans="1:19" x14ac:dyDescent="0.2">
      <c r="A2015" s="12" t="s">
        <v>296</v>
      </c>
      <c r="B2015" s="12" t="s">
        <v>571</v>
      </c>
      <c r="C2015" s="12" t="s">
        <v>563</v>
      </c>
      <c r="D2015" s="13">
        <v>53</v>
      </c>
      <c r="E2015" s="13">
        <v>59.264919999999996</v>
      </c>
      <c r="F2015" s="13">
        <v>58.159416999999998</v>
      </c>
      <c r="G2015" s="13">
        <v>62.656216000000001</v>
      </c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</row>
    <row r="2016" spans="1:19" x14ac:dyDescent="0.2">
      <c r="A2016" s="12" t="s">
        <v>296</v>
      </c>
      <c r="B2016" s="12" t="s">
        <v>571</v>
      </c>
      <c r="C2016" s="12" t="s">
        <v>564</v>
      </c>
      <c r="D2016" s="13">
        <v>259</v>
      </c>
      <c r="E2016" s="13">
        <v>292.44482299999999</v>
      </c>
      <c r="F2016" s="13">
        <v>266.896434</v>
      </c>
      <c r="G2016" s="13">
        <v>260.35984200000001</v>
      </c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</row>
    <row r="2017" spans="1:19" x14ac:dyDescent="0.2">
      <c r="A2017" s="12" t="s">
        <v>296</v>
      </c>
      <c r="B2017" s="12" t="s">
        <v>571</v>
      </c>
      <c r="C2017" s="12" t="s">
        <v>565</v>
      </c>
      <c r="D2017" s="13">
        <v>9</v>
      </c>
      <c r="E2017" s="13">
        <v>9.6921870000000006</v>
      </c>
      <c r="F2017" s="13">
        <v>9.9610249999999994</v>
      </c>
      <c r="G2017" s="13">
        <v>9.4836510000000001</v>
      </c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</row>
    <row r="2018" spans="1:19" x14ac:dyDescent="0.2">
      <c r="A2018" s="12" t="s">
        <v>296</v>
      </c>
      <c r="B2018" s="12" t="s">
        <v>571</v>
      </c>
      <c r="C2018" s="12" t="s">
        <v>566</v>
      </c>
      <c r="D2018" s="13">
        <v>3</v>
      </c>
      <c r="E2018" s="13">
        <v>4.3374420000000002</v>
      </c>
      <c r="F2018" s="13">
        <v>4.1928890000000001</v>
      </c>
      <c r="G2018" s="13">
        <v>3.934270000000001</v>
      </c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</row>
    <row r="2019" spans="1:19" x14ac:dyDescent="0.2">
      <c r="A2019" s="12" t="s">
        <v>296</v>
      </c>
      <c r="B2019" s="12" t="s">
        <v>572</v>
      </c>
      <c r="C2019" s="12" t="s">
        <v>554</v>
      </c>
      <c r="D2019" s="13">
        <v>0</v>
      </c>
      <c r="E2019" s="13">
        <v>0</v>
      </c>
      <c r="F2019" s="13">
        <v>0</v>
      </c>
      <c r="G2019" s="13">
        <v>0</v>
      </c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</row>
    <row r="2020" spans="1:19" x14ac:dyDescent="0.2">
      <c r="A2020" s="12" t="s">
        <v>296</v>
      </c>
      <c r="B2020" s="12" t="s">
        <v>572</v>
      </c>
      <c r="C2020" s="12" t="s">
        <v>555</v>
      </c>
      <c r="D2020" s="13">
        <v>143</v>
      </c>
      <c r="E2020" s="13">
        <v>167.65811199999999</v>
      </c>
      <c r="F2020" s="13">
        <v>170.607834</v>
      </c>
      <c r="G2020" s="13">
        <v>196.45921799999999</v>
      </c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</row>
    <row r="2021" spans="1:19" x14ac:dyDescent="0.2">
      <c r="A2021" s="12" t="s">
        <v>296</v>
      </c>
      <c r="B2021" s="12" t="s">
        <v>572</v>
      </c>
      <c r="C2021" s="12" t="s">
        <v>556</v>
      </c>
      <c r="D2021" s="13">
        <v>-27</v>
      </c>
      <c r="E2021" s="13">
        <v>-13.614791</v>
      </c>
      <c r="F2021" s="13">
        <v>-15.855244000000001</v>
      </c>
      <c r="G2021" s="13">
        <v>-11.953766</v>
      </c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</row>
    <row r="2022" spans="1:19" x14ac:dyDescent="0.2">
      <c r="A2022" s="12" t="s">
        <v>296</v>
      </c>
      <c r="B2022" s="12" t="s">
        <v>572</v>
      </c>
      <c r="C2022" s="12" t="s">
        <v>557</v>
      </c>
      <c r="D2022" s="13">
        <v>116</v>
      </c>
      <c r="E2022" s="13">
        <v>154.04331999999999</v>
      </c>
      <c r="F2022" s="13">
        <v>154.75259</v>
      </c>
      <c r="G2022" s="13">
        <v>184.50545199999999</v>
      </c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</row>
    <row r="2023" spans="1:19" x14ac:dyDescent="0.2">
      <c r="A2023" s="12" t="s">
        <v>296</v>
      </c>
      <c r="B2023" s="12" t="s">
        <v>572</v>
      </c>
      <c r="C2023" s="12" t="s">
        <v>558</v>
      </c>
      <c r="D2023" s="13">
        <v>1003</v>
      </c>
      <c r="E2023" s="13">
        <v>1033.1256069999999</v>
      </c>
      <c r="F2023" s="13">
        <v>1015.4453590000001</v>
      </c>
      <c r="G2023" s="13">
        <v>947.39541399999996</v>
      </c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</row>
    <row r="2024" spans="1:19" x14ac:dyDescent="0.2">
      <c r="A2024" s="12" t="s">
        <v>296</v>
      </c>
      <c r="B2024" s="12" t="s">
        <v>572</v>
      </c>
      <c r="C2024" s="12" t="s">
        <v>560</v>
      </c>
      <c r="D2024" s="13">
        <v>0</v>
      </c>
      <c r="E2024" s="13">
        <v>0</v>
      </c>
      <c r="F2024" s="13">
        <v>0</v>
      </c>
      <c r="G2024" s="13">
        <v>0</v>
      </c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</row>
    <row r="2025" spans="1:19" x14ac:dyDescent="0.2">
      <c r="A2025" s="12" t="s">
        <v>296</v>
      </c>
      <c r="B2025" s="12" t="s">
        <v>572</v>
      </c>
      <c r="C2025" s="12" t="s">
        <v>561</v>
      </c>
      <c r="D2025" s="13">
        <v>991</v>
      </c>
      <c r="E2025" s="13">
        <v>1051.920261</v>
      </c>
      <c r="F2025" s="13">
        <v>1033.156125</v>
      </c>
      <c r="G2025" s="13">
        <v>1003.912993</v>
      </c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</row>
    <row r="2026" spans="1:19" x14ac:dyDescent="0.2">
      <c r="A2026" s="12" t="s">
        <v>296</v>
      </c>
      <c r="B2026" s="12" t="s">
        <v>572</v>
      </c>
      <c r="C2026" s="12" t="s">
        <v>562</v>
      </c>
      <c r="D2026" s="13">
        <v>422</v>
      </c>
      <c r="E2026" s="13">
        <v>423.18304999999998</v>
      </c>
      <c r="F2026" s="13">
        <v>401.89589799999999</v>
      </c>
      <c r="G2026" s="13">
        <v>384.23825699999998</v>
      </c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</row>
    <row r="2027" spans="1:19" x14ac:dyDescent="0.2">
      <c r="A2027" s="12" t="s">
        <v>296</v>
      </c>
      <c r="B2027" s="12" t="s">
        <v>572</v>
      </c>
      <c r="C2027" s="12" t="s">
        <v>563</v>
      </c>
      <c r="D2027" s="13">
        <v>36</v>
      </c>
      <c r="E2027" s="13">
        <v>30.924876999999999</v>
      </c>
      <c r="F2027" s="13">
        <v>32.430635000000002</v>
      </c>
      <c r="G2027" s="13">
        <v>31.847024000000001</v>
      </c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</row>
    <row r="2028" spans="1:19" x14ac:dyDescent="0.2">
      <c r="A2028" s="12" t="s">
        <v>296</v>
      </c>
      <c r="B2028" s="12" t="s">
        <v>572</v>
      </c>
      <c r="C2028" s="12" t="s">
        <v>564</v>
      </c>
      <c r="D2028" s="13">
        <v>238</v>
      </c>
      <c r="E2028" s="13">
        <v>241.63086699999999</v>
      </c>
      <c r="F2028" s="13">
        <v>232.70411100000001</v>
      </c>
      <c r="G2028" s="13">
        <v>228.286744</v>
      </c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</row>
    <row r="2029" spans="1:19" x14ac:dyDescent="0.2">
      <c r="A2029" s="12" t="s">
        <v>296</v>
      </c>
      <c r="B2029" s="12" t="s">
        <v>572</v>
      </c>
      <c r="C2029" s="12" t="s">
        <v>565</v>
      </c>
      <c r="D2029" s="13">
        <v>271</v>
      </c>
      <c r="E2029" s="13">
        <v>331.759658</v>
      </c>
      <c r="F2029" s="13">
        <v>341.88033899999999</v>
      </c>
      <c r="G2029" s="13">
        <v>336.35412300000002</v>
      </c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</row>
    <row r="2030" spans="1:19" x14ac:dyDescent="0.2">
      <c r="A2030" s="12" t="s">
        <v>296</v>
      </c>
      <c r="B2030" s="12" t="s">
        <v>572</v>
      </c>
      <c r="C2030" s="12" t="s">
        <v>566</v>
      </c>
      <c r="D2030" s="13">
        <v>23</v>
      </c>
      <c r="E2030" s="13">
        <v>24.421809</v>
      </c>
      <c r="F2030" s="13">
        <v>24.245139000000002</v>
      </c>
      <c r="G2030" s="13">
        <v>23.186845999999999</v>
      </c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</row>
    <row r="2031" spans="1:19" x14ac:dyDescent="0.2">
      <c r="A2031" s="12" t="s">
        <v>296</v>
      </c>
      <c r="B2031" s="12" t="s">
        <v>573</v>
      </c>
      <c r="C2031" s="12" t="s">
        <v>554</v>
      </c>
      <c r="D2031" s="13">
        <v>0</v>
      </c>
      <c r="E2031" s="13">
        <v>0</v>
      </c>
      <c r="F2031" s="13">
        <v>8.7834999999999996E-2</v>
      </c>
      <c r="G2031" s="13">
        <v>6.9467000000000001E-2</v>
      </c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</row>
    <row r="2032" spans="1:19" x14ac:dyDescent="0.2">
      <c r="A2032" s="12" t="s">
        <v>296</v>
      </c>
      <c r="B2032" s="12" t="s">
        <v>573</v>
      </c>
      <c r="C2032" s="12" t="s">
        <v>555</v>
      </c>
      <c r="D2032" s="13">
        <v>0</v>
      </c>
      <c r="E2032" s="13">
        <v>0</v>
      </c>
      <c r="F2032" s="13">
        <v>0</v>
      </c>
      <c r="G2032" s="13">
        <v>0</v>
      </c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</row>
    <row r="2033" spans="1:19" x14ac:dyDescent="0.2">
      <c r="A2033" s="12" t="s">
        <v>296</v>
      </c>
      <c r="B2033" s="12" t="s">
        <v>573</v>
      </c>
      <c r="C2033" s="12" t="s">
        <v>556</v>
      </c>
      <c r="D2033" s="13">
        <v>0</v>
      </c>
      <c r="E2033" s="13">
        <v>0</v>
      </c>
      <c r="F2033" s="13">
        <v>0</v>
      </c>
      <c r="G2033" s="13">
        <v>0</v>
      </c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</row>
    <row r="2034" spans="1:19" x14ac:dyDescent="0.2">
      <c r="A2034" s="12" t="s">
        <v>296</v>
      </c>
      <c r="B2034" s="12" t="s">
        <v>573</v>
      </c>
      <c r="C2034" s="12" t="s">
        <v>557</v>
      </c>
      <c r="D2034" s="13">
        <v>0</v>
      </c>
      <c r="E2034" s="13">
        <v>0</v>
      </c>
      <c r="F2034" s="13">
        <v>8.7834999999999996E-2</v>
      </c>
      <c r="G2034" s="13">
        <v>6.9467000000000001E-2</v>
      </c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</row>
    <row r="2035" spans="1:19" x14ac:dyDescent="0.2">
      <c r="A2035" s="12" t="s">
        <v>296</v>
      </c>
      <c r="B2035" s="12" t="s">
        <v>573</v>
      </c>
      <c r="C2035" s="12" t="s">
        <v>558</v>
      </c>
      <c r="D2035" s="13">
        <v>229</v>
      </c>
      <c r="E2035" s="13">
        <v>92.858632000000014</v>
      </c>
      <c r="F2035" s="13">
        <v>85.872721000000013</v>
      </c>
      <c r="G2035" s="13">
        <v>86.437981000000008</v>
      </c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</row>
    <row r="2036" spans="1:19" x14ac:dyDescent="0.2">
      <c r="A2036" s="12" t="s">
        <v>296</v>
      </c>
      <c r="B2036" s="12" t="s">
        <v>573</v>
      </c>
      <c r="C2036" s="12" t="s">
        <v>560</v>
      </c>
      <c r="D2036" s="13">
        <v>0</v>
      </c>
      <c r="E2036" s="13">
        <v>0</v>
      </c>
      <c r="F2036" s="13">
        <v>0</v>
      </c>
      <c r="G2036" s="13">
        <v>0</v>
      </c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</row>
    <row r="2037" spans="1:19" x14ac:dyDescent="0.2">
      <c r="A2037" s="12" t="s">
        <v>296</v>
      </c>
      <c r="B2037" s="12" t="s">
        <v>573</v>
      </c>
      <c r="C2037" s="12" t="s">
        <v>561</v>
      </c>
      <c r="D2037" s="13">
        <v>162</v>
      </c>
      <c r="E2037" s="13">
        <v>64.789226999999997</v>
      </c>
      <c r="F2037" s="13">
        <v>62.542686000000003</v>
      </c>
      <c r="G2037" s="13">
        <v>59.860384000000003</v>
      </c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</row>
    <row r="2038" spans="1:19" x14ac:dyDescent="0.2">
      <c r="A2038" s="12" t="s">
        <v>296</v>
      </c>
      <c r="B2038" s="12" t="s">
        <v>573</v>
      </c>
      <c r="C2038" s="12" t="s">
        <v>562</v>
      </c>
      <c r="D2038" s="13">
        <v>113</v>
      </c>
      <c r="E2038" s="13">
        <v>24.577521000000001</v>
      </c>
      <c r="F2038" s="13">
        <v>23.255011</v>
      </c>
      <c r="G2038" s="13">
        <v>23.529326000000001</v>
      </c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</row>
    <row r="2039" spans="1:19" x14ac:dyDescent="0.2">
      <c r="A2039" s="12" t="s">
        <v>296</v>
      </c>
      <c r="B2039" s="12" t="s">
        <v>573</v>
      </c>
      <c r="C2039" s="12" t="s">
        <v>563</v>
      </c>
      <c r="D2039" s="13">
        <v>0</v>
      </c>
      <c r="E2039" s="13">
        <v>0</v>
      </c>
      <c r="F2039" s="13">
        <v>0</v>
      </c>
      <c r="G2039" s="13">
        <v>0</v>
      </c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</row>
    <row r="2040" spans="1:19" x14ac:dyDescent="0.2">
      <c r="A2040" s="12" t="s">
        <v>296</v>
      </c>
      <c r="B2040" s="12" t="s">
        <v>573</v>
      </c>
      <c r="C2040" s="12" t="s">
        <v>564</v>
      </c>
      <c r="D2040" s="13">
        <v>36</v>
      </c>
      <c r="E2040" s="13">
        <v>29.636863000000002</v>
      </c>
      <c r="F2040" s="13">
        <v>28.740561</v>
      </c>
      <c r="G2040" s="13">
        <v>25.61354</v>
      </c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</row>
    <row r="2041" spans="1:19" x14ac:dyDescent="0.2">
      <c r="A2041" s="12" t="s">
        <v>296</v>
      </c>
      <c r="B2041" s="12" t="s">
        <v>573</v>
      </c>
      <c r="C2041" s="12" t="s">
        <v>565</v>
      </c>
      <c r="D2041" s="13">
        <v>12</v>
      </c>
      <c r="E2041" s="13">
        <v>10.141681</v>
      </c>
      <c r="F2041" s="13">
        <v>9.9775840000000002</v>
      </c>
      <c r="G2041" s="13">
        <v>10.624264999999999</v>
      </c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</row>
    <row r="2042" spans="1:19" x14ac:dyDescent="0.2">
      <c r="A2042" s="12" t="s">
        <v>296</v>
      </c>
      <c r="B2042" s="12" t="s">
        <v>573</v>
      </c>
      <c r="C2042" s="12" t="s">
        <v>566</v>
      </c>
      <c r="D2042" s="13">
        <v>1</v>
      </c>
      <c r="E2042" s="13">
        <v>0.43316300000000002</v>
      </c>
      <c r="F2042" s="13">
        <v>0.56953900000000002</v>
      </c>
      <c r="G2042" s="13">
        <v>9.3252000000000015E-2</v>
      </c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</row>
    <row r="2043" spans="1:19" x14ac:dyDescent="0.2">
      <c r="A2043" s="12" t="s">
        <v>296</v>
      </c>
      <c r="B2043" s="12" t="s">
        <v>574</v>
      </c>
      <c r="C2043" s="12" t="s">
        <v>554</v>
      </c>
      <c r="D2043" s="13">
        <v>1465</v>
      </c>
      <c r="E2043" s="13">
        <v>1443.2359980000001</v>
      </c>
      <c r="F2043" s="13">
        <v>1337.674947</v>
      </c>
      <c r="G2043" s="13">
        <v>1392.757061</v>
      </c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</row>
    <row r="2044" spans="1:19" x14ac:dyDescent="0.2">
      <c r="A2044" s="12" t="s">
        <v>296</v>
      </c>
      <c r="B2044" s="12" t="s">
        <v>574</v>
      </c>
      <c r="C2044" s="12" t="s">
        <v>555</v>
      </c>
      <c r="D2044" s="13">
        <v>5485</v>
      </c>
      <c r="E2044" s="13">
        <v>6030.4677590000001</v>
      </c>
      <c r="F2044" s="13">
        <v>6368.2736340000001</v>
      </c>
      <c r="G2044" s="13">
        <v>5826.0679359999986</v>
      </c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</row>
    <row r="2045" spans="1:19" x14ac:dyDescent="0.2">
      <c r="A2045" s="12" t="s">
        <v>296</v>
      </c>
      <c r="B2045" s="12" t="s">
        <v>574</v>
      </c>
      <c r="C2045" s="12" t="s">
        <v>556</v>
      </c>
      <c r="D2045" s="13">
        <v>-1060</v>
      </c>
      <c r="E2045" s="13">
        <v>-1228.3120630000001</v>
      </c>
      <c r="F2045" s="13">
        <v>-1385.0946060000001</v>
      </c>
      <c r="G2045" s="13">
        <v>-1308.0868849999999</v>
      </c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</row>
    <row r="2046" spans="1:19" x14ac:dyDescent="0.2">
      <c r="A2046" s="12" t="s">
        <v>296</v>
      </c>
      <c r="B2046" s="12" t="s">
        <v>574</v>
      </c>
      <c r="C2046" s="12" t="s">
        <v>557</v>
      </c>
      <c r="D2046" s="13">
        <v>5756</v>
      </c>
      <c r="E2046" s="13">
        <v>6266.4349659999998</v>
      </c>
      <c r="F2046" s="13">
        <v>5958.671918</v>
      </c>
      <c r="G2046" s="13">
        <v>5675.9943169999997</v>
      </c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</row>
    <row r="2047" spans="1:19" x14ac:dyDescent="0.2">
      <c r="A2047" s="12" t="s">
        <v>296</v>
      </c>
      <c r="B2047" s="12" t="s">
        <v>574</v>
      </c>
      <c r="C2047" s="12" t="s">
        <v>558</v>
      </c>
      <c r="D2047" s="13">
        <v>-896</v>
      </c>
      <c r="E2047" s="13">
        <v>-939.38173599999993</v>
      </c>
      <c r="F2047" s="13">
        <v>-972.97463400000015</v>
      </c>
      <c r="G2047" s="13">
        <v>-808.50458400000002</v>
      </c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</row>
    <row r="2048" spans="1:19" x14ac:dyDescent="0.2">
      <c r="A2048" s="12" t="s">
        <v>296</v>
      </c>
      <c r="B2048" s="12" t="s">
        <v>574</v>
      </c>
      <c r="C2048" s="12" t="s">
        <v>560</v>
      </c>
      <c r="D2048" s="13">
        <v>20</v>
      </c>
      <c r="E2048" s="13">
        <v>27.166136000000002</v>
      </c>
      <c r="F2048" s="13">
        <v>36.122495999999998</v>
      </c>
      <c r="G2048" s="13">
        <v>41.284799999999997</v>
      </c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</row>
    <row r="2049" spans="1:19" x14ac:dyDescent="0.2">
      <c r="A2049" s="12" t="s">
        <v>296</v>
      </c>
      <c r="B2049" s="12" t="s">
        <v>574</v>
      </c>
      <c r="C2049" s="12" t="s">
        <v>561</v>
      </c>
      <c r="D2049" s="13">
        <v>4498</v>
      </c>
      <c r="E2049" s="13">
        <v>4953.6773450000001</v>
      </c>
      <c r="F2049" s="13">
        <v>4767.996658</v>
      </c>
      <c r="G2049" s="13">
        <v>4592.8145319999994</v>
      </c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</row>
    <row r="2050" spans="1:19" x14ac:dyDescent="0.2">
      <c r="A2050" s="12" t="s">
        <v>296</v>
      </c>
      <c r="B2050" s="12" t="s">
        <v>574</v>
      </c>
      <c r="C2050" s="12" t="s">
        <v>562</v>
      </c>
      <c r="D2050" s="13">
        <v>1002</v>
      </c>
      <c r="E2050" s="13">
        <v>1121.048851</v>
      </c>
      <c r="F2050" s="13">
        <v>1039.0093300000001</v>
      </c>
      <c r="G2050" s="13">
        <v>988.63922000000002</v>
      </c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</row>
    <row r="2051" spans="1:19" x14ac:dyDescent="0.2">
      <c r="A2051" s="12" t="s">
        <v>296</v>
      </c>
      <c r="B2051" s="12" t="s">
        <v>574</v>
      </c>
      <c r="C2051" s="12" t="s">
        <v>563</v>
      </c>
      <c r="D2051" s="13">
        <v>1213</v>
      </c>
      <c r="E2051" s="13">
        <v>1457.080653</v>
      </c>
      <c r="F2051" s="13">
        <v>1535.9179670000001</v>
      </c>
      <c r="G2051" s="13">
        <v>1553.2602959999999</v>
      </c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</row>
    <row r="2052" spans="1:19" x14ac:dyDescent="0.2">
      <c r="A2052" s="12" t="s">
        <v>296</v>
      </c>
      <c r="B2052" s="12" t="s">
        <v>574</v>
      </c>
      <c r="C2052" s="12" t="s">
        <v>564</v>
      </c>
      <c r="D2052" s="13">
        <v>1280</v>
      </c>
      <c r="E2052" s="13">
        <v>1371.0669419999999</v>
      </c>
      <c r="F2052" s="13">
        <v>1225.472211</v>
      </c>
      <c r="G2052" s="13">
        <v>1120.433119</v>
      </c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</row>
    <row r="2053" spans="1:19" x14ac:dyDescent="0.2">
      <c r="A2053" s="12" t="s">
        <v>296</v>
      </c>
      <c r="B2053" s="12" t="s">
        <v>574</v>
      </c>
      <c r="C2053" s="12" t="s">
        <v>565</v>
      </c>
      <c r="D2053" s="13">
        <v>594</v>
      </c>
      <c r="E2053" s="13">
        <v>621.83148300000005</v>
      </c>
      <c r="F2053" s="13">
        <v>592.97610299999997</v>
      </c>
      <c r="G2053" s="13">
        <v>610.6083880000001</v>
      </c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</row>
    <row r="2054" spans="1:19" x14ac:dyDescent="0.2">
      <c r="A2054" s="12" t="s">
        <v>296</v>
      </c>
      <c r="B2054" s="12" t="s">
        <v>574</v>
      </c>
      <c r="C2054" s="12" t="s">
        <v>566</v>
      </c>
      <c r="D2054" s="13">
        <v>409</v>
      </c>
      <c r="E2054" s="13">
        <v>382.64941599999997</v>
      </c>
      <c r="F2054" s="13">
        <v>374.62105200000002</v>
      </c>
      <c r="G2054" s="13">
        <v>319.87352199999998</v>
      </c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</row>
    <row r="2055" spans="1:19" x14ac:dyDescent="0.2">
      <c r="A2055" s="12" t="s">
        <v>301</v>
      </c>
      <c r="B2055" s="12" t="s">
        <v>553</v>
      </c>
      <c r="C2055" s="12" t="s">
        <v>554</v>
      </c>
      <c r="D2055" s="13">
        <v>18</v>
      </c>
      <c r="E2055" s="13">
        <v>15.430489</v>
      </c>
      <c r="F2055" s="13">
        <v>15.913893</v>
      </c>
      <c r="G2055" s="13">
        <v>14.587481</v>
      </c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</row>
    <row r="2056" spans="1:19" x14ac:dyDescent="0.2">
      <c r="A2056" s="12" t="s">
        <v>301</v>
      </c>
      <c r="B2056" s="12" t="s">
        <v>553</v>
      </c>
      <c r="C2056" s="12" t="s">
        <v>555</v>
      </c>
      <c r="D2056" s="13">
        <v>4348</v>
      </c>
      <c r="E2056" s="13">
        <v>4702.8374819999999</v>
      </c>
      <c r="F2056" s="13">
        <v>4548.1846969999997</v>
      </c>
      <c r="G2056" s="13">
        <v>4158.2107590000014</v>
      </c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</row>
    <row r="2057" spans="1:19" x14ac:dyDescent="0.2">
      <c r="A2057" s="12" t="s">
        <v>301</v>
      </c>
      <c r="B2057" s="12" t="s">
        <v>553</v>
      </c>
      <c r="C2057" s="12" t="s">
        <v>556</v>
      </c>
      <c r="D2057" s="13">
        <v>-94</v>
      </c>
      <c r="E2057" s="13">
        <v>-66.30076600000001</v>
      </c>
      <c r="F2057" s="13">
        <v>-23.334765999999998</v>
      </c>
      <c r="G2057" s="13">
        <v>-14.543799999999999</v>
      </c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</row>
    <row r="2058" spans="1:19" x14ac:dyDescent="0.2">
      <c r="A2058" s="12" t="s">
        <v>301</v>
      </c>
      <c r="B2058" s="12" t="s">
        <v>553</v>
      </c>
      <c r="C2058" s="12" t="s">
        <v>557</v>
      </c>
      <c r="D2058" s="13">
        <v>4271</v>
      </c>
      <c r="E2058" s="13">
        <v>4650.2507750000004</v>
      </c>
      <c r="F2058" s="13">
        <v>4536.8851390000009</v>
      </c>
      <c r="G2058" s="13">
        <v>4158.6280070000003</v>
      </c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</row>
    <row r="2059" spans="1:19" x14ac:dyDescent="0.2">
      <c r="A2059" s="12" t="s">
        <v>301</v>
      </c>
      <c r="B2059" s="12" t="s">
        <v>553</v>
      </c>
      <c r="C2059" s="12" t="s">
        <v>558</v>
      </c>
      <c r="D2059" s="13">
        <v>-2713</v>
      </c>
      <c r="E2059" s="13">
        <v>-2850.6108859999999</v>
      </c>
      <c r="F2059" s="13">
        <v>-2779.4249119999999</v>
      </c>
      <c r="G2059" s="13">
        <v>-2624.3815060000002</v>
      </c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</row>
    <row r="2060" spans="1:19" x14ac:dyDescent="0.2">
      <c r="A2060" s="12" t="s">
        <v>301</v>
      </c>
      <c r="B2060" s="12" t="s">
        <v>553</v>
      </c>
      <c r="C2060" s="12" t="s">
        <v>560</v>
      </c>
      <c r="D2060" s="13">
        <v>0</v>
      </c>
      <c r="E2060" s="13">
        <v>0</v>
      </c>
      <c r="F2060" s="13">
        <v>0</v>
      </c>
      <c r="G2060" s="13">
        <v>0</v>
      </c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</row>
    <row r="2061" spans="1:19" x14ac:dyDescent="0.2">
      <c r="A2061" s="12" t="s">
        <v>301</v>
      </c>
      <c r="B2061" s="12" t="s">
        <v>553</v>
      </c>
      <c r="C2061" s="12" t="s">
        <v>561</v>
      </c>
      <c r="D2061" s="13">
        <v>787</v>
      </c>
      <c r="E2061" s="13">
        <v>795.30835400000012</v>
      </c>
      <c r="F2061" s="13">
        <v>748.62996400000009</v>
      </c>
      <c r="G2061" s="13">
        <v>701.15997500000003</v>
      </c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</row>
    <row r="2062" spans="1:19" x14ac:dyDescent="0.2">
      <c r="A2062" s="12" t="s">
        <v>301</v>
      </c>
      <c r="B2062" s="12" t="s">
        <v>553</v>
      </c>
      <c r="C2062" s="12" t="s">
        <v>562</v>
      </c>
      <c r="D2062" s="13">
        <v>748</v>
      </c>
      <c r="E2062" s="13">
        <v>758.46613000000002</v>
      </c>
      <c r="F2062" s="13">
        <v>713.43695000000002</v>
      </c>
      <c r="G2062" s="13">
        <v>669.74704299999996</v>
      </c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</row>
    <row r="2063" spans="1:19" x14ac:dyDescent="0.2">
      <c r="A2063" s="12" t="s">
        <v>301</v>
      </c>
      <c r="B2063" s="12" t="s">
        <v>553</v>
      </c>
      <c r="C2063" s="12" t="s">
        <v>563</v>
      </c>
      <c r="D2063" s="13">
        <v>0</v>
      </c>
      <c r="E2063" s="13">
        <v>1.4449E-2</v>
      </c>
      <c r="F2063" s="13">
        <v>1.4449E-2</v>
      </c>
      <c r="G2063" s="13">
        <v>1.4449E-2</v>
      </c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</row>
    <row r="2064" spans="1:19" x14ac:dyDescent="0.2">
      <c r="A2064" s="12" t="s">
        <v>301</v>
      </c>
      <c r="B2064" s="12" t="s">
        <v>553</v>
      </c>
      <c r="C2064" s="12" t="s">
        <v>564</v>
      </c>
      <c r="D2064" s="13">
        <v>0</v>
      </c>
      <c r="E2064" s="13">
        <v>0</v>
      </c>
      <c r="F2064" s="13">
        <v>0</v>
      </c>
      <c r="G2064" s="13">
        <v>0</v>
      </c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</row>
    <row r="2065" spans="1:19" x14ac:dyDescent="0.2">
      <c r="A2065" s="12" t="s">
        <v>301</v>
      </c>
      <c r="B2065" s="12" t="s">
        <v>553</v>
      </c>
      <c r="C2065" s="12" t="s">
        <v>565</v>
      </c>
      <c r="D2065" s="13">
        <v>9</v>
      </c>
      <c r="E2065" s="13">
        <v>6.3748469999999999</v>
      </c>
      <c r="F2065" s="13">
        <v>5.8952659999999986</v>
      </c>
      <c r="G2065" s="13">
        <v>5.8952659999999986</v>
      </c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</row>
    <row r="2066" spans="1:19" x14ac:dyDescent="0.2">
      <c r="A2066" s="12" t="s">
        <v>301</v>
      </c>
      <c r="B2066" s="12" t="s">
        <v>553</v>
      </c>
      <c r="C2066" s="12" t="s">
        <v>566</v>
      </c>
      <c r="D2066" s="13">
        <v>30</v>
      </c>
      <c r="E2066" s="13">
        <v>30.452923999999999</v>
      </c>
      <c r="F2066" s="13">
        <v>29.283300000000001</v>
      </c>
      <c r="G2066" s="13">
        <v>25.503218</v>
      </c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</row>
    <row r="2067" spans="1:19" x14ac:dyDescent="0.2">
      <c r="A2067" s="12" t="s">
        <v>301</v>
      </c>
      <c r="B2067" s="12" t="s">
        <v>567</v>
      </c>
      <c r="C2067" s="12" t="s">
        <v>554</v>
      </c>
      <c r="D2067" s="13">
        <v>18</v>
      </c>
      <c r="E2067" s="13">
        <v>16.098887000000001</v>
      </c>
      <c r="F2067" s="13">
        <v>14.212937999999999</v>
      </c>
      <c r="G2067" s="13">
        <v>13.451648</v>
      </c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</row>
    <row r="2068" spans="1:19" x14ac:dyDescent="0.2">
      <c r="A2068" s="12" t="s">
        <v>301</v>
      </c>
      <c r="B2068" s="12" t="s">
        <v>567</v>
      </c>
      <c r="C2068" s="12" t="s">
        <v>555</v>
      </c>
      <c r="D2068" s="13">
        <v>4891</v>
      </c>
      <c r="E2068" s="13">
        <v>5342.95568</v>
      </c>
      <c r="F2068" s="13">
        <v>5612.7031320000006</v>
      </c>
      <c r="G2068" s="13">
        <v>5176.857285</v>
      </c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</row>
    <row r="2069" spans="1:19" x14ac:dyDescent="0.2">
      <c r="A2069" s="12" t="s">
        <v>301</v>
      </c>
      <c r="B2069" s="12" t="s">
        <v>567</v>
      </c>
      <c r="C2069" s="12" t="s">
        <v>556</v>
      </c>
      <c r="D2069" s="13">
        <v>0</v>
      </c>
      <c r="E2069" s="13">
        <v>0</v>
      </c>
      <c r="F2069" s="13">
        <v>0</v>
      </c>
      <c r="G2069" s="13">
        <v>0</v>
      </c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</row>
    <row r="2070" spans="1:19" x14ac:dyDescent="0.2">
      <c r="A2070" s="12" t="s">
        <v>301</v>
      </c>
      <c r="B2070" s="12" t="s">
        <v>567</v>
      </c>
      <c r="C2070" s="12" t="s">
        <v>557</v>
      </c>
      <c r="D2070" s="13">
        <v>5062</v>
      </c>
      <c r="E2070" s="13">
        <v>5348.6841850000001</v>
      </c>
      <c r="F2070" s="13">
        <v>5713.3156279999994</v>
      </c>
      <c r="G2070" s="13">
        <v>5203.5505470000007</v>
      </c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</row>
    <row r="2071" spans="1:19" x14ac:dyDescent="0.2">
      <c r="A2071" s="12" t="s">
        <v>301</v>
      </c>
      <c r="B2071" s="12" t="s">
        <v>567</v>
      </c>
      <c r="C2071" s="12" t="s">
        <v>558</v>
      </c>
      <c r="D2071" s="13">
        <v>-11</v>
      </c>
      <c r="E2071" s="13">
        <v>-8.2632820000000002</v>
      </c>
      <c r="F2071" s="13">
        <v>-6.5940219999999998</v>
      </c>
      <c r="G2071" s="13">
        <v>-1.6320939999999999</v>
      </c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</row>
    <row r="2072" spans="1:19" x14ac:dyDescent="0.2">
      <c r="A2072" s="12" t="s">
        <v>301</v>
      </c>
      <c r="B2072" s="12" t="s">
        <v>567</v>
      </c>
      <c r="C2072" s="12" t="s">
        <v>560</v>
      </c>
      <c r="D2072" s="13">
        <v>-5150</v>
      </c>
      <c r="E2072" s="13">
        <v>-5472.5673390000002</v>
      </c>
      <c r="F2072" s="13">
        <v>-5760.9230070000003</v>
      </c>
      <c r="G2072" s="13">
        <v>-5319.109547</v>
      </c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</row>
    <row r="2073" spans="1:19" x14ac:dyDescent="0.2">
      <c r="A2073" s="12" t="s">
        <v>301</v>
      </c>
      <c r="B2073" s="12" t="s">
        <v>567</v>
      </c>
      <c r="C2073" s="12" t="s">
        <v>561</v>
      </c>
      <c r="D2073" s="13">
        <v>0</v>
      </c>
      <c r="E2073" s="13">
        <v>3.9947430000000002</v>
      </c>
      <c r="F2073" s="13">
        <v>1.625035</v>
      </c>
      <c r="G2073" s="13">
        <v>7.528E-3</v>
      </c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</row>
    <row r="2074" spans="1:19" x14ac:dyDescent="0.2">
      <c r="A2074" s="12" t="s">
        <v>301</v>
      </c>
      <c r="B2074" s="12" t="s">
        <v>567</v>
      </c>
      <c r="C2074" s="12" t="s">
        <v>562</v>
      </c>
      <c r="D2074" s="13">
        <v>0</v>
      </c>
      <c r="E2074" s="13">
        <v>9.5E-4</v>
      </c>
      <c r="F2074" s="13">
        <v>0</v>
      </c>
      <c r="G2074" s="13">
        <v>7.528E-3</v>
      </c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</row>
    <row r="2075" spans="1:19" x14ac:dyDescent="0.2">
      <c r="A2075" s="12" t="s">
        <v>301</v>
      </c>
      <c r="B2075" s="12" t="s">
        <v>567</v>
      </c>
      <c r="C2075" s="12" t="s">
        <v>563</v>
      </c>
      <c r="D2075" s="13">
        <v>0</v>
      </c>
      <c r="E2075" s="13">
        <v>0</v>
      </c>
      <c r="F2075" s="13">
        <v>0</v>
      </c>
      <c r="G2075" s="13">
        <v>0</v>
      </c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</row>
    <row r="2076" spans="1:19" x14ac:dyDescent="0.2">
      <c r="A2076" s="12" t="s">
        <v>301</v>
      </c>
      <c r="B2076" s="12" t="s">
        <v>567</v>
      </c>
      <c r="C2076" s="12" t="s">
        <v>564</v>
      </c>
      <c r="D2076" s="13">
        <v>0</v>
      </c>
      <c r="E2076" s="13">
        <v>0</v>
      </c>
      <c r="F2076" s="13">
        <v>0</v>
      </c>
      <c r="G2076" s="13">
        <v>0</v>
      </c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</row>
    <row r="2077" spans="1:19" x14ac:dyDescent="0.2">
      <c r="A2077" s="12" t="s">
        <v>301</v>
      </c>
      <c r="B2077" s="12" t="s">
        <v>567</v>
      </c>
      <c r="C2077" s="12" t="s">
        <v>565</v>
      </c>
      <c r="D2077" s="13">
        <v>0</v>
      </c>
      <c r="E2077" s="13">
        <v>0</v>
      </c>
      <c r="F2077" s="13">
        <v>0</v>
      </c>
      <c r="G2077" s="13">
        <v>0</v>
      </c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</row>
    <row r="2078" spans="1:19" x14ac:dyDescent="0.2">
      <c r="A2078" s="12" t="s">
        <v>301</v>
      </c>
      <c r="B2078" s="12" t="s">
        <v>567</v>
      </c>
      <c r="C2078" s="12" t="s">
        <v>566</v>
      </c>
      <c r="D2078" s="13">
        <v>0</v>
      </c>
      <c r="E2078" s="13">
        <v>3.9937930000000001</v>
      </c>
      <c r="F2078" s="13">
        <v>1.625035</v>
      </c>
      <c r="G2078" s="13">
        <v>0</v>
      </c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</row>
    <row r="2079" spans="1:19" x14ac:dyDescent="0.2">
      <c r="A2079" s="12" t="s">
        <v>301</v>
      </c>
      <c r="B2079" s="12" t="s">
        <v>568</v>
      </c>
      <c r="C2079" s="12" t="s">
        <v>554</v>
      </c>
      <c r="D2079" s="13">
        <v>0</v>
      </c>
      <c r="E2079" s="13">
        <v>0</v>
      </c>
      <c r="F2079" s="13">
        <v>0</v>
      </c>
      <c r="G2079" s="13">
        <v>0</v>
      </c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</row>
    <row r="2080" spans="1:19" x14ac:dyDescent="0.2">
      <c r="A2080" s="12" t="s">
        <v>301</v>
      </c>
      <c r="B2080" s="12" t="s">
        <v>568</v>
      </c>
      <c r="C2080" s="12" t="s">
        <v>555</v>
      </c>
      <c r="D2080" s="13">
        <v>1841</v>
      </c>
      <c r="E2080" s="13">
        <v>1864.520125</v>
      </c>
      <c r="F2080" s="13">
        <v>1736.6425919999999</v>
      </c>
      <c r="G2080" s="13">
        <v>1728.2867650000001</v>
      </c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</row>
    <row r="2081" spans="1:19" x14ac:dyDescent="0.2">
      <c r="A2081" s="12" t="s">
        <v>301</v>
      </c>
      <c r="B2081" s="12" t="s">
        <v>568</v>
      </c>
      <c r="C2081" s="12" t="s">
        <v>556</v>
      </c>
      <c r="D2081" s="13">
        <v>-403</v>
      </c>
      <c r="E2081" s="13">
        <v>-549.04342900000006</v>
      </c>
      <c r="F2081" s="13">
        <v>-712.82836899999995</v>
      </c>
      <c r="G2081" s="13">
        <v>-537.43845599999997</v>
      </c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</row>
    <row r="2082" spans="1:19" x14ac:dyDescent="0.2">
      <c r="A2082" s="12" t="s">
        <v>301</v>
      </c>
      <c r="B2082" s="12" t="s">
        <v>568</v>
      </c>
      <c r="C2082" s="12" t="s">
        <v>557</v>
      </c>
      <c r="D2082" s="13">
        <v>1133</v>
      </c>
      <c r="E2082" s="13">
        <v>958.32832499999995</v>
      </c>
      <c r="F2082" s="13">
        <v>598.78002099999992</v>
      </c>
      <c r="G2082" s="13">
        <v>712.49181799999997</v>
      </c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</row>
    <row r="2083" spans="1:19" x14ac:dyDescent="0.2">
      <c r="A2083" s="12" t="s">
        <v>301</v>
      </c>
      <c r="B2083" s="12" t="s">
        <v>568</v>
      </c>
      <c r="C2083" s="12" t="s">
        <v>558</v>
      </c>
      <c r="D2083" s="13">
        <v>-327</v>
      </c>
      <c r="E2083" s="13">
        <v>-399.41972800000002</v>
      </c>
      <c r="F2083" s="13">
        <v>-416.47626999999989</v>
      </c>
      <c r="G2083" s="13">
        <v>-303.92694999999998</v>
      </c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</row>
    <row r="2084" spans="1:19" x14ac:dyDescent="0.2">
      <c r="A2084" s="12" t="s">
        <v>301</v>
      </c>
      <c r="B2084" s="12" t="s">
        <v>568</v>
      </c>
      <c r="C2084" s="12" t="s">
        <v>560</v>
      </c>
      <c r="D2084" s="13">
        <v>5269</v>
      </c>
      <c r="E2084" s="13">
        <v>5601.318448</v>
      </c>
      <c r="F2084" s="13">
        <v>5892.4299719999999</v>
      </c>
      <c r="G2084" s="13">
        <v>5473.229988</v>
      </c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</row>
    <row r="2085" spans="1:19" x14ac:dyDescent="0.2">
      <c r="A2085" s="12" t="s">
        <v>301</v>
      </c>
      <c r="B2085" s="12" t="s">
        <v>568</v>
      </c>
      <c r="C2085" s="12" t="s">
        <v>561</v>
      </c>
      <c r="D2085" s="13">
        <v>5552</v>
      </c>
      <c r="E2085" s="13">
        <v>5490.2942039999998</v>
      </c>
      <c r="F2085" s="13">
        <v>5348.7856100000008</v>
      </c>
      <c r="G2085" s="13">
        <v>5194.5584769999996</v>
      </c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</row>
    <row r="2086" spans="1:19" x14ac:dyDescent="0.2">
      <c r="A2086" s="12" t="s">
        <v>301</v>
      </c>
      <c r="B2086" s="12" t="s">
        <v>568</v>
      </c>
      <c r="C2086" s="12" t="s">
        <v>562</v>
      </c>
      <c r="D2086" s="13">
        <v>675</v>
      </c>
      <c r="E2086" s="13">
        <v>718.64222699999993</v>
      </c>
      <c r="F2086" s="13">
        <v>698.25660500000004</v>
      </c>
      <c r="G2086" s="13">
        <v>670.58281599999998</v>
      </c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</row>
    <row r="2087" spans="1:19" x14ac:dyDescent="0.2">
      <c r="A2087" s="12" t="s">
        <v>301</v>
      </c>
      <c r="B2087" s="12" t="s">
        <v>568</v>
      </c>
      <c r="C2087" s="12" t="s">
        <v>563</v>
      </c>
      <c r="D2087" s="13">
        <v>2531</v>
      </c>
      <c r="E2087" s="13">
        <v>2564.9056679999999</v>
      </c>
      <c r="F2087" s="13">
        <v>2611.7415110000002</v>
      </c>
      <c r="G2087" s="13">
        <v>2610.8490449999999</v>
      </c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</row>
    <row r="2088" spans="1:19" x14ac:dyDescent="0.2">
      <c r="A2088" s="12" t="s">
        <v>301</v>
      </c>
      <c r="B2088" s="12" t="s">
        <v>568</v>
      </c>
      <c r="C2088" s="12" t="s">
        <v>564</v>
      </c>
      <c r="D2088" s="13">
        <v>491</v>
      </c>
      <c r="E2088" s="13">
        <v>433.19875500000001</v>
      </c>
      <c r="F2088" s="13">
        <v>422.45000399999998</v>
      </c>
      <c r="G2088" s="13">
        <v>389.84812499999998</v>
      </c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</row>
    <row r="2089" spans="1:19" x14ac:dyDescent="0.2">
      <c r="A2089" s="12" t="s">
        <v>301</v>
      </c>
      <c r="B2089" s="12" t="s">
        <v>568</v>
      </c>
      <c r="C2089" s="12" t="s">
        <v>565</v>
      </c>
      <c r="D2089" s="13">
        <v>422</v>
      </c>
      <c r="E2089" s="13">
        <v>381.87095599999998</v>
      </c>
      <c r="F2089" s="13">
        <v>367.84132499999998</v>
      </c>
      <c r="G2089" s="13">
        <v>327.10664500000001</v>
      </c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</row>
    <row r="2090" spans="1:19" x14ac:dyDescent="0.2">
      <c r="A2090" s="12" t="s">
        <v>301</v>
      </c>
      <c r="B2090" s="12" t="s">
        <v>568</v>
      </c>
      <c r="C2090" s="12" t="s">
        <v>566</v>
      </c>
      <c r="D2090" s="13">
        <v>1432</v>
      </c>
      <c r="E2090" s="13">
        <v>1391.6765989999999</v>
      </c>
      <c r="F2090" s="13">
        <v>1248.496161</v>
      </c>
      <c r="G2090" s="13">
        <v>1196.1718499999999</v>
      </c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</row>
    <row r="2091" spans="1:19" x14ac:dyDescent="0.2">
      <c r="A2091" s="12" t="s">
        <v>301</v>
      </c>
      <c r="B2091" s="12" t="s">
        <v>569</v>
      </c>
      <c r="C2091" s="12" t="s">
        <v>554</v>
      </c>
      <c r="D2091" s="13">
        <v>81</v>
      </c>
      <c r="E2091" s="13">
        <v>80.306805999999995</v>
      </c>
      <c r="F2091" s="13">
        <v>74.862785000000002</v>
      </c>
      <c r="G2091" s="13">
        <v>70.223589000000004</v>
      </c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</row>
    <row r="2092" spans="1:19" x14ac:dyDescent="0.2">
      <c r="A2092" s="12" t="s">
        <v>301</v>
      </c>
      <c r="B2092" s="12" t="s">
        <v>569</v>
      </c>
      <c r="C2092" s="12" t="s">
        <v>555</v>
      </c>
      <c r="D2092" s="13">
        <v>3761</v>
      </c>
      <c r="E2092" s="13">
        <v>3519.5727320000001</v>
      </c>
      <c r="F2092" s="13">
        <v>3473.6655799999999</v>
      </c>
      <c r="G2092" s="13">
        <v>3195.7905110000002</v>
      </c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</row>
    <row r="2093" spans="1:19" x14ac:dyDescent="0.2">
      <c r="A2093" s="12" t="s">
        <v>301</v>
      </c>
      <c r="B2093" s="12" t="s">
        <v>569</v>
      </c>
      <c r="C2093" s="12" t="s">
        <v>556</v>
      </c>
      <c r="D2093" s="13">
        <v>0</v>
      </c>
      <c r="E2093" s="13">
        <v>0</v>
      </c>
      <c r="F2093" s="13">
        <v>0</v>
      </c>
      <c r="G2093" s="13">
        <v>0</v>
      </c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</row>
    <row r="2094" spans="1:19" x14ac:dyDescent="0.2">
      <c r="A2094" s="12" t="s">
        <v>301</v>
      </c>
      <c r="B2094" s="12" t="s">
        <v>569</v>
      </c>
      <c r="C2094" s="12" t="s">
        <v>557</v>
      </c>
      <c r="D2094" s="13">
        <v>3858</v>
      </c>
      <c r="E2094" s="13">
        <v>3630.9903549999999</v>
      </c>
      <c r="F2094" s="13">
        <v>3467.0109750000001</v>
      </c>
      <c r="G2094" s="13">
        <v>3341.205226</v>
      </c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</row>
    <row r="2095" spans="1:19" x14ac:dyDescent="0.2">
      <c r="A2095" s="12" t="s">
        <v>301</v>
      </c>
      <c r="B2095" s="12" t="s">
        <v>569</v>
      </c>
      <c r="C2095" s="12" t="s">
        <v>558</v>
      </c>
      <c r="D2095" s="13">
        <v>-2733</v>
      </c>
      <c r="E2095" s="13">
        <v>-2488.4057739999998</v>
      </c>
      <c r="F2095" s="13">
        <v>-2368.634860000001</v>
      </c>
      <c r="G2095" s="13">
        <v>-2302.341019</v>
      </c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</row>
    <row r="2096" spans="1:19" x14ac:dyDescent="0.2">
      <c r="A2096" s="12" t="s">
        <v>301</v>
      </c>
      <c r="B2096" s="12" t="s">
        <v>569</v>
      </c>
      <c r="C2096" s="12" t="s">
        <v>560</v>
      </c>
      <c r="D2096" s="13">
        <v>0</v>
      </c>
      <c r="E2096" s="13">
        <v>0</v>
      </c>
      <c r="F2096" s="13">
        <v>0</v>
      </c>
      <c r="G2096" s="13">
        <v>0</v>
      </c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</row>
    <row r="2097" spans="1:19" x14ac:dyDescent="0.2">
      <c r="A2097" s="12" t="s">
        <v>301</v>
      </c>
      <c r="B2097" s="12" t="s">
        <v>569</v>
      </c>
      <c r="C2097" s="12" t="s">
        <v>561</v>
      </c>
      <c r="D2097" s="13">
        <v>1128</v>
      </c>
      <c r="E2097" s="13">
        <v>1181.148745</v>
      </c>
      <c r="F2097" s="13">
        <v>1133.9414489999999</v>
      </c>
      <c r="G2097" s="13">
        <v>1090.090706</v>
      </c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</row>
    <row r="2098" spans="1:19" x14ac:dyDescent="0.2">
      <c r="A2098" s="12" t="s">
        <v>301</v>
      </c>
      <c r="B2098" s="12" t="s">
        <v>569</v>
      </c>
      <c r="C2098" s="12" t="s">
        <v>562</v>
      </c>
      <c r="D2098" s="13">
        <v>429</v>
      </c>
      <c r="E2098" s="13">
        <v>448.26999499999999</v>
      </c>
      <c r="F2098" s="13">
        <v>443.23198600000001</v>
      </c>
      <c r="G2098" s="13">
        <v>432.00099899999998</v>
      </c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</row>
    <row r="2099" spans="1:19" x14ac:dyDescent="0.2">
      <c r="A2099" s="12" t="s">
        <v>301</v>
      </c>
      <c r="B2099" s="12" t="s">
        <v>569</v>
      </c>
      <c r="C2099" s="12" t="s">
        <v>563</v>
      </c>
      <c r="D2099" s="13">
        <v>1</v>
      </c>
      <c r="E2099" s="13">
        <v>0.85100500000000001</v>
      </c>
      <c r="F2099" s="13">
        <v>0.73786499999999999</v>
      </c>
      <c r="G2099" s="13">
        <v>0.61502800000000002</v>
      </c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</row>
    <row r="2100" spans="1:19" x14ac:dyDescent="0.2">
      <c r="A2100" s="12" t="s">
        <v>301</v>
      </c>
      <c r="B2100" s="12" t="s">
        <v>569</v>
      </c>
      <c r="C2100" s="12" t="s">
        <v>564</v>
      </c>
      <c r="D2100" s="13">
        <v>390</v>
      </c>
      <c r="E2100" s="13">
        <v>385.69336700000002</v>
      </c>
      <c r="F2100" s="13">
        <v>363.244507</v>
      </c>
      <c r="G2100" s="13">
        <v>345.86843299999998</v>
      </c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</row>
    <row r="2101" spans="1:19" x14ac:dyDescent="0.2">
      <c r="A2101" s="12" t="s">
        <v>301</v>
      </c>
      <c r="B2101" s="12" t="s">
        <v>569</v>
      </c>
      <c r="C2101" s="12" t="s">
        <v>565</v>
      </c>
      <c r="D2101" s="13">
        <v>299</v>
      </c>
      <c r="E2101" s="13">
        <v>336.48028799999997</v>
      </c>
      <c r="F2101" s="13">
        <v>316.47713499999998</v>
      </c>
      <c r="G2101" s="13">
        <v>303.22448100000003</v>
      </c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</row>
    <row r="2102" spans="1:19" x14ac:dyDescent="0.2">
      <c r="A2102" s="12" t="s">
        <v>301</v>
      </c>
      <c r="B2102" s="12" t="s">
        <v>569</v>
      </c>
      <c r="C2102" s="12" t="s">
        <v>566</v>
      </c>
      <c r="D2102" s="13">
        <v>10</v>
      </c>
      <c r="E2102" s="13">
        <v>9.8540900000000011</v>
      </c>
      <c r="F2102" s="13">
        <v>10.249955999999999</v>
      </c>
      <c r="G2102" s="13">
        <v>8.3817679999999992</v>
      </c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</row>
    <row r="2103" spans="1:19" x14ac:dyDescent="0.2">
      <c r="A2103" s="12" t="s">
        <v>301</v>
      </c>
      <c r="B2103" s="12" t="s">
        <v>570</v>
      </c>
      <c r="C2103" s="12" t="s">
        <v>554</v>
      </c>
      <c r="D2103" s="13">
        <v>423</v>
      </c>
      <c r="E2103" s="13">
        <v>772.41926100000012</v>
      </c>
      <c r="F2103" s="13">
        <v>611.67302000000007</v>
      </c>
      <c r="G2103" s="13">
        <v>916.96426899999994</v>
      </c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</row>
    <row r="2104" spans="1:19" x14ac:dyDescent="0.2">
      <c r="A2104" s="12" t="s">
        <v>301</v>
      </c>
      <c r="B2104" s="12" t="s">
        <v>570</v>
      </c>
      <c r="C2104" s="12" t="s">
        <v>555</v>
      </c>
      <c r="D2104" s="13">
        <v>0</v>
      </c>
      <c r="E2104" s="13">
        <v>0</v>
      </c>
      <c r="F2104" s="13">
        <v>0</v>
      </c>
      <c r="G2104" s="13">
        <v>0</v>
      </c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</row>
    <row r="2105" spans="1:19" x14ac:dyDescent="0.2">
      <c r="A2105" s="12" t="s">
        <v>301</v>
      </c>
      <c r="B2105" s="12" t="s">
        <v>570</v>
      </c>
      <c r="C2105" s="12" t="s">
        <v>556</v>
      </c>
      <c r="D2105" s="13">
        <v>0</v>
      </c>
      <c r="E2105" s="13">
        <v>0</v>
      </c>
      <c r="F2105" s="13">
        <v>0</v>
      </c>
      <c r="G2105" s="13">
        <v>0</v>
      </c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</row>
    <row r="2106" spans="1:19" x14ac:dyDescent="0.2">
      <c r="A2106" s="12" t="s">
        <v>301</v>
      </c>
      <c r="B2106" s="12" t="s">
        <v>570</v>
      </c>
      <c r="C2106" s="12" t="s">
        <v>557</v>
      </c>
      <c r="D2106" s="13">
        <v>423</v>
      </c>
      <c r="E2106" s="13">
        <v>772.41926100000012</v>
      </c>
      <c r="F2106" s="13">
        <v>611.67302000000007</v>
      </c>
      <c r="G2106" s="13">
        <v>916.96426899999994</v>
      </c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</row>
    <row r="2107" spans="1:19" x14ac:dyDescent="0.2">
      <c r="A2107" s="12" t="s">
        <v>301</v>
      </c>
      <c r="B2107" s="12" t="s">
        <v>570</v>
      </c>
      <c r="C2107" s="12" t="s">
        <v>558</v>
      </c>
      <c r="D2107" s="13">
        <v>-423</v>
      </c>
      <c r="E2107" s="13">
        <v>-772.41926100000012</v>
      </c>
      <c r="F2107" s="13">
        <v>-611.67302000000007</v>
      </c>
      <c r="G2107" s="13">
        <v>-916.96426899999994</v>
      </c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</row>
    <row r="2108" spans="1:19" x14ac:dyDescent="0.2">
      <c r="A2108" s="12" t="s">
        <v>301</v>
      </c>
      <c r="B2108" s="12" t="s">
        <v>570</v>
      </c>
      <c r="C2108" s="12" t="s">
        <v>560</v>
      </c>
      <c r="D2108" s="13">
        <v>0</v>
      </c>
      <c r="E2108" s="13">
        <v>0</v>
      </c>
      <c r="F2108" s="13">
        <v>0</v>
      </c>
      <c r="G2108" s="13">
        <v>0</v>
      </c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</row>
    <row r="2109" spans="1:19" x14ac:dyDescent="0.2">
      <c r="A2109" s="12" t="s">
        <v>301</v>
      </c>
      <c r="B2109" s="12" t="s">
        <v>570</v>
      </c>
      <c r="C2109" s="12" t="s">
        <v>561</v>
      </c>
      <c r="D2109" s="13">
        <v>0</v>
      </c>
      <c r="E2109" s="13">
        <v>0</v>
      </c>
      <c r="F2109" s="13">
        <v>0</v>
      </c>
      <c r="G2109" s="13">
        <v>0</v>
      </c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</row>
    <row r="2110" spans="1:19" x14ac:dyDescent="0.2">
      <c r="A2110" s="12" t="s">
        <v>301</v>
      </c>
      <c r="B2110" s="12" t="s">
        <v>570</v>
      </c>
      <c r="C2110" s="12" t="s">
        <v>562</v>
      </c>
      <c r="D2110" s="13">
        <v>0</v>
      </c>
      <c r="E2110" s="13">
        <v>0</v>
      </c>
      <c r="F2110" s="13">
        <v>0</v>
      </c>
      <c r="G2110" s="13">
        <v>0</v>
      </c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</row>
    <row r="2111" spans="1:19" x14ac:dyDescent="0.2">
      <c r="A2111" s="12" t="s">
        <v>301</v>
      </c>
      <c r="B2111" s="12" t="s">
        <v>570</v>
      </c>
      <c r="C2111" s="12" t="s">
        <v>563</v>
      </c>
      <c r="D2111" s="13">
        <v>0</v>
      </c>
      <c r="E2111" s="13">
        <v>0</v>
      </c>
      <c r="F2111" s="13">
        <v>0</v>
      </c>
      <c r="G2111" s="13">
        <v>0</v>
      </c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</row>
    <row r="2112" spans="1:19" x14ac:dyDescent="0.2">
      <c r="A2112" s="12" t="s">
        <v>301</v>
      </c>
      <c r="B2112" s="12" t="s">
        <v>570</v>
      </c>
      <c r="C2112" s="12" t="s">
        <v>564</v>
      </c>
      <c r="D2112" s="13">
        <v>0</v>
      </c>
      <c r="E2112" s="13">
        <v>0</v>
      </c>
      <c r="F2112" s="13">
        <v>0</v>
      </c>
      <c r="G2112" s="13">
        <v>0</v>
      </c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</row>
    <row r="2113" spans="1:19" x14ac:dyDescent="0.2">
      <c r="A2113" s="12" t="s">
        <v>301</v>
      </c>
      <c r="B2113" s="12" t="s">
        <v>570</v>
      </c>
      <c r="C2113" s="12" t="s">
        <v>565</v>
      </c>
      <c r="D2113" s="13">
        <v>0</v>
      </c>
      <c r="E2113" s="13">
        <v>0</v>
      </c>
      <c r="F2113" s="13">
        <v>0</v>
      </c>
      <c r="G2113" s="13">
        <v>0</v>
      </c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</row>
    <row r="2114" spans="1:19" x14ac:dyDescent="0.2">
      <c r="A2114" s="12" t="s">
        <v>301</v>
      </c>
      <c r="B2114" s="12" t="s">
        <v>570</v>
      </c>
      <c r="C2114" s="12" t="s">
        <v>566</v>
      </c>
      <c r="D2114" s="13">
        <v>0</v>
      </c>
      <c r="E2114" s="13">
        <v>0</v>
      </c>
      <c r="F2114" s="13">
        <v>0</v>
      </c>
      <c r="G2114" s="13">
        <v>0</v>
      </c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</row>
    <row r="2115" spans="1:19" x14ac:dyDescent="0.2">
      <c r="A2115" s="12" t="s">
        <v>301</v>
      </c>
      <c r="B2115" s="12" t="s">
        <v>571</v>
      </c>
      <c r="C2115" s="12" t="s">
        <v>554</v>
      </c>
      <c r="D2115" s="13">
        <v>1275</v>
      </c>
      <c r="E2115" s="13">
        <v>1357.3403880000001</v>
      </c>
      <c r="F2115" s="13">
        <v>1351.7087349999999</v>
      </c>
      <c r="G2115" s="13">
        <v>1389.678854</v>
      </c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</row>
    <row r="2116" spans="1:19" x14ac:dyDescent="0.2">
      <c r="A2116" s="12" t="s">
        <v>301</v>
      </c>
      <c r="B2116" s="12" t="s">
        <v>571</v>
      </c>
      <c r="C2116" s="12" t="s">
        <v>555</v>
      </c>
      <c r="D2116" s="13">
        <v>85</v>
      </c>
      <c r="E2116" s="13">
        <v>99.690961000000001</v>
      </c>
      <c r="F2116" s="13">
        <v>116.103573</v>
      </c>
      <c r="G2116" s="13">
        <v>121.35494199999999</v>
      </c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</row>
    <row r="2117" spans="1:19" x14ac:dyDescent="0.2">
      <c r="A2117" s="12" t="s">
        <v>301</v>
      </c>
      <c r="B2117" s="12" t="s">
        <v>571</v>
      </c>
      <c r="C2117" s="12" t="s">
        <v>556</v>
      </c>
      <c r="D2117" s="13">
        <v>0</v>
      </c>
      <c r="E2117" s="13">
        <v>-2.4320999999999999E-2</v>
      </c>
      <c r="F2117" s="13">
        <v>-3.04E-2</v>
      </c>
      <c r="G2117" s="13">
        <v>-3.04E-2</v>
      </c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</row>
    <row r="2118" spans="1:19" x14ac:dyDescent="0.2">
      <c r="A2118" s="12" t="s">
        <v>301</v>
      </c>
      <c r="B2118" s="12" t="s">
        <v>571</v>
      </c>
      <c r="C2118" s="12" t="s">
        <v>557</v>
      </c>
      <c r="D2118" s="13">
        <v>1360</v>
      </c>
      <c r="E2118" s="13">
        <v>1457.007028</v>
      </c>
      <c r="F2118" s="13">
        <v>1467.7819119999999</v>
      </c>
      <c r="G2118" s="13">
        <v>1511.0033960000001</v>
      </c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</row>
    <row r="2119" spans="1:19" x14ac:dyDescent="0.2">
      <c r="A2119" s="12" t="s">
        <v>301</v>
      </c>
      <c r="B2119" s="12" t="s">
        <v>571</v>
      </c>
      <c r="C2119" s="12" t="s">
        <v>558</v>
      </c>
      <c r="D2119" s="13">
        <v>-1092</v>
      </c>
      <c r="E2119" s="13">
        <v>-1169.2283520000001</v>
      </c>
      <c r="F2119" s="13">
        <v>-1178.731524</v>
      </c>
      <c r="G2119" s="13">
        <v>-1230.484109</v>
      </c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</row>
    <row r="2120" spans="1:19" x14ac:dyDescent="0.2">
      <c r="A2120" s="12" t="s">
        <v>301</v>
      </c>
      <c r="B2120" s="12" t="s">
        <v>571</v>
      </c>
      <c r="C2120" s="12" t="s">
        <v>560</v>
      </c>
      <c r="D2120" s="13">
        <v>0</v>
      </c>
      <c r="E2120" s="13">
        <v>0</v>
      </c>
      <c r="F2120" s="13">
        <v>0</v>
      </c>
      <c r="G2120" s="13">
        <v>0</v>
      </c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</row>
    <row r="2121" spans="1:19" x14ac:dyDescent="0.2">
      <c r="A2121" s="12" t="s">
        <v>301</v>
      </c>
      <c r="B2121" s="12" t="s">
        <v>571</v>
      </c>
      <c r="C2121" s="12" t="s">
        <v>561</v>
      </c>
      <c r="D2121" s="13">
        <v>260</v>
      </c>
      <c r="E2121" s="13">
        <v>278.93152500000002</v>
      </c>
      <c r="F2121" s="13">
        <v>279.50972100000001</v>
      </c>
      <c r="G2121" s="13">
        <v>275.39718299999998</v>
      </c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</row>
    <row r="2122" spans="1:19" x14ac:dyDescent="0.2">
      <c r="A2122" s="12" t="s">
        <v>301</v>
      </c>
      <c r="B2122" s="12" t="s">
        <v>571</v>
      </c>
      <c r="C2122" s="12" t="s">
        <v>562</v>
      </c>
      <c r="D2122" s="13">
        <v>145</v>
      </c>
      <c r="E2122" s="13">
        <v>158.35353499999999</v>
      </c>
      <c r="F2122" s="13">
        <v>161.16551999999999</v>
      </c>
      <c r="G2122" s="13">
        <v>156.97153499999999</v>
      </c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</row>
    <row r="2123" spans="1:19" x14ac:dyDescent="0.2">
      <c r="A2123" s="12" t="s">
        <v>301</v>
      </c>
      <c r="B2123" s="12" t="s">
        <v>571</v>
      </c>
      <c r="C2123" s="12" t="s">
        <v>563</v>
      </c>
      <c r="D2123" s="13">
        <v>19</v>
      </c>
      <c r="E2123" s="13">
        <v>19.257396</v>
      </c>
      <c r="F2123" s="13">
        <v>18.493936999999999</v>
      </c>
      <c r="G2123" s="13">
        <v>18.660333000000001</v>
      </c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</row>
    <row r="2124" spans="1:19" x14ac:dyDescent="0.2">
      <c r="A2124" s="12" t="s">
        <v>301</v>
      </c>
      <c r="B2124" s="12" t="s">
        <v>571</v>
      </c>
      <c r="C2124" s="12" t="s">
        <v>564</v>
      </c>
      <c r="D2124" s="13">
        <v>9</v>
      </c>
      <c r="E2124" s="13">
        <v>8.4141910000000006</v>
      </c>
      <c r="F2124" s="13">
        <v>7.9287070000000002</v>
      </c>
      <c r="G2124" s="13">
        <v>7.4302980000000014</v>
      </c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</row>
    <row r="2125" spans="1:19" x14ac:dyDescent="0.2">
      <c r="A2125" s="12" t="s">
        <v>301</v>
      </c>
      <c r="B2125" s="12" t="s">
        <v>571</v>
      </c>
      <c r="C2125" s="12" t="s">
        <v>565</v>
      </c>
      <c r="D2125" s="13">
        <v>68</v>
      </c>
      <c r="E2125" s="13">
        <v>68.442786999999996</v>
      </c>
      <c r="F2125" s="13">
        <v>68.491020000000006</v>
      </c>
      <c r="G2125" s="13">
        <v>68.027552999999997</v>
      </c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</row>
    <row r="2126" spans="1:19" x14ac:dyDescent="0.2">
      <c r="A2126" s="12" t="s">
        <v>301</v>
      </c>
      <c r="B2126" s="12" t="s">
        <v>571</v>
      </c>
      <c r="C2126" s="12" t="s">
        <v>566</v>
      </c>
      <c r="D2126" s="13">
        <v>19</v>
      </c>
      <c r="E2126" s="13">
        <v>24.463614</v>
      </c>
      <c r="F2126" s="13">
        <v>23.430534000000009</v>
      </c>
      <c r="G2126" s="13">
        <v>24.307463000000009</v>
      </c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</row>
    <row r="2127" spans="1:19" x14ac:dyDescent="0.2">
      <c r="A2127" s="12" t="s">
        <v>301</v>
      </c>
      <c r="B2127" s="12" t="s">
        <v>572</v>
      </c>
      <c r="C2127" s="12" t="s">
        <v>554</v>
      </c>
      <c r="D2127" s="13">
        <v>0</v>
      </c>
      <c r="E2127" s="13">
        <v>0</v>
      </c>
      <c r="F2127" s="13">
        <v>0</v>
      </c>
      <c r="G2127" s="13">
        <v>0</v>
      </c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</row>
    <row r="2128" spans="1:19" x14ac:dyDescent="0.2">
      <c r="A2128" s="12" t="s">
        <v>301</v>
      </c>
      <c r="B2128" s="12" t="s">
        <v>572</v>
      </c>
      <c r="C2128" s="12" t="s">
        <v>555</v>
      </c>
      <c r="D2128" s="13">
        <v>0</v>
      </c>
      <c r="E2128" s="13">
        <v>0</v>
      </c>
      <c r="F2128" s="13">
        <v>0</v>
      </c>
      <c r="G2128" s="13">
        <v>0</v>
      </c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</row>
    <row r="2129" spans="1:19" x14ac:dyDescent="0.2">
      <c r="A2129" s="12" t="s">
        <v>301</v>
      </c>
      <c r="B2129" s="12" t="s">
        <v>572</v>
      </c>
      <c r="C2129" s="12" t="s">
        <v>556</v>
      </c>
      <c r="D2129" s="13">
        <v>0</v>
      </c>
      <c r="E2129" s="13">
        <v>0</v>
      </c>
      <c r="F2129" s="13">
        <v>0</v>
      </c>
      <c r="G2129" s="13">
        <v>0</v>
      </c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</row>
    <row r="2130" spans="1:19" x14ac:dyDescent="0.2">
      <c r="A2130" s="12" t="s">
        <v>301</v>
      </c>
      <c r="B2130" s="12" t="s">
        <v>572</v>
      </c>
      <c r="C2130" s="12" t="s">
        <v>557</v>
      </c>
      <c r="D2130" s="13">
        <v>0</v>
      </c>
      <c r="E2130" s="13">
        <v>0</v>
      </c>
      <c r="F2130" s="13">
        <v>0</v>
      </c>
      <c r="G2130" s="13">
        <v>0</v>
      </c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</row>
    <row r="2131" spans="1:19" x14ac:dyDescent="0.2">
      <c r="A2131" s="12" t="s">
        <v>301</v>
      </c>
      <c r="B2131" s="12" t="s">
        <v>572</v>
      </c>
      <c r="C2131" s="12" t="s">
        <v>558</v>
      </c>
      <c r="D2131" s="13">
        <v>3629</v>
      </c>
      <c r="E2131" s="13">
        <v>3742.8658420000002</v>
      </c>
      <c r="F2131" s="13">
        <v>3631.299278</v>
      </c>
      <c r="G2131" s="13">
        <v>3574.0995929999999</v>
      </c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</row>
    <row r="2132" spans="1:19" x14ac:dyDescent="0.2">
      <c r="A2132" s="12" t="s">
        <v>301</v>
      </c>
      <c r="B2132" s="12" t="s">
        <v>572</v>
      </c>
      <c r="C2132" s="12" t="s">
        <v>560</v>
      </c>
      <c r="D2132" s="13">
        <v>0</v>
      </c>
      <c r="E2132" s="13">
        <v>0</v>
      </c>
      <c r="F2132" s="13">
        <v>0</v>
      </c>
      <c r="G2132" s="13">
        <v>0</v>
      </c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</row>
    <row r="2133" spans="1:19" x14ac:dyDescent="0.2">
      <c r="A2133" s="12" t="s">
        <v>301</v>
      </c>
      <c r="B2133" s="12" t="s">
        <v>572</v>
      </c>
      <c r="C2133" s="12" t="s">
        <v>561</v>
      </c>
      <c r="D2133" s="13">
        <v>3288</v>
      </c>
      <c r="E2133" s="13">
        <v>3325.4292340000002</v>
      </c>
      <c r="F2133" s="13">
        <v>3247.259802</v>
      </c>
      <c r="G2133" s="13">
        <v>3165.121611</v>
      </c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</row>
    <row r="2134" spans="1:19" x14ac:dyDescent="0.2">
      <c r="A2134" s="12" t="s">
        <v>301</v>
      </c>
      <c r="B2134" s="12" t="s">
        <v>572</v>
      </c>
      <c r="C2134" s="12" t="s">
        <v>562</v>
      </c>
      <c r="D2134" s="13">
        <v>1158</v>
      </c>
      <c r="E2134" s="13">
        <v>1181.442507</v>
      </c>
      <c r="F2134" s="13">
        <v>1140.4521319999999</v>
      </c>
      <c r="G2134" s="13">
        <v>1108.156291</v>
      </c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</row>
    <row r="2135" spans="1:19" x14ac:dyDescent="0.2">
      <c r="A2135" s="12" t="s">
        <v>301</v>
      </c>
      <c r="B2135" s="12" t="s">
        <v>572</v>
      </c>
      <c r="C2135" s="12" t="s">
        <v>563</v>
      </c>
      <c r="D2135" s="13">
        <v>60</v>
      </c>
      <c r="E2135" s="13">
        <v>58.301073000000002</v>
      </c>
      <c r="F2135" s="13">
        <v>58.301073000000002</v>
      </c>
      <c r="G2135" s="13">
        <v>58.301073000000002</v>
      </c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</row>
    <row r="2136" spans="1:19" x14ac:dyDescent="0.2">
      <c r="A2136" s="12" t="s">
        <v>301</v>
      </c>
      <c r="B2136" s="12" t="s">
        <v>572</v>
      </c>
      <c r="C2136" s="12" t="s">
        <v>564</v>
      </c>
      <c r="D2136" s="13">
        <v>967</v>
      </c>
      <c r="E2136" s="13">
        <v>933.31175500000006</v>
      </c>
      <c r="F2136" s="13">
        <v>928.32302800000002</v>
      </c>
      <c r="G2136" s="13">
        <v>903.09891500000003</v>
      </c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</row>
    <row r="2137" spans="1:19" x14ac:dyDescent="0.2">
      <c r="A2137" s="12" t="s">
        <v>301</v>
      </c>
      <c r="B2137" s="12" t="s">
        <v>572</v>
      </c>
      <c r="C2137" s="12" t="s">
        <v>565</v>
      </c>
      <c r="D2137" s="13">
        <v>1090</v>
      </c>
      <c r="E2137" s="13">
        <v>1139.083429</v>
      </c>
      <c r="F2137" s="13">
        <v>1106.9526949999999</v>
      </c>
      <c r="G2137" s="13">
        <v>1082.334458</v>
      </c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</row>
    <row r="2138" spans="1:19" x14ac:dyDescent="0.2">
      <c r="A2138" s="12" t="s">
        <v>301</v>
      </c>
      <c r="B2138" s="12" t="s">
        <v>572</v>
      </c>
      <c r="C2138" s="12" t="s">
        <v>566</v>
      </c>
      <c r="D2138" s="13">
        <v>14</v>
      </c>
      <c r="E2138" s="13">
        <v>13.290473</v>
      </c>
      <c r="F2138" s="13">
        <v>13.230874</v>
      </c>
      <c r="G2138" s="13">
        <v>13.230874</v>
      </c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</row>
    <row r="2139" spans="1:19" x14ac:dyDescent="0.2">
      <c r="A2139" s="12" t="s">
        <v>301</v>
      </c>
      <c r="B2139" s="12" t="s">
        <v>573</v>
      </c>
      <c r="C2139" s="12" t="s">
        <v>554</v>
      </c>
      <c r="D2139" s="13">
        <v>0</v>
      </c>
      <c r="E2139" s="13">
        <v>0</v>
      </c>
      <c r="F2139" s="13">
        <v>0</v>
      </c>
      <c r="G2139" s="13">
        <v>0</v>
      </c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</row>
    <row r="2140" spans="1:19" x14ac:dyDescent="0.2">
      <c r="A2140" s="12" t="s">
        <v>301</v>
      </c>
      <c r="B2140" s="12" t="s">
        <v>573</v>
      </c>
      <c r="C2140" s="12" t="s">
        <v>555</v>
      </c>
      <c r="D2140" s="13">
        <v>0</v>
      </c>
      <c r="E2140" s="13">
        <v>0</v>
      </c>
      <c r="F2140" s="13">
        <v>0</v>
      </c>
      <c r="G2140" s="13">
        <v>0</v>
      </c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</row>
    <row r="2141" spans="1:19" x14ac:dyDescent="0.2">
      <c r="A2141" s="12" t="s">
        <v>301</v>
      </c>
      <c r="B2141" s="12" t="s">
        <v>573</v>
      </c>
      <c r="C2141" s="12" t="s">
        <v>556</v>
      </c>
      <c r="D2141" s="13">
        <v>0</v>
      </c>
      <c r="E2141" s="13">
        <v>0</v>
      </c>
      <c r="F2141" s="13">
        <v>0</v>
      </c>
      <c r="G2141" s="13">
        <v>0</v>
      </c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</row>
    <row r="2142" spans="1:19" x14ac:dyDescent="0.2">
      <c r="A2142" s="12" t="s">
        <v>301</v>
      </c>
      <c r="B2142" s="12" t="s">
        <v>573</v>
      </c>
      <c r="C2142" s="12" t="s">
        <v>557</v>
      </c>
      <c r="D2142" s="13">
        <v>0</v>
      </c>
      <c r="E2142" s="13">
        <v>0</v>
      </c>
      <c r="F2142" s="13">
        <v>0</v>
      </c>
      <c r="G2142" s="13">
        <v>0</v>
      </c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</row>
    <row r="2143" spans="1:19" x14ac:dyDescent="0.2">
      <c r="A2143" s="12" t="s">
        <v>301</v>
      </c>
      <c r="B2143" s="12" t="s">
        <v>573</v>
      </c>
      <c r="C2143" s="12" t="s">
        <v>558</v>
      </c>
      <c r="D2143" s="13">
        <v>22</v>
      </c>
      <c r="E2143" s="13">
        <v>21.717748</v>
      </c>
      <c r="F2143" s="13">
        <v>21.541793999999999</v>
      </c>
      <c r="G2143" s="13">
        <v>21.738188000000001</v>
      </c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</row>
    <row r="2144" spans="1:19" x14ac:dyDescent="0.2">
      <c r="A2144" s="12" t="s">
        <v>301</v>
      </c>
      <c r="B2144" s="12" t="s">
        <v>573</v>
      </c>
      <c r="C2144" s="12" t="s">
        <v>560</v>
      </c>
      <c r="D2144" s="13">
        <v>0</v>
      </c>
      <c r="E2144" s="13">
        <v>0</v>
      </c>
      <c r="F2144" s="13">
        <v>0</v>
      </c>
      <c r="G2144" s="13">
        <v>0</v>
      </c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</row>
    <row r="2145" spans="1:19" x14ac:dyDescent="0.2">
      <c r="A2145" s="12" t="s">
        <v>301</v>
      </c>
      <c r="B2145" s="12" t="s">
        <v>573</v>
      </c>
      <c r="C2145" s="12" t="s">
        <v>561</v>
      </c>
      <c r="D2145" s="13">
        <v>29</v>
      </c>
      <c r="E2145" s="13">
        <v>28.141434</v>
      </c>
      <c r="F2145" s="13">
        <v>29.315643000000001</v>
      </c>
      <c r="G2145" s="13">
        <v>30.474352</v>
      </c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</row>
    <row r="2146" spans="1:19" x14ac:dyDescent="0.2">
      <c r="A2146" s="12" t="s">
        <v>301</v>
      </c>
      <c r="B2146" s="12" t="s">
        <v>573</v>
      </c>
      <c r="C2146" s="12" t="s">
        <v>562</v>
      </c>
      <c r="D2146" s="13">
        <v>0</v>
      </c>
      <c r="E2146" s="13">
        <v>0</v>
      </c>
      <c r="F2146" s="13">
        <v>0</v>
      </c>
      <c r="G2146" s="13">
        <v>0</v>
      </c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</row>
    <row r="2147" spans="1:19" x14ac:dyDescent="0.2">
      <c r="A2147" s="12" t="s">
        <v>301</v>
      </c>
      <c r="B2147" s="12" t="s">
        <v>573</v>
      </c>
      <c r="C2147" s="12" t="s">
        <v>563</v>
      </c>
      <c r="D2147" s="13">
        <v>0</v>
      </c>
      <c r="E2147" s="13">
        <v>0</v>
      </c>
      <c r="F2147" s="13">
        <v>0</v>
      </c>
      <c r="G2147" s="13">
        <v>0</v>
      </c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</row>
    <row r="2148" spans="1:19" x14ac:dyDescent="0.2">
      <c r="A2148" s="12" t="s">
        <v>301</v>
      </c>
      <c r="B2148" s="12" t="s">
        <v>573</v>
      </c>
      <c r="C2148" s="12" t="s">
        <v>564</v>
      </c>
      <c r="D2148" s="13">
        <v>1</v>
      </c>
      <c r="E2148" s="13">
        <v>1.063213</v>
      </c>
      <c r="F2148" s="13">
        <v>1.031196</v>
      </c>
      <c r="G2148" s="13">
        <v>1.031196</v>
      </c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</row>
    <row r="2149" spans="1:19" x14ac:dyDescent="0.2">
      <c r="A2149" s="12" t="s">
        <v>301</v>
      </c>
      <c r="B2149" s="12" t="s">
        <v>573</v>
      </c>
      <c r="C2149" s="12" t="s">
        <v>565</v>
      </c>
      <c r="D2149" s="13">
        <v>0</v>
      </c>
      <c r="E2149" s="13">
        <v>0</v>
      </c>
      <c r="F2149" s="13">
        <v>0</v>
      </c>
      <c r="G2149" s="13">
        <v>0</v>
      </c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</row>
    <row r="2150" spans="1:19" x14ac:dyDescent="0.2">
      <c r="A2150" s="12" t="s">
        <v>301</v>
      </c>
      <c r="B2150" s="12" t="s">
        <v>573</v>
      </c>
      <c r="C2150" s="12" t="s">
        <v>566</v>
      </c>
      <c r="D2150" s="13">
        <v>27</v>
      </c>
      <c r="E2150" s="13">
        <v>27.078220999999999</v>
      </c>
      <c r="F2150" s="13">
        <v>28.284447</v>
      </c>
      <c r="G2150" s="13">
        <v>29.443155999999998</v>
      </c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</row>
    <row r="2151" spans="1:19" x14ac:dyDescent="0.2">
      <c r="A2151" s="12" t="s">
        <v>301</v>
      </c>
      <c r="B2151" s="12" t="s">
        <v>574</v>
      </c>
      <c r="C2151" s="12" t="s">
        <v>554</v>
      </c>
      <c r="D2151" s="13">
        <v>1814</v>
      </c>
      <c r="E2151" s="13">
        <v>2241.5958260000002</v>
      </c>
      <c r="F2151" s="13">
        <v>2068.3713720000001</v>
      </c>
      <c r="G2151" s="13">
        <v>2404.9058460000001</v>
      </c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</row>
    <row r="2152" spans="1:19" x14ac:dyDescent="0.2">
      <c r="A2152" s="12" t="s">
        <v>301</v>
      </c>
      <c r="B2152" s="12" t="s">
        <v>574</v>
      </c>
      <c r="C2152" s="12" t="s">
        <v>555</v>
      </c>
      <c r="D2152" s="13">
        <v>14925</v>
      </c>
      <c r="E2152" s="13">
        <v>15529.576983999999</v>
      </c>
      <c r="F2152" s="13">
        <v>15487.299585999999</v>
      </c>
      <c r="G2152" s="13">
        <v>14380.500258</v>
      </c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</row>
    <row r="2153" spans="1:19" x14ac:dyDescent="0.2">
      <c r="A2153" s="12" t="s">
        <v>301</v>
      </c>
      <c r="B2153" s="12" t="s">
        <v>574</v>
      </c>
      <c r="C2153" s="12" t="s">
        <v>556</v>
      </c>
      <c r="D2153" s="13">
        <v>-497</v>
      </c>
      <c r="E2153" s="13">
        <v>-615.36851999999999</v>
      </c>
      <c r="F2153" s="13">
        <v>-736.19353100000001</v>
      </c>
      <c r="G2153" s="13">
        <v>-552.01265699999999</v>
      </c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</row>
    <row r="2154" spans="1:19" x14ac:dyDescent="0.2">
      <c r="A2154" s="12" t="s">
        <v>301</v>
      </c>
      <c r="B2154" s="12" t="s">
        <v>574</v>
      </c>
      <c r="C2154" s="12" t="s">
        <v>557</v>
      </c>
      <c r="D2154" s="13">
        <v>16107</v>
      </c>
      <c r="E2154" s="13">
        <v>16817.679925</v>
      </c>
      <c r="F2154" s="13">
        <v>16395.446705999999</v>
      </c>
      <c r="G2154" s="13">
        <v>15843.843266</v>
      </c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</row>
    <row r="2155" spans="1:19" x14ac:dyDescent="0.2">
      <c r="A2155" s="12" t="s">
        <v>301</v>
      </c>
      <c r="B2155" s="12" t="s">
        <v>574</v>
      </c>
      <c r="C2155" s="12" t="s">
        <v>558</v>
      </c>
      <c r="D2155" s="13">
        <v>-3648</v>
      </c>
      <c r="E2155" s="13">
        <v>-3923.763696</v>
      </c>
      <c r="F2155" s="13">
        <v>-3708.6935410000001</v>
      </c>
      <c r="G2155" s="13">
        <v>-3783.8921570000002</v>
      </c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</row>
    <row r="2156" spans="1:19" x14ac:dyDescent="0.2">
      <c r="A2156" s="12" t="s">
        <v>301</v>
      </c>
      <c r="B2156" s="12" t="s">
        <v>574</v>
      </c>
      <c r="C2156" s="12" t="s">
        <v>560</v>
      </c>
      <c r="D2156" s="13">
        <v>119</v>
      </c>
      <c r="E2156" s="13">
        <v>128.751105</v>
      </c>
      <c r="F2156" s="13">
        <v>131.50697400000001</v>
      </c>
      <c r="G2156" s="13">
        <v>154.12044599999999</v>
      </c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</row>
    <row r="2157" spans="1:19" x14ac:dyDescent="0.2">
      <c r="A2157" s="12" t="s">
        <v>301</v>
      </c>
      <c r="B2157" s="12" t="s">
        <v>574</v>
      </c>
      <c r="C2157" s="12" t="s">
        <v>561</v>
      </c>
      <c r="D2157" s="13">
        <v>11043</v>
      </c>
      <c r="E2157" s="13">
        <v>11103.248238</v>
      </c>
      <c r="F2157" s="13">
        <v>10789.067224</v>
      </c>
      <c r="G2157" s="13">
        <v>10456.809835</v>
      </c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</row>
    <row r="2158" spans="1:19" x14ac:dyDescent="0.2">
      <c r="A2158" s="12" t="s">
        <v>301</v>
      </c>
      <c r="B2158" s="12" t="s">
        <v>574</v>
      </c>
      <c r="C2158" s="12" t="s">
        <v>562</v>
      </c>
      <c r="D2158" s="13">
        <v>3155</v>
      </c>
      <c r="E2158" s="13">
        <v>3265.1753450000001</v>
      </c>
      <c r="F2158" s="13">
        <v>3156.5431960000001</v>
      </c>
      <c r="G2158" s="13">
        <v>3037.4662119999998</v>
      </c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</row>
    <row r="2159" spans="1:19" x14ac:dyDescent="0.2">
      <c r="A2159" s="12" t="s">
        <v>301</v>
      </c>
      <c r="B2159" s="12" t="s">
        <v>574</v>
      </c>
      <c r="C2159" s="12" t="s">
        <v>563</v>
      </c>
      <c r="D2159" s="13">
        <v>2611</v>
      </c>
      <c r="E2159" s="13">
        <v>2643.3295899999998</v>
      </c>
      <c r="F2159" s="13">
        <v>2689.2888389999998</v>
      </c>
      <c r="G2159" s="13">
        <v>2688.4399269999999</v>
      </c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</row>
    <row r="2160" spans="1:19" x14ac:dyDescent="0.2">
      <c r="A2160" s="12" t="s">
        <v>301</v>
      </c>
      <c r="B2160" s="12" t="s">
        <v>574</v>
      </c>
      <c r="C2160" s="12" t="s">
        <v>564</v>
      </c>
      <c r="D2160" s="13">
        <v>1858</v>
      </c>
      <c r="E2160" s="13">
        <v>1761.68128</v>
      </c>
      <c r="F2160" s="13">
        <v>1722.9774460000001</v>
      </c>
      <c r="G2160" s="13">
        <v>1647.2769659999999</v>
      </c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</row>
    <row r="2161" spans="1:19" x14ac:dyDescent="0.2">
      <c r="A2161" s="12" t="s">
        <v>301</v>
      </c>
      <c r="B2161" s="12" t="s">
        <v>574</v>
      </c>
      <c r="C2161" s="12" t="s">
        <v>565</v>
      </c>
      <c r="D2161" s="13">
        <v>1887</v>
      </c>
      <c r="E2161" s="13">
        <v>1932.2523080000001</v>
      </c>
      <c r="F2161" s="13">
        <v>1865.6574439999999</v>
      </c>
      <c r="G2161" s="13">
        <v>1786.588403</v>
      </c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</row>
    <row r="2162" spans="1:19" x14ac:dyDescent="0.2">
      <c r="A2162" s="12" t="s">
        <v>301</v>
      </c>
      <c r="B2162" s="12" t="s">
        <v>574</v>
      </c>
      <c r="C2162" s="12" t="s">
        <v>566</v>
      </c>
      <c r="D2162" s="13">
        <v>1532</v>
      </c>
      <c r="E2162" s="13">
        <v>1500.8097150000001</v>
      </c>
      <c r="F2162" s="13">
        <v>1354.6003040000001</v>
      </c>
      <c r="G2162" s="13">
        <v>1297.038335</v>
      </c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</row>
    <row r="2163" spans="1:19" x14ac:dyDescent="0.2">
      <c r="A2163" s="12" t="s">
        <v>316</v>
      </c>
      <c r="B2163" s="12" t="s">
        <v>553</v>
      </c>
      <c r="C2163" s="12" t="s">
        <v>554</v>
      </c>
      <c r="D2163" s="13">
        <v>18</v>
      </c>
      <c r="E2163" s="13">
        <v>16.005240000000001</v>
      </c>
      <c r="F2163" s="13">
        <v>14.553233000000001</v>
      </c>
      <c r="G2163" s="13">
        <v>11.463421</v>
      </c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</row>
    <row r="2164" spans="1:19" x14ac:dyDescent="0.2">
      <c r="A2164" s="12" t="s">
        <v>316</v>
      </c>
      <c r="B2164" s="12" t="s">
        <v>553</v>
      </c>
      <c r="C2164" s="12" t="s">
        <v>555</v>
      </c>
      <c r="D2164" s="13">
        <v>2820</v>
      </c>
      <c r="E2164" s="13">
        <v>2868.8978029999998</v>
      </c>
      <c r="F2164" s="13">
        <v>2854.9933850000002</v>
      </c>
      <c r="G2164" s="13">
        <v>2728.7167509999999</v>
      </c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</row>
    <row r="2165" spans="1:19" x14ac:dyDescent="0.2">
      <c r="A2165" s="12" t="s">
        <v>316</v>
      </c>
      <c r="B2165" s="12" t="s">
        <v>553</v>
      </c>
      <c r="C2165" s="12" t="s">
        <v>556</v>
      </c>
      <c r="D2165" s="13">
        <v>0</v>
      </c>
      <c r="E2165" s="13">
        <v>0</v>
      </c>
      <c r="F2165" s="13">
        <v>0</v>
      </c>
      <c r="G2165" s="13">
        <v>0</v>
      </c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</row>
    <row r="2166" spans="1:19" x14ac:dyDescent="0.2">
      <c r="A2166" s="12" t="s">
        <v>316</v>
      </c>
      <c r="B2166" s="12" t="s">
        <v>553</v>
      </c>
      <c r="C2166" s="12" t="s">
        <v>557</v>
      </c>
      <c r="D2166" s="13">
        <v>2866</v>
      </c>
      <c r="E2166" s="13">
        <v>2906.923714</v>
      </c>
      <c r="F2166" s="13">
        <v>2856.4685960000002</v>
      </c>
      <c r="G2166" s="13">
        <v>2777.663466</v>
      </c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</row>
    <row r="2167" spans="1:19" x14ac:dyDescent="0.2">
      <c r="A2167" s="12" t="s">
        <v>316</v>
      </c>
      <c r="B2167" s="12" t="s">
        <v>553</v>
      </c>
      <c r="C2167" s="12" t="s">
        <v>558</v>
      </c>
      <c r="D2167" s="13">
        <v>-2164</v>
      </c>
      <c r="E2167" s="13">
        <v>-2214.8079229999998</v>
      </c>
      <c r="F2167" s="13">
        <v>-2149.3973190000002</v>
      </c>
      <c r="G2167" s="13">
        <v>-2072.861707</v>
      </c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</row>
    <row r="2168" spans="1:19" x14ac:dyDescent="0.2">
      <c r="A2168" s="12" t="s">
        <v>316</v>
      </c>
      <c r="B2168" s="12" t="s">
        <v>553</v>
      </c>
      <c r="C2168" s="12" t="s">
        <v>560</v>
      </c>
      <c r="D2168" s="13">
        <v>0</v>
      </c>
      <c r="E2168" s="13">
        <v>0</v>
      </c>
      <c r="F2168" s="13">
        <v>0</v>
      </c>
      <c r="G2168" s="13">
        <v>0</v>
      </c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</row>
    <row r="2169" spans="1:19" x14ac:dyDescent="0.2">
      <c r="A2169" s="12" t="s">
        <v>316</v>
      </c>
      <c r="B2169" s="12" t="s">
        <v>553</v>
      </c>
      <c r="C2169" s="12" t="s">
        <v>561</v>
      </c>
      <c r="D2169" s="13">
        <v>364</v>
      </c>
      <c r="E2169" s="13">
        <v>389.01056399999999</v>
      </c>
      <c r="F2169" s="13">
        <v>366.21963899999997</v>
      </c>
      <c r="G2169" s="13">
        <v>336.93033100000002</v>
      </c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</row>
    <row r="2170" spans="1:19" x14ac:dyDescent="0.2">
      <c r="A2170" s="12" t="s">
        <v>316</v>
      </c>
      <c r="B2170" s="12" t="s">
        <v>553</v>
      </c>
      <c r="C2170" s="12" t="s">
        <v>562</v>
      </c>
      <c r="D2170" s="13">
        <v>336</v>
      </c>
      <c r="E2170" s="13">
        <v>361.26254699999998</v>
      </c>
      <c r="F2170" s="13">
        <v>339.815158</v>
      </c>
      <c r="G2170" s="13">
        <v>310.714787</v>
      </c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</row>
    <row r="2171" spans="1:19" x14ac:dyDescent="0.2">
      <c r="A2171" s="12" t="s">
        <v>316</v>
      </c>
      <c r="B2171" s="12" t="s">
        <v>553</v>
      </c>
      <c r="C2171" s="12" t="s">
        <v>563</v>
      </c>
      <c r="D2171" s="13">
        <v>0</v>
      </c>
      <c r="E2171" s="13">
        <v>0</v>
      </c>
      <c r="F2171" s="13">
        <v>0</v>
      </c>
      <c r="G2171" s="13">
        <v>0</v>
      </c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</row>
    <row r="2172" spans="1:19" x14ac:dyDescent="0.2">
      <c r="A2172" s="12" t="s">
        <v>316</v>
      </c>
      <c r="B2172" s="12" t="s">
        <v>553</v>
      </c>
      <c r="C2172" s="12" t="s">
        <v>564</v>
      </c>
      <c r="D2172" s="13">
        <v>8</v>
      </c>
      <c r="E2172" s="13">
        <v>7.0814110000000001</v>
      </c>
      <c r="F2172" s="13">
        <v>6.703125</v>
      </c>
      <c r="G2172" s="13">
        <v>6.167897</v>
      </c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</row>
    <row r="2173" spans="1:19" x14ac:dyDescent="0.2">
      <c r="A2173" s="12" t="s">
        <v>316</v>
      </c>
      <c r="B2173" s="12" t="s">
        <v>553</v>
      </c>
      <c r="C2173" s="12" t="s">
        <v>565</v>
      </c>
      <c r="D2173" s="13">
        <v>1</v>
      </c>
      <c r="E2173" s="13">
        <v>0.66785299999999992</v>
      </c>
      <c r="F2173" s="13">
        <v>0.63218200000000002</v>
      </c>
      <c r="G2173" s="13">
        <v>0.58169300000000002</v>
      </c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</row>
    <row r="2174" spans="1:19" x14ac:dyDescent="0.2">
      <c r="A2174" s="12" t="s">
        <v>316</v>
      </c>
      <c r="B2174" s="12" t="s">
        <v>553</v>
      </c>
      <c r="C2174" s="12" t="s">
        <v>566</v>
      </c>
      <c r="D2174" s="13">
        <v>20</v>
      </c>
      <c r="E2174" s="13">
        <v>19.998753000000001</v>
      </c>
      <c r="F2174" s="13">
        <v>19.06917</v>
      </c>
      <c r="G2174" s="13">
        <v>19.465952999999999</v>
      </c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</row>
    <row r="2175" spans="1:19" x14ac:dyDescent="0.2">
      <c r="A2175" s="12" t="s">
        <v>316</v>
      </c>
      <c r="B2175" s="12" t="s">
        <v>567</v>
      </c>
      <c r="C2175" s="12" t="s">
        <v>554</v>
      </c>
      <c r="D2175" s="13">
        <v>41</v>
      </c>
      <c r="E2175" s="13">
        <v>47.596631000000002</v>
      </c>
      <c r="F2175" s="13">
        <v>51.780797</v>
      </c>
      <c r="G2175" s="13">
        <v>49.338858999999999</v>
      </c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</row>
    <row r="2176" spans="1:19" x14ac:dyDescent="0.2">
      <c r="A2176" s="12" t="s">
        <v>316</v>
      </c>
      <c r="B2176" s="12" t="s">
        <v>567</v>
      </c>
      <c r="C2176" s="12" t="s">
        <v>555</v>
      </c>
      <c r="D2176" s="13">
        <v>5636</v>
      </c>
      <c r="E2176" s="13">
        <v>5548.054548000001</v>
      </c>
      <c r="F2176" s="13">
        <v>5865.795263</v>
      </c>
      <c r="G2176" s="13">
        <v>5797.1644839999999</v>
      </c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</row>
    <row r="2177" spans="1:19" x14ac:dyDescent="0.2">
      <c r="A2177" s="12" t="s">
        <v>316</v>
      </c>
      <c r="B2177" s="12" t="s">
        <v>567</v>
      </c>
      <c r="C2177" s="12" t="s">
        <v>556</v>
      </c>
      <c r="D2177" s="13">
        <v>-3</v>
      </c>
      <c r="E2177" s="13">
        <v>-10.990081999999999</v>
      </c>
      <c r="F2177" s="13">
        <v>-11.257087</v>
      </c>
      <c r="G2177" s="13">
        <v>-15.926081</v>
      </c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</row>
    <row r="2178" spans="1:19" x14ac:dyDescent="0.2">
      <c r="A2178" s="12" t="s">
        <v>316</v>
      </c>
      <c r="B2178" s="12" t="s">
        <v>567</v>
      </c>
      <c r="C2178" s="12" t="s">
        <v>557</v>
      </c>
      <c r="D2178" s="13">
        <v>5669</v>
      </c>
      <c r="E2178" s="13">
        <v>5731.6167379999997</v>
      </c>
      <c r="F2178" s="13">
        <v>5858.7236910000001</v>
      </c>
      <c r="G2178" s="13">
        <v>5846.9848039999997</v>
      </c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</row>
    <row r="2179" spans="1:19" x14ac:dyDescent="0.2">
      <c r="A2179" s="12" t="s">
        <v>316</v>
      </c>
      <c r="B2179" s="12" t="s">
        <v>567</v>
      </c>
      <c r="C2179" s="12" t="s">
        <v>558</v>
      </c>
      <c r="D2179" s="13">
        <v>0</v>
      </c>
      <c r="E2179" s="13">
        <v>0</v>
      </c>
      <c r="F2179" s="13">
        <v>0</v>
      </c>
      <c r="G2179" s="13">
        <v>0</v>
      </c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</row>
    <row r="2180" spans="1:19" x14ac:dyDescent="0.2">
      <c r="A2180" s="12" t="s">
        <v>316</v>
      </c>
      <c r="B2180" s="12" t="s">
        <v>567</v>
      </c>
      <c r="C2180" s="12" t="s">
        <v>560</v>
      </c>
      <c r="D2180" s="13">
        <v>-6519</v>
      </c>
      <c r="E2180" s="13">
        <v>-6594.5429889999996</v>
      </c>
      <c r="F2180" s="13">
        <v>-7030.232806</v>
      </c>
      <c r="G2180" s="13">
        <v>-7061.4076180000002</v>
      </c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</row>
    <row r="2181" spans="1:19" x14ac:dyDescent="0.2">
      <c r="A2181" s="12" t="s">
        <v>316</v>
      </c>
      <c r="B2181" s="12" t="s">
        <v>567</v>
      </c>
      <c r="C2181" s="12" t="s">
        <v>561</v>
      </c>
      <c r="D2181" s="13">
        <v>0</v>
      </c>
      <c r="E2181" s="13">
        <v>0</v>
      </c>
      <c r="F2181" s="13">
        <v>0</v>
      </c>
      <c r="G2181" s="13">
        <v>0</v>
      </c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</row>
    <row r="2182" spans="1:19" x14ac:dyDescent="0.2">
      <c r="A2182" s="12" t="s">
        <v>316</v>
      </c>
      <c r="B2182" s="12" t="s">
        <v>567</v>
      </c>
      <c r="C2182" s="12" t="s">
        <v>562</v>
      </c>
      <c r="D2182" s="13">
        <v>0</v>
      </c>
      <c r="E2182" s="13">
        <v>0</v>
      </c>
      <c r="F2182" s="13">
        <v>0</v>
      </c>
      <c r="G2182" s="13">
        <v>0</v>
      </c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</row>
    <row r="2183" spans="1:19" x14ac:dyDescent="0.2">
      <c r="A2183" s="12" t="s">
        <v>316</v>
      </c>
      <c r="B2183" s="12" t="s">
        <v>567</v>
      </c>
      <c r="C2183" s="12" t="s">
        <v>563</v>
      </c>
      <c r="D2183" s="13">
        <v>0</v>
      </c>
      <c r="E2183" s="13">
        <v>0</v>
      </c>
      <c r="F2183" s="13">
        <v>0</v>
      </c>
      <c r="G2183" s="13">
        <v>0</v>
      </c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</row>
    <row r="2184" spans="1:19" x14ac:dyDescent="0.2">
      <c r="A2184" s="12" t="s">
        <v>316</v>
      </c>
      <c r="B2184" s="12" t="s">
        <v>567</v>
      </c>
      <c r="C2184" s="12" t="s">
        <v>564</v>
      </c>
      <c r="D2184" s="13">
        <v>0</v>
      </c>
      <c r="E2184" s="13">
        <v>0</v>
      </c>
      <c r="F2184" s="13">
        <v>0</v>
      </c>
      <c r="G2184" s="13">
        <v>0</v>
      </c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</row>
    <row r="2185" spans="1:19" x14ac:dyDescent="0.2">
      <c r="A2185" s="12" t="s">
        <v>316</v>
      </c>
      <c r="B2185" s="12" t="s">
        <v>567</v>
      </c>
      <c r="C2185" s="12" t="s">
        <v>565</v>
      </c>
      <c r="D2185" s="13">
        <v>0</v>
      </c>
      <c r="E2185" s="13">
        <v>0</v>
      </c>
      <c r="F2185" s="13">
        <v>0</v>
      </c>
      <c r="G2185" s="13">
        <v>0</v>
      </c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</row>
    <row r="2186" spans="1:19" x14ac:dyDescent="0.2">
      <c r="A2186" s="12" t="s">
        <v>316</v>
      </c>
      <c r="B2186" s="12" t="s">
        <v>567</v>
      </c>
      <c r="C2186" s="12" t="s">
        <v>566</v>
      </c>
      <c r="D2186" s="13">
        <v>0</v>
      </c>
      <c r="E2186" s="13">
        <v>0</v>
      </c>
      <c r="F2186" s="13">
        <v>0</v>
      </c>
      <c r="G2186" s="13">
        <v>0</v>
      </c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</row>
    <row r="2187" spans="1:19" x14ac:dyDescent="0.2">
      <c r="A2187" s="12" t="s">
        <v>316</v>
      </c>
      <c r="B2187" s="12" t="s">
        <v>568</v>
      </c>
      <c r="C2187" s="12" t="s">
        <v>554</v>
      </c>
      <c r="D2187" s="13">
        <v>0</v>
      </c>
      <c r="E2187" s="13">
        <v>0</v>
      </c>
      <c r="F2187" s="13">
        <v>0</v>
      </c>
      <c r="G2187" s="13">
        <v>0</v>
      </c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</row>
    <row r="2188" spans="1:19" x14ac:dyDescent="0.2">
      <c r="A2188" s="12" t="s">
        <v>316</v>
      </c>
      <c r="B2188" s="12" t="s">
        <v>568</v>
      </c>
      <c r="C2188" s="12" t="s">
        <v>555</v>
      </c>
      <c r="D2188" s="13">
        <v>1692</v>
      </c>
      <c r="E2188" s="13">
        <v>1933.270387</v>
      </c>
      <c r="F2188" s="13">
        <v>1768.4319760000001</v>
      </c>
      <c r="G2188" s="13">
        <v>1820.1853329999999</v>
      </c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</row>
    <row r="2189" spans="1:19" x14ac:dyDescent="0.2">
      <c r="A2189" s="12" t="s">
        <v>316</v>
      </c>
      <c r="B2189" s="12" t="s">
        <v>568</v>
      </c>
      <c r="C2189" s="12" t="s">
        <v>556</v>
      </c>
      <c r="D2189" s="13">
        <v>-2582</v>
      </c>
      <c r="E2189" s="13">
        <v>-2453.0333380000002</v>
      </c>
      <c r="F2189" s="13">
        <v>-2753.9225759999999</v>
      </c>
      <c r="G2189" s="13">
        <v>-2729.0004479999998</v>
      </c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</row>
    <row r="2190" spans="1:19" x14ac:dyDescent="0.2">
      <c r="A2190" s="12" t="s">
        <v>316</v>
      </c>
      <c r="B2190" s="12" t="s">
        <v>568</v>
      </c>
      <c r="C2190" s="12" t="s">
        <v>557</v>
      </c>
      <c r="D2190" s="13">
        <v>-1427</v>
      </c>
      <c r="E2190" s="13">
        <v>-1061.3595319999999</v>
      </c>
      <c r="F2190" s="13">
        <v>-1588.8558290000001</v>
      </c>
      <c r="G2190" s="13">
        <v>-1624.3603909999999</v>
      </c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</row>
    <row r="2191" spans="1:19" x14ac:dyDescent="0.2">
      <c r="A2191" s="12" t="s">
        <v>316</v>
      </c>
      <c r="B2191" s="12" t="s">
        <v>568</v>
      </c>
      <c r="C2191" s="12" t="s">
        <v>558</v>
      </c>
      <c r="D2191" s="13">
        <v>-80</v>
      </c>
      <c r="E2191" s="13">
        <v>-90.752093999999985</v>
      </c>
      <c r="F2191" s="13">
        <v>-113.757555</v>
      </c>
      <c r="G2191" s="13">
        <v>-74.517286999999982</v>
      </c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</row>
    <row r="2192" spans="1:19" x14ac:dyDescent="0.2">
      <c r="A2192" s="12" t="s">
        <v>316</v>
      </c>
      <c r="B2192" s="12" t="s">
        <v>568</v>
      </c>
      <c r="C2192" s="12" t="s">
        <v>560</v>
      </c>
      <c r="D2192" s="13">
        <v>6358</v>
      </c>
      <c r="E2192" s="13">
        <v>6381.12021</v>
      </c>
      <c r="F2192" s="13">
        <v>6819.3810190000004</v>
      </c>
      <c r="G2192" s="13">
        <v>6816.2625820000003</v>
      </c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</row>
    <row r="2193" spans="1:19" x14ac:dyDescent="0.2">
      <c r="A2193" s="12" t="s">
        <v>316</v>
      </c>
      <c r="B2193" s="12" t="s">
        <v>568</v>
      </c>
      <c r="C2193" s="12" t="s">
        <v>561</v>
      </c>
      <c r="D2193" s="13">
        <v>3882</v>
      </c>
      <c r="E2193" s="13">
        <v>4073.8706029999998</v>
      </c>
      <c r="F2193" s="13">
        <v>3903.5148899999999</v>
      </c>
      <c r="G2193" s="13">
        <v>3703.2451070000002</v>
      </c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</row>
    <row r="2194" spans="1:19" x14ac:dyDescent="0.2">
      <c r="A2194" s="12" t="s">
        <v>316</v>
      </c>
      <c r="B2194" s="12" t="s">
        <v>568</v>
      </c>
      <c r="C2194" s="12" t="s">
        <v>562</v>
      </c>
      <c r="D2194" s="13">
        <v>172</v>
      </c>
      <c r="E2194" s="13">
        <v>183.852675</v>
      </c>
      <c r="F2194" s="13">
        <v>86.366617000000005</v>
      </c>
      <c r="G2194" s="13">
        <v>90.889876000000001</v>
      </c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</row>
    <row r="2195" spans="1:19" x14ac:dyDescent="0.2">
      <c r="A2195" s="12" t="s">
        <v>316</v>
      </c>
      <c r="B2195" s="12" t="s">
        <v>568</v>
      </c>
      <c r="C2195" s="12" t="s">
        <v>563</v>
      </c>
      <c r="D2195" s="13">
        <v>1349</v>
      </c>
      <c r="E2195" s="13">
        <v>1409.26872</v>
      </c>
      <c r="F2195" s="13">
        <v>1449.923624</v>
      </c>
      <c r="G2195" s="13">
        <v>1443.6245080000001</v>
      </c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</row>
    <row r="2196" spans="1:19" x14ac:dyDescent="0.2">
      <c r="A2196" s="12" t="s">
        <v>316</v>
      </c>
      <c r="B2196" s="12" t="s">
        <v>568</v>
      </c>
      <c r="C2196" s="12" t="s">
        <v>564</v>
      </c>
      <c r="D2196" s="13">
        <v>117</v>
      </c>
      <c r="E2196" s="13">
        <v>115.702574</v>
      </c>
      <c r="F2196" s="13">
        <v>84.45847400000001</v>
      </c>
      <c r="G2196" s="13">
        <v>77.179073000000002</v>
      </c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</row>
    <row r="2197" spans="1:19" x14ac:dyDescent="0.2">
      <c r="A2197" s="12" t="s">
        <v>316</v>
      </c>
      <c r="B2197" s="12" t="s">
        <v>568</v>
      </c>
      <c r="C2197" s="12" t="s">
        <v>565</v>
      </c>
      <c r="D2197" s="13">
        <v>89</v>
      </c>
      <c r="E2197" s="13">
        <v>70.065708999999998</v>
      </c>
      <c r="F2197" s="13">
        <v>75.02736800000001</v>
      </c>
      <c r="G2197" s="13">
        <v>71.805093999999997</v>
      </c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</row>
    <row r="2198" spans="1:19" x14ac:dyDescent="0.2">
      <c r="A2198" s="12" t="s">
        <v>316</v>
      </c>
      <c r="B2198" s="12" t="s">
        <v>568</v>
      </c>
      <c r="C2198" s="12" t="s">
        <v>566</v>
      </c>
      <c r="D2198" s="13">
        <v>2155</v>
      </c>
      <c r="E2198" s="13">
        <v>2294.9809260000002</v>
      </c>
      <c r="F2198" s="13">
        <v>2207.7388040000001</v>
      </c>
      <c r="G2198" s="13">
        <v>2019.746551</v>
      </c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</row>
    <row r="2199" spans="1:19" x14ac:dyDescent="0.2">
      <c r="A2199" s="12" t="s">
        <v>316</v>
      </c>
      <c r="B2199" s="12" t="s">
        <v>569</v>
      </c>
      <c r="C2199" s="12" t="s">
        <v>554</v>
      </c>
      <c r="D2199" s="13">
        <v>7</v>
      </c>
      <c r="E2199" s="13">
        <v>2.0706030000000002</v>
      </c>
      <c r="F2199" s="13">
        <v>0</v>
      </c>
      <c r="G2199" s="13">
        <v>0</v>
      </c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</row>
    <row r="2200" spans="1:19" x14ac:dyDescent="0.2">
      <c r="A2200" s="12" t="s">
        <v>316</v>
      </c>
      <c r="B2200" s="12" t="s">
        <v>569</v>
      </c>
      <c r="C2200" s="12" t="s">
        <v>555</v>
      </c>
      <c r="D2200" s="13">
        <v>1968</v>
      </c>
      <c r="E2200" s="13">
        <v>2260.3816080000001</v>
      </c>
      <c r="F2200" s="13">
        <v>2286.6266019999998</v>
      </c>
      <c r="G2200" s="13">
        <v>2174.3974349999999</v>
      </c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</row>
    <row r="2201" spans="1:19" x14ac:dyDescent="0.2">
      <c r="A2201" s="12" t="s">
        <v>316</v>
      </c>
      <c r="B2201" s="12" t="s">
        <v>569</v>
      </c>
      <c r="C2201" s="12" t="s">
        <v>556</v>
      </c>
      <c r="D2201" s="13">
        <v>0</v>
      </c>
      <c r="E2201" s="13">
        <v>0</v>
      </c>
      <c r="F2201" s="13">
        <v>0</v>
      </c>
      <c r="G2201" s="13">
        <v>0</v>
      </c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</row>
    <row r="2202" spans="1:19" x14ac:dyDescent="0.2">
      <c r="A2202" s="12" t="s">
        <v>316</v>
      </c>
      <c r="B2202" s="12" t="s">
        <v>569</v>
      </c>
      <c r="C2202" s="12" t="s">
        <v>557</v>
      </c>
      <c r="D2202" s="13">
        <v>2032</v>
      </c>
      <c r="E2202" s="13">
        <v>2245.5680739999998</v>
      </c>
      <c r="F2202" s="13">
        <v>2226.5533110000001</v>
      </c>
      <c r="G2202" s="13">
        <v>2137.3361329999998</v>
      </c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</row>
    <row r="2203" spans="1:19" x14ac:dyDescent="0.2">
      <c r="A2203" s="12" t="s">
        <v>316</v>
      </c>
      <c r="B2203" s="12" t="s">
        <v>569</v>
      </c>
      <c r="C2203" s="12" t="s">
        <v>558</v>
      </c>
      <c r="D2203" s="13">
        <v>-1071</v>
      </c>
      <c r="E2203" s="13">
        <v>-1228.7809930000001</v>
      </c>
      <c r="F2203" s="13">
        <v>-1197.828199</v>
      </c>
      <c r="G2203" s="13">
        <v>-1137.4044899999999</v>
      </c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</row>
    <row r="2204" spans="1:19" x14ac:dyDescent="0.2">
      <c r="A2204" s="12" t="s">
        <v>316</v>
      </c>
      <c r="B2204" s="12" t="s">
        <v>569</v>
      </c>
      <c r="C2204" s="12" t="s">
        <v>560</v>
      </c>
      <c r="D2204" s="13">
        <v>0</v>
      </c>
      <c r="E2204" s="13">
        <v>0</v>
      </c>
      <c r="F2204" s="13">
        <v>0</v>
      </c>
      <c r="G2204" s="13">
        <v>0</v>
      </c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</row>
    <row r="2205" spans="1:19" x14ac:dyDescent="0.2">
      <c r="A2205" s="12" t="s">
        <v>316</v>
      </c>
      <c r="B2205" s="12" t="s">
        <v>569</v>
      </c>
      <c r="C2205" s="12" t="s">
        <v>561</v>
      </c>
      <c r="D2205" s="13">
        <v>910</v>
      </c>
      <c r="E2205" s="13">
        <v>945.46968600000002</v>
      </c>
      <c r="F2205" s="13">
        <v>957.46318099999996</v>
      </c>
      <c r="G2205" s="13">
        <v>901.00664500000005</v>
      </c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</row>
    <row r="2206" spans="1:19" x14ac:dyDescent="0.2">
      <c r="A2206" s="12" t="s">
        <v>316</v>
      </c>
      <c r="B2206" s="12" t="s">
        <v>569</v>
      </c>
      <c r="C2206" s="12" t="s">
        <v>562</v>
      </c>
      <c r="D2206" s="13">
        <v>295</v>
      </c>
      <c r="E2206" s="13">
        <v>320.84700299999997</v>
      </c>
      <c r="F2206" s="13">
        <v>324.31956400000001</v>
      </c>
      <c r="G2206" s="13">
        <v>301.58779800000002</v>
      </c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</row>
    <row r="2207" spans="1:19" x14ac:dyDescent="0.2">
      <c r="A2207" s="12" t="s">
        <v>316</v>
      </c>
      <c r="B2207" s="12" t="s">
        <v>569</v>
      </c>
      <c r="C2207" s="12" t="s">
        <v>563</v>
      </c>
      <c r="D2207" s="13">
        <v>41</v>
      </c>
      <c r="E2207" s="13">
        <v>39.926814999999998</v>
      </c>
      <c r="F2207" s="13">
        <v>38.640968999999998</v>
      </c>
      <c r="G2207" s="13">
        <v>37.223351999999998</v>
      </c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</row>
    <row r="2208" spans="1:19" x14ac:dyDescent="0.2">
      <c r="A2208" s="12" t="s">
        <v>316</v>
      </c>
      <c r="B2208" s="12" t="s">
        <v>569</v>
      </c>
      <c r="C2208" s="12" t="s">
        <v>564</v>
      </c>
      <c r="D2208" s="13">
        <v>410</v>
      </c>
      <c r="E2208" s="13">
        <v>418.11492399999997</v>
      </c>
      <c r="F2208" s="13">
        <v>432.08747799999998</v>
      </c>
      <c r="G2208" s="13">
        <v>391.49652700000001</v>
      </c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</row>
    <row r="2209" spans="1:19" x14ac:dyDescent="0.2">
      <c r="A2209" s="12" t="s">
        <v>316</v>
      </c>
      <c r="B2209" s="12" t="s">
        <v>569</v>
      </c>
      <c r="C2209" s="12" t="s">
        <v>565</v>
      </c>
      <c r="D2209" s="13">
        <v>124</v>
      </c>
      <c r="E2209" s="13">
        <v>126.735671</v>
      </c>
      <c r="F2209" s="13">
        <v>134.02003300000001</v>
      </c>
      <c r="G2209" s="13">
        <v>132.81970699999999</v>
      </c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</row>
    <row r="2210" spans="1:19" x14ac:dyDescent="0.2">
      <c r="A2210" s="12" t="s">
        <v>316</v>
      </c>
      <c r="B2210" s="12" t="s">
        <v>569</v>
      </c>
      <c r="C2210" s="12" t="s">
        <v>566</v>
      </c>
      <c r="D2210" s="13">
        <v>39</v>
      </c>
      <c r="E2210" s="13">
        <v>39.845272999999999</v>
      </c>
      <c r="F2210" s="13">
        <v>28.395136999999998</v>
      </c>
      <c r="G2210" s="13">
        <v>37.879257000000003</v>
      </c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</row>
    <row r="2211" spans="1:19" x14ac:dyDescent="0.2">
      <c r="A2211" s="12" t="s">
        <v>316</v>
      </c>
      <c r="B2211" s="12" t="s">
        <v>570</v>
      </c>
      <c r="C2211" s="12" t="s">
        <v>554</v>
      </c>
      <c r="D2211" s="13">
        <v>1747</v>
      </c>
      <c r="E2211" s="13">
        <v>1723.80251</v>
      </c>
      <c r="F2211" s="13">
        <v>1920.5892229999999</v>
      </c>
      <c r="G2211" s="13">
        <v>1969.0265010000001</v>
      </c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</row>
    <row r="2212" spans="1:19" x14ac:dyDescent="0.2">
      <c r="A2212" s="12" t="s">
        <v>316</v>
      </c>
      <c r="B2212" s="12" t="s">
        <v>570</v>
      </c>
      <c r="C2212" s="12" t="s">
        <v>555</v>
      </c>
      <c r="D2212" s="13">
        <v>0</v>
      </c>
      <c r="E2212" s="13">
        <v>0</v>
      </c>
      <c r="F2212" s="13">
        <v>0</v>
      </c>
      <c r="G2212" s="13">
        <v>0</v>
      </c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</row>
    <row r="2213" spans="1:19" x14ac:dyDescent="0.2">
      <c r="A2213" s="12" t="s">
        <v>316</v>
      </c>
      <c r="B2213" s="12" t="s">
        <v>570</v>
      </c>
      <c r="C2213" s="12" t="s">
        <v>556</v>
      </c>
      <c r="D2213" s="13">
        <v>0</v>
      </c>
      <c r="E2213" s="13">
        <v>0</v>
      </c>
      <c r="F2213" s="13">
        <v>0</v>
      </c>
      <c r="G2213" s="13">
        <v>0</v>
      </c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</row>
    <row r="2214" spans="1:19" x14ac:dyDescent="0.2">
      <c r="A2214" s="12" t="s">
        <v>316</v>
      </c>
      <c r="B2214" s="12" t="s">
        <v>570</v>
      </c>
      <c r="C2214" s="12" t="s">
        <v>557</v>
      </c>
      <c r="D2214" s="13">
        <v>1747</v>
      </c>
      <c r="E2214" s="13">
        <v>1723.80251</v>
      </c>
      <c r="F2214" s="13">
        <v>1920.5892229999999</v>
      </c>
      <c r="G2214" s="13">
        <v>1969.0265010000001</v>
      </c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</row>
    <row r="2215" spans="1:19" x14ac:dyDescent="0.2">
      <c r="A2215" s="12" t="s">
        <v>316</v>
      </c>
      <c r="B2215" s="12" t="s">
        <v>570</v>
      </c>
      <c r="C2215" s="12" t="s">
        <v>558</v>
      </c>
      <c r="D2215" s="13">
        <v>-1747</v>
      </c>
      <c r="E2215" s="13">
        <v>-1723.80251</v>
      </c>
      <c r="F2215" s="13">
        <v>-1920.5892229999999</v>
      </c>
      <c r="G2215" s="13">
        <v>-1969.0265010000001</v>
      </c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</row>
    <row r="2216" spans="1:19" x14ac:dyDescent="0.2">
      <c r="A2216" s="12" t="s">
        <v>316</v>
      </c>
      <c r="B2216" s="12" t="s">
        <v>570</v>
      </c>
      <c r="C2216" s="12" t="s">
        <v>560</v>
      </c>
      <c r="D2216" s="13">
        <v>0</v>
      </c>
      <c r="E2216" s="13">
        <v>0</v>
      </c>
      <c r="F2216" s="13">
        <v>0</v>
      </c>
      <c r="G2216" s="13">
        <v>0</v>
      </c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</row>
    <row r="2217" spans="1:19" x14ac:dyDescent="0.2">
      <c r="A2217" s="12" t="s">
        <v>316</v>
      </c>
      <c r="B2217" s="12" t="s">
        <v>570</v>
      </c>
      <c r="C2217" s="12" t="s">
        <v>561</v>
      </c>
      <c r="D2217" s="13">
        <v>0</v>
      </c>
      <c r="E2217" s="13">
        <v>0</v>
      </c>
      <c r="F2217" s="13">
        <v>0</v>
      </c>
      <c r="G2217" s="13">
        <v>0</v>
      </c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</row>
    <row r="2218" spans="1:19" x14ac:dyDescent="0.2">
      <c r="A2218" s="12" t="s">
        <v>316</v>
      </c>
      <c r="B2218" s="12" t="s">
        <v>570</v>
      </c>
      <c r="C2218" s="12" t="s">
        <v>562</v>
      </c>
      <c r="D2218" s="13">
        <v>0</v>
      </c>
      <c r="E2218" s="13">
        <v>0</v>
      </c>
      <c r="F2218" s="13">
        <v>0</v>
      </c>
      <c r="G2218" s="13">
        <v>0</v>
      </c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</row>
    <row r="2219" spans="1:19" x14ac:dyDescent="0.2">
      <c r="A2219" s="12" t="s">
        <v>316</v>
      </c>
      <c r="B2219" s="12" t="s">
        <v>570</v>
      </c>
      <c r="C2219" s="12" t="s">
        <v>563</v>
      </c>
      <c r="D2219" s="13">
        <v>0</v>
      </c>
      <c r="E2219" s="13">
        <v>0</v>
      </c>
      <c r="F2219" s="13">
        <v>0</v>
      </c>
      <c r="G2219" s="13">
        <v>0</v>
      </c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</row>
    <row r="2220" spans="1:19" x14ac:dyDescent="0.2">
      <c r="A2220" s="12" t="s">
        <v>316</v>
      </c>
      <c r="B2220" s="12" t="s">
        <v>570</v>
      </c>
      <c r="C2220" s="12" t="s">
        <v>564</v>
      </c>
      <c r="D2220" s="13">
        <v>0</v>
      </c>
      <c r="E2220" s="13">
        <v>0</v>
      </c>
      <c r="F2220" s="13">
        <v>0</v>
      </c>
      <c r="G2220" s="13">
        <v>0</v>
      </c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</row>
    <row r="2221" spans="1:19" x14ac:dyDescent="0.2">
      <c r="A2221" s="12" t="s">
        <v>316</v>
      </c>
      <c r="B2221" s="12" t="s">
        <v>570</v>
      </c>
      <c r="C2221" s="12" t="s">
        <v>565</v>
      </c>
      <c r="D2221" s="13">
        <v>0</v>
      </c>
      <c r="E2221" s="13">
        <v>0</v>
      </c>
      <c r="F2221" s="13">
        <v>0</v>
      </c>
      <c r="G2221" s="13">
        <v>0</v>
      </c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</row>
    <row r="2222" spans="1:19" x14ac:dyDescent="0.2">
      <c r="A2222" s="12" t="s">
        <v>316</v>
      </c>
      <c r="B2222" s="12" t="s">
        <v>570</v>
      </c>
      <c r="C2222" s="12" t="s">
        <v>566</v>
      </c>
      <c r="D2222" s="13">
        <v>0</v>
      </c>
      <c r="E2222" s="13">
        <v>0</v>
      </c>
      <c r="F2222" s="13">
        <v>0</v>
      </c>
      <c r="G2222" s="13">
        <v>0</v>
      </c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</row>
    <row r="2223" spans="1:19" x14ac:dyDescent="0.2">
      <c r="A2223" s="12" t="s">
        <v>316</v>
      </c>
      <c r="B2223" s="12" t="s">
        <v>571</v>
      </c>
      <c r="C2223" s="12" t="s">
        <v>554</v>
      </c>
      <c r="D2223" s="13">
        <v>389</v>
      </c>
      <c r="E2223" s="13">
        <v>402.00764400000003</v>
      </c>
      <c r="F2223" s="13">
        <v>431.49118399999998</v>
      </c>
      <c r="G2223" s="13">
        <v>446.27331900000001</v>
      </c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</row>
    <row r="2224" spans="1:19" x14ac:dyDescent="0.2">
      <c r="A2224" s="12" t="s">
        <v>316</v>
      </c>
      <c r="B2224" s="12" t="s">
        <v>571</v>
      </c>
      <c r="C2224" s="12" t="s">
        <v>555</v>
      </c>
      <c r="D2224" s="13">
        <v>0</v>
      </c>
      <c r="E2224" s="13">
        <v>0</v>
      </c>
      <c r="F2224" s="13">
        <v>0</v>
      </c>
      <c r="G2224" s="13">
        <v>0</v>
      </c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</row>
    <row r="2225" spans="1:19" x14ac:dyDescent="0.2">
      <c r="A2225" s="12" t="s">
        <v>316</v>
      </c>
      <c r="B2225" s="12" t="s">
        <v>571</v>
      </c>
      <c r="C2225" s="12" t="s">
        <v>556</v>
      </c>
      <c r="D2225" s="13">
        <v>0</v>
      </c>
      <c r="E2225" s="13">
        <v>0</v>
      </c>
      <c r="F2225" s="13">
        <v>0</v>
      </c>
      <c r="G2225" s="13">
        <v>0</v>
      </c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</row>
    <row r="2226" spans="1:19" x14ac:dyDescent="0.2">
      <c r="A2226" s="12" t="s">
        <v>316</v>
      </c>
      <c r="B2226" s="12" t="s">
        <v>571</v>
      </c>
      <c r="C2226" s="12" t="s">
        <v>557</v>
      </c>
      <c r="D2226" s="13">
        <v>388</v>
      </c>
      <c r="E2226" s="13">
        <v>402.00764400000003</v>
      </c>
      <c r="F2226" s="13">
        <v>433.19052699999997</v>
      </c>
      <c r="G2226" s="13">
        <v>446.27331900000001</v>
      </c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</row>
    <row r="2227" spans="1:19" x14ac:dyDescent="0.2">
      <c r="A2227" s="12" t="s">
        <v>316</v>
      </c>
      <c r="B2227" s="12" t="s">
        <v>571</v>
      </c>
      <c r="C2227" s="12" t="s">
        <v>558</v>
      </c>
      <c r="D2227" s="13">
        <v>-221</v>
      </c>
      <c r="E2227" s="13">
        <v>-239.256339</v>
      </c>
      <c r="F2227" s="13">
        <v>-268.29982999999999</v>
      </c>
      <c r="G2227" s="13">
        <v>-283.027085</v>
      </c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</row>
    <row r="2228" spans="1:19" x14ac:dyDescent="0.2">
      <c r="A2228" s="12" t="s">
        <v>316</v>
      </c>
      <c r="B2228" s="12" t="s">
        <v>571</v>
      </c>
      <c r="C2228" s="12" t="s">
        <v>560</v>
      </c>
      <c r="D2228" s="13">
        <v>0</v>
      </c>
      <c r="E2228" s="13">
        <v>0</v>
      </c>
      <c r="F2228" s="13">
        <v>0</v>
      </c>
      <c r="G2228" s="13">
        <v>0</v>
      </c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</row>
    <row r="2229" spans="1:19" x14ac:dyDescent="0.2">
      <c r="A2229" s="12" t="s">
        <v>316</v>
      </c>
      <c r="B2229" s="12" t="s">
        <v>571</v>
      </c>
      <c r="C2229" s="12" t="s">
        <v>561</v>
      </c>
      <c r="D2229" s="13">
        <v>168</v>
      </c>
      <c r="E2229" s="13">
        <v>162.75131200000001</v>
      </c>
      <c r="F2229" s="13">
        <v>162.60232400000001</v>
      </c>
      <c r="G2229" s="13">
        <v>163.248662</v>
      </c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</row>
    <row r="2230" spans="1:19" x14ac:dyDescent="0.2">
      <c r="A2230" s="12" t="s">
        <v>316</v>
      </c>
      <c r="B2230" s="12" t="s">
        <v>571</v>
      </c>
      <c r="C2230" s="12" t="s">
        <v>562</v>
      </c>
      <c r="D2230" s="13">
        <v>97</v>
      </c>
      <c r="E2230" s="13">
        <v>93.757663000000008</v>
      </c>
      <c r="F2230" s="13">
        <v>92.933528999999979</v>
      </c>
      <c r="G2230" s="13">
        <v>92.639422999999994</v>
      </c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</row>
    <row r="2231" spans="1:19" x14ac:dyDescent="0.2">
      <c r="A2231" s="12" t="s">
        <v>316</v>
      </c>
      <c r="B2231" s="12" t="s">
        <v>571</v>
      </c>
      <c r="C2231" s="12" t="s">
        <v>563</v>
      </c>
      <c r="D2231" s="13">
        <v>27</v>
      </c>
      <c r="E2231" s="13">
        <v>27.445098000000002</v>
      </c>
      <c r="F2231" s="13">
        <v>29.122036999999999</v>
      </c>
      <c r="G2231" s="13">
        <v>29.222901</v>
      </c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</row>
    <row r="2232" spans="1:19" x14ac:dyDescent="0.2">
      <c r="A2232" s="12" t="s">
        <v>316</v>
      </c>
      <c r="B2232" s="12" t="s">
        <v>571</v>
      </c>
      <c r="C2232" s="12" t="s">
        <v>564</v>
      </c>
      <c r="D2232" s="13">
        <v>7</v>
      </c>
      <c r="E2232" s="13">
        <v>7.0057720000000003</v>
      </c>
      <c r="F2232" s="13">
        <v>7.4611999999999989</v>
      </c>
      <c r="G2232" s="13">
        <v>7.6069050000000011</v>
      </c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</row>
    <row r="2233" spans="1:19" x14ac:dyDescent="0.2">
      <c r="A2233" s="12" t="s">
        <v>316</v>
      </c>
      <c r="B2233" s="12" t="s">
        <v>571</v>
      </c>
      <c r="C2233" s="12" t="s">
        <v>565</v>
      </c>
      <c r="D2233" s="13">
        <v>35</v>
      </c>
      <c r="E2233" s="13">
        <v>32.948490999999997</v>
      </c>
      <c r="F2233" s="13">
        <v>31.226938000000001</v>
      </c>
      <c r="G2233" s="13">
        <v>31.226037000000002</v>
      </c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</row>
    <row r="2234" spans="1:19" x14ac:dyDescent="0.2">
      <c r="A2234" s="12" t="s">
        <v>316</v>
      </c>
      <c r="B2234" s="12" t="s">
        <v>571</v>
      </c>
      <c r="C2234" s="12" t="s">
        <v>566</v>
      </c>
      <c r="D2234" s="13">
        <v>1</v>
      </c>
      <c r="E2234" s="13">
        <v>1.5942879999999999</v>
      </c>
      <c r="F2234" s="13">
        <v>1.858617</v>
      </c>
      <c r="G2234" s="13">
        <v>2.5533950000000001</v>
      </c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</row>
    <row r="2235" spans="1:19" x14ac:dyDescent="0.2">
      <c r="A2235" s="12" t="s">
        <v>316</v>
      </c>
      <c r="B2235" s="12" t="s">
        <v>572</v>
      </c>
      <c r="C2235" s="12" t="s">
        <v>554</v>
      </c>
      <c r="D2235" s="13">
        <v>0</v>
      </c>
      <c r="E2235" s="13">
        <v>0</v>
      </c>
      <c r="F2235" s="13">
        <v>0</v>
      </c>
      <c r="G2235" s="13">
        <v>0</v>
      </c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</row>
    <row r="2236" spans="1:19" x14ac:dyDescent="0.2">
      <c r="A2236" s="12" t="s">
        <v>316</v>
      </c>
      <c r="B2236" s="12" t="s">
        <v>572</v>
      </c>
      <c r="C2236" s="12" t="s">
        <v>555</v>
      </c>
      <c r="D2236" s="13">
        <v>0</v>
      </c>
      <c r="E2236" s="13">
        <v>0</v>
      </c>
      <c r="F2236" s="13">
        <v>0</v>
      </c>
      <c r="G2236" s="13">
        <v>0</v>
      </c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</row>
    <row r="2237" spans="1:19" x14ac:dyDescent="0.2">
      <c r="A2237" s="12" t="s">
        <v>316</v>
      </c>
      <c r="B2237" s="12" t="s">
        <v>572</v>
      </c>
      <c r="C2237" s="12" t="s">
        <v>556</v>
      </c>
      <c r="D2237" s="13">
        <v>0</v>
      </c>
      <c r="E2237" s="13">
        <v>0</v>
      </c>
      <c r="F2237" s="13">
        <v>0</v>
      </c>
      <c r="G2237" s="13">
        <v>0</v>
      </c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</row>
    <row r="2238" spans="1:19" x14ac:dyDescent="0.2">
      <c r="A2238" s="12" t="s">
        <v>316</v>
      </c>
      <c r="B2238" s="12" t="s">
        <v>572</v>
      </c>
      <c r="C2238" s="12" t="s">
        <v>557</v>
      </c>
      <c r="D2238" s="13">
        <v>0</v>
      </c>
      <c r="E2238" s="13">
        <v>0</v>
      </c>
      <c r="F2238" s="13">
        <v>0</v>
      </c>
      <c r="G2238" s="13">
        <v>0</v>
      </c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</row>
    <row r="2239" spans="1:19" x14ac:dyDescent="0.2">
      <c r="A2239" s="12" t="s">
        <v>316</v>
      </c>
      <c r="B2239" s="12" t="s">
        <v>572</v>
      </c>
      <c r="C2239" s="12" t="s">
        <v>558</v>
      </c>
      <c r="D2239" s="13">
        <v>2127</v>
      </c>
      <c r="E2239" s="13">
        <v>2241.7148609999999</v>
      </c>
      <c r="F2239" s="13">
        <v>2235.8905989999998</v>
      </c>
      <c r="G2239" s="13">
        <v>2184.5335399999999</v>
      </c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</row>
    <row r="2240" spans="1:19" x14ac:dyDescent="0.2">
      <c r="A2240" s="12" t="s">
        <v>316</v>
      </c>
      <c r="B2240" s="12" t="s">
        <v>572</v>
      </c>
      <c r="C2240" s="12" t="s">
        <v>560</v>
      </c>
      <c r="D2240" s="13">
        <v>0</v>
      </c>
      <c r="E2240" s="13">
        <v>0</v>
      </c>
      <c r="F2240" s="13">
        <v>0</v>
      </c>
      <c r="G2240" s="13">
        <v>0</v>
      </c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</row>
    <row r="2241" spans="1:19" x14ac:dyDescent="0.2">
      <c r="A2241" s="12" t="s">
        <v>316</v>
      </c>
      <c r="B2241" s="12" t="s">
        <v>572</v>
      </c>
      <c r="C2241" s="12" t="s">
        <v>561</v>
      </c>
      <c r="D2241" s="13">
        <v>1846</v>
      </c>
      <c r="E2241" s="13">
        <v>1929.46387</v>
      </c>
      <c r="F2241" s="13">
        <v>1950.2188510000001</v>
      </c>
      <c r="G2241" s="13">
        <v>1926.0454560000001</v>
      </c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</row>
    <row r="2242" spans="1:19" x14ac:dyDescent="0.2">
      <c r="A2242" s="12" t="s">
        <v>316</v>
      </c>
      <c r="B2242" s="12" t="s">
        <v>572</v>
      </c>
      <c r="C2242" s="12" t="s">
        <v>562</v>
      </c>
      <c r="D2242" s="13">
        <v>945</v>
      </c>
      <c r="E2242" s="13">
        <v>992.31228700000008</v>
      </c>
      <c r="F2242" s="13">
        <v>1002.986454</v>
      </c>
      <c r="G2242" s="13">
        <v>980.06522699999994</v>
      </c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</row>
    <row r="2243" spans="1:19" x14ac:dyDescent="0.2">
      <c r="A2243" s="12" t="s">
        <v>316</v>
      </c>
      <c r="B2243" s="12" t="s">
        <v>572</v>
      </c>
      <c r="C2243" s="12" t="s">
        <v>563</v>
      </c>
      <c r="D2243" s="13">
        <v>12</v>
      </c>
      <c r="E2243" s="13">
        <v>13.054664000000001</v>
      </c>
      <c r="F2243" s="13">
        <v>13.19509</v>
      </c>
      <c r="G2243" s="13">
        <v>13.706478000000001</v>
      </c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</row>
    <row r="2244" spans="1:19" x14ac:dyDescent="0.2">
      <c r="A2244" s="12" t="s">
        <v>316</v>
      </c>
      <c r="B2244" s="12" t="s">
        <v>572</v>
      </c>
      <c r="C2244" s="12" t="s">
        <v>564</v>
      </c>
      <c r="D2244" s="13">
        <v>255</v>
      </c>
      <c r="E2244" s="13">
        <v>267.17236500000001</v>
      </c>
      <c r="F2244" s="13">
        <v>270.04630100000003</v>
      </c>
      <c r="G2244" s="13">
        <v>271.01260200000002</v>
      </c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</row>
    <row r="2245" spans="1:19" x14ac:dyDescent="0.2">
      <c r="A2245" s="12" t="s">
        <v>316</v>
      </c>
      <c r="B2245" s="12" t="s">
        <v>572</v>
      </c>
      <c r="C2245" s="12" t="s">
        <v>565</v>
      </c>
      <c r="D2245" s="13">
        <v>574</v>
      </c>
      <c r="E2245" s="13">
        <v>591.19232900000009</v>
      </c>
      <c r="F2245" s="13">
        <v>597.55170599999997</v>
      </c>
      <c r="G2245" s="13">
        <v>596.572585</v>
      </c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</row>
    <row r="2246" spans="1:19" x14ac:dyDescent="0.2">
      <c r="A2246" s="12" t="s">
        <v>316</v>
      </c>
      <c r="B2246" s="12" t="s">
        <v>572</v>
      </c>
      <c r="C2246" s="12" t="s">
        <v>566</v>
      </c>
      <c r="D2246" s="13">
        <v>61</v>
      </c>
      <c r="E2246" s="13">
        <v>65.732224000000002</v>
      </c>
      <c r="F2246" s="13">
        <v>66.439295000000001</v>
      </c>
      <c r="G2246" s="13">
        <v>64.688563000000002</v>
      </c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</row>
    <row r="2247" spans="1:19" x14ac:dyDescent="0.2">
      <c r="A2247" s="12" t="s">
        <v>316</v>
      </c>
      <c r="B2247" s="12" t="s">
        <v>573</v>
      </c>
      <c r="C2247" s="12" t="s">
        <v>554</v>
      </c>
      <c r="D2247" s="13">
        <v>2</v>
      </c>
      <c r="E2247" s="13">
        <v>2.159748</v>
      </c>
      <c r="F2247" s="13">
        <v>1.7439530000000001</v>
      </c>
      <c r="G2247" s="13">
        <v>2.0737890000000001</v>
      </c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</row>
    <row r="2248" spans="1:19" x14ac:dyDescent="0.2">
      <c r="A2248" s="12" t="s">
        <v>316</v>
      </c>
      <c r="B2248" s="12" t="s">
        <v>573</v>
      </c>
      <c r="C2248" s="12" t="s">
        <v>555</v>
      </c>
      <c r="D2248" s="13">
        <v>0</v>
      </c>
      <c r="E2248" s="13">
        <v>0</v>
      </c>
      <c r="F2248" s="13">
        <v>0</v>
      </c>
      <c r="G2248" s="13">
        <v>0</v>
      </c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</row>
    <row r="2249" spans="1:19" x14ac:dyDescent="0.2">
      <c r="A2249" s="12" t="s">
        <v>316</v>
      </c>
      <c r="B2249" s="12" t="s">
        <v>573</v>
      </c>
      <c r="C2249" s="12" t="s">
        <v>556</v>
      </c>
      <c r="D2249" s="13">
        <v>0</v>
      </c>
      <c r="E2249" s="13">
        <v>0</v>
      </c>
      <c r="F2249" s="13">
        <v>0</v>
      </c>
      <c r="G2249" s="13">
        <v>0</v>
      </c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</row>
    <row r="2250" spans="1:19" x14ac:dyDescent="0.2">
      <c r="A2250" s="12" t="s">
        <v>316</v>
      </c>
      <c r="B2250" s="12" t="s">
        <v>573</v>
      </c>
      <c r="C2250" s="12" t="s">
        <v>557</v>
      </c>
      <c r="D2250" s="13">
        <v>2</v>
      </c>
      <c r="E2250" s="13">
        <v>2.159748</v>
      </c>
      <c r="F2250" s="13">
        <v>1.7439530000000001</v>
      </c>
      <c r="G2250" s="13">
        <v>2.0737890000000001</v>
      </c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</row>
    <row r="2251" spans="1:19" x14ac:dyDescent="0.2">
      <c r="A2251" s="12" t="s">
        <v>316</v>
      </c>
      <c r="B2251" s="12" t="s">
        <v>573</v>
      </c>
      <c r="C2251" s="12" t="s">
        <v>558</v>
      </c>
      <c r="D2251" s="13">
        <v>261</v>
      </c>
      <c r="E2251" s="13">
        <v>272.96537999999998</v>
      </c>
      <c r="F2251" s="13">
        <v>263.43692700000003</v>
      </c>
      <c r="G2251" s="13">
        <v>269.582626</v>
      </c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</row>
    <row r="2252" spans="1:19" x14ac:dyDescent="0.2">
      <c r="A2252" s="12" t="s">
        <v>316</v>
      </c>
      <c r="B2252" s="12" t="s">
        <v>573</v>
      </c>
      <c r="C2252" s="12" t="s">
        <v>560</v>
      </c>
      <c r="D2252" s="13">
        <v>0</v>
      </c>
      <c r="E2252" s="13">
        <v>0</v>
      </c>
      <c r="F2252" s="13">
        <v>0</v>
      </c>
      <c r="G2252" s="13">
        <v>0</v>
      </c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</row>
    <row r="2253" spans="1:19" x14ac:dyDescent="0.2">
      <c r="A2253" s="12" t="s">
        <v>316</v>
      </c>
      <c r="B2253" s="12" t="s">
        <v>573</v>
      </c>
      <c r="C2253" s="12" t="s">
        <v>561</v>
      </c>
      <c r="D2253" s="13">
        <v>251</v>
      </c>
      <c r="E2253" s="13">
        <v>261.47767199999998</v>
      </c>
      <c r="F2253" s="13">
        <v>248.164075</v>
      </c>
      <c r="G2253" s="13">
        <v>254.072655</v>
      </c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</row>
    <row r="2254" spans="1:19" x14ac:dyDescent="0.2">
      <c r="A2254" s="12" t="s">
        <v>316</v>
      </c>
      <c r="B2254" s="12" t="s">
        <v>573</v>
      </c>
      <c r="C2254" s="12" t="s">
        <v>562</v>
      </c>
      <c r="D2254" s="13">
        <v>143</v>
      </c>
      <c r="E2254" s="13">
        <v>152.99140399999999</v>
      </c>
      <c r="F2254" s="13">
        <v>145.983881</v>
      </c>
      <c r="G2254" s="13">
        <v>149.45963699999999</v>
      </c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</row>
    <row r="2255" spans="1:19" x14ac:dyDescent="0.2">
      <c r="A2255" s="12" t="s">
        <v>316</v>
      </c>
      <c r="B2255" s="12" t="s">
        <v>573</v>
      </c>
      <c r="C2255" s="12" t="s">
        <v>563</v>
      </c>
      <c r="D2255" s="13">
        <v>0</v>
      </c>
      <c r="E2255" s="13">
        <v>0</v>
      </c>
      <c r="F2255" s="13">
        <v>0</v>
      </c>
      <c r="G2255" s="13">
        <v>0</v>
      </c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</row>
    <row r="2256" spans="1:19" x14ac:dyDescent="0.2">
      <c r="A2256" s="12" t="s">
        <v>316</v>
      </c>
      <c r="B2256" s="12" t="s">
        <v>573</v>
      </c>
      <c r="C2256" s="12" t="s">
        <v>564</v>
      </c>
      <c r="D2256" s="13">
        <v>94</v>
      </c>
      <c r="E2256" s="13">
        <v>94.583529999999996</v>
      </c>
      <c r="F2256" s="13">
        <v>89.649742000000003</v>
      </c>
      <c r="G2256" s="13">
        <v>91.784227000000001</v>
      </c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</row>
    <row r="2257" spans="1:19" x14ac:dyDescent="0.2">
      <c r="A2257" s="12" t="s">
        <v>316</v>
      </c>
      <c r="B2257" s="12" t="s">
        <v>573</v>
      </c>
      <c r="C2257" s="12" t="s">
        <v>565</v>
      </c>
      <c r="D2257" s="13">
        <v>14</v>
      </c>
      <c r="E2257" s="13">
        <v>13.902737999999999</v>
      </c>
      <c r="F2257" s="13">
        <v>12.530452</v>
      </c>
      <c r="G2257" s="13">
        <v>12.828791000000001</v>
      </c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</row>
    <row r="2258" spans="1:19" x14ac:dyDescent="0.2">
      <c r="A2258" s="12" t="s">
        <v>316</v>
      </c>
      <c r="B2258" s="12" t="s">
        <v>573</v>
      </c>
      <c r="C2258" s="12" t="s">
        <v>566</v>
      </c>
      <c r="D2258" s="13">
        <v>0</v>
      </c>
      <c r="E2258" s="13">
        <v>0</v>
      </c>
      <c r="F2258" s="13">
        <v>0</v>
      </c>
      <c r="G2258" s="13">
        <v>0</v>
      </c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</row>
    <row r="2259" spans="1:19" x14ac:dyDescent="0.2">
      <c r="A2259" s="12" t="s">
        <v>316</v>
      </c>
      <c r="B2259" s="12" t="s">
        <v>574</v>
      </c>
      <c r="C2259" s="12" t="s">
        <v>554</v>
      </c>
      <c r="D2259" s="13">
        <v>2205</v>
      </c>
      <c r="E2259" s="13">
        <v>2193.6423749999999</v>
      </c>
      <c r="F2259" s="13">
        <v>2420.1583919999998</v>
      </c>
      <c r="G2259" s="13">
        <v>2478.1758880000002</v>
      </c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</row>
    <row r="2260" spans="1:19" x14ac:dyDescent="0.2">
      <c r="A2260" s="12" t="s">
        <v>316</v>
      </c>
      <c r="B2260" s="12" t="s">
        <v>574</v>
      </c>
      <c r="C2260" s="12" t="s">
        <v>555</v>
      </c>
      <c r="D2260" s="13">
        <v>12116</v>
      </c>
      <c r="E2260" s="13">
        <v>12610.604346</v>
      </c>
      <c r="F2260" s="13">
        <v>12775.847231</v>
      </c>
      <c r="G2260" s="13">
        <v>12520.464002999999</v>
      </c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</row>
    <row r="2261" spans="1:19" x14ac:dyDescent="0.2">
      <c r="A2261" s="12" t="s">
        <v>316</v>
      </c>
      <c r="B2261" s="12" t="s">
        <v>574</v>
      </c>
      <c r="C2261" s="12" t="s">
        <v>556</v>
      </c>
      <c r="D2261" s="13">
        <v>-2585</v>
      </c>
      <c r="E2261" s="13">
        <v>-2464.02342</v>
      </c>
      <c r="F2261" s="13">
        <v>-2765.1796629999999</v>
      </c>
      <c r="G2261" s="13">
        <v>-2744.9265289999998</v>
      </c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</row>
    <row r="2262" spans="1:19" x14ac:dyDescent="0.2">
      <c r="A2262" s="12" t="s">
        <v>316</v>
      </c>
      <c r="B2262" s="12" t="s">
        <v>574</v>
      </c>
      <c r="C2262" s="12" t="s">
        <v>557</v>
      </c>
      <c r="D2262" s="13">
        <v>11277</v>
      </c>
      <c r="E2262" s="13">
        <v>11950.718896</v>
      </c>
      <c r="F2262" s="13">
        <v>11708.413468999999</v>
      </c>
      <c r="G2262" s="13">
        <v>11554.99762</v>
      </c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</row>
    <row r="2263" spans="1:19" x14ac:dyDescent="0.2">
      <c r="A2263" s="12" t="s">
        <v>316</v>
      </c>
      <c r="B2263" s="12" t="s">
        <v>574</v>
      </c>
      <c r="C2263" s="12" t="s">
        <v>558</v>
      </c>
      <c r="D2263" s="13">
        <v>-2897</v>
      </c>
      <c r="E2263" s="13">
        <v>-2982.7196239999998</v>
      </c>
      <c r="F2263" s="13">
        <v>-3150.5445920000002</v>
      </c>
      <c r="G2263" s="13">
        <v>-3082.7209109999999</v>
      </c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</row>
    <row r="2264" spans="1:19" x14ac:dyDescent="0.2">
      <c r="A2264" s="12" t="s">
        <v>316</v>
      </c>
      <c r="B2264" s="12" t="s">
        <v>574</v>
      </c>
      <c r="C2264" s="12" t="s">
        <v>560</v>
      </c>
      <c r="D2264" s="13">
        <v>-162</v>
      </c>
      <c r="E2264" s="13">
        <v>-213.42277899999999</v>
      </c>
      <c r="F2264" s="13">
        <v>-210.85179099999999</v>
      </c>
      <c r="G2264" s="13">
        <v>-245.14503199999999</v>
      </c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</row>
    <row r="2265" spans="1:19" x14ac:dyDescent="0.2">
      <c r="A2265" s="12" t="s">
        <v>316</v>
      </c>
      <c r="B2265" s="12" t="s">
        <v>574</v>
      </c>
      <c r="C2265" s="12" t="s">
        <v>561</v>
      </c>
      <c r="D2265" s="13">
        <v>7421</v>
      </c>
      <c r="E2265" s="13">
        <v>7762.0437120000006</v>
      </c>
      <c r="F2265" s="13">
        <v>7588.1829610000004</v>
      </c>
      <c r="G2265" s="13">
        <v>7284.548847</v>
      </c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</row>
    <row r="2266" spans="1:19" x14ac:dyDescent="0.2">
      <c r="A2266" s="12" t="s">
        <v>316</v>
      </c>
      <c r="B2266" s="12" t="s">
        <v>574</v>
      </c>
      <c r="C2266" s="12" t="s">
        <v>562</v>
      </c>
      <c r="D2266" s="13">
        <v>1988</v>
      </c>
      <c r="E2266" s="13">
        <v>2105.0235870000001</v>
      </c>
      <c r="F2266" s="13">
        <v>1992.405207</v>
      </c>
      <c r="G2266" s="13">
        <v>1925.356753</v>
      </c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</row>
    <row r="2267" spans="1:19" x14ac:dyDescent="0.2">
      <c r="A2267" s="12" t="s">
        <v>316</v>
      </c>
      <c r="B2267" s="12" t="s">
        <v>574</v>
      </c>
      <c r="C2267" s="12" t="s">
        <v>563</v>
      </c>
      <c r="D2267" s="13">
        <v>1429</v>
      </c>
      <c r="E2267" s="13">
        <v>1489.6953020000001</v>
      </c>
      <c r="F2267" s="13">
        <v>1530.8817200000001</v>
      </c>
      <c r="G2267" s="13">
        <v>1523.7772440000001</v>
      </c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</row>
    <row r="2268" spans="1:19" x14ac:dyDescent="0.2">
      <c r="A2268" s="12" t="s">
        <v>316</v>
      </c>
      <c r="B2268" s="12" t="s">
        <v>574</v>
      </c>
      <c r="C2268" s="12" t="s">
        <v>564</v>
      </c>
      <c r="D2268" s="13">
        <v>892</v>
      </c>
      <c r="E2268" s="13">
        <v>909.66057599999999</v>
      </c>
      <c r="F2268" s="13">
        <v>890.40631600000006</v>
      </c>
      <c r="G2268" s="13">
        <v>845.24723199999994</v>
      </c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</row>
    <row r="2269" spans="1:19" x14ac:dyDescent="0.2">
      <c r="A2269" s="12" t="s">
        <v>316</v>
      </c>
      <c r="B2269" s="12" t="s">
        <v>574</v>
      </c>
      <c r="C2269" s="12" t="s">
        <v>565</v>
      </c>
      <c r="D2269" s="13">
        <v>836</v>
      </c>
      <c r="E2269" s="13">
        <v>835.51279599999998</v>
      </c>
      <c r="F2269" s="13">
        <v>850.98867900000005</v>
      </c>
      <c r="G2269" s="13">
        <v>845.83390700000007</v>
      </c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</row>
    <row r="2270" spans="1:19" x14ac:dyDescent="0.2">
      <c r="A2270" s="12" t="s">
        <v>316</v>
      </c>
      <c r="B2270" s="12" t="s">
        <v>574</v>
      </c>
      <c r="C2270" s="12" t="s">
        <v>566</v>
      </c>
      <c r="D2270" s="13">
        <v>2276</v>
      </c>
      <c r="E2270" s="13">
        <v>2422.151468</v>
      </c>
      <c r="F2270" s="13">
        <v>2323.5010309999998</v>
      </c>
      <c r="G2270" s="13">
        <v>2144.3337200000001</v>
      </c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</row>
    <row r="2271" spans="1:19" x14ac:dyDescent="0.2">
      <c r="A2271" s="12" t="s">
        <v>340</v>
      </c>
      <c r="B2271" s="12" t="s">
        <v>553</v>
      </c>
      <c r="C2271" s="12" t="s">
        <v>554</v>
      </c>
      <c r="D2271" s="13">
        <v>0</v>
      </c>
      <c r="E2271" s="13">
        <v>2.7059E-2</v>
      </c>
      <c r="F2271" s="13">
        <v>8.5708000000000006E-2</v>
      </c>
      <c r="G2271" s="13">
        <v>4.3589000000000003E-2</v>
      </c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</row>
    <row r="2272" spans="1:19" x14ac:dyDescent="0.2">
      <c r="A2272" s="12" t="s">
        <v>340</v>
      </c>
      <c r="B2272" s="12" t="s">
        <v>553</v>
      </c>
      <c r="C2272" s="12" t="s">
        <v>555</v>
      </c>
      <c r="D2272" s="13">
        <v>1</v>
      </c>
      <c r="E2272" s="13">
        <v>0.87855800000000006</v>
      </c>
      <c r="F2272" s="13">
        <v>1.068614</v>
      </c>
      <c r="G2272" s="13">
        <v>0.409528</v>
      </c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</row>
    <row r="2273" spans="1:19" x14ac:dyDescent="0.2">
      <c r="A2273" s="12" t="s">
        <v>340</v>
      </c>
      <c r="B2273" s="12" t="s">
        <v>553</v>
      </c>
      <c r="C2273" s="12" t="s">
        <v>556</v>
      </c>
      <c r="D2273" s="13">
        <v>0</v>
      </c>
      <c r="E2273" s="13">
        <v>-0.221243</v>
      </c>
      <c r="F2273" s="13">
        <v>-0.17966399999999999</v>
      </c>
      <c r="G2273" s="13">
        <v>-3.7442999999999997E-2</v>
      </c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</row>
    <row r="2274" spans="1:19" x14ac:dyDescent="0.2">
      <c r="A2274" s="12" t="s">
        <v>340</v>
      </c>
      <c r="B2274" s="12" t="s">
        <v>553</v>
      </c>
      <c r="C2274" s="12" t="s">
        <v>557</v>
      </c>
      <c r="D2274" s="13">
        <v>1</v>
      </c>
      <c r="E2274" s="13">
        <v>0.77680199999999999</v>
      </c>
      <c r="F2274" s="13">
        <v>0.53179500000000002</v>
      </c>
      <c r="G2274" s="13">
        <v>0.55619500000000011</v>
      </c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</row>
    <row r="2275" spans="1:19" x14ac:dyDescent="0.2">
      <c r="A2275" s="12" t="s">
        <v>340</v>
      </c>
      <c r="B2275" s="12" t="s">
        <v>553</v>
      </c>
      <c r="C2275" s="12" t="s">
        <v>558</v>
      </c>
      <c r="D2275" s="13">
        <v>0</v>
      </c>
      <c r="E2275" s="13">
        <v>-7.4281000000000014E-2</v>
      </c>
      <c r="F2275" s="13">
        <v>-3.4972000000000003E-2</v>
      </c>
      <c r="G2275" s="13">
        <v>-1.8728000000000002E-2</v>
      </c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</row>
    <row r="2276" spans="1:19" x14ac:dyDescent="0.2">
      <c r="A2276" s="12" t="s">
        <v>340</v>
      </c>
      <c r="B2276" s="12" t="s">
        <v>553</v>
      </c>
      <c r="C2276" s="12" t="s">
        <v>560</v>
      </c>
      <c r="D2276" s="13">
        <v>0</v>
      </c>
      <c r="E2276" s="13">
        <v>0</v>
      </c>
      <c r="F2276" s="13">
        <v>0</v>
      </c>
      <c r="G2276" s="13">
        <v>0</v>
      </c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</row>
    <row r="2277" spans="1:19" x14ac:dyDescent="0.2">
      <c r="A2277" s="12" t="s">
        <v>340</v>
      </c>
      <c r="B2277" s="12" t="s">
        <v>553</v>
      </c>
      <c r="C2277" s="12" t="s">
        <v>561</v>
      </c>
      <c r="D2277" s="13">
        <v>1</v>
      </c>
      <c r="E2277" s="13">
        <v>0.70141500000000001</v>
      </c>
      <c r="F2277" s="13">
        <v>0.48931599999999997</v>
      </c>
      <c r="G2277" s="13">
        <v>0.50968400000000003</v>
      </c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</row>
    <row r="2278" spans="1:19" x14ac:dyDescent="0.2">
      <c r="A2278" s="12" t="s">
        <v>340</v>
      </c>
      <c r="B2278" s="12" t="s">
        <v>553</v>
      </c>
      <c r="C2278" s="12" t="s">
        <v>562</v>
      </c>
      <c r="D2278" s="13">
        <v>1</v>
      </c>
      <c r="E2278" s="13">
        <v>0.56518000000000002</v>
      </c>
      <c r="F2278" s="13">
        <v>0.387179</v>
      </c>
      <c r="G2278" s="13">
        <v>0.36214600000000002</v>
      </c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</row>
    <row r="2279" spans="1:19" x14ac:dyDescent="0.2">
      <c r="A2279" s="12" t="s">
        <v>340</v>
      </c>
      <c r="B2279" s="12" t="s">
        <v>553</v>
      </c>
      <c r="C2279" s="12" t="s">
        <v>563</v>
      </c>
      <c r="D2279" s="13">
        <v>0</v>
      </c>
      <c r="E2279" s="13">
        <v>0</v>
      </c>
      <c r="F2279" s="13">
        <v>0</v>
      </c>
      <c r="G2279" s="13">
        <v>0</v>
      </c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</row>
    <row r="2280" spans="1:19" x14ac:dyDescent="0.2">
      <c r="A2280" s="12" t="s">
        <v>340</v>
      </c>
      <c r="B2280" s="12" t="s">
        <v>553</v>
      </c>
      <c r="C2280" s="12" t="s">
        <v>564</v>
      </c>
      <c r="D2280" s="13">
        <v>0</v>
      </c>
      <c r="E2280" s="13">
        <v>5.2803999999999997E-2</v>
      </c>
      <c r="F2280" s="13">
        <v>5.2033999999999997E-2</v>
      </c>
      <c r="G2280" s="13">
        <v>4.7260999999999997E-2</v>
      </c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</row>
    <row r="2281" spans="1:19" x14ac:dyDescent="0.2">
      <c r="A2281" s="12" t="s">
        <v>340</v>
      </c>
      <c r="B2281" s="12" t="s">
        <v>553</v>
      </c>
      <c r="C2281" s="12" t="s">
        <v>565</v>
      </c>
      <c r="D2281" s="13">
        <v>0</v>
      </c>
      <c r="E2281" s="13">
        <v>8.3435000000000009E-2</v>
      </c>
      <c r="F2281" s="13">
        <v>4.9806000000000003E-2</v>
      </c>
      <c r="G2281" s="13">
        <v>0.100178</v>
      </c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</row>
    <row r="2282" spans="1:19" x14ac:dyDescent="0.2">
      <c r="A2282" s="12" t="s">
        <v>340</v>
      </c>
      <c r="B2282" s="12" t="s">
        <v>553</v>
      </c>
      <c r="C2282" s="12" t="s">
        <v>566</v>
      </c>
      <c r="D2282" s="13">
        <v>0</v>
      </c>
      <c r="E2282" s="13">
        <v>0</v>
      </c>
      <c r="F2282" s="13">
        <v>2.9300000000000002E-4</v>
      </c>
      <c r="G2282" s="13">
        <v>1E-4</v>
      </c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</row>
    <row r="2283" spans="1:19" x14ac:dyDescent="0.2">
      <c r="A2283" s="12" t="s">
        <v>340</v>
      </c>
      <c r="B2283" s="12" t="s">
        <v>567</v>
      </c>
      <c r="C2283" s="12" t="s">
        <v>554</v>
      </c>
      <c r="D2283" s="13">
        <v>0</v>
      </c>
      <c r="E2283" s="13">
        <v>0</v>
      </c>
      <c r="F2283" s="13">
        <v>0</v>
      </c>
      <c r="G2283" s="13">
        <v>0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</row>
    <row r="2284" spans="1:19" x14ac:dyDescent="0.2">
      <c r="A2284" s="12" t="s">
        <v>340</v>
      </c>
      <c r="B2284" s="12" t="s">
        <v>567</v>
      </c>
      <c r="C2284" s="12" t="s">
        <v>555</v>
      </c>
      <c r="D2284" s="13">
        <v>0</v>
      </c>
      <c r="E2284" s="13">
        <v>3.8000000000000002E-5</v>
      </c>
      <c r="F2284" s="13">
        <v>0</v>
      </c>
      <c r="G2284" s="13">
        <v>0</v>
      </c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</row>
    <row r="2285" spans="1:19" x14ac:dyDescent="0.2">
      <c r="A2285" s="12" t="s">
        <v>340</v>
      </c>
      <c r="B2285" s="12" t="s">
        <v>567</v>
      </c>
      <c r="C2285" s="12" t="s">
        <v>556</v>
      </c>
      <c r="D2285" s="13">
        <v>0</v>
      </c>
      <c r="E2285" s="13">
        <v>0</v>
      </c>
      <c r="F2285" s="13">
        <v>0</v>
      </c>
      <c r="G2285" s="13">
        <v>0</v>
      </c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</row>
    <row r="2286" spans="1:19" x14ac:dyDescent="0.2">
      <c r="A2286" s="12" t="s">
        <v>340</v>
      </c>
      <c r="B2286" s="12" t="s">
        <v>567</v>
      </c>
      <c r="C2286" s="12" t="s">
        <v>557</v>
      </c>
      <c r="D2286" s="13">
        <v>0</v>
      </c>
      <c r="E2286" s="13">
        <v>2.2439999999999999E-3</v>
      </c>
      <c r="F2286" s="13">
        <v>0</v>
      </c>
      <c r="G2286" s="13">
        <v>3.9399999999999998E-4</v>
      </c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</row>
    <row r="2287" spans="1:19" x14ac:dyDescent="0.2">
      <c r="A2287" s="12" t="s">
        <v>340</v>
      </c>
      <c r="B2287" s="12" t="s">
        <v>567</v>
      </c>
      <c r="C2287" s="12" t="s">
        <v>558</v>
      </c>
      <c r="D2287" s="13">
        <v>0</v>
      </c>
      <c r="E2287" s="13">
        <v>0</v>
      </c>
      <c r="F2287" s="13">
        <v>0</v>
      </c>
      <c r="G2287" s="13">
        <v>0</v>
      </c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</row>
    <row r="2288" spans="1:19" x14ac:dyDescent="0.2">
      <c r="A2288" s="12" t="s">
        <v>340</v>
      </c>
      <c r="B2288" s="12" t="s">
        <v>567</v>
      </c>
      <c r="C2288" s="12" t="s">
        <v>560</v>
      </c>
      <c r="D2288" s="13">
        <v>0</v>
      </c>
      <c r="E2288" s="13">
        <v>0</v>
      </c>
      <c r="F2288" s="13">
        <v>0</v>
      </c>
      <c r="G2288" s="13">
        <v>0</v>
      </c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</row>
    <row r="2289" spans="1:19" x14ac:dyDescent="0.2">
      <c r="A2289" s="12" t="s">
        <v>340</v>
      </c>
      <c r="B2289" s="12" t="s">
        <v>567</v>
      </c>
      <c r="C2289" s="12" t="s">
        <v>561</v>
      </c>
      <c r="D2289" s="13">
        <v>0</v>
      </c>
      <c r="E2289" s="13">
        <v>0</v>
      </c>
      <c r="F2289" s="13">
        <v>0</v>
      </c>
      <c r="G2289" s="13">
        <v>0</v>
      </c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</row>
    <row r="2290" spans="1:19" x14ac:dyDescent="0.2">
      <c r="A2290" s="12" t="s">
        <v>340</v>
      </c>
      <c r="B2290" s="12" t="s">
        <v>567</v>
      </c>
      <c r="C2290" s="12" t="s">
        <v>562</v>
      </c>
      <c r="D2290" s="13">
        <v>0</v>
      </c>
      <c r="E2290" s="13">
        <v>0</v>
      </c>
      <c r="F2290" s="13">
        <v>0</v>
      </c>
      <c r="G2290" s="13">
        <v>0</v>
      </c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</row>
    <row r="2291" spans="1:19" x14ac:dyDescent="0.2">
      <c r="A2291" s="12" t="s">
        <v>340</v>
      </c>
      <c r="B2291" s="12" t="s">
        <v>567</v>
      </c>
      <c r="C2291" s="12" t="s">
        <v>563</v>
      </c>
      <c r="D2291" s="13">
        <v>0</v>
      </c>
      <c r="E2291" s="13">
        <v>0</v>
      </c>
      <c r="F2291" s="13">
        <v>0</v>
      </c>
      <c r="G2291" s="13">
        <v>0</v>
      </c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</row>
    <row r="2292" spans="1:19" x14ac:dyDescent="0.2">
      <c r="A2292" s="12" t="s">
        <v>340</v>
      </c>
      <c r="B2292" s="12" t="s">
        <v>567</v>
      </c>
      <c r="C2292" s="12" t="s">
        <v>564</v>
      </c>
      <c r="D2292" s="13">
        <v>0</v>
      </c>
      <c r="E2292" s="13">
        <v>0</v>
      </c>
      <c r="F2292" s="13">
        <v>0</v>
      </c>
      <c r="G2292" s="13">
        <v>0</v>
      </c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</row>
    <row r="2293" spans="1:19" x14ac:dyDescent="0.2">
      <c r="A2293" s="12" t="s">
        <v>340</v>
      </c>
      <c r="B2293" s="12" t="s">
        <v>567</v>
      </c>
      <c r="C2293" s="12" t="s">
        <v>565</v>
      </c>
      <c r="D2293" s="13">
        <v>0</v>
      </c>
      <c r="E2293" s="13">
        <v>0</v>
      </c>
      <c r="F2293" s="13">
        <v>0</v>
      </c>
      <c r="G2293" s="13">
        <v>0</v>
      </c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</row>
    <row r="2294" spans="1:19" x14ac:dyDescent="0.2">
      <c r="A2294" s="12" t="s">
        <v>340</v>
      </c>
      <c r="B2294" s="12" t="s">
        <v>567</v>
      </c>
      <c r="C2294" s="12" t="s">
        <v>566</v>
      </c>
      <c r="D2294" s="13">
        <v>0</v>
      </c>
      <c r="E2294" s="13">
        <v>0</v>
      </c>
      <c r="F2294" s="13">
        <v>0</v>
      </c>
      <c r="G2294" s="13">
        <v>0</v>
      </c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</row>
    <row r="2295" spans="1:19" x14ac:dyDescent="0.2">
      <c r="A2295" s="12" t="s">
        <v>340</v>
      </c>
      <c r="B2295" s="12" t="s">
        <v>568</v>
      </c>
      <c r="C2295" s="12" t="s">
        <v>554</v>
      </c>
      <c r="D2295" s="13">
        <v>0</v>
      </c>
      <c r="E2295" s="13">
        <v>0</v>
      </c>
      <c r="F2295" s="13">
        <v>0</v>
      </c>
      <c r="G2295" s="13">
        <v>0</v>
      </c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</row>
    <row r="2296" spans="1:19" x14ac:dyDescent="0.2">
      <c r="A2296" s="12" t="s">
        <v>340</v>
      </c>
      <c r="B2296" s="12" t="s">
        <v>568</v>
      </c>
      <c r="C2296" s="12" t="s">
        <v>555</v>
      </c>
      <c r="D2296" s="13">
        <v>85</v>
      </c>
      <c r="E2296" s="13">
        <v>81.381134000000003</v>
      </c>
      <c r="F2296" s="13">
        <v>94.349890000000002</v>
      </c>
      <c r="G2296" s="13">
        <v>92.832589000000013</v>
      </c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</row>
    <row r="2297" spans="1:19" x14ac:dyDescent="0.2">
      <c r="A2297" s="12" t="s">
        <v>340</v>
      </c>
      <c r="B2297" s="12" t="s">
        <v>568</v>
      </c>
      <c r="C2297" s="12" t="s">
        <v>556</v>
      </c>
      <c r="D2297" s="13">
        <v>-12</v>
      </c>
      <c r="E2297" s="13">
        <v>-14.581687000000001</v>
      </c>
      <c r="F2297" s="13">
        <v>-25.619059</v>
      </c>
      <c r="G2297" s="13">
        <v>-25.321586</v>
      </c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</row>
    <row r="2298" spans="1:19" x14ac:dyDescent="0.2">
      <c r="A2298" s="12" t="s">
        <v>340</v>
      </c>
      <c r="B2298" s="12" t="s">
        <v>568</v>
      </c>
      <c r="C2298" s="12" t="s">
        <v>557</v>
      </c>
      <c r="D2298" s="13">
        <v>56</v>
      </c>
      <c r="E2298" s="13">
        <v>58.271439000000001</v>
      </c>
      <c r="F2298" s="13">
        <v>57.620571000000012</v>
      </c>
      <c r="G2298" s="13">
        <v>59.733766000000003</v>
      </c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</row>
    <row r="2299" spans="1:19" x14ac:dyDescent="0.2">
      <c r="A2299" s="12" t="s">
        <v>340</v>
      </c>
      <c r="B2299" s="12" t="s">
        <v>568</v>
      </c>
      <c r="C2299" s="12" t="s">
        <v>558</v>
      </c>
      <c r="D2299" s="13">
        <v>0</v>
      </c>
      <c r="E2299" s="13">
        <v>-0.10277699999999999</v>
      </c>
      <c r="F2299" s="13">
        <v>-0.91194299999999995</v>
      </c>
      <c r="G2299" s="13">
        <v>-0.941276</v>
      </c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</row>
    <row r="2300" spans="1:19" x14ac:dyDescent="0.2">
      <c r="A2300" s="12" t="s">
        <v>340</v>
      </c>
      <c r="B2300" s="12" t="s">
        <v>568</v>
      </c>
      <c r="C2300" s="12" t="s">
        <v>560</v>
      </c>
      <c r="D2300" s="13">
        <v>0</v>
      </c>
      <c r="E2300" s="13">
        <v>0</v>
      </c>
      <c r="F2300" s="13">
        <v>0</v>
      </c>
      <c r="G2300" s="13">
        <v>0</v>
      </c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</row>
    <row r="2301" spans="1:19" x14ac:dyDescent="0.2">
      <c r="A2301" s="12" t="s">
        <v>340</v>
      </c>
      <c r="B2301" s="12" t="s">
        <v>568</v>
      </c>
      <c r="C2301" s="12" t="s">
        <v>561</v>
      </c>
      <c r="D2301" s="13">
        <v>58</v>
      </c>
      <c r="E2301" s="13">
        <v>60.139995000000013</v>
      </c>
      <c r="F2301" s="13">
        <v>59.182197000000002</v>
      </c>
      <c r="G2301" s="13">
        <v>60.571444999999997</v>
      </c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</row>
    <row r="2302" spans="1:19" x14ac:dyDescent="0.2">
      <c r="A2302" s="12" t="s">
        <v>340</v>
      </c>
      <c r="B2302" s="12" t="s">
        <v>568</v>
      </c>
      <c r="C2302" s="12" t="s">
        <v>562</v>
      </c>
      <c r="D2302" s="13">
        <v>2</v>
      </c>
      <c r="E2302" s="13">
        <v>2.0105469999999999</v>
      </c>
      <c r="F2302" s="13">
        <v>2.4023819999999998</v>
      </c>
      <c r="G2302" s="13">
        <v>2.918174</v>
      </c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</row>
    <row r="2303" spans="1:19" x14ac:dyDescent="0.2">
      <c r="A2303" s="12" t="s">
        <v>340</v>
      </c>
      <c r="B2303" s="12" t="s">
        <v>568</v>
      </c>
      <c r="C2303" s="12" t="s">
        <v>563</v>
      </c>
      <c r="D2303" s="13">
        <v>42</v>
      </c>
      <c r="E2303" s="13">
        <v>42.839965999999997</v>
      </c>
      <c r="F2303" s="13">
        <v>41.779290000000003</v>
      </c>
      <c r="G2303" s="13">
        <v>41.881666000000003</v>
      </c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</row>
    <row r="2304" spans="1:19" x14ac:dyDescent="0.2">
      <c r="A2304" s="12" t="s">
        <v>340</v>
      </c>
      <c r="B2304" s="12" t="s">
        <v>568</v>
      </c>
      <c r="C2304" s="12" t="s">
        <v>564</v>
      </c>
      <c r="D2304" s="13">
        <v>2</v>
      </c>
      <c r="E2304" s="13">
        <v>2.231481</v>
      </c>
      <c r="F2304" s="13">
        <v>2.2765059999999999</v>
      </c>
      <c r="G2304" s="13">
        <v>2.7362410000000001</v>
      </c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</row>
    <row r="2305" spans="1:19" x14ac:dyDescent="0.2">
      <c r="A2305" s="12" t="s">
        <v>340</v>
      </c>
      <c r="B2305" s="12" t="s">
        <v>568</v>
      </c>
      <c r="C2305" s="12" t="s">
        <v>565</v>
      </c>
      <c r="D2305" s="13">
        <v>2</v>
      </c>
      <c r="E2305" s="13">
        <v>2.093664</v>
      </c>
      <c r="F2305" s="13">
        <v>2.0652900000000001</v>
      </c>
      <c r="G2305" s="13">
        <v>2.3096019999999999</v>
      </c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</row>
    <row r="2306" spans="1:19" x14ac:dyDescent="0.2">
      <c r="A2306" s="12" t="s">
        <v>340</v>
      </c>
      <c r="B2306" s="12" t="s">
        <v>568</v>
      </c>
      <c r="C2306" s="12" t="s">
        <v>566</v>
      </c>
      <c r="D2306" s="13">
        <v>10</v>
      </c>
      <c r="E2306" s="13">
        <v>10.96434</v>
      </c>
      <c r="F2306" s="13">
        <v>10.65873</v>
      </c>
      <c r="G2306" s="13">
        <v>10.725764</v>
      </c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</row>
    <row r="2307" spans="1:19" x14ac:dyDescent="0.2">
      <c r="A2307" s="12" t="s">
        <v>340</v>
      </c>
      <c r="B2307" s="12" t="s">
        <v>569</v>
      </c>
      <c r="C2307" s="12" t="s">
        <v>554</v>
      </c>
      <c r="D2307" s="13">
        <v>0</v>
      </c>
      <c r="E2307" s="13">
        <v>0</v>
      </c>
      <c r="F2307" s="13">
        <v>0</v>
      </c>
      <c r="G2307" s="13">
        <v>0</v>
      </c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</row>
    <row r="2308" spans="1:19" x14ac:dyDescent="0.2">
      <c r="A2308" s="12" t="s">
        <v>340</v>
      </c>
      <c r="B2308" s="12" t="s">
        <v>569</v>
      </c>
      <c r="C2308" s="12" t="s">
        <v>555</v>
      </c>
      <c r="D2308" s="13">
        <v>38</v>
      </c>
      <c r="E2308" s="13">
        <v>40.358981</v>
      </c>
      <c r="F2308" s="13">
        <v>28.904762999999999</v>
      </c>
      <c r="G2308" s="13">
        <v>28.768612000000001</v>
      </c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</row>
    <row r="2309" spans="1:19" x14ac:dyDescent="0.2">
      <c r="A2309" s="12" t="s">
        <v>340</v>
      </c>
      <c r="B2309" s="12" t="s">
        <v>569</v>
      </c>
      <c r="C2309" s="12" t="s">
        <v>556</v>
      </c>
      <c r="D2309" s="13">
        <v>0</v>
      </c>
      <c r="E2309" s="13">
        <v>0</v>
      </c>
      <c r="F2309" s="13">
        <v>0</v>
      </c>
      <c r="G2309" s="13">
        <v>0</v>
      </c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</row>
    <row r="2310" spans="1:19" x14ac:dyDescent="0.2">
      <c r="A2310" s="12" t="s">
        <v>340</v>
      </c>
      <c r="B2310" s="12" t="s">
        <v>569</v>
      </c>
      <c r="C2310" s="12" t="s">
        <v>557</v>
      </c>
      <c r="D2310" s="13">
        <v>38</v>
      </c>
      <c r="E2310" s="13">
        <v>40.372069000000003</v>
      </c>
      <c r="F2310" s="13">
        <v>28.969348</v>
      </c>
      <c r="G2310" s="13">
        <v>28.727585999999999</v>
      </c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</row>
    <row r="2311" spans="1:19" x14ac:dyDescent="0.2">
      <c r="A2311" s="12" t="s">
        <v>340</v>
      </c>
      <c r="B2311" s="12" t="s">
        <v>569</v>
      </c>
      <c r="C2311" s="12" t="s">
        <v>558</v>
      </c>
      <c r="D2311" s="13">
        <v>-24</v>
      </c>
      <c r="E2311" s="13">
        <v>-24.689782999999998</v>
      </c>
      <c r="F2311" s="13">
        <v>-15.735987</v>
      </c>
      <c r="G2311" s="13">
        <v>-16.152473000000001</v>
      </c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</row>
    <row r="2312" spans="1:19" x14ac:dyDescent="0.2">
      <c r="A2312" s="12" t="s">
        <v>340</v>
      </c>
      <c r="B2312" s="12" t="s">
        <v>569</v>
      </c>
      <c r="C2312" s="12" t="s">
        <v>560</v>
      </c>
      <c r="D2312" s="13">
        <v>0</v>
      </c>
      <c r="E2312" s="13">
        <v>0</v>
      </c>
      <c r="F2312" s="13">
        <v>0</v>
      </c>
      <c r="G2312" s="13">
        <v>0</v>
      </c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</row>
    <row r="2313" spans="1:19" x14ac:dyDescent="0.2">
      <c r="A2313" s="12" t="s">
        <v>340</v>
      </c>
      <c r="B2313" s="12" t="s">
        <v>569</v>
      </c>
      <c r="C2313" s="12" t="s">
        <v>561</v>
      </c>
      <c r="D2313" s="13">
        <v>14</v>
      </c>
      <c r="E2313" s="13">
        <v>14.720919</v>
      </c>
      <c r="F2313" s="13">
        <v>12.458715</v>
      </c>
      <c r="G2313" s="13">
        <v>11.628410000000001</v>
      </c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</row>
    <row r="2314" spans="1:19" x14ac:dyDescent="0.2">
      <c r="A2314" s="12" t="s">
        <v>340</v>
      </c>
      <c r="B2314" s="12" t="s">
        <v>569</v>
      </c>
      <c r="C2314" s="12" t="s">
        <v>562</v>
      </c>
      <c r="D2314" s="13">
        <v>4</v>
      </c>
      <c r="E2314" s="13">
        <v>4.5830219999999997</v>
      </c>
      <c r="F2314" s="13">
        <v>3.1954449999999999</v>
      </c>
      <c r="G2314" s="13">
        <v>3.3970150000000001</v>
      </c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</row>
    <row r="2315" spans="1:19" x14ac:dyDescent="0.2">
      <c r="A2315" s="12" t="s">
        <v>340</v>
      </c>
      <c r="B2315" s="12" t="s">
        <v>569</v>
      </c>
      <c r="C2315" s="12" t="s">
        <v>563</v>
      </c>
      <c r="D2315" s="13">
        <v>0</v>
      </c>
      <c r="E2315" s="13">
        <v>5.4776000000000012E-2</v>
      </c>
      <c r="F2315" s="13">
        <v>8.6059999999999998E-2</v>
      </c>
      <c r="G2315" s="13">
        <v>0.115623</v>
      </c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</row>
    <row r="2316" spans="1:19" x14ac:dyDescent="0.2">
      <c r="A2316" s="12" t="s">
        <v>340</v>
      </c>
      <c r="B2316" s="12" t="s">
        <v>569</v>
      </c>
      <c r="C2316" s="12" t="s">
        <v>564</v>
      </c>
      <c r="D2316" s="13">
        <v>5</v>
      </c>
      <c r="E2316" s="13">
        <v>4.833196</v>
      </c>
      <c r="F2316" s="13">
        <v>4.3814529999999996</v>
      </c>
      <c r="G2316" s="13">
        <v>3.5632769999999998</v>
      </c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</row>
    <row r="2317" spans="1:19" x14ac:dyDescent="0.2">
      <c r="A2317" s="12" t="s">
        <v>340</v>
      </c>
      <c r="B2317" s="12" t="s">
        <v>569</v>
      </c>
      <c r="C2317" s="12" t="s">
        <v>565</v>
      </c>
      <c r="D2317" s="13">
        <v>5</v>
      </c>
      <c r="E2317" s="13">
        <v>4.9293880000000003</v>
      </c>
      <c r="F2317" s="13">
        <v>4.6806670000000006</v>
      </c>
      <c r="G2317" s="13">
        <v>4.415851</v>
      </c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</row>
    <row r="2318" spans="1:19" x14ac:dyDescent="0.2">
      <c r="A2318" s="12" t="s">
        <v>340</v>
      </c>
      <c r="B2318" s="12" t="s">
        <v>569</v>
      </c>
      <c r="C2318" s="12" t="s">
        <v>566</v>
      </c>
      <c r="D2318" s="13">
        <v>0</v>
      </c>
      <c r="E2318" s="13">
        <v>0.32053700000000002</v>
      </c>
      <c r="F2318" s="13">
        <v>0.115091</v>
      </c>
      <c r="G2318" s="13">
        <v>0.13664000000000001</v>
      </c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</row>
    <row r="2319" spans="1:19" x14ac:dyDescent="0.2">
      <c r="A2319" s="12" t="s">
        <v>340</v>
      </c>
      <c r="B2319" s="12" t="s">
        <v>570</v>
      </c>
      <c r="C2319" s="12" t="s">
        <v>554</v>
      </c>
      <c r="D2319" s="13">
        <v>0</v>
      </c>
      <c r="E2319" s="13">
        <v>0</v>
      </c>
      <c r="F2319" s="13">
        <v>0</v>
      </c>
      <c r="G2319" s="13">
        <v>0</v>
      </c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</row>
    <row r="2320" spans="1:19" x14ac:dyDescent="0.2">
      <c r="A2320" s="12" t="s">
        <v>340</v>
      </c>
      <c r="B2320" s="12" t="s">
        <v>570</v>
      </c>
      <c r="C2320" s="12" t="s">
        <v>555</v>
      </c>
      <c r="D2320" s="13">
        <v>0</v>
      </c>
      <c r="E2320" s="13">
        <v>0</v>
      </c>
      <c r="F2320" s="13">
        <v>0</v>
      </c>
      <c r="G2320" s="13">
        <v>0</v>
      </c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</row>
    <row r="2321" spans="1:19" x14ac:dyDescent="0.2">
      <c r="A2321" s="12" t="s">
        <v>340</v>
      </c>
      <c r="B2321" s="12" t="s">
        <v>570</v>
      </c>
      <c r="C2321" s="12" t="s">
        <v>556</v>
      </c>
      <c r="D2321" s="13">
        <v>0</v>
      </c>
      <c r="E2321" s="13">
        <v>0</v>
      </c>
      <c r="F2321" s="13">
        <v>0</v>
      </c>
      <c r="G2321" s="13">
        <v>0</v>
      </c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</row>
    <row r="2322" spans="1:19" x14ac:dyDescent="0.2">
      <c r="A2322" s="12" t="s">
        <v>340</v>
      </c>
      <c r="B2322" s="12" t="s">
        <v>570</v>
      </c>
      <c r="C2322" s="12" t="s">
        <v>557</v>
      </c>
      <c r="D2322" s="13">
        <v>0</v>
      </c>
      <c r="E2322" s="13">
        <v>0</v>
      </c>
      <c r="F2322" s="13">
        <v>0</v>
      </c>
      <c r="G2322" s="13">
        <v>0</v>
      </c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</row>
    <row r="2323" spans="1:19" x14ac:dyDescent="0.2">
      <c r="A2323" s="12" t="s">
        <v>340</v>
      </c>
      <c r="B2323" s="12" t="s">
        <v>570</v>
      </c>
      <c r="C2323" s="12" t="s">
        <v>558</v>
      </c>
      <c r="D2323" s="13">
        <v>0</v>
      </c>
      <c r="E2323" s="13">
        <v>0</v>
      </c>
      <c r="F2323" s="13">
        <v>0</v>
      </c>
      <c r="G2323" s="13">
        <v>0</v>
      </c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</row>
    <row r="2324" spans="1:19" x14ac:dyDescent="0.2">
      <c r="A2324" s="12" t="s">
        <v>340</v>
      </c>
      <c r="B2324" s="12" t="s">
        <v>570</v>
      </c>
      <c r="C2324" s="12" t="s">
        <v>560</v>
      </c>
      <c r="D2324" s="13">
        <v>0</v>
      </c>
      <c r="E2324" s="13">
        <v>0</v>
      </c>
      <c r="F2324" s="13">
        <v>0</v>
      </c>
      <c r="G2324" s="13">
        <v>0</v>
      </c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</row>
    <row r="2325" spans="1:19" x14ac:dyDescent="0.2">
      <c r="A2325" s="12" t="s">
        <v>340</v>
      </c>
      <c r="B2325" s="12" t="s">
        <v>570</v>
      </c>
      <c r="C2325" s="12" t="s">
        <v>561</v>
      </c>
      <c r="D2325" s="13">
        <v>0</v>
      </c>
      <c r="E2325" s="13">
        <v>0</v>
      </c>
      <c r="F2325" s="13">
        <v>0</v>
      </c>
      <c r="G2325" s="13">
        <v>0</v>
      </c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</row>
    <row r="2326" spans="1:19" x14ac:dyDescent="0.2">
      <c r="A2326" s="12" t="s">
        <v>340</v>
      </c>
      <c r="B2326" s="12" t="s">
        <v>570</v>
      </c>
      <c r="C2326" s="12" t="s">
        <v>562</v>
      </c>
      <c r="D2326" s="13">
        <v>0</v>
      </c>
      <c r="E2326" s="13">
        <v>0</v>
      </c>
      <c r="F2326" s="13">
        <v>0</v>
      </c>
      <c r="G2326" s="13">
        <v>0</v>
      </c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</row>
    <row r="2327" spans="1:19" x14ac:dyDescent="0.2">
      <c r="A2327" s="12" t="s">
        <v>340</v>
      </c>
      <c r="B2327" s="12" t="s">
        <v>570</v>
      </c>
      <c r="C2327" s="12" t="s">
        <v>563</v>
      </c>
      <c r="D2327" s="13">
        <v>0</v>
      </c>
      <c r="E2327" s="13">
        <v>0</v>
      </c>
      <c r="F2327" s="13">
        <v>0</v>
      </c>
      <c r="G2327" s="13">
        <v>0</v>
      </c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</row>
    <row r="2328" spans="1:19" x14ac:dyDescent="0.2">
      <c r="A2328" s="12" t="s">
        <v>340</v>
      </c>
      <c r="B2328" s="12" t="s">
        <v>570</v>
      </c>
      <c r="C2328" s="12" t="s">
        <v>564</v>
      </c>
      <c r="D2328" s="13">
        <v>0</v>
      </c>
      <c r="E2328" s="13">
        <v>0</v>
      </c>
      <c r="F2328" s="13">
        <v>0</v>
      </c>
      <c r="G2328" s="13">
        <v>0</v>
      </c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</row>
    <row r="2329" spans="1:19" x14ac:dyDescent="0.2">
      <c r="A2329" s="12" t="s">
        <v>340</v>
      </c>
      <c r="B2329" s="12" t="s">
        <v>570</v>
      </c>
      <c r="C2329" s="12" t="s">
        <v>565</v>
      </c>
      <c r="D2329" s="13">
        <v>0</v>
      </c>
      <c r="E2329" s="13">
        <v>0</v>
      </c>
      <c r="F2329" s="13">
        <v>0</v>
      </c>
      <c r="G2329" s="13">
        <v>0</v>
      </c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</row>
    <row r="2330" spans="1:19" x14ac:dyDescent="0.2">
      <c r="A2330" s="12" t="s">
        <v>340</v>
      </c>
      <c r="B2330" s="12" t="s">
        <v>570</v>
      </c>
      <c r="C2330" s="12" t="s">
        <v>566</v>
      </c>
      <c r="D2330" s="13">
        <v>0</v>
      </c>
      <c r="E2330" s="13">
        <v>0</v>
      </c>
      <c r="F2330" s="13">
        <v>0</v>
      </c>
      <c r="G2330" s="13">
        <v>0</v>
      </c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</row>
    <row r="2331" spans="1:19" x14ac:dyDescent="0.2">
      <c r="A2331" s="12" t="s">
        <v>340</v>
      </c>
      <c r="B2331" s="12" t="s">
        <v>571</v>
      </c>
      <c r="C2331" s="12" t="s">
        <v>554</v>
      </c>
      <c r="D2331" s="13">
        <v>113</v>
      </c>
      <c r="E2331" s="13">
        <v>113.480648</v>
      </c>
      <c r="F2331" s="13">
        <v>122.47563599999999</v>
      </c>
      <c r="G2331" s="13">
        <v>136.65344200000001</v>
      </c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</row>
    <row r="2332" spans="1:19" x14ac:dyDescent="0.2">
      <c r="A2332" s="12" t="s">
        <v>340</v>
      </c>
      <c r="B2332" s="12" t="s">
        <v>571</v>
      </c>
      <c r="C2332" s="12" t="s">
        <v>555</v>
      </c>
      <c r="D2332" s="13">
        <v>26</v>
      </c>
      <c r="E2332" s="13">
        <v>23.758482000000001</v>
      </c>
      <c r="F2332" s="13">
        <v>16.402714</v>
      </c>
      <c r="G2332" s="13">
        <v>9.3926090000000002</v>
      </c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</row>
    <row r="2333" spans="1:19" x14ac:dyDescent="0.2">
      <c r="A2333" s="12" t="s">
        <v>340</v>
      </c>
      <c r="B2333" s="12" t="s">
        <v>571</v>
      </c>
      <c r="C2333" s="12" t="s">
        <v>556</v>
      </c>
      <c r="D2333" s="13">
        <v>-56</v>
      </c>
      <c r="E2333" s="13">
        <v>-61.065629000000001</v>
      </c>
      <c r="F2333" s="13">
        <v>-51.533583999999998</v>
      </c>
      <c r="G2333" s="13">
        <v>-48.321764000000002</v>
      </c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</row>
    <row r="2334" spans="1:19" x14ac:dyDescent="0.2">
      <c r="A2334" s="12" t="s">
        <v>340</v>
      </c>
      <c r="B2334" s="12" t="s">
        <v>571</v>
      </c>
      <c r="C2334" s="12" t="s">
        <v>557</v>
      </c>
      <c r="D2334" s="13">
        <v>78</v>
      </c>
      <c r="E2334" s="13">
        <v>81.624915999999999</v>
      </c>
      <c r="F2334" s="13">
        <v>82.082197000000008</v>
      </c>
      <c r="G2334" s="13">
        <v>84.776782999999995</v>
      </c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</row>
    <row r="2335" spans="1:19" x14ac:dyDescent="0.2">
      <c r="A2335" s="12" t="s">
        <v>340</v>
      </c>
      <c r="B2335" s="12" t="s">
        <v>571</v>
      </c>
      <c r="C2335" s="12" t="s">
        <v>558</v>
      </c>
      <c r="D2335" s="13">
        <v>-34</v>
      </c>
      <c r="E2335" s="13">
        <v>-36.533624000000003</v>
      </c>
      <c r="F2335" s="13">
        <v>-36.733044999999997</v>
      </c>
      <c r="G2335" s="13">
        <v>-39.499538999999999</v>
      </c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</row>
    <row r="2336" spans="1:19" x14ac:dyDescent="0.2">
      <c r="A2336" s="12" t="s">
        <v>340</v>
      </c>
      <c r="B2336" s="12" t="s">
        <v>571</v>
      </c>
      <c r="C2336" s="12" t="s">
        <v>560</v>
      </c>
      <c r="D2336" s="13">
        <v>0</v>
      </c>
      <c r="E2336" s="13">
        <v>0</v>
      </c>
      <c r="F2336" s="13">
        <v>0</v>
      </c>
      <c r="G2336" s="13">
        <v>0</v>
      </c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</row>
    <row r="2337" spans="1:19" x14ac:dyDescent="0.2">
      <c r="A2337" s="12" t="s">
        <v>340</v>
      </c>
      <c r="B2337" s="12" t="s">
        <v>571</v>
      </c>
      <c r="C2337" s="12" t="s">
        <v>561</v>
      </c>
      <c r="D2337" s="13">
        <v>44</v>
      </c>
      <c r="E2337" s="13">
        <v>44.675089999999997</v>
      </c>
      <c r="F2337" s="13">
        <v>45.035451999999999</v>
      </c>
      <c r="G2337" s="13">
        <v>45.034092000000001</v>
      </c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</row>
    <row r="2338" spans="1:19" x14ac:dyDescent="0.2">
      <c r="A2338" s="12" t="s">
        <v>340</v>
      </c>
      <c r="B2338" s="12" t="s">
        <v>571</v>
      </c>
      <c r="C2338" s="12" t="s">
        <v>562</v>
      </c>
      <c r="D2338" s="13">
        <v>20</v>
      </c>
      <c r="E2338" s="13">
        <v>20.347453999999999</v>
      </c>
      <c r="F2338" s="13">
        <v>22.534106999999999</v>
      </c>
      <c r="G2338" s="13">
        <v>23.076523999999999</v>
      </c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</row>
    <row r="2339" spans="1:19" x14ac:dyDescent="0.2">
      <c r="A2339" s="12" t="s">
        <v>340</v>
      </c>
      <c r="B2339" s="12" t="s">
        <v>571</v>
      </c>
      <c r="C2339" s="12" t="s">
        <v>563</v>
      </c>
      <c r="D2339" s="13">
        <v>2</v>
      </c>
      <c r="E2339" s="13">
        <v>1.957668</v>
      </c>
      <c r="F2339" s="13">
        <v>0.67121900000000001</v>
      </c>
      <c r="G2339" s="13">
        <v>0.49576700000000001</v>
      </c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</row>
    <row r="2340" spans="1:19" x14ac:dyDescent="0.2">
      <c r="A2340" s="12" t="s">
        <v>340</v>
      </c>
      <c r="B2340" s="12" t="s">
        <v>571</v>
      </c>
      <c r="C2340" s="12" t="s">
        <v>564</v>
      </c>
      <c r="D2340" s="13">
        <v>19</v>
      </c>
      <c r="E2340" s="13">
        <v>19.361249999999998</v>
      </c>
      <c r="F2340" s="13">
        <v>18.571971000000001</v>
      </c>
      <c r="G2340" s="13">
        <v>18.298857000000002</v>
      </c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</row>
    <row r="2341" spans="1:19" x14ac:dyDescent="0.2">
      <c r="A2341" s="12" t="s">
        <v>340</v>
      </c>
      <c r="B2341" s="12" t="s">
        <v>571</v>
      </c>
      <c r="C2341" s="12" t="s">
        <v>565</v>
      </c>
      <c r="D2341" s="13">
        <v>2</v>
      </c>
      <c r="E2341" s="13">
        <v>2.099701</v>
      </c>
      <c r="F2341" s="13">
        <v>2.34151</v>
      </c>
      <c r="G2341" s="13">
        <v>1.737895</v>
      </c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</row>
    <row r="2342" spans="1:19" x14ac:dyDescent="0.2">
      <c r="A2342" s="12" t="s">
        <v>340</v>
      </c>
      <c r="B2342" s="12" t="s">
        <v>571</v>
      </c>
      <c r="C2342" s="12" t="s">
        <v>566</v>
      </c>
      <c r="D2342" s="13">
        <v>1</v>
      </c>
      <c r="E2342" s="13">
        <v>0.909022</v>
      </c>
      <c r="F2342" s="13">
        <v>0.91663699999999992</v>
      </c>
      <c r="G2342" s="13">
        <v>1.4250480000000001</v>
      </c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</row>
    <row r="2343" spans="1:19" x14ac:dyDescent="0.2">
      <c r="A2343" s="12" t="s">
        <v>340</v>
      </c>
      <c r="B2343" s="12" t="s">
        <v>572</v>
      </c>
      <c r="C2343" s="12" t="s">
        <v>554</v>
      </c>
      <c r="D2343" s="13">
        <v>0</v>
      </c>
      <c r="E2343" s="13">
        <v>0</v>
      </c>
      <c r="F2343" s="13">
        <v>0</v>
      </c>
      <c r="G2343" s="13">
        <v>0</v>
      </c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</row>
    <row r="2344" spans="1:19" x14ac:dyDescent="0.2">
      <c r="A2344" s="12" t="s">
        <v>340</v>
      </c>
      <c r="B2344" s="12" t="s">
        <v>572</v>
      </c>
      <c r="C2344" s="12" t="s">
        <v>555</v>
      </c>
      <c r="D2344" s="13">
        <v>15</v>
      </c>
      <c r="E2344" s="13">
        <v>16.798932000000001</v>
      </c>
      <c r="F2344" s="13">
        <v>19.109635000000001</v>
      </c>
      <c r="G2344" s="13">
        <v>14.670832000000001</v>
      </c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</row>
    <row r="2345" spans="1:19" x14ac:dyDescent="0.2">
      <c r="A2345" s="12" t="s">
        <v>340</v>
      </c>
      <c r="B2345" s="12" t="s">
        <v>572</v>
      </c>
      <c r="C2345" s="12" t="s">
        <v>556</v>
      </c>
      <c r="D2345" s="13">
        <v>-9</v>
      </c>
      <c r="E2345" s="13">
        <v>-10.417445000000001</v>
      </c>
      <c r="F2345" s="13">
        <v>-10.788136</v>
      </c>
      <c r="G2345" s="13">
        <v>-11.775734999999999</v>
      </c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</row>
    <row r="2346" spans="1:19" x14ac:dyDescent="0.2">
      <c r="A2346" s="12" t="s">
        <v>340</v>
      </c>
      <c r="B2346" s="12" t="s">
        <v>572</v>
      </c>
      <c r="C2346" s="12" t="s">
        <v>557</v>
      </c>
      <c r="D2346" s="13">
        <v>6</v>
      </c>
      <c r="E2346" s="13">
        <v>6.3814869999999999</v>
      </c>
      <c r="F2346" s="13">
        <v>8.3214950000000005</v>
      </c>
      <c r="G2346" s="13">
        <v>2.8950969999999998</v>
      </c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</row>
    <row r="2347" spans="1:19" x14ac:dyDescent="0.2">
      <c r="A2347" s="12" t="s">
        <v>340</v>
      </c>
      <c r="B2347" s="12" t="s">
        <v>572</v>
      </c>
      <c r="C2347" s="12" t="s">
        <v>558</v>
      </c>
      <c r="D2347" s="13">
        <v>21</v>
      </c>
      <c r="E2347" s="13">
        <v>21.046398</v>
      </c>
      <c r="F2347" s="13">
        <v>18.111502000000002</v>
      </c>
      <c r="G2347" s="13">
        <v>22.995270999999999</v>
      </c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</row>
    <row r="2348" spans="1:19" x14ac:dyDescent="0.2">
      <c r="A2348" s="12" t="s">
        <v>340</v>
      </c>
      <c r="B2348" s="12" t="s">
        <v>572</v>
      </c>
      <c r="C2348" s="12" t="s">
        <v>560</v>
      </c>
      <c r="D2348" s="13">
        <v>0</v>
      </c>
      <c r="E2348" s="13">
        <v>0</v>
      </c>
      <c r="F2348" s="13">
        <v>0</v>
      </c>
      <c r="G2348" s="13">
        <v>0</v>
      </c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</row>
    <row r="2349" spans="1:19" x14ac:dyDescent="0.2">
      <c r="A2349" s="12" t="s">
        <v>340</v>
      </c>
      <c r="B2349" s="12" t="s">
        <v>572</v>
      </c>
      <c r="C2349" s="12" t="s">
        <v>561</v>
      </c>
      <c r="D2349" s="13">
        <v>23</v>
      </c>
      <c r="E2349" s="13">
        <v>24.124597000000001</v>
      </c>
      <c r="F2349" s="13">
        <v>23.272155999999999</v>
      </c>
      <c r="G2349" s="13">
        <v>22.574027999999998</v>
      </c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</row>
    <row r="2350" spans="1:19" x14ac:dyDescent="0.2">
      <c r="A2350" s="12" t="s">
        <v>340</v>
      </c>
      <c r="B2350" s="12" t="s">
        <v>572</v>
      </c>
      <c r="C2350" s="12" t="s">
        <v>562</v>
      </c>
      <c r="D2350" s="13">
        <v>7</v>
      </c>
      <c r="E2350" s="13">
        <v>7.0056010000000004</v>
      </c>
      <c r="F2350" s="13">
        <v>6.6537709999999999</v>
      </c>
      <c r="G2350" s="13">
        <v>6.3029260000000003</v>
      </c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</row>
    <row r="2351" spans="1:19" x14ac:dyDescent="0.2">
      <c r="A2351" s="12" t="s">
        <v>340</v>
      </c>
      <c r="B2351" s="12" t="s">
        <v>572</v>
      </c>
      <c r="C2351" s="12" t="s">
        <v>563</v>
      </c>
      <c r="D2351" s="13">
        <v>0</v>
      </c>
      <c r="E2351" s="13">
        <v>0.35173300000000002</v>
      </c>
      <c r="F2351" s="13">
        <v>0.36449399999999998</v>
      </c>
      <c r="G2351" s="13">
        <v>0.38626600000000011</v>
      </c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</row>
    <row r="2352" spans="1:19" x14ac:dyDescent="0.2">
      <c r="A2352" s="12" t="s">
        <v>340</v>
      </c>
      <c r="B2352" s="12" t="s">
        <v>572</v>
      </c>
      <c r="C2352" s="12" t="s">
        <v>564</v>
      </c>
      <c r="D2352" s="13">
        <v>6</v>
      </c>
      <c r="E2352" s="13">
        <v>6.4655659999999999</v>
      </c>
      <c r="F2352" s="13">
        <v>6.0664300000000004</v>
      </c>
      <c r="G2352" s="13">
        <v>5.9392940000000003</v>
      </c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</row>
    <row r="2353" spans="1:19" x14ac:dyDescent="0.2">
      <c r="A2353" s="12" t="s">
        <v>340</v>
      </c>
      <c r="B2353" s="12" t="s">
        <v>572</v>
      </c>
      <c r="C2353" s="12" t="s">
        <v>565</v>
      </c>
      <c r="D2353" s="13">
        <v>9</v>
      </c>
      <c r="E2353" s="13">
        <v>9.6064699999999998</v>
      </c>
      <c r="F2353" s="13">
        <v>9.5043210000000009</v>
      </c>
      <c r="G2353" s="13">
        <v>9.2457940000000001</v>
      </c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</row>
    <row r="2354" spans="1:19" x14ac:dyDescent="0.2">
      <c r="A2354" s="12" t="s">
        <v>340</v>
      </c>
      <c r="B2354" s="12" t="s">
        <v>572</v>
      </c>
      <c r="C2354" s="12" t="s">
        <v>566</v>
      </c>
      <c r="D2354" s="13">
        <v>1</v>
      </c>
      <c r="E2354" s="13">
        <v>0.69522700000000004</v>
      </c>
      <c r="F2354" s="13">
        <v>0.68314299999999994</v>
      </c>
      <c r="G2354" s="13">
        <v>0.69974800000000004</v>
      </c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</row>
    <row r="2355" spans="1:19" x14ac:dyDescent="0.2">
      <c r="A2355" s="12" t="s">
        <v>340</v>
      </c>
      <c r="B2355" s="12" t="s">
        <v>573</v>
      </c>
      <c r="C2355" s="12" t="s">
        <v>554</v>
      </c>
      <c r="D2355" s="13">
        <v>0</v>
      </c>
      <c r="E2355" s="13">
        <v>0</v>
      </c>
      <c r="F2355" s="13">
        <v>0</v>
      </c>
      <c r="G2355" s="13">
        <v>0</v>
      </c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</row>
    <row r="2356" spans="1:19" x14ac:dyDescent="0.2">
      <c r="A2356" s="12" t="s">
        <v>340</v>
      </c>
      <c r="B2356" s="12" t="s">
        <v>573</v>
      </c>
      <c r="C2356" s="12" t="s">
        <v>555</v>
      </c>
      <c r="D2356" s="13">
        <v>0</v>
      </c>
      <c r="E2356" s="13">
        <v>0</v>
      </c>
      <c r="F2356" s="13">
        <v>0</v>
      </c>
      <c r="G2356" s="13">
        <v>0</v>
      </c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</row>
    <row r="2357" spans="1:19" x14ac:dyDescent="0.2">
      <c r="A2357" s="12" t="s">
        <v>340</v>
      </c>
      <c r="B2357" s="12" t="s">
        <v>573</v>
      </c>
      <c r="C2357" s="12" t="s">
        <v>556</v>
      </c>
      <c r="D2357" s="13">
        <v>0</v>
      </c>
      <c r="E2357" s="13">
        <v>0</v>
      </c>
      <c r="F2357" s="13">
        <v>0</v>
      </c>
      <c r="G2357" s="13">
        <v>0</v>
      </c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</row>
    <row r="2358" spans="1:19" x14ac:dyDescent="0.2">
      <c r="A2358" s="12" t="s">
        <v>340</v>
      </c>
      <c r="B2358" s="12" t="s">
        <v>573</v>
      </c>
      <c r="C2358" s="12" t="s">
        <v>557</v>
      </c>
      <c r="D2358" s="13">
        <v>0</v>
      </c>
      <c r="E2358" s="13">
        <v>0</v>
      </c>
      <c r="F2358" s="13">
        <v>0</v>
      </c>
      <c r="G2358" s="13">
        <v>0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</row>
    <row r="2359" spans="1:19" x14ac:dyDescent="0.2">
      <c r="A2359" s="12" t="s">
        <v>340</v>
      </c>
      <c r="B2359" s="12" t="s">
        <v>573</v>
      </c>
      <c r="C2359" s="12" t="s">
        <v>558</v>
      </c>
      <c r="D2359" s="13">
        <v>27</v>
      </c>
      <c r="E2359" s="13">
        <v>31.234511000000001</v>
      </c>
      <c r="F2359" s="13">
        <v>27.816880000000001</v>
      </c>
      <c r="G2359" s="13">
        <v>25.801037999999998</v>
      </c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</row>
    <row r="2360" spans="1:19" x14ac:dyDescent="0.2">
      <c r="A2360" s="12" t="s">
        <v>340</v>
      </c>
      <c r="B2360" s="12" t="s">
        <v>573</v>
      </c>
      <c r="C2360" s="12" t="s">
        <v>560</v>
      </c>
      <c r="D2360" s="13">
        <v>0</v>
      </c>
      <c r="E2360" s="13">
        <v>0</v>
      </c>
      <c r="F2360" s="13">
        <v>0</v>
      </c>
      <c r="G2360" s="13">
        <v>0</v>
      </c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</row>
    <row r="2361" spans="1:19" x14ac:dyDescent="0.2">
      <c r="A2361" s="12" t="s">
        <v>340</v>
      </c>
      <c r="B2361" s="12" t="s">
        <v>573</v>
      </c>
      <c r="C2361" s="12" t="s">
        <v>561</v>
      </c>
      <c r="D2361" s="13">
        <v>23</v>
      </c>
      <c r="E2361" s="13">
        <v>26.941542999999999</v>
      </c>
      <c r="F2361" s="13">
        <v>23.635662</v>
      </c>
      <c r="G2361" s="13">
        <v>21.927821000000002</v>
      </c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</row>
    <row r="2362" spans="1:19" x14ac:dyDescent="0.2">
      <c r="A2362" s="12" t="s">
        <v>340</v>
      </c>
      <c r="B2362" s="12" t="s">
        <v>573</v>
      </c>
      <c r="C2362" s="12" t="s">
        <v>562</v>
      </c>
      <c r="D2362" s="13">
        <v>3</v>
      </c>
      <c r="E2362" s="13">
        <v>2.9373670000000001</v>
      </c>
      <c r="F2362" s="13">
        <v>2.8222130000000001</v>
      </c>
      <c r="G2362" s="13">
        <v>2.529585</v>
      </c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</row>
    <row r="2363" spans="1:19" x14ac:dyDescent="0.2">
      <c r="A2363" s="12" t="s">
        <v>340</v>
      </c>
      <c r="B2363" s="12" t="s">
        <v>573</v>
      </c>
      <c r="C2363" s="12" t="s">
        <v>563</v>
      </c>
      <c r="D2363" s="13">
        <v>0</v>
      </c>
      <c r="E2363" s="13">
        <v>0</v>
      </c>
      <c r="F2363" s="13">
        <v>0</v>
      </c>
      <c r="G2363" s="13">
        <v>0</v>
      </c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</row>
    <row r="2364" spans="1:19" x14ac:dyDescent="0.2">
      <c r="A2364" s="12" t="s">
        <v>340</v>
      </c>
      <c r="B2364" s="12" t="s">
        <v>573</v>
      </c>
      <c r="C2364" s="12" t="s">
        <v>564</v>
      </c>
      <c r="D2364" s="13">
        <v>15</v>
      </c>
      <c r="E2364" s="13">
        <v>17.420688999999999</v>
      </c>
      <c r="F2364" s="13">
        <v>15.310575</v>
      </c>
      <c r="G2364" s="13">
        <v>14.551871999999999</v>
      </c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</row>
    <row r="2365" spans="1:19" x14ac:dyDescent="0.2">
      <c r="A2365" s="12" t="s">
        <v>340</v>
      </c>
      <c r="B2365" s="12" t="s">
        <v>573</v>
      </c>
      <c r="C2365" s="12" t="s">
        <v>565</v>
      </c>
      <c r="D2365" s="13">
        <v>5</v>
      </c>
      <c r="E2365" s="13">
        <v>6.1943619999999999</v>
      </c>
      <c r="F2365" s="13">
        <v>5.2071610000000002</v>
      </c>
      <c r="G2365" s="13">
        <v>4.7572099999999997</v>
      </c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</row>
    <row r="2366" spans="1:19" x14ac:dyDescent="0.2">
      <c r="A2366" s="12" t="s">
        <v>340</v>
      </c>
      <c r="B2366" s="12" t="s">
        <v>573</v>
      </c>
      <c r="C2366" s="12" t="s">
        <v>566</v>
      </c>
      <c r="D2366" s="13">
        <v>0</v>
      </c>
      <c r="E2366" s="13">
        <v>0.389125</v>
      </c>
      <c r="F2366" s="13">
        <v>0.295709</v>
      </c>
      <c r="G2366" s="13">
        <v>8.9153999999999997E-2</v>
      </c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</row>
    <row r="2367" spans="1:19" x14ac:dyDescent="0.2">
      <c r="A2367" s="12" t="s">
        <v>340</v>
      </c>
      <c r="B2367" s="12" t="s">
        <v>574</v>
      </c>
      <c r="C2367" s="12" t="s">
        <v>554</v>
      </c>
      <c r="D2367" s="13">
        <v>113</v>
      </c>
      <c r="E2367" s="13">
        <v>113.507707</v>
      </c>
      <c r="F2367" s="13">
        <v>122.56134400000001</v>
      </c>
      <c r="G2367" s="13">
        <v>136.69703100000001</v>
      </c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</row>
    <row r="2368" spans="1:19" x14ac:dyDescent="0.2">
      <c r="A2368" s="12" t="s">
        <v>340</v>
      </c>
      <c r="B2368" s="12" t="s">
        <v>574</v>
      </c>
      <c r="C2368" s="12" t="s">
        <v>555</v>
      </c>
      <c r="D2368" s="13">
        <v>165</v>
      </c>
      <c r="E2368" s="13">
        <v>163.17612500000001</v>
      </c>
      <c r="F2368" s="13">
        <v>159.83561599999999</v>
      </c>
      <c r="G2368" s="13">
        <v>146.07416499999999</v>
      </c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</row>
    <row r="2369" spans="1:19" x14ac:dyDescent="0.2">
      <c r="A2369" s="12" t="s">
        <v>340</v>
      </c>
      <c r="B2369" s="12" t="s">
        <v>574</v>
      </c>
      <c r="C2369" s="12" t="s">
        <v>556</v>
      </c>
      <c r="D2369" s="13">
        <v>-78</v>
      </c>
      <c r="E2369" s="13">
        <v>-86.286000000000001</v>
      </c>
      <c r="F2369" s="13">
        <v>-88.120450000000005</v>
      </c>
      <c r="G2369" s="13">
        <v>-85.45653200000001</v>
      </c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</row>
    <row r="2370" spans="1:19" x14ac:dyDescent="0.2">
      <c r="A2370" s="12" t="s">
        <v>340</v>
      </c>
      <c r="B2370" s="12" t="s">
        <v>574</v>
      </c>
      <c r="C2370" s="12" t="s">
        <v>557</v>
      </c>
      <c r="D2370" s="13">
        <v>179</v>
      </c>
      <c r="E2370" s="13">
        <v>187.42895200000001</v>
      </c>
      <c r="F2370" s="13">
        <v>177.525407</v>
      </c>
      <c r="G2370" s="13">
        <v>176.689818</v>
      </c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</row>
    <row r="2371" spans="1:19" x14ac:dyDescent="0.2">
      <c r="A2371" s="12" t="s">
        <v>340</v>
      </c>
      <c r="B2371" s="12" t="s">
        <v>574</v>
      </c>
      <c r="C2371" s="12" t="s">
        <v>558</v>
      </c>
      <c r="D2371" s="13">
        <v>-10</v>
      </c>
      <c r="E2371" s="13">
        <v>-9.1195540000000008</v>
      </c>
      <c r="F2371" s="13">
        <v>-7.4875599999999993</v>
      </c>
      <c r="G2371" s="13">
        <v>-7.815709</v>
      </c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</row>
    <row r="2372" spans="1:19" x14ac:dyDescent="0.2">
      <c r="A2372" s="12" t="s">
        <v>340</v>
      </c>
      <c r="B2372" s="12" t="s">
        <v>574</v>
      </c>
      <c r="C2372" s="12" t="s">
        <v>560</v>
      </c>
      <c r="D2372" s="13">
        <v>0</v>
      </c>
      <c r="E2372" s="13">
        <v>0</v>
      </c>
      <c r="F2372" s="13">
        <v>0</v>
      </c>
      <c r="G2372" s="13">
        <v>0</v>
      </c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</row>
    <row r="2373" spans="1:19" x14ac:dyDescent="0.2">
      <c r="A2373" s="12" t="s">
        <v>340</v>
      </c>
      <c r="B2373" s="12" t="s">
        <v>574</v>
      </c>
      <c r="C2373" s="12" t="s">
        <v>561</v>
      </c>
      <c r="D2373" s="13">
        <v>163</v>
      </c>
      <c r="E2373" s="13">
        <v>171.30355399999999</v>
      </c>
      <c r="F2373" s="13">
        <v>164.07349500000001</v>
      </c>
      <c r="G2373" s="13">
        <v>162.245475</v>
      </c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</row>
    <row r="2374" spans="1:19" x14ac:dyDescent="0.2">
      <c r="A2374" s="12" t="s">
        <v>340</v>
      </c>
      <c r="B2374" s="12" t="s">
        <v>574</v>
      </c>
      <c r="C2374" s="12" t="s">
        <v>562</v>
      </c>
      <c r="D2374" s="13">
        <v>36</v>
      </c>
      <c r="E2374" s="13">
        <v>37.449171999999997</v>
      </c>
      <c r="F2374" s="13">
        <v>37.995101000000012</v>
      </c>
      <c r="G2374" s="13">
        <v>38.586360999999997</v>
      </c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</row>
    <row r="2375" spans="1:19" x14ac:dyDescent="0.2">
      <c r="A2375" s="12" t="s">
        <v>340</v>
      </c>
      <c r="B2375" s="12" t="s">
        <v>574</v>
      </c>
      <c r="C2375" s="12" t="s">
        <v>563</v>
      </c>
      <c r="D2375" s="13">
        <v>44</v>
      </c>
      <c r="E2375" s="13">
        <v>45.204138999999998</v>
      </c>
      <c r="F2375" s="13">
        <v>42.901068000000002</v>
      </c>
      <c r="G2375" s="13">
        <v>42.879322000000002</v>
      </c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</row>
    <row r="2376" spans="1:19" x14ac:dyDescent="0.2">
      <c r="A2376" s="12" t="s">
        <v>340</v>
      </c>
      <c r="B2376" s="12" t="s">
        <v>574</v>
      </c>
      <c r="C2376" s="12" t="s">
        <v>564</v>
      </c>
      <c r="D2376" s="13">
        <v>47</v>
      </c>
      <c r="E2376" s="13">
        <v>50.364989000000001</v>
      </c>
      <c r="F2376" s="13">
        <v>46.658968000000002</v>
      </c>
      <c r="G2376" s="13">
        <v>45.136798000000013</v>
      </c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</row>
    <row r="2377" spans="1:19" x14ac:dyDescent="0.2">
      <c r="A2377" s="12" t="s">
        <v>340</v>
      </c>
      <c r="B2377" s="12" t="s">
        <v>574</v>
      </c>
      <c r="C2377" s="12" t="s">
        <v>565</v>
      </c>
      <c r="D2377" s="13">
        <v>23</v>
      </c>
      <c r="E2377" s="13">
        <v>25.007020000000001</v>
      </c>
      <c r="F2377" s="13">
        <v>23.848758</v>
      </c>
      <c r="G2377" s="13">
        <v>22.566524999999999</v>
      </c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</row>
    <row r="2378" spans="1:19" x14ac:dyDescent="0.2">
      <c r="A2378" s="12" t="s">
        <v>340</v>
      </c>
      <c r="B2378" s="12" t="s">
        <v>574</v>
      </c>
      <c r="C2378" s="12" t="s">
        <v>566</v>
      </c>
      <c r="D2378" s="13">
        <v>13</v>
      </c>
      <c r="E2378" s="13">
        <v>13.278256000000001</v>
      </c>
      <c r="F2378" s="13">
        <v>12.669600000000001</v>
      </c>
      <c r="G2378" s="13">
        <v>13.076460000000001</v>
      </c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</row>
    <row r="2379" spans="1:19" x14ac:dyDescent="0.2">
      <c r="A2379" s="12" t="s">
        <v>336</v>
      </c>
      <c r="B2379" s="12" t="s">
        <v>553</v>
      </c>
      <c r="C2379" s="12" t="s">
        <v>554</v>
      </c>
      <c r="D2379" s="13">
        <v>0</v>
      </c>
      <c r="E2379" s="13">
        <v>0.19689699999999999</v>
      </c>
      <c r="F2379" s="13">
        <v>0.14063899999999999</v>
      </c>
      <c r="G2379" s="13">
        <v>0.203926</v>
      </c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</row>
    <row r="2380" spans="1:19" x14ac:dyDescent="0.2">
      <c r="A2380" s="12" t="s">
        <v>336</v>
      </c>
      <c r="B2380" s="12" t="s">
        <v>553</v>
      </c>
      <c r="C2380" s="12" t="s">
        <v>555</v>
      </c>
      <c r="D2380" s="13">
        <v>5</v>
      </c>
      <c r="E2380" s="13">
        <v>6.8381040000000004</v>
      </c>
      <c r="F2380" s="13">
        <v>9.2171520000000005</v>
      </c>
      <c r="G2380" s="13">
        <v>4.2173930000000004</v>
      </c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</row>
    <row r="2381" spans="1:19" x14ac:dyDescent="0.2">
      <c r="A2381" s="12" t="s">
        <v>336</v>
      </c>
      <c r="B2381" s="12" t="s">
        <v>553</v>
      </c>
      <c r="C2381" s="12" t="s">
        <v>556</v>
      </c>
      <c r="D2381" s="13">
        <v>0</v>
      </c>
      <c r="E2381" s="13">
        <v>-2.7904999999999999E-2</v>
      </c>
      <c r="F2381" s="13">
        <v>-0.107165</v>
      </c>
      <c r="G2381" s="13">
        <v>-4.1453999999999998E-2</v>
      </c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</row>
    <row r="2382" spans="1:19" x14ac:dyDescent="0.2">
      <c r="A2382" s="12" t="s">
        <v>336</v>
      </c>
      <c r="B2382" s="12" t="s">
        <v>553</v>
      </c>
      <c r="C2382" s="12" t="s">
        <v>557</v>
      </c>
      <c r="D2382" s="13">
        <v>6</v>
      </c>
      <c r="E2382" s="13">
        <v>7.620374</v>
      </c>
      <c r="F2382" s="13">
        <v>7.5913339999999998</v>
      </c>
      <c r="G2382" s="13">
        <v>4.8132630000000001</v>
      </c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</row>
    <row r="2383" spans="1:19" x14ac:dyDescent="0.2">
      <c r="A2383" s="12" t="s">
        <v>336</v>
      </c>
      <c r="B2383" s="12" t="s">
        <v>553</v>
      </c>
      <c r="C2383" s="12" t="s">
        <v>558</v>
      </c>
      <c r="D2383" s="13">
        <v>0</v>
      </c>
      <c r="E2383" s="13">
        <v>-0.23999599999999999</v>
      </c>
      <c r="F2383" s="13">
        <v>-0.174037</v>
      </c>
      <c r="G2383" s="13">
        <v>-0.111997</v>
      </c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</row>
    <row r="2384" spans="1:19" x14ac:dyDescent="0.2">
      <c r="A2384" s="12" t="s">
        <v>336</v>
      </c>
      <c r="B2384" s="12" t="s">
        <v>553</v>
      </c>
      <c r="C2384" s="12" t="s">
        <v>560</v>
      </c>
      <c r="D2384" s="13">
        <v>0</v>
      </c>
      <c r="E2384" s="13">
        <v>0</v>
      </c>
      <c r="F2384" s="13">
        <v>0</v>
      </c>
      <c r="G2384" s="13">
        <v>0</v>
      </c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</row>
    <row r="2385" spans="1:19" x14ac:dyDescent="0.2">
      <c r="A2385" s="12" t="s">
        <v>336</v>
      </c>
      <c r="B2385" s="12" t="s">
        <v>553</v>
      </c>
      <c r="C2385" s="12" t="s">
        <v>561</v>
      </c>
      <c r="D2385" s="13">
        <v>6</v>
      </c>
      <c r="E2385" s="13">
        <v>7.3667579999999999</v>
      </c>
      <c r="F2385" s="13">
        <v>7.3935040000000001</v>
      </c>
      <c r="G2385" s="13">
        <v>4.6830950000000007</v>
      </c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</row>
    <row r="2386" spans="1:19" x14ac:dyDescent="0.2">
      <c r="A2386" s="12" t="s">
        <v>336</v>
      </c>
      <c r="B2386" s="12" t="s">
        <v>553</v>
      </c>
      <c r="C2386" s="12" t="s">
        <v>562</v>
      </c>
      <c r="D2386" s="13">
        <v>4</v>
      </c>
      <c r="E2386" s="13">
        <v>4.3700770000000002</v>
      </c>
      <c r="F2386" s="13">
        <v>4.4725870000000008</v>
      </c>
      <c r="G2386" s="13">
        <v>2.9971459999999999</v>
      </c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</row>
    <row r="2387" spans="1:19" x14ac:dyDescent="0.2">
      <c r="A2387" s="12" t="s">
        <v>336</v>
      </c>
      <c r="B2387" s="12" t="s">
        <v>553</v>
      </c>
      <c r="C2387" s="12" t="s">
        <v>563</v>
      </c>
      <c r="D2387" s="13">
        <v>0</v>
      </c>
      <c r="E2387" s="13">
        <v>0</v>
      </c>
      <c r="F2387" s="13">
        <v>0</v>
      </c>
      <c r="G2387" s="13">
        <v>0</v>
      </c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</row>
    <row r="2388" spans="1:19" x14ac:dyDescent="0.2">
      <c r="A2388" s="12" t="s">
        <v>336</v>
      </c>
      <c r="B2388" s="12" t="s">
        <v>553</v>
      </c>
      <c r="C2388" s="12" t="s">
        <v>564</v>
      </c>
      <c r="D2388" s="13">
        <v>1</v>
      </c>
      <c r="E2388" s="13">
        <v>1.780357</v>
      </c>
      <c r="F2388" s="13">
        <v>1.6680839999999999</v>
      </c>
      <c r="G2388" s="13">
        <v>0.89670000000000005</v>
      </c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</row>
    <row r="2389" spans="1:19" x14ac:dyDescent="0.2">
      <c r="A2389" s="12" t="s">
        <v>336</v>
      </c>
      <c r="B2389" s="12" t="s">
        <v>553</v>
      </c>
      <c r="C2389" s="12" t="s">
        <v>565</v>
      </c>
      <c r="D2389" s="13">
        <v>1</v>
      </c>
      <c r="E2389" s="13">
        <v>1.169181</v>
      </c>
      <c r="F2389" s="13">
        <v>1.140304</v>
      </c>
      <c r="G2389" s="13">
        <v>0.73982800000000004</v>
      </c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</row>
    <row r="2390" spans="1:19" x14ac:dyDescent="0.2">
      <c r="A2390" s="12" t="s">
        <v>336</v>
      </c>
      <c r="B2390" s="12" t="s">
        <v>553</v>
      </c>
      <c r="C2390" s="12" t="s">
        <v>566</v>
      </c>
      <c r="D2390" s="13">
        <v>0</v>
      </c>
      <c r="E2390" s="13">
        <v>4.7139000000000007E-2</v>
      </c>
      <c r="F2390" s="13">
        <v>0.112529</v>
      </c>
      <c r="G2390" s="13">
        <v>4.9421E-2</v>
      </c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</row>
    <row r="2391" spans="1:19" x14ac:dyDescent="0.2">
      <c r="A2391" s="12" t="s">
        <v>336</v>
      </c>
      <c r="B2391" s="12" t="s">
        <v>567</v>
      </c>
      <c r="C2391" s="12" t="s">
        <v>554</v>
      </c>
      <c r="D2391" s="13">
        <v>1</v>
      </c>
      <c r="E2391" s="13">
        <v>1.206121</v>
      </c>
      <c r="F2391" s="13">
        <v>1.144801</v>
      </c>
      <c r="G2391" s="13">
        <v>0.98636800000000002</v>
      </c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</row>
    <row r="2392" spans="1:19" x14ac:dyDescent="0.2">
      <c r="A2392" s="12" t="s">
        <v>336</v>
      </c>
      <c r="B2392" s="12" t="s">
        <v>567</v>
      </c>
      <c r="C2392" s="12" t="s">
        <v>555</v>
      </c>
      <c r="D2392" s="13">
        <v>340</v>
      </c>
      <c r="E2392" s="13">
        <v>348.34623199999999</v>
      </c>
      <c r="F2392" s="13">
        <v>357.62659600000001</v>
      </c>
      <c r="G2392" s="13">
        <v>389.60197499999998</v>
      </c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</row>
    <row r="2393" spans="1:19" x14ac:dyDescent="0.2">
      <c r="A2393" s="12" t="s">
        <v>336</v>
      </c>
      <c r="B2393" s="12" t="s">
        <v>567</v>
      </c>
      <c r="C2393" s="12" t="s">
        <v>556</v>
      </c>
      <c r="D2393" s="13">
        <v>-2</v>
      </c>
      <c r="E2393" s="13">
        <v>-1.129942</v>
      </c>
      <c r="F2393" s="13">
        <v>-1.0253220000000001</v>
      </c>
      <c r="G2393" s="13">
        <v>-1.412865</v>
      </c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</row>
    <row r="2394" spans="1:19" x14ac:dyDescent="0.2">
      <c r="A2394" s="12" t="s">
        <v>336</v>
      </c>
      <c r="B2394" s="12" t="s">
        <v>567</v>
      </c>
      <c r="C2394" s="12" t="s">
        <v>557</v>
      </c>
      <c r="D2394" s="13">
        <v>339</v>
      </c>
      <c r="E2394" s="13">
        <v>346.79978699999998</v>
      </c>
      <c r="F2394" s="13">
        <v>358.37199299999997</v>
      </c>
      <c r="G2394" s="13">
        <v>395.07745899999998</v>
      </c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</row>
    <row r="2395" spans="1:19" x14ac:dyDescent="0.2">
      <c r="A2395" s="12" t="s">
        <v>336</v>
      </c>
      <c r="B2395" s="12" t="s">
        <v>567</v>
      </c>
      <c r="C2395" s="12" t="s">
        <v>558</v>
      </c>
      <c r="D2395" s="13">
        <v>0</v>
      </c>
      <c r="E2395" s="13">
        <v>0</v>
      </c>
      <c r="F2395" s="13">
        <v>0</v>
      </c>
      <c r="G2395" s="13">
        <v>0</v>
      </c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</row>
    <row r="2396" spans="1:19" x14ac:dyDescent="0.2">
      <c r="A2396" s="12" t="s">
        <v>336</v>
      </c>
      <c r="B2396" s="12" t="s">
        <v>567</v>
      </c>
      <c r="C2396" s="12" t="s">
        <v>560</v>
      </c>
      <c r="D2396" s="13">
        <v>-339</v>
      </c>
      <c r="E2396" s="13">
        <v>-346.75747100000001</v>
      </c>
      <c r="F2396" s="13">
        <v>-358.19391600000012</v>
      </c>
      <c r="G2396" s="13">
        <v>-394.573599</v>
      </c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</row>
    <row r="2397" spans="1:19" x14ac:dyDescent="0.2">
      <c r="A2397" s="12" t="s">
        <v>336</v>
      </c>
      <c r="B2397" s="12" t="s">
        <v>567</v>
      </c>
      <c r="C2397" s="12" t="s">
        <v>561</v>
      </c>
      <c r="D2397" s="13">
        <v>0</v>
      </c>
      <c r="E2397" s="13">
        <v>0</v>
      </c>
      <c r="F2397" s="13">
        <v>0</v>
      </c>
      <c r="G2397" s="13">
        <v>0</v>
      </c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</row>
    <row r="2398" spans="1:19" x14ac:dyDescent="0.2">
      <c r="A2398" s="12" t="s">
        <v>336</v>
      </c>
      <c r="B2398" s="12" t="s">
        <v>567</v>
      </c>
      <c r="C2398" s="12" t="s">
        <v>562</v>
      </c>
      <c r="D2398" s="13">
        <v>0</v>
      </c>
      <c r="E2398" s="13">
        <v>0</v>
      </c>
      <c r="F2398" s="13">
        <v>0</v>
      </c>
      <c r="G2398" s="13">
        <v>0</v>
      </c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</row>
    <row r="2399" spans="1:19" x14ac:dyDescent="0.2">
      <c r="A2399" s="12" t="s">
        <v>336</v>
      </c>
      <c r="B2399" s="12" t="s">
        <v>567</v>
      </c>
      <c r="C2399" s="12" t="s">
        <v>563</v>
      </c>
      <c r="D2399" s="13">
        <v>0</v>
      </c>
      <c r="E2399" s="13">
        <v>0</v>
      </c>
      <c r="F2399" s="13">
        <v>0</v>
      </c>
      <c r="G2399" s="13">
        <v>0</v>
      </c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</row>
    <row r="2400" spans="1:19" x14ac:dyDescent="0.2">
      <c r="A2400" s="12" t="s">
        <v>336</v>
      </c>
      <c r="B2400" s="12" t="s">
        <v>567</v>
      </c>
      <c r="C2400" s="12" t="s">
        <v>564</v>
      </c>
      <c r="D2400" s="13">
        <v>0</v>
      </c>
      <c r="E2400" s="13">
        <v>0</v>
      </c>
      <c r="F2400" s="13">
        <v>0</v>
      </c>
      <c r="G2400" s="13">
        <v>0</v>
      </c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</row>
    <row r="2401" spans="1:19" x14ac:dyDescent="0.2">
      <c r="A2401" s="12" t="s">
        <v>336</v>
      </c>
      <c r="B2401" s="12" t="s">
        <v>567</v>
      </c>
      <c r="C2401" s="12" t="s">
        <v>565</v>
      </c>
      <c r="D2401" s="13">
        <v>0</v>
      </c>
      <c r="E2401" s="13">
        <v>0</v>
      </c>
      <c r="F2401" s="13">
        <v>0</v>
      </c>
      <c r="G2401" s="13">
        <v>0</v>
      </c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</row>
    <row r="2402" spans="1:19" x14ac:dyDescent="0.2">
      <c r="A2402" s="12" t="s">
        <v>336</v>
      </c>
      <c r="B2402" s="12" t="s">
        <v>567</v>
      </c>
      <c r="C2402" s="12" t="s">
        <v>566</v>
      </c>
      <c r="D2402" s="13">
        <v>0</v>
      </c>
      <c r="E2402" s="13">
        <v>0</v>
      </c>
      <c r="F2402" s="13">
        <v>0</v>
      </c>
      <c r="G2402" s="13">
        <v>0</v>
      </c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</row>
    <row r="2403" spans="1:19" x14ac:dyDescent="0.2">
      <c r="A2403" s="12" t="s">
        <v>336</v>
      </c>
      <c r="B2403" s="12" t="s">
        <v>568</v>
      </c>
      <c r="C2403" s="12" t="s">
        <v>554</v>
      </c>
      <c r="D2403" s="13">
        <v>0</v>
      </c>
      <c r="E2403" s="13">
        <v>0</v>
      </c>
      <c r="F2403" s="13">
        <v>0</v>
      </c>
      <c r="G2403" s="13">
        <v>0</v>
      </c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</row>
    <row r="2404" spans="1:19" x14ac:dyDescent="0.2">
      <c r="A2404" s="12" t="s">
        <v>336</v>
      </c>
      <c r="B2404" s="12" t="s">
        <v>568</v>
      </c>
      <c r="C2404" s="12" t="s">
        <v>555</v>
      </c>
      <c r="D2404" s="13">
        <v>38</v>
      </c>
      <c r="E2404" s="13">
        <v>41.985317999999999</v>
      </c>
      <c r="F2404" s="13">
        <v>47.631900999999999</v>
      </c>
      <c r="G2404" s="13">
        <v>36.214680999999999</v>
      </c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</row>
    <row r="2405" spans="1:19" x14ac:dyDescent="0.2">
      <c r="A2405" s="12" t="s">
        <v>336</v>
      </c>
      <c r="B2405" s="12" t="s">
        <v>568</v>
      </c>
      <c r="C2405" s="12" t="s">
        <v>556</v>
      </c>
      <c r="D2405" s="13">
        <v>-244</v>
      </c>
      <c r="E2405" s="13">
        <v>-257.27033999999998</v>
      </c>
      <c r="F2405" s="13">
        <v>-274.96319999999997</v>
      </c>
      <c r="G2405" s="13">
        <v>-292.87276000000003</v>
      </c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</row>
    <row r="2406" spans="1:19" x14ac:dyDescent="0.2">
      <c r="A2406" s="12" t="s">
        <v>336</v>
      </c>
      <c r="B2406" s="12" t="s">
        <v>568</v>
      </c>
      <c r="C2406" s="12" t="s">
        <v>557</v>
      </c>
      <c r="D2406" s="13">
        <v>-220</v>
      </c>
      <c r="E2406" s="13">
        <v>-227.607159</v>
      </c>
      <c r="F2406" s="13">
        <v>-238.357438</v>
      </c>
      <c r="G2406" s="13">
        <v>-267.95638100000002</v>
      </c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</row>
    <row r="2407" spans="1:19" x14ac:dyDescent="0.2">
      <c r="A2407" s="12" t="s">
        <v>336</v>
      </c>
      <c r="B2407" s="12" t="s">
        <v>568</v>
      </c>
      <c r="C2407" s="12" t="s">
        <v>558</v>
      </c>
      <c r="D2407" s="13">
        <v>-1</v>
      </c>
      <c r="E2407" s="13">
        <v>-1.230748</v>
      </c>
      <c r="F2407" s="13">
        <v>-3.8855970000000002</v>
      </c>
      <c r="G2407" s="13">
        <v>-3.41099</v>
      </c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</row>
    <row r="2408" spans="1:19" x14ac:dyDescent="0.2">
      <c r="A2408" s="12" t="s">
        <v>336</v>
      </c>
      <c r="B2408" s="12" t="s">
        <v>568</v>
      </c>
      <c r="C2408" s="12" t="s">
        <v>560</v>
      </c>
      <c r="D2408" s="13">
        <v>337</v>
      </c>
      <c r="E2408" s="13">
        <v>345.76679799999999</v>
      </c>
      <c r="F2408" s="13">
        <v>356.91901899999999</v>
      </c>
      <c r="G2408" s="13">
        <v>392.63096100000001</v>
      </c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</row>
    <row r="2409" spans="1:19" x14ac:dyDescent="0.2">
      <c r="A2409" s="12" t="s">
        <v>336</v>
      </c>
      <c r="B2409" s="12" t="s">
        <v>568</v>
      </c>
      <c r="C2409" s="12" t="s">
        <v>561</v>
      </c>
      <c r="D2409" s="13">
        <v>99</v>
      </c>
      <c r="E2409" s="13">
        <v>98.565900999999997</v>
      </c>
      <c r="F2409" s="13">
        <v>95.322520999999995</v>
      </c>
      <c r="G2409" s="13">
        <v>99.514839000000009</v>
      </c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</row>
    <row r="2410" spans="1:19" x14ac:dyDescent="0.2">
      <c r="A2410" s="12" t="s">
        <v>336</v>
      </c>
      <c r="B2410" s="12" t="s">
        <v>568</v>
      </c>
      <c r="C2410" s="12" t="s">
        <v>562</v>
      </c>
      <c r="D2410" s="13">
        <v>2</v>
      </c>
      <c r="E2410" s="13">
        <v>1.6012789999999999</v>
      </c>
      <c r="F2410" s="13">
        <v>1.8742209999999999</v>
      </c>
      <c r="G2410" s="13">
        <v>2.1382409999999998</v>
      </c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</row>
    <row r="2411" spans="1:19" x14ac:dyDescent="0.2">
      <c r="A2411" s="12" t="s">
        <v>336</v>
      </c>
      <c r="B2411" s="12" t="s">
        <v>568</v>
      </c>
      <c r="C2411" s="12" t="s">
        <v>563</v>
      </c>
      <c r="D2411" s="13">
        <v>83</v>
      </c>
      <c r="E2411" s="13">
        <v>82.464959000000007</v>
      </c>
      <c r="F2411" s="13">
        <v>81.049418000000003</v>
      </c>
      <c r="G2411" s="13">
        <v>82.777759000000003</v>
      </c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</row>
    <row r="2412" spans="1:19" x14ac:dyDescent="0.2">
      <c r="A2412" s="12" t="s">
        <v>336</v>
      </c>
      <c r="B2412" s="12" t="s">
        <v>568</v>
      </c>
      <c r="C2412" s="12" t="s">
        <v>564</v>
      </c>
      <c r="D2412" s="13">
        <v>2</v>
      </c>
      <c r="E2412" s="13">
        <v>2.1877409999999999</v>
      </c>
      <c r="F2412" s="13">
        <v>2.5584989999999999</v>
      </c>
      <c r="G2412" s="13">
        <v>3.435219</v>
      </c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</row>
    <row r="2413" spans="1:19" x14ac:dyDescent="0.2">
      <c r="A2413" s="12" t="s">
        <v>336</v>
      </c>
      <c r="B2413" s="12" t="s">
        <v>568</v>
      </c>
      <c r="C2413" s="12" t="s">
        <v>565</v>
      </c>
      <c r="D2413" s="13">
        <v>0</v>
      </c>
      <c r="E2413" s="13">
        <v>0.12606000000000001</v>
      </c>
      <c r="F2413" s="13">
        <v>0.103741</v>
      </c>
      <c r="G2413" s="13">
        <v>0.12606000000000001</v>
      </c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</row>
    <row r="2414" spans="1:19" x14ac:dyDescent="0.2">
      <c r="A2414" s="12" t="s">
        <v>336</v>
      </c>
      <c r="B2414" s="12" t="s">
        <v>568</v>
      </c>
      <c r="C2414" s="12" t="s">
        <v>566</v>
      </c>
      <c r="D2414" s="13">
        <v>13</v>
      </c>
      <c r="E2414" s="13">
        <v>12.185862</v>
      </c>
      <c r="F2414" s="13">
        <v>9.7366369999999982</v>
      </c>
      <c r="G2414" s="13">
        <v>11.037554999999999</v>
      </c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</row>
    <row r="2415" spans="1:19" x14ac:dyDescent="0.2">
      <c r="A2415" s="12" t="s">
        <v>336</v>
      </c>
      <c r="B2415" s="12" t="s">
        <v>569</v>
      </c>
      <c r="C2415" s="12" t="s">
        <v>554</v>
      </c>
      <c r="D2415" s="13">
        <v>0</v>
      </c>
      <c r="E2415" s="13">
        <v>0</v>
      </c>
      <c r="F2415" s="13">
        <v>0</v>
      </c>
      <c r="G2415" s="13">
        <v>0</v>
      </c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</row>
    <row r="2416" spans="1:19" x14ac:dyDescent="0.2">
      <c r="A2416" s="12" t="s">
        <v>336</v>
      </c>
      <c r="B2416" s="12" t="s">
        <v>569</v>
      </c>
      <c r="C2416" s="12" t="s">
        <v>555</v>
      </c>
      <c r="D2416" s="13">
        <v>100</v>
      </c>
      <c r="E2416" s="13">
        <v>83.853899999999996</v>
      </c>
      <c r="F2416" s="13">
        <v>123.9507</v>
      </c>
      <c r="G2416" s="13">
        <v>116.239502</v>
      </c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</row>
    <row r="2417" spans="1:19" x14ac:dyDescent="0.2">
      <c r="A2417" s="12" t="s">
        <v>336</v>
      </c>
      <c r="B2417" s="12" t="s">
        <v>569</v>
      </c>
      <c r="C2417" s="12" t="s">
        <v>556</v>
      </c>
      <c r="D2417" s="13">
        <v>-18</v>
      </c>
      <c r="E2417" s="13">
        <v>-4.6512000000000002</v>
      </c>
      <c r="F2417" s="13">
        <v>-69.647401000000002</v>
      </c>
      <c r="G2417" s="13">
        <v>-66.105899999999991</v>
      </c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</row>
    <row r="2418" spans="1:19" x14ac:dyDescent="0.2">
      <c r="A2418" s="12" t="s">
        <v>336</v>
      </c>
      <c r="B2418" s="12" t="s">
        <v>569</v>
      </c>
      <c r="C2418" s="12" t="s">
        <v>557</v>
      </c>
      <c r="D2418" s="13">
        <v>83</v>
      </c>
      <c r="E2418" s="13">
        <v>78.555600999999996</v>
      </c>
      <c r="F2418" s="13">
        <v>53.650798000000002</v>
      </c>
      <c r="G2418" s="13">
        <v>52.246800999999998</v>
      </c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</row>
    <row r="2419" spans="1:19" x14ac:dyDescent="0.2">
      <c r="A2419" s="12" t="s">
        <v>336</v>
      </c>
      <c r="B2419" s="12" t="s">
        <v>569</v>
      </c>
      <c r="C2419" s="12" t="s">
        <v>558</v>
      </c>
      <c r="D2419" s="13">
        <v>-16</v>
      </c>
      <c r="E2419" s="13">
        <v>-16.208998999999999</v>
      </c>
      <c r="F2419" s="13">
        <v>-7.946102999999999</v>
      </c>
      <c r="G2419" s="13">
        <v>-7.8669010000000013</v>
      </c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</row>
    <row r="2420" spans="1:19" x14ac:dyDescent="0.2">
      <c r="A2420" s="12" t="s">
        <v>336</v>
      </c>
      <c r="B2420" s="12" t="s">
        <v>569</v>
      </c>
      <c r="C2420" s="12" t="s">
        <v>560</v>
      </c>
      <c r="D2420" s="13">
        <v>0</v>
      </c>
      <c r="E2420" s="13">
        <v>0</v>
      </c>
      <c r="F2420" s="13">
        <v>0</v>
      </c>
      <c r="G2420" s="13">
        <v>0</v>
      </c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</row>
    <row r="2421" spans="1:19" x14ac:dyDescent="0.2">
      <c r="A2421" s="12" t="s">
        <v>336</v>
      </c>
      <c r="B2421" s="12" t="s">
        <v>569</v>
      </c>
      <c r="C2421" s="12" t="s">
        <v>561</v>
      </c>
      <c r="D2421" s="13">
        <v>62</v>
      </c>
      <c r="E2421" s="13">
        <v>60.186597999999996</v>
      </c>
      <c r="F2421" s="13">
        <v>44.537399000000001</v>
      </c>
      <c r="G2421" s="13">
        <v>43.758901000000002</v>
      </c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</row>
    <row r="2422" spans="1:19" x14ac:dyDescent="0.2">
      <c r="A2422" s="12" t="s">
        <v>336</v>
      </c>
      <c r="B2422" s="12" t="s">
        <v>569</v>
      </c>
      <c r="C2422" s="12" t="s">
        <v>562</v>
      </c>
      <c r="D2422" s="13">
        <v>12</v>
      </c>
      <c r="E2422" s="13">
        <v>12.611701</v>
      </c>
      <c r="F2422" s="13">
        <v>11.170801000000001</v>
      </c>
      <c r="G2422" s="13">
        <v>10.448100999999999</v>
      </c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</row>
    <row r="2423" spans="1:19" x14ac:dyDescent="0.2">
      <c r="A2423" s="12" t="s">
        <v>336</v>
      </c>
      <c r="B2423" s="12" t="s">
        <v>569</v>
      </c>
      <c r="C2423" s="12" t="s">
        <v>563</v>
      </c>
      <c r="D2423" s="13">
        <v>1</v>
      </c>
      <c r="E2423" s="13">
        <v>1.2861009999999999</v>
      </c>
      <c r="F2423" s="13">
        <v>1.2257990000000001</v>
      </c>
      <c r="G2423" s="13">
        <v>1.2221979999999999</v>
      </c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</row>
    <row r="2424" spans="1:19" x14ac:dyDescent="0.2">
      <c r="A2424" s="12" t="s">
        <v>336</v>
      </c>
      <c r="B2424" s="12" t="s">
        <v>569</v>
      </c>
      <c r="C2424" s="12" t="s">
        <v>564</v>
      </c>
      <c r="D2424" s="13">
        <v>7</v>
      </c>
      <c r="E2424" s="13">
        <v>9.2069989999999997</v>
      </c>
      <c r="F2424" s="13">
        <v>8.2700980000000008</v>
      </c>
      <c r="G2424" s="13">
        <v>7.6104010000000004</v>
      </c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</row>
    <row r="2425" spans="1:19" x14ac:dyDescent="0.2">
      <c r="A2425" s="12" t="s">
        <v>336</v>
      </c>
      <c r="B2425" s="12" t="s">
        <v>569</v>
      </c>
      <c r="C2425" s="12" t="s">
        <v>565</v>
      </c>
      <c r="D2425" s="13">
        <v>3</v>
      </c>
      <c r="E2425" s="13">
        <v>3.0339019999999999</v>
      </c>
      <c r="F2425" s="13">
        <v>3.0087009999999998</v>
      </c>
      <c r="G2425" s="13">
        <v>3.8412009999999999</v>
      </c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</row>
    <row r="2426" spans="1:19" x14ac:dyDescent="0.2">
      <c r="A2426" s="12" t="s">
        <v>336</v>
      </c>
      <c r="B2426" s="12" t="s">
        <v>569</v>
      </c>
      <c r="C2426" s="12" t="s">
        <v>566</v>
      </c>
      <c r="D2426" s="13">
        <v>39</v>
      </c>
      <c r="E2426" s="13">
        <v>34.047899000000001</v>
      </c>
      <c r="F2426" s="13">
        <v>20.861999999999998</v>
      </c>
      <c r="G2426" s="13">
        <v>20.637001000000001</v>
      </c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</row>
    <row r="2427" spans="1:19" x14ac:dyDescent="0.2">
      <c r="A2427" s="12" t="s">
        <v>336</v>
      </c>
      <c r="B2427" s="12" t="s">
        <v>570</v>
      </c>
      <c r="C2427" s="12" t="s">
        <v>554</v>
      </c>
      <c r="D2427" s="13">
        <v>0</v>
      </c>
      <c r="E2427" s="13">
        <v>0</v>
      </c>
      <c r="F2427" s="13">
        <v>0</v>
      </c>
      <c r="G2427" s="13">
        <v>0</v>
      </c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</row>
    <row r="2428" spans="1:19" x14ac:dyDescent="0.2">
      <c r="A2428" s="12" t="s">
        <v>336</v>
      </c>
      <c r="B2428" s="12" t="s">
        <v>570</v>
      </c>
      <c r="C2428" s="12" t="s">
        <v>555</v>
      </c>
      <c r="D2428" s="13">
        <v>0</v>
      </c>
      <c r="E2428" s="13">
        <v>0</v>
      </c>
      <c r="F2428" s="13">
        <v>0</v>
      </c>
      <c r="G2428" s="13">
        <v>0</v>
      </c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</row>
    <row r="2429" spans="1:19" x14ac:dyDescent="0.2">
      <c r="A2429" s="12" t="s">
        <v>336</v>
      </c>
      <c r="B2429" s="12" t="s">
        <v>570</v>
      </c>
      <c r="C2429" s="12" t="s">
        <v>556</v>
      </c>
      <c r="D2429" s="13">
        <v>0</v>
      </c>
      <c r="E2429" s="13">
        <v>0</v>
      </c>
      <c r="F2429" s="13">
        <v>0</v>
      </c>
      <c r="G2429" s="13">
        <v>0</v>
      </c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</row>
    <row r="2430" spans="1:19" x14ac:dyDescent="0.2">
      <c r="A2430" s="12" t="s">
        <v>336</v>
      </c>
      <c r="B2430" s="12" t="s">
        <v>570</v>
      </c>
      <c r="C2430" s="12" t="s">
        <v>557</v>
      </c>
      <c r="D2430" s="13">
        <v>0</v>
      </c>
      <c r="E2430" s="13">
        <v>0</v>
      </c>
      <c r="F2430" s="13">
        <v>0</v>
      </c>
      <c r="G2430" s="13">
        <v>0</v>
      </c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</row>
    <row r="2431" spans="1:19" x14ac:dyDescent="0.2">
      <c r="A2431" s="12" t="s">
        <v>336</v>
      </c>
      <c r="B2431" s="12" t="s">
        <v>570</v>
      </c>
      <c r="C2431" s="12" t="s">
        <v>558</v>
      </c>
      <c r="D2431" s="13">
        <v>0</v>
      </c>
      <c r="E2431" s="13">
        <v>0</v>
      </c>
      <c r="F2431" s="13">
        <v>0</v>
      </c>
      <c r="G2431" s="13">
        <v>0</v>
      </c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</row>
    <row r="2432" spans="1:19" x14ac:dyDescent="0.2">
      <c r="A2432" s="12" t="s">
        <v>336</v>
      </c>
      <c r="B2432" s="12" t="s">
        <v>570</v>
      </c>
      <c r="C2432" s="12" t="s">
        <v>560</v>
      </c>
      <c r="D2432" s="13">
        <v>0</v>
      </c>
      <c r="E2432" s="13">
        <v>0</v>
      </c>
      <c r="F2432" s="13">
        <v>0</v>
      </c>
      <c r="G2432" s="13">
        <v>0</v>
      </c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</row>
    <row r="2433" spans="1:19" x14ac:dyDescent="0.2">
      <c r="A2433" s="12" t="s">
        <v>336</v>
      </c>
      <c r="B2433" s="12" t="s">
        <v>570</v>
      </c>
      <c r="C2433" s="12" t="s">
        <v>561</v>
      </c>
      <c r="D2433" s="13">
        <v>0</v>
      </c>
      <c r="E2433" s="13">
        <v>0</v>
      </c>
      <c r="F2433" s="13">
        <v>0</v>
      </c>
      <c r="G2433" s="13">
        <v>0</v>
      </c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</row>
    <row r="2434" spans="1:19" x14ac:dyDescent="0.2">
      <c r="A2434" s="12" t="s">
        <v>336</v>
      </c>
      <c r="B2434" s="12" t="s">
        <v>570</v>
      </c>
      <c r="C2434" s="12" t="s">
        <v>562</v>
      </c>
      <c r="D2434" s="13">
        <v>0</v>
      </c>
      <c r="E2434" s="13">
        <v>0</v>
      </c>
      <c r="F2434" s="13">
        <v>0</v>
      </c>
      <c r="G2434" s="13">
        <v>0</v>
      </c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</row>
    <row r="2435" spans="1:19" x14ac:dyDescent="0.2">
      <c r="A2435" s="12" t="s">
        <v>336</v>
      </c>
      <c r="B2435" s="12" t="s">
        <v>570</v>
      </c>
      <c r="C2435" s="12" t="s">
        <v>563</v>
      </c>
      <c r="D2435" s="13">
        <v>0</v>
      </c>
      <c r="E2435" s="13">
        <v>0</v>
      </c>
      <c r="F2435" s="13">
        <v>0</v>
      </c>
      <c r="G2435" s="13">
        <v>0</v>
      </c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</row>
    <row r="2436" spans="1:19" x14ac:dyDescent="0.2">
      <c r="A2436" s="12" t="s">
        <v>336</v>
      </c>
      <c r="B2436" s="12" t="s">
        <v>570</v>
      </c>
      <c r="C2436" s="12" t="s">
        <v>564</v>
      </c>
      <c r="D2436" s="13">
        <v>0</v>
      </c>
      <c r="E2436" s="13">
        <v>0</v>
      </c>
      <c r="F2436" s="13">
        <v>0</v>
      </c>
      <c r="G2436" s="13">
        <v>0</v>
      </c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</row>
    <row r="2437" spans="1:19" x14ac:dyDescent="0.2">
      <c r="A2437" s="12" t="s">
        <v>336</v>
      </c>
      <c r="B2437" s="12" t="s">
        <v>570</v>
      </c>
      <c r="C2437" s="12" t="s">
        <v>565</v>
      </c>
      <c r="D2437" s="13">
        <v>0</v>
      </c>
      <c r="E2437" s="13">
        <v>0</v>
      </c>
      <c r="F2437" s="13">
        <v>0</v>
      </c>
      <c r="G2437" s="13">
        <v>0</v>
      </c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</row>
    <row r="2438" spans="1:19" x14ac:dyDescent="0.2">
      <c r="A2438" s="12" t="s">
        <v>336</v>
      </c>
      <c r="B2438" s="12" t="s">
        <v>570</v>
      </c>
      <c r="C2438" s="12" t="s">
        <v>566</v>
      </c>
      <c r="D2438" s="13">
        <v>0</v>
      </c>
      <c r="E2438" s="13">
        <v>0</v>
      </c>
      <c r="F2438" s="13">
        <v>0</v>
      </c>
      <c r="G2438" s="13">
        <v>0</v>
      </c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</row>
    <row r="2439" spans="1:19" x14ac:dyDescent="0.2">
      <c r="A2439" s="12" t="s">
        <v>336</v>
      </c>
      <c r="B2439" s="12" t="s">
        <v>571</v>
      </c>
      <c r="C2439" s="12" t="s">
        <v>554</v>
      </c>
      <c r="D2439" s="13">
        <v>73</v>
      </c>
      <c r="E2439" s="13">
        <v>79.500017999999997</v>
      </c>
      <c r="F2439" s="13">
        <v>76.85068099999998</v>
      </c>
      <c r="G2439" s="13">
        <v>81.958715999999995</v>
      </c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</row>
    <row r="2440" spans="1:19" x14ac:dyDescent="0.2">
      <c r="A2440" s="12" t="s">
        <v>336</v>
      </c>
      <c r="B2440" s="12" t="s">
        <v>571</v>
      </c>
      <c r="C2440" s="12" t="s">
        <v>555</v>
      </c>
      <c r="D2440" s="13">
        <v>10</v>
      </c>
      <c r="E2440" s="13">
        <v>12.241898000000001</v>
      </c>
      <c r="F2440" s="13">
        <v>11.045582</v>
      </c>
      <c r="G2440" s="13">
        <v>11.114677</v>
      </c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</row>
    <row r="2441" spans="1:19" x14ac:dyDescent="0.2">
      <c r="A2441" s="12" t="s">
        <v>336</v>
      </c>
      <c r="B2441" s="12" t="s">
        <v>571</v>
      </c>
      <c r="C2441" s="12" t="s">
        <v>556</v>
      </c>
      <c r="D2441" s="13">
        <v>-12</v>
      </c>
      <c r="E2441" s="13">
        <v>-13.014538</v>
      </c>
      <c r="F2441" s="13">
        <v>-12.983936999999999</v>
      </c>
      <c r="G2441" s="13">
        <v>-12.536439</v>
      </c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</row>
    <row r="2442" spans="1:19" x14ac:dyDescent="0.2">
      <c r="A2442" s="12" t="s">
        <v>336</v>
      </c>
      <c r="B2442" s="12" t="s">
        <v>571</v>
      </c>
      <c r="C2442" s="12" t="s">
        <v>557</v>
      </c>
      <c r="D2442" s="13">
        <v>71</v>
      </c>
      <c r="E2442" s="13">
        <v>79.619116000000005</v>
      </c>
      <c r="F2442" s="13">
        <v>75.212462000000002</v>
      </c>
      <c r="G2442" s="13">
        <v>80.924157999999991</v>
      </c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</row>
    <row r="2443" spans="1:19" x14ac:dyDescent="0.2">
      <c r="A2443" s="12" t="s">
        <v>336</v>
      </c>
      <c r="B2443" s="12" t="s">
        <v>571</v>
      </c>
      <c r="C2443" s="12" t="s">
        <v>558</v>
      </c>
      <c r="D2443" s="13">
        <v>-39</v>
      </c>
      <c r="E2443" s="13">
        <v>-46.906324000000012</v>
      </c>
      <c r="F2443" s="13">
        <v>-43.973675000000007</v>
      </c>
      <c r="G2443" s="13">
        <v>-49.416914000000013</v>
      </c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</row>
    <row r="2444" spans="1:19" x14ac:dyDescent="0.2">
      <c r="A2444" s="12" t="s">
        <v>336</v>
      </c>
      <c r="B2444" s="12" t="s">
        <v>571</v>
      </c>
      <c r="C2444" s="12" t="s">
        <v>560</v>
      </c>
      <c r="D2444" s="13">
        <v>0</v>
      </c>
      <c r="E2444" s="13">
        <v>0</v>
      </c>
      <c r="F2444" s="13">
        <v>0</v>
      </c>
      <c r="G2444" s="13">
        <v>0</v>
      </c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</row>
    <row r="2445" spans="1:19" x14ac:dyDescent="0.2">
      <c r="A2445" s="12" t="s">
        <v>336</v>
      </c>
      <c r="B2445" s="12" t="s">
        <v>571</v>
      </c>
      <c r="C2445" s="12" t="s">
        <v>561</v>
      </c>
      <c r="D2445" s="13">
        <v>31</v>
      </c>
      <c r="E2445" s="13">
        <v>32.691961999999997</v>
      </c>
      <c r="F2445" s="13">
        <v>31.220779</v>
      </c>
      <c r="G2445" s="13">
        <v>31.346232000000001</v>
      </c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</row>
    <row r="2446" spans="1:19" x14ac:dyDescent="0.2">
      <c r="A2446" s="12" t="s">
        <v>336</v>
      </c>
      <c r="B2446" s="12" t="s">
        <v>571</v>
      </c>
      <c r="C2446" s="12" t="s">
        <v>562</v>
      </c>
      <c r="D2446" s="13">
        <v>5</v>
      </c>
      <c r="E2446" s="13">
        <v>5.6269960000000001</v>
      </c>
      <c r="F2446" s="13">
        <v>5.4379999999999997</v>
      </c>
      <c r="G2446" s="13">
        <v>6.3959989999999998</v>
      </c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</row>
    <row r="2447" spans="1:19" x14ac:dyDescent="0.2">
      <c r="A2447" s="12" t="s">
        <v>336</v>
      </c>
      <c r="B2447" s="12" t="s">
        <v>571</v>
      </c>
      <c r="C2447" s="12" t="s">
        <v>563</v>
      </c>
      <c r="D2447" s="13">
        <v>4</v>
      </c>
      <c r="E2447" s="13">
        <v>5.3088000000000006</v>
      </c>
      <c r="F2447" s="13">
        <v>5.0119009999999999</v>
      </c>
      <c r="G2447" s="13">
        <v>4.9443970000000004</v>
      </c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</row>
    <row r="2448" spans="1:19" x14ac:dyDescent="0.2">
      <c r="A2448" s="12" t="s">
        <v>336</v>
      </c>
      <c r="B2448" s="12" t="s">
        <v>571</v>
      </c>
      <c r="C2448" s="12" t="s">
        <v>564</v>
      </c>
      <c r="D2448" s="13">
        <v>19</v>
      </c>
      <c r="E2448" s="13">
        <v>19.353002</v>
      </c>
      <c r="F2448" s="13">
        <v>18.450001</v>
      </c>
      <c r="G2448" s="13">
        <v>17.629999000000002</v>
      </c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</row>
    <row r="2449" spans="1:19" x14ac:dyDescent="0.2">
      <c r="A2449" s="12" t="s">
        <v>336</v>
      </c>
      <c r="B2449" s="12" t="s">
        <v>571</v>
      </c>
      <c r="C2449" s="12" t="s">
        <v>565</v>
      </c>
      <c r="D2449" s="13">
        <v>2</v>
      </c>
      <c r="E2449" s="13">
        <v>1.654163</v>
      </c>
      <c r="F2449" s="13">
        <v>1.5758779999999999</v>
      </c>
      <c r="G2449" s="13">
        <v>1.647837</v>
      </c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</row>
    <row r="2450" spans="1:19" x14ac:dyDescent="0.2">
      <c r="A2450" s="12" t="s">
        <v>336</v>
      </c>
      <c r="B2450" s="12" t="s">
        <v>571</v>
      </c>
      <c r="C2450" s="12" t="s">
        <v>566</v>
      </c>
      <c r="D2450" s="13">
        <v>1</v>
      </c>
      <c r="E2450" s="13">
        <v>0.74900199999999995</v>
      </c>
      <c r="F2450" s="13">
        <v>0.74499900000000008</v>
      </c>
      <c r="G2450" s="13">
        <v>0.72800100000000001</v>
      </c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</row>
    <row r="2451" spans="1:19" x14ac:dyDescent="0.2">
      <c r="A2451" s="12" t="s">
        <v>336</v>
      </c>
      <c r="B2451" s="12" t="s">
        <v>572</v>
      </c>
      <c r="C2451" s="12" t="s">
        <v>554</v>
      </c>
      <c r="D2451" s="13">
        <v>0</v>
      </c>
      <c r="E2451" s="13">
        <v>0</v>
      </c>
      <c r="F2451" s="13">
        <v>0</v>
      </c>
      <c r="G2451" s="13">
        <v>0</v>
      </c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</row>
    <row r="2452" spans="1:19" x14ac:dyDescent="0.2">
      <c r="A2452" s="12" t="s">
        <v>336</v>
      </c>
      <c r="B2452" s="12" t="s">
        <v>572</v>
      </c>
      <c r="C2452" s="12" t="s">
        <v>555</v>
      </c>
      <c r="D2452" s="13">
        <v>43</v>
      </c>
      <c r="E2452" s="13">
        <v>44.924042</v>
      </c>
      <c r="F2452" s="13">
        <v>46.562038999999999</v>
      </c>
      <c r="G2452" s="13">
        <v>39.275278</v>
      </c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</row>
    <row r="2453" spans="1:19" x14ac:dyDescent="0.2">
      <c r="A2453" s="12" t="s">
        <v>336</v>
      </c>
      <c r="B2453" s="12" t="s">
        <v>572</v>
      </c>
      <c r="C2453" s="12" t="s">
        <v>556</v>
      </c>
      <c r="D2453" s="13">
        <v>-15</v>
      </c>
      <c r="E2453" s="13">
        <v>-12.366719</v>
      </c>
      <c r="F2453" s="13">
        <v>-15.718679</v>
      </c>
      <c r="G2453" s="13">
        <v>-14.32836</v>
      </c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</row>
    <row r="2454" spans="1:19" x14ac:dyDescent="0.2">
      <c r="A2454" s="12" t="s">
        <v>336</v>
      </c>
      <c r="B2454" s="12" t="s">
        <v>572</v>
      </c>
      <c r="C2454" s="12" t="s">
        <v>557</v>
      </c>
      <c r="D2454" s="13">
        <v>28</v>
      </c>
      <c r="E2454" s="13">
        <v>32.557319</v>
      </c>
      <c r="F2454" s="13">
        <v>30.843360000000001</v>
      </c>
      <c r="G2454" s="13">
        <v>24.946918</v>
      </c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</row>
    <row r="2455" spans="1:19" x14ac:dyDescent="0.2">
      <c r="A2455" s="12" t="s">
        <v>336</v>
      </c>
      <c r="B2455" s="12" t="s">
        <v>572</v>
      </c>
      <c r="C2455" s="12" t="s">
        <v>558</v>
      </c>
      <c r="D2455" s="13">
        <v>16</v>
      </c>
      <c r="E2455" s="13">
        <v>15.033237</v>
      </c>
      <c r="F2455" s="13">
        <v>14.988602</v>
      </c>
      <c r="G2455" s="13">
        <v>19.496876</v>
      </c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</row>
    <row r="2456" spans="1:19" x14ac:dyDescent="0.2">
      <c r="A2456" s="12" t="s">
        <v>336</v>
      </c>
      <c r="B2456" s="12" t="s">
        <v>572</v>
      </c>
      <c r="C2456" s="12" t="s">
        <v>560</v>
      </c>
      <c r="D2456" s="13">
        <v>0</v>
      </c>
      <c r="E2456" s="13">
        <v>0</v>
      </c>
      <c r="F2456" s="13">
        <v>0</v>
      </c>
      <c r="G2456" s="13">
        <v>0</v>
      </c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</row>
    <row r="2457" spans="1:19" x14ac:dyDescent="0.2">
      <c r="A2457" s="12" t="s">
        <v>336</v>
      </c>
      <c r="B2457" s="12" t="s">
        <v>572</v>
      </c>
      <c r="C2457" s="12" t="s">
        <v>561</v>
      </c>
      <c r="D2457" s="13">
        <v>37</v>
      </c>
      <c r="E2457" s="13">
        <v>40.155122000000013</v>
      </c>
      <c r="F2457" s="13">
        <v>38.386080999999997</v>
      </c>
      <c r="G2457" s="13">
        <v>36.782642000000003</v>
      </c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</row>
    <row r="2458" spans="1:19" x14ac:dyDescent="0.2">
      <c r="A2458" s="12" t="s">
        <v>336</v>
      </c>
      <c r="B2458" s="12" t="s">
        <v>572</v>
      </c>
      <c r="C2458" s="12" t="s">
        <v>562</v>
      </c>
      <c r="D2458" s="13">
        <v>13</v>
      </c>
      <c r="E2458" s="13">
        <v>14.14044</v>
      </c>
      <c r="F2458" s="13">
        <v>12.938401000000001</v>
      </c>
      <c r="G2458" s="13">
        <v>12.168001</v>
      </c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</row>
    <row r="2459" spans="1:19" x14ac:dyDescent="0.2">
      <c r="A2459" s="12" t="s">
        <v>336</v>
      </c>
      <c r="B2459" s="12" t="s">
        <v>572</v>
      </c>
      <c r="C2459" s="12" t="s">
        <v>563</v>
      </c>
      <c r="D2459" s="13">
        <v>0</v>
      </c>
      <c r="E2459" s="13">
        <v>0.28440100000000001</v>
      </c>
      <c r="F2459" s="13">
        <v>0.33048100000000002</v>
      </c>
      <c r="G2459" s="13">
        <v>0.37728099999999998</v>
      </c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</row>
    <row r="2460" spans="1:19" x14ac:dyDescent="0.2">
      <c r="A2460" s="12" t="s">
        <v>336</v>
      </c>
      <c r="B2460" s="12" t="s">
        <v>572</v>
      </c>
      <c r="C2460" s="12" t="s">
        <v>564</v>
      </c>
      <c r="D2460" s="13">
        <v>11</v>
      </c>
      <c r="E2460" s="13">
        <v>12.276358999999999</v>
      </c>
      <c r="F2460" s="13">
        <v>11.84076</v>
      </c>
      <c r="G2460" s="13">
        <v>11.33028</v>
      </c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</row>
    <row r="2461" spans="1:19" x14ac:dyDescent="0.2">
      <c r="A2461" s="12" t="s">
        <v>336</v>
      </c>
      <c r="B2461" s="12" t="s">
        <v>572</v>
      </c>
      <c r="C2461" s="12" t="s">
        <v>565</v>
      </c>
      <c r="D2461" s="13">
        <v>12</v>
      </c>
      <c r="E2461" s="13">
        <v>12.69792</v>
      </c>
      <c r="F2461" s="13">
        <v>12.578759</v>
      </c>
      <c r="G2461" s="13">
        <v>12.221282</v>
      </c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</row>
    <row r="2462" spans="1:19" x14ac:dyDescent="0.2">
      <c r="A2462" s="12" t="s">
        <v>336</v>
      </c>
      <c r="B2462" s="12" t="s">
        <v>572</v>
      </c>
      <c r="C2462" s="12" t="s">
        <v>566</v>
      </c>
      <c r="D2462" s="13">
        <v>1</v>
      </c>
      <c r="E2462" s="13">
        <v>0.75600200000000006</v>
      </c>
      <c r="F2462" s="13">
        <v>0.69767899999999994</v>
      </c>
      <c r="G2462" s="13">
        <v>0.68580200000000002</v>
      </c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</row>
    <row r="2463" spans="1:19" x14ac:dyDescent="0.2">
      <c r="A2463" s="12" t="s">
        <v>336</v>
      </c>
      <c r="B2463" s="12" t="s">
        <v>573</v>
      </c>
      <c r="C2463" s="12" t="s">
        <v>554</v>
      </c>
      <c r="D2463" s="13">
        <v>8</v>
      </c>
      <c r="E2463" s="13">
        <v>8.6630000000000003</v>
      </c>
      <c r="F2463" s="13">
        <v>3.6150000000000002</v>
      </c>
      <c r="G2463" s="13">
        <v>2.9480010000000001</v>
      </c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</row>
    <row r="2464" spans="1:19" x14ac:dyDescent="0.2">
      <c r="A2464" s="12" t="s">
        <v>336</v>
      </c>
      <c r="B2464" s="12" t="s">
        <v>573</v>
      </c>
      <c r="C2464" s="12" t="s">
        <v>555</v>
      </c>
      <c r="D2464" s="13">
        <v>0</v>
      </c>
      <c r="E2464" s="13">
        <v>0</v>
      </c>
      <c r="F2464" s="13">
        <v>0</v>
      </c>
      <c r="G2464" s="13">
        <v>0</v>
      </c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</row>
    <row r="2465" spans="1:19" x14ac:dyDescent="0.2">
      <c r="A2465" s="12" t="s">
        <v>336</v>
      </c>
      <c r="B2465" s="12" t="s">
        <v>573</v>
      </c>
      <c r="C2465" s="12" t="s">
        <v>556</v>
      </c>
      <c r="D2465" s="13">
        <v>0</v>
      </c>
      <c r="E2465" s="13">
        <v>0</v>
      </c>
      <c r="F2465" s="13">
        <v>0</v>
      </c>
      <c r="G2465" s="13">
        <v>0</v>
      </c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</row>
    <row r="2466" spans="1:19" x14ac:dyDescent="0.2">
      <c r="A2466" s="12" t="s">
        <v>336</v>
      </c>
      <c r="B2466" s="12" t="s">
        <v>573</v>
      </c>
      <c r="C2466" s="12" t="s">
        <v>557</v>
      </c>
      <c r="D2466" s="13">
        <v>8</v>
      </c>
      <c r="E2466" s="13">
        <v>8.6630000000000003</v>
      </c>
      <c r="F2466" s="13">
        <v>3.6150000000000002</v>
      </c>
      <c r="G2466" s="13">
        <v>2.9480010000000001</v>
      </c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</row>
    <row r="2467" spans="1:19" x14ac:dyDescent="0.2">
      <c r="A2467" s="12" t="s">
        <v>336</v>
      </c>
      <c r="B2467" s="12" t="s">
        <v>573</v>
      </c>
      <c r="C2467" s="12" t="s">
        <v>558</v>
      </c>
      <c r="D2467" s="13">
        <v>30</v>
      </c>
      <c r="E2467" s="13">
        <v>35.902998999999987</v>
      </c>
      <c r="F2467" s="13">
        <v>32.758004</v>
      </c>
      <c r="G2467" s="13">
        <v>31.741001000000001</v>
      </c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</row>
    <row r="2468" spans="1:19" x14ac:dyDescent="0.2">
      <c r="A2468" s="12" t="s">
        <v>336</v>
      </c>
      <c r="B2468" s="12" t="s">
        <v>573</v>
      </c>
      <c r="C2468" s="12" t="s">
        <v>560</v>
      </c>
      <c r="D2468" s="13">
        <v>0</v>
      </c>
      <c r="E2468" s="13">
        <v>0</v>
      </c>
      <c r="F2468" s="13">
        <v>0</v>
      </c>
      <c r="G2468" s="13">
        <v>0</v>
      </c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</row>
    <row r="2469" spans="1:19" x14ac:dyDescent="0.2">
      <c r="A2469" s="12" t="s">
        <v>336</v>
      </c>
      <c r="B2469" s="12" t="s">
        <v>573</v>
      </c>
      <c r="C2469" s="12" t="s">
        <v>561</v>
      </c>
      <c r="D2469" s="13">
        <v>31</v>
      </c>
      <c r="E2469" s="13">
        <v>37.392001</v>
      </c>
      <c r="F2469" s="13">
        <v>30.821999000000002</v>
      </c>
      <c r="G2469" s="13">
        <v>29.653998999999999</v>
      </c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</row>
    <row r="2470" spans="1:19" x14ac:dyDescent="0.2">
      <c r="A2470" s="12" t="s">
        <v>336</v>
      </c>
      <c r="B2470" s="12" t="s">
        <v>573</v>
      </c>
      <c r="C2470" s="12" t="s">
        <v>562</v>
      </c>
      <c r="D2470" s="13">
        <v>7</v>
      </c>
      <c r="E2470" s="13">
        <v>8.0020009999999999</v>
      </c>
      <c r="F2470" s="13">
        <v>3.948998</v>
      </c>
      <c r="G2470" s="13">
        <v>3.3840020000000002</v>
      </c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</row>
    <row r="2471" spans="1:19" x14ac:dyDescent="0.2">
      <c r="A2471" s="12" t="s">
        <v>336</v>
      </c>
      <c r="B2471" s="12" t="s">
        <v>573</v>
      </c>
      <c r="C2471" s="12" t="s">
        <v>563</v>
      </c>
      <c r="D2471" s="13">
        <v>0</v>
      </c>
      <c r="E2471" s="13">
        <v>0</v>
      </c>
      <c r="F2471" s="13">
        <v>0</v>
      </c>
      <c r="G2471" s="13">
        <v>0</v>
      </c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</row>
    <row r="2472" spans="1:19" x14ac:dyDescent="0.2">
      <c r="A2472" s="12" t="s">
        <v>336</v>
      </c>
      <c r="B2472" s="12" t="s">
        <v>573</v>
      </c>
      <c r="C2472" s="12" t="s">
        <v>564</v>
      </c>
      <c r="D2472" s="13">
        <v>18</v>
      </c>
      <c r="E2472" s="13">
        <v>20.981000999999999</v>
      </c>
      <c r="F2472" s="13">
        <v>19.159998000000002</v>
      </c>
      <c r="G2472" s="13">
        <v>18.930001000000001</v>
      </c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</row>
    <row r="2473" spans="1:19" x14ac:dyDescent="0.2">
      <c r="A2473" s="12" t="s">
        <v>336</v>
      </c>
      <c r="B2473" s="12" t="s">
        <v>573</v>
      </c>
      <c r="C2473" s="12" t="s">
        <v>565</v>
      </c>
      <c r="D2473" s="13">
        <v>7</v>
      </c>
      <c r="E2473" s="13">
        <v>8.2690010000000012</v>
      </c>
      <c r="F2473" s="13">
        <v>7.5659999999999998</v>
      </c>
      <c r="G2473" s="13">
        <v>7.2120020000000009</v>
      </c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</row>
    <row r="2474" spans="1:19" x14ac:dyDescent="0.2">
      <c r="A2474" s="12" t="s">
        <v>336</v>
      </c>
      <c r="B2474" s="12" t="s">
        <v>573</v>
      </c>
      <c r="C2474" s="12" t="s">
        <v>566</v>
      </c>
      <c r="D2474" s="13">
        <v>0</v>
      </c>
      <c r="E2474" s="13">
        <v>0.13999800000000001</v>
      </c>
      <c r="F2474" s="13">
        <v>0.14699899999999999</v>
      </c>
      <c r="G2474" s="13">
        <v>0.127999</v>
      </c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</row>
    <row r="2475" spans="1:19" x14ac:dyDescent="0.2">
      <c r="A2475" s="12" t="s">
        <v>336</v>
      </c>
      <c r="B2475" s="12" t="s">
        <v>574</v>
      </c>
      <c r="C2475" s="12" t="s">
        <v>554</v>
      </c>
      <c r="D2475" s="13">
        <v>82</v>
      </c>
      <c r="E2475" s="13">
        <v>89.566034999999999</v>
      </c>
      <c r="F2475" s="13">
        <v>81.751122000000009</v>
      </c>
      <c r="G2475" s="13">
        <v>86.097012000000007</v>
      </c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</row>
    <row r="2476" spans="1:19" x14ac:dyDescent="0.2">
      <c r="A2476" s="12" t="s">
        <v>336</v>
      </c>
      <c r="B2476" s="12" t="s">
        <v>574</v>
      </c>
      <c r="C2476" s="12" t="s">
        <v>555</v>
      </c>
      <c r="D2476" s="13">
        <v>536</v>
      </c>
      <c r="E2476" s="13">
        <v>538.18949300000008</v>
      </c>
      <c r="F2476" s="13">
        <v>596.03396999999995</v>
      </c>
      <c r="G2476" s="13">
        <v>596.66350100000011</v>
      </c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</row>
    <row r="2477" spans="1:19" x14ac:dyDescent="0.2">
      <c r="A2477" s="12" t="s">
        <v>336</v>
      </c>
      <c r="B2477" s="12" t="s">
        <v>574</v>
      </c>
      <c r="C2477" s="12" t="s">
        <v>556</v>
      </c>
      <c r="D2477" s="13">
        <v>-291</v>
      </c>
      <c r="E2477" s="13">
        <v>-288.460643</v>
      </c>
      <c r="F2477" s="13">
        <v>-374.44570399999998</v>
      </c>
      <c r="G2477" s="13">
        <v>-387.29777799999999</v>
      </c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</row>
    <row r="2478" spans="1:19" x14ac:dyDescent="0.2">
      <c r="A2478" s="12" t="s">
        <v>336</v>
      </c>
      <c r="B2478" s="12" t="s">
        <v>574</v>
      </c>
      <c r="C2478" s="12" t="s">
        <v>557</v>
      </c>
      <c r="D2478" s="13">
        <v>315</v>
      </c>
      <c r="E2478" s="13">
        <v>326.20804099999998</v>
      </c>
      <c r="F2478" s="13">
        <v>290.92750999999998</v>
      </c>
      <c r="G2478" s="13">
        <v>293.00021900000002</v>
      </c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</row>
    <row r="2479" spans="1:19" x14ac:dyDescent="0.2">
      <c r="A2479" s="12" t="s">
        <v>336</v>
      </c>
      <c r="B2479" s="12" t="s">
        <v>574</v>
      </c>
      <c r="C2479" s="12" t="s">
        <v>558</v>
      </c>
      <c r="D2479" s="13">
        <v>-11</v>
      </c>
      <c r="E2479" s="13">
        <v>-13.64983</v>
      </c>
      <c r="F2479" s="13">
        <v>-8.2328060000000001</v>
      </c>
      <c r="G2479" s="13">
        <v>-9.5689230000000016</v>
      </c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</row>
    <row r="2480" spans="1:19" x14ac:dyDescent="0.2">
      <c r="A2480" s="12" t="s">
        <v>336</v>
      </c>
      <c r="B2480" s="12" t="s">
        <v>574</v>
      </c>
      <c r="C2480" s="12" t="s">
        <v>560</v>
      </c>
      <c r="D2480" s="13">
        <v>-1</v>
      </c>
      <c r="E2480" s="13">
        <v>-0.99066799999999999</v>
      </c>
      <c r="F2480" s="13">
        <v>-1.2748930000000001</v>
      </c>
      <c r="G2480" s="13">
        <v>-1.94265</v>
      </c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</row>
    <row r="2481" spans="1:19" x14ac:dyDescent="0.2">
      <c r="A2481" s="12" t="s">
        <v>336</v>
      </c>
      <c r="B2481" s="12" t="s">
        <v>574</v>
      </c>
      <c r="C2481" s="12" t="s">
        <v>561</v>
      </c>
      <c r="D2481" s="13">
        <v>267</v>
      </c>
      <c r="E2481" s="13">
        <v>276.358338</v>
      </c>
      <c r="F2481" s="13">
        <v>247.68228300000001</v>
      </c>
      <c r="G2481" s="13">
        <v>245.73971700000001</v>
      </c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</row>
    <row r="2482" spans="1:19" x14ac:dyDescent="0.2">
      <c r="A2482" s="12" t="s">
        <v>336</v>
      </c>
      <c r="B2482" s="12" t="s">
        <v>574</v>
      </c>
      <c r="C2482" s="12" t="s">
        <v>562</v>
      </c>
      <c r="D2482" s="13">
        <v>43</v>
      </c>
      <c r="E2482" s="13">
        <v>46.352494</v>
      </c>
      <c r="F2482" s="13">
        <v>39.843004000000001</v>
      </c>
      <c r="G2482" s="13">
        <v>37.531488000000003</v>
      </c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</row>
    <row r="2483" spans="1:19" x14ac:dyDescent="0.2">
      <c r="A2483" s="12" t="s">
        <v>336</v>
      </c>
      <c r="B2483" s="12" t="s">
        <v>574</v>
      </c>
      <c r="C2483" s="12" t="s">
        <v>563</v>
      </c>
      <c r="D2483" s="13">
        <v>89</v>
      </c>
      <c r="E2483" s="13">
        <v>89.344259999999991</v>
      </c>
      <c r="F2483" s="13">
        <v>87.617603000000003</v>
      </c>
      <c r="G2483" s="13">
        <v>89.321635000000001</v>
      </c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</row>
    <row r="2484" spans="1:19" x14ac:dyDescent="0.2">
      <c r="A2484" s="12" t="s">
        <v>336</v>
      </c>
      <c r="B2484" s="12" t="s">
        <v>574</v>
      </c>
      <c r="C2484" s="12" t="s">
        <v>564</v>
      </c>
      <c r="D2484" s="13">
        <v>59</v>
      </c>
      <c r="E2484" s="13">
        <v>65.785454999999999</v>
      </c>
      <c r="F2484" s="13">
        <v>61.947445000000002</v>
      </c>
      <c r="G2484" s="13">
        <v>59.832599999999999</v>
      </c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</row>
    <row r="2485" spans="1:19" x14ac:dyDescent="0.2">
      <c r="A2485" s="12" t="s">
        <v>336</v>
      </c>
      <c r="B2485" s="12" t="s">
        <v>574</v>
      </c>
      <c r="C2485" s="12" t="s">
        <v>565</v>
      </c>
      <c r="D2485" s="13">
        <v>24</v>
      </c>
      <c r="E2485" s="13">
        <v>26.950226000000001</v>
      </c>
      <c r="F2485" s="13">
        <v>25.973382999999998</v>
      </c>
      <c r="G2485" s="13">
        <v>25.788208999999998</v>
      </c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</row>
    <row r="2486" spans="1:19" x14ac:dyDescent="0.2">
      <c r="A2486" s="12" t="s">
        <v>336</v>
      </c>
      <c r="B2486" s="12" t="s">
        <v>574</v>
      </c>
      <c r="C2486" s="12" t="s">
        <v>566</v>
      </c>
      <c r="D2486" s="13">
        <v>53</v>
      </c>
      <c r="E2486" s="13">
        <v>47.925894000000007</v>
      </c>
      <c r="F2486" s="13">
        <v>32.300848000000002</v>
      </c>
      <c r="G2486" s="13">
        <v>33.265789000000012</v>
      </c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</row>
    <row r="2487" spans="1:19" x14ac:dyDescent="0.2">
      <c r="A2487" s="12" t="s">
        <v>338</v>
      </c>
      <c r="B2487" s="12" t="s">
        <v>553</v>
      </c>
      <c r="C2487" s="12" t="s">
        <v>554</v>
      </c>
      <c r="D2487" s="13">
        <v>0</v>
      </c>
      <c r="E2487" s="13">
        <v>0</v>
      </c>
      <c r="F2487" s="13">
        <v>0</v>
      </c>
      <c r="G2487" s="13">
        <v>0</v>
      </c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</row>
    <row r="2488" spans="1:19" x14ac:dyDescent="0.2">
      <c r="A2488" s="12" t="s">
        <v>338</v>
      </c>
      <c r="B2488" s="12" t="s">
        <v>553</v>
      </c>
      <c r="C2488" s="12" t="s">
        <v>555</v>
      </c>
      <c r="D2488" s="13">
        <v>2</v>
      </c>
      <c r="E2488" s="13">
        <v>1.4600420000000001</v>
      </c>
      <c r="F2488" s="13">
        <v>1.6918150000000001</v>
      </c>
      <c r="G2488" s="13">
        <v>0.94943600000000006</v>
      </c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</row>
    <row r="2489" spans="1:19" x14ac:dyDescent="0.2">
      <c r="A2489" s="12" t="s">
        <v>338</v>
      </c>
      <c r="B2489" s="12" t="s">
        <v>553</v>
      </c>
      <c r="C2489" s="12" t="s">
        <v>556</v>
      </c>
      <c r="D2489" s="13">
        <v>0</v>
      </c>
      <c r="E2489" s="13">
        <v>0</v>
      </c>
      <c r="F2489" s="13">
        <v>0</v>
      </c>
      <c r="G2489" s="13">
        <v>0</v>
      </c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</row>
    <row r="2490" spans="1:19" x14ac:dyDescent="0.2">
      <c r="A2490" s="12" t="s">
        <v>338</v>
      </c>
      <c r="B2490" s="12" t="s">
        <v>553</v>
      </c>
      <c r="C2490" s="12" t="s">
        <v>557</v>
      </c>
      <c r="D2490" s="13">
        <v>2</v>
      </c>
      <c r="E2490" s="13">
        <v>1.649411</v>
      </c>
      <c r="F2490" s="13">
        <v>1.717484</v>
      </c>
      <c r="G2490" s="13">
        <v>0.95372800000000002</v>
      </c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</row>
    <row r="2491" spans="1:19" x14ac:dyDescent="0.2">
      <c r="A2491" s="12" t="s">
        <v>338</v>
      </c>
      <c r="B2491" s="12" t="s">
        <v>553</v>
      </c>
      <c r="C2491" s="12" t="s">
        <v>558</v>
      </c>
      <c r="D2491" s="13">
        <v>0</v>
      </c>
      <c r="E2491" s="13">
        <v>0</v>
      </c>
      <c r="F2491" s="13">
        <v>0</v>
      </c>
      <c r="G2491" s="13">
        <v>0</v>
      </c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</row>
    <row r="2492" spans="1:19" x14ac:dyDescent="0.2">
      <c r="A2492" s="12" t="s">
        <v>338</v>
      </c>
      <c r="B2492" s="12" t="s">
        <v>553</v>
      </c>
      <c r="C2492" s="12" t="s">
        <v>560</v>
      </c>
      <c r="D2492" s="13">
        <v>0</v>
      </c>
      <c r="E2492" s="13">
        <v>0</v>
      </c>
      <c r="F2492" s="13">
        <v>0</v>
      </c>
      <c r="G2492" s="13">
        <v>0</v>
      </c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</row>
    <row r="2493" spans="1:19" x14ac:dyDescent="0.2">
      <c r="A2493" s="12" t="s">
        <v>338</v>
      </c>
      <c r="B2493" s="12" t="s">
        <v>553</v>
      </c>
      <c r="C2493" s="12" t="s">
        <v>561</v>
      </c>
      <c r="D2493" s="13">
        <v>2</v>
      </c>
      <c r="E2493" s="13">
        <v>1.649411</v>
      </c>
      <c r="F2493" s="13">
        <v>1.717484</v>
      </c>
      <c r="G2493" s="13">
        <v>0.95370699999999997</v>
      </c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</row>
    <row r="2494" spans="1:19" x14ac:dyDescent="0.2">
      <c r="A2494" s="12" t="s">
        <v>338</v>
      </c>
      <c r="B2494" s="12" t="s">
        <v>553</v>
      </c>
      <c r="C2494" s="12" t="s">
        <v>562</v>
      </c>
      <c r="D2494" s="13">
        <v>2</v>
      </c>
      <c r="E2494" s="13">
        <v>1.6348320000000001</v>
      </c>
      <c r="F2494" s="13">
        <v>1.696496</v>
      </c>
      <c r="G2494" s="13">
        <v>0.94352900000000006</v>
      </c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</row>
    <row r="2495" spans="1:19" x14ac:dyDescent="0.2">
      <c r="A2495" s="12" t="s">
        <v>338</v>
      </c>
      <c r="B2495" s="12" t="s">
        <v>553</v>
      </c>
      <c r="C2495" s="12" t="s">
        <v>563</v>
      </c>
      <c r="D2495" s="13">
        <v>0</v>
      </c>
      <c r="E2495" s="13">
        <v>0</v>
      </c>
      <c r="F2495" s="13">
        <v>0</v>
      </c>
      <c r="G2495" s="13">
        <v>0</v>
      </c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</row>
    <row r="2496" spans="1:19" x14ac:dyDescent="0.2">
      <c r="A2496" s="12" t="s">
        <v>338</v>
      </c>
      <c r="B2496" s="12" t="s">
        <v>553</v>
      </c>
      <c r="C2496" s="12" t="s">
        <v>564</v>
      </c>
      <c r="D2496" s="13">
        <v>0</v>
      </c>
      <c r="E2496" s="13">
        <v>1.4578000000000001E-2</v>
      </c>
      <c r="F2496" s="13">
        <v>2.0988E-2</v>
      </c>
      <c r="G2496" s="13">
        <v>1.0174000000000001E-2</v>
      </c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</row>
    <row r="2497" spans="1:19" x14ac:dyDescent="0.2">
      <c r="A2497" s="12" t="s">
        <v>338</v>
      </c>
      <c r="B2497" s="12" t="s">
        <v>553</v>
      </c>
      <c r="C2497" s="12" t="s">
        <v>565</v>
      </c>
      <c r="D2497" s="13">
        <v>0</v>
      </c>
      <c r="E2497" s="13">
        <v>0</v>
      </c>
      <c r="F2497" s="13">
        <v>0</v>
      </c>
      <c r="G2497" s="13">
        <v>0</v>
      </c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</row>
    <row r="2498" spans="1:19" x14ac:dyDescent="0.2">
      <c r="A2498" s="12" t="s">
        <v>338</v>
      </c>
      <c r="B2498" s="12" t="s">
        <v>553</v>
      </c>
      <c r="C2498" s="12" t="s">
        <v>566</v>
      </c>
      <c r="D2498" s="13">
        <v>0</v>
      </c>
      <c r="E2498" s="13">
        <v>0</v>
      </c>
      <c r="F2498" s="13">
        <v>0</v>
      </c>
      <c r="G2498" s="13">
        <v>0</v>
      </c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</row>
    <row r="2499" spans="1:19" x14ac:dyDescent="0.2">
      <c r="A2499" s="12" t="s">
        <v>338</v>
      </c>
      <c r="B2499" s="12" t="s">
        <v>567</v>
      </c>
      <c r="C2499" s="12" t="s">
        <v>554</v>
      </c>
      <c r="D2499" s="13">
        <v>0</v>
      </c>
      <c r="E2499" s="13">
        <v>0</v>
      </c>
      <c r="F2499" s="13">
        <v>0</v>
      </c>
      <c r="G2499" s="13">
        <v>0</v>
      </c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</row>
    <row r="2500" spans="1:19" x14ac:dyDescent="0.2">
      <c r="A2500" s="12" t="s">
        <v>338</v>
      </c>
      <c r="B2500" s="12" t="s">
        <v>567</v>
      </c>
      <c r="C2500" s="12" t="s">
        <v>555</v>
      </c>
      <c r="D2500" s="13">
        <v>0</v>
      </c>
      <c r="E2500" s="13">
        <v>0</v>
      </c>
      <c r="F2500" s="13">
        <v>0</v>
      </c>
      <c r="G2500" s="13">
        <v>0</v>
      </c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</row>
    <row r="2501" spans="1:19" x14ac:dyDescent="0.2">
      <c r="A2501" s="12" t="s">
        <v>338</v>
      </c>
      <c r="B2501" s="12" t="s">
        <v>567</v>
      </c>
      <c r="C2501" s="12" t="s">
        <v>556</v>
      </c>
      <c r="D2501" s="13">
        <v>0</v>
      </c>
      <c r="E2501" s="13">
        <v>0</v>
      </c>
      <c r="F2501" s="13">
        <v>0</v>
      </c>
      <c r="G2501" s="13">
        <v>0</v>
      </c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</row>
    <row r="2502" spans="1:19" x14ac:dyDescent="0.2">
      <c r="A2502" s="12" t="s">
        <v>338</v>
      </c>
      <c r="B2502" s="12" t="s">
        <v>567</v>
      </c>
      <c r="C2502" s="12" t="s">
        <v>557</v>
      </c>
      <c r="D2502" s="13">
        <v>0</v>
      </c>
      <c r="E2502" s="13">
        <v>0</v>
      </c>
      <c r="F2502" s="13">
        <v>0</v>
      </c>
      <c r="G2502" s="13">
        <v>0</v>
      </c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</row>
    <row r="2503" spans="1:19" x14ac:dyDescent="0.2">
      <c r="A2503" s="12" t="s">
        <v>338</v>
      </c>
      <c r="B2503" s="12" t="s">
        <v>567</v>
      </c>
      <c r="C2503" s="12" t="s">
        <v>558</v>
      </c>
      <c r="D2503" s="13">
        <v>0</v>
      </c>
      <c r="E2503" s="13">
        <v>0</v>
      </c>
      <c r="F2503" s="13">
        <v>0</v>
      </c>
      <c r="G2503" s="13">
        <v>0</v>
      </c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</row>
    <row r="2504" spans="1:19" x14ac:dyDescent="0.2">
      <c r="A2504" s="12" t="s">
        <v>338</v>
      </c>
      <c r="B2504" s="12" t="s">
        <v>567</v>
      </c>
      <c r="C2504" s="12" t="s">
        <v>560</v>
      </c>
      <c r="D2504" s="13">
        <v>0</v>
      </c>
      <c r="E2504" s="13">
        <v>0</v>
      </c>
      <c r="F2504" s="13">
        <v>0</v>
      </c>
      <c r="G2504" s="13">
        <v>0</v>
      </c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</row>
    <row r="2505" spans="1:19" x14ac:dyDescent="0.2">
      <c r="A2505" s="12" t="s">
        <v>338</v>
      </c>
      <c r="B2505" s="12" t="s">
        <v>567</v>
      </c>
      <c r="C2505" s="12" t="s">
        <v>561</v>
      </c>
      <c r="D2505" s="13">
        <v>0</v>
      </c>
      <c r="E2505" s="13">
        <v>0</v>
      </c>
      <c r="F2505" s="13">
        <v>0</v>
      </c>
      <c r="G2505" s="13">
        <v>0</v>
      </c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</row>
    <row r="2506" spans="1:19" x14ac:dyDescent="0.2">
      <c r="A2506" s="12" t="s">
        <v>338</v>
      </c>
      <c r="B2506" s="12" t="s">
        <v>567</v>
      </c>
      <c r="C2506" s="12" t="s">
        <v>562</v>
      </c>
      <c r="D2506" s="13">
        <v>0</v>
      </c>
      <c r="E2506" s="13">
        <v>0</v>
      </c>
      <c r="F2506" s="13">
        <v>0</v>
      </c>
      <c r="G2506" s="13">
        <v>0</v>
      </c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</row>
    <row r="2507" spans="1:19" x14ac:dyDescent="0.2">
      <c r="A2507" s="12" t="s">
        <v>338</v>
      </c>
      <c r="B2507" s="12" t="s">
        <v>567</v>
      </c>
      <c r="C2507" s="12" t="s">
        <v>563</v>
      </c>
      <c r="D2507" s="13">
        <v>0</v>
      </c>
      <c r="E2507" s="13">
        <v>0</v>
      </c>
      <c r="F2507" s="13">
        <v>0</v>
      </c>
      <c r="G2507" s="13">
        <v>0</v>
      </c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</row>
    <row r="2508" spans="1:19" x14ac:dyDescent="0.2">
      <c r="A2508" s="12" t="s">
        <v>338</v>
      </c>
      <c r="B2508" s="12" t="s">
        <v>567</v>
      </c>
      <c r="C2508" s="12" t="s">
        <v>564</v>
      </c>
      <c r="D2508" s="13">
        <v>0</v>
      </c>
      <c r="E2508" s="13">
        <v>0</v>
      </c>
      <c r="F2508" s="13">
        <v>0</v>
      </c>
      <c r="G2508" s="13">
        <v>0</v>
      </c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</row>
    <row r="2509" spans="1:19" x14ac:dyDescent="0.2">
      <c r="A2509" s="12" t="s">
        <v>338</v>
      </c>
      <c r="B2509" s="12" t="s">
        <v>567</v>
      </c>
      <c r="C2509" s="12" t="s">
        <v>565</v>
      </c>
      <c r="D2509" s="13">
        <v>0</v>
      </c>
      <c r="E2509" s="13">
        <v>0</v>
      </c>
      <c r="F2509" s="13">
        <v>0</v>
      </c>
      <c r="G2509" s="13">
        <v>0</v>
      </c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</row>
    <row r="2510" spans="1:19" x14ac:dyDescent="0.2">
      <c r="A2510" s="12" t="s">
        <v>338</v>
      </c>
      <c r="B2510" s="12" t="s">
        <v>567</v>
      </c>
      <c r="C2510" s="12" t="s">
        <v>566</v>
      </c>
      <c r="D2510" s="13">
        <v>0</v>
      </c>
      <c r="E2510" s="13">
        <v>0</v>
      </c>
      <c r="F2510" s="13">
        <v>0</v>
      </c>
      <c r="G2510" s="13">
        <v>0</v>
      </c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</row>
    <row r="2511" spans="1:19" x14ac:dyDescent="0.2">
      <c r="A2511" s="12" t="s">
        <v>338</v>
      </c>
      <c r="B2511" s="12" t="s">
        <v>568</v>
      </c>
      <c r="C2511" s="12" t="s">
        <v>554</v>
      </c>
      <c r="D2511" s="13">
        <v>0</v>
      </c>
      <c r="E2511" s="13">
        <v>0</v>
      </c>
      <c r="F2511" s="13">
        <v>0</v>
      </c>
      <c r="G2511" s="13">
        <v>0</v>
      </c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</row>
    <row r="2512" spans="1:19" x14ac:dyDescent="0.2">
      <c r="A2512" s="12" t="s">
        <v>338</v>
      </c>
      <c r="B2512" s="12" t="s">
        <v>568</v>
      </c>
      <c r="C2512" s="12" t="s">
        <v>555</v>
      </c>
      <c r="D2512" s="13">
        <v>101</v>
      </c>
      <c r="E2512" s="13">
        <v>107.920648</v>
      </c>
      <c r="F2512" s="13">
        <v>98.146158</v>
      </c>
      <c r="G2512" s="13">
        <v>94.395245000000003</v>
      </c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</row>
    <row r="2513" spans="1:19" x14ac:dyDescent="0.2">
      <c r="A2513" s="12" t="s">
        <v>338</v>
      </c>
      <c r="B2513" s="12" t="s">
        <v>568</v>
      </c>
      <c r="C2513" s="12" t="s">
        <v>556</v>
      </c>
      <c r="D2513" s="13">
        <v>0</v>
      </c>
      <c r="E2513" s="13">
        <v>-3.4926000000000013E-2</v>
      </c>
      <c r="F2513" s="13">
        <v>-4.1692E-2</v>
      </c>
      <c r="G2513" s="13">
        <v>-3.1640000000000001E-2</v>
      </c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</row>
    <row r="2514" spans="1:19" x14ac:dyDescent="0.2">
      <c r="A2514" s="12" t="s">
        <v>338</v>
      </c>
      <c r="B2514" s="12" t="s">
        <v>568</v>
      </c>
      <c r="C2514" s="12" t="s">
        <v>557</v>
      </c>
      <c r="D2514" s="13">
        <v>78</v>
      </c>
      <c r="E2514" s="13">
        <v>82.003448000000006</v>
      </c>
      <c r="F2514" s="13">
        <v>71.355122000000009</v>
      </c>
      <c r="G2514" s="13">
        <v>69.860928000000001</v>
      </c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</row>
    <row r="2515" spans="1:19" x14ac:dyDescent="0.2">
      <c r="A2515" s="12" t="s">
        <v>338</v>
      </c>
      <c r="B2515" s="12" t="s">
        <v>568</v>
      </c>
      <c r="C2515" s="12" t="s">
        <v>558</v>
      </c>
      <c r="D2515" s="13">
        <v>0</v>
      </c>
      <c r="E2515" s="13">
        <v>-4.8150000000000007E-3</v>
      </c>
      <c r="F2515" s="13">
        <v>-7.5410000000000008E-3</v>
      </c>
      <c r="G2515" s="13">
        <v>-7.3270000000000002E-3</v>
      </c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</row>
    <row r="2516" spans="1:19" x14ac:dyDescent="0.2">
      <c r="A2516" s="12" t="s">
        <v>338</v>
      </c>
      <c r="B2516" s="12" t="s">
        <v>568</v>
      </c>
      <c r="C2516" s="12" t="s">
        <v>560</v>
      </c>
      <c r="D2516" s="13">
        <v>0</v>
      </c>
      <c r="E2516" s="13">
        <v>0</v>
      </c>
      <c r="F2516" s="13">
        <v>0</v>
      </c>
      <c r="G2516" s="13">
        <v>0</v>
      </c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</row>
    <row r="2517" spans="1:19" x14ac:dyDescent="0.2">
      <c r="A2517" s="12" t="s">
        <v>338</v>
      </c>
      <c r="B2517" s="12" t="s">
        <v>568</v>
      </c>
      <c r="C2517" s="12" t="s">
        <v>561</v>
      </c>
      <c r="D2517" s="13">
        <v>78</v>
      </c>
      <c r="E2517" s="13">
        <v>81.989722999999998</v>
      </c>
      <c r="F2517" s="13">
        <v>71.341221000000004</v>
      </c>
      <c r="G2517" s="13">
        <v>69.847564000000006</v>
      </c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</row>
    <row r="2518" spans="1:19" x14ac:dyDescent="0.2">
      <c r="A2518" s="12" t="s">
        <v>338</v>
      </c>
      <c r="B2518" s="12" t="s">
        <v>568</v>
      </c>
      <c r="C2518" s="12" t="s">
        <v>562</v>
      </c>
      <c r="D2518" s="13">
        <v>1</v>
      </c>
      <c r="E2518" s="13">
        <v>1.138136</v>
      </c>
      <c r="F2518" s="13">
        <v>0.89522599999999997</v>
      </c>
      <c r="G2518" s="13">
        <v>0.85313600000000001</v>
      </c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</row>
    <row r="2519" spans="1:19" x14ac:dyDescent="0.2">
      <c r="A2519" s="12" t="s">
        <v>338</v>
      </c>
      <c r="B2519" s="12" t="s">
        <v>568</v>
      </c>
      <c r="C2519" s="12" t="s">
        <v>563</v>
      </c>
      <c r="D2519" s="13">
        <v>64</v>
      </c>
      <c r="E2519" s="13">
        <v>68.188903999999994</v>
      </c>
      <c r="F2519" s="13">
        <v>59.391165000000001</v>
      </c>
      <c r="G2519" s="13">
        <v>57.592348000000001</v>
      </c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</row>
    <row r="2520" spans="1:19" x14ac:dyDescent="0.2">
      <c r="A2520" s="12" t="s">
        <v>338</v>
      </c>
      <c r="B2520" s="12" t="s">
        <v>568</v>
      </c>
      <c r="C2520" s="12" t="s">
        <v>564</v>
      </c>
      <c r="D2520" s="13">
        <v>6</v>
      </c>
      <c r="E2520" s="13">
        <v>5.631958</v>
      </c>
      <c r="F2520" s="13">
        <v>5.4299359999999997</v>
      </c>
      <c r="G2520" s="13">
        <v>5.644501</v>
      </c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</row>
    <row r="2521" spans="1:19" x14ac:dyDescent="0.2">
      <c r="A2521" s="12" t="s">
        <v>338</v>
      </c>
      <c r="B2521" s="12" t="s">
        <v>568</v>
      </c>
      <c r="C2521" s="12" t="s">
        <v>565</v>
      </c>
      <c r="D2521" s="13">
        <v>5</v>
      </c>
      <c r="E2521" s="13">
        <v>4.7612920000000001</v>
      </c>
      <c r="F2521" s="13">
        <v>3.7192430000000001</v>
      </c>
      <c r="G2521" s="13">
        <v>3.6554739999999999</v>
      </c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</row>
    <row r="2522" spans="1:19" x14ac:dyDescent="0.2">
      <c r="A2522" s="12" t="s">
        <v>338</v>
      </c>
      <c r="B2522" s="12" t="s">
        <v>568</v>
      </c>
      <c r="C2522" s="12" t="s">
        <v>566</v>
      </c>
      <c r="D2522" s="13">
        <v>2</v>
      </c>
      <c r="E2522" s="13">
        <v>2.269434</v>
      </c>
      <c r="F2522" s="13">
        <v>1.9056550000000001</v>
      </c>
      <c r="G2522" s="13">
        <v>2.1021130000000001</v>
      </c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</row>
    <row r="2523" spans="1:19" x14ac:dyDescent="0.2">
      <c r="A2523" s="12" t="s">
        <v>338</v>
      </c>
      <c r="B2523" s="12" t="s">
        <v>569</v>
      </c>
      <c r="C2523" s="12" t="s">
        <v>554</v>
      </c>
      <c r="D2523" s="13">
        <v>0</v>
      </c>
      <c r="E2523" s="13">
        <v>0</v>
      </c>
      <c r="F2523" s="13">
        <v>0</v>
      </c>
      <c r="G2523" s="13">
        <v>0</v>
      </c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</row>
    <row r="2524" spans="1:19" x14ac:dyDescent="0.2">
      <c r="A2524" s="12" t="s">
        <v>338</v>
      </c>
      <c r="B2524" s="12" t="s">
        <v>569</v>
      </c>
      <c r="C2524" s="12" t="s">
        <v>555</v>
      </c>
      <c r="D2524" s="13">
        <v>26</v>
      </c>
      <c r="E2524" s="13">
        <v>28.043308</v>
      </c>
      <c r="F2524" s="13">
        <v>22.022627</v>
      </c>
      <c r="G2524" s="13">
        <v>20.636641000000001</v>
      </c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</row>
    <row r="2525" spans="1:19" x14ac:dyDescent="0.2">
      <c r="A2525" s="12" t="s">
        <v>338</v>
      </c>
      <c r="B2525" s="12" t="s">
        <v>569</v>
      </c>
      <c r="C2525" s="12" t="s">
        <v>556</v>
      </c>
      <c r="D2525" s="13">
        <v>0</v>
      </c>
      <c r="E2525" s="13">
        <v>0</v>
      </c>
      <c r="F2525" s="13">
        <v>0</v>
      </c>
      <c r="G2525" s="13">
        <v>0</v>
      </c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</row>
    <row r="2526" spans="1:19" x14ac:dyDescent="0.2">
      <c r="A2526" s="12" t="s">
        <v>338</v>
      </c>
      <c r="B2526" s="12" t="s">
        <v>569</v>
      </c>
      <c r="C2526" s="12" t="s">
        <v>557</v>
      </c>
      <c r="D2526" s="13">
        <v>26</v>
      </c>
      <c r="E2526" s="13">
        <v>28.043308</v>
      </c>
      <c r="F2526" s="13">
        <v>22.022627</v>
      </c>
      <c r="G2526" s="13">
        <v>20.636641000000001</v>
      </c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</row>
    <row r="2527" spans="1:19" x14ac:dyDescent="0.2">
      <c r="A2527" s="12" t="s">
        <v>338</v>
      </c>
      <c r="B2527" s="12" t="s">
        <v>569</v>
      </c>
      <c r="C2527" s="12" t="s">
        <v>558</v>
      </c>
      <c r="D2527" s="13">
        <v>-3</v>
      </c>
      <c r="E2527" s="13">
        <v>-2.776351</v>
      </c>
      <c r="F2527" s="13">
        <v>-2.132823000000001</v>
      </c>
      <c r="G2527" s="13">
        <v>-1.566789</v>
      </c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</row>
    <row r="2528" spans="1:19" x14ac:dyDescent="0.2">
      <c r="A2528" s="12" t="s">
        <v>338</v>
      </c>
      <c r="B2528" s="12" t="s">
        <v>569</v>
      </c>
      <c r="C2528" s="12" t="s">
        <v>560</v>
      </c>
      <c r="D2528" s="13">
        <v>0</v>
      </c>
      <c r="E2528" s="13">
        <v>0</v>
      </c>
      <c r="F2528" s="13">
        <v>0</v>
      </c>
      <c r="G2528" s="13">
        <v>0</v>
      </c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</row>
    <row r="2529" spans="1:19" x14ac:dyDescent="0.2">
      <c r="A2529" s="12" t="s">
        <v>338</v>
      </c>
      <c r="B2529" s="12" t="s">
        <v>569</v>
      </c>
      <c r="C2529" s="12" t="s">
        <v>561</v>
      </c>
      <c r="D2529" s="13">
        <v>24</v>
      </c>
      <c r="E2529" s="13">
        <v>25.43646</v>
      </c>
      <c r="F2529" s="13">
        <v>20.032661999999998</v>
      </c>
      <c r="G2529" s="13">
        <v>19.222742</v>
      </c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</row>
    <row r="2530" spans="1:19" x14ac:dyDescent="0.2">
      <c r="A2530" s="12" t="s">
        <v>338</v>
      </c>
      <c r="B2530" s="12" t="s">
        <v>569</v>
      </c>
      <c r="C2530" s="12" t="s">
        <v>562</v>
      </c>
      <c r="D2530" s="13">
        <v>10</v>
      </c>
      <c r="E2530" s="13">
        <v>10.554383</v>
      </c>
      <c r="F2530" s="13">
        <v>7.49472</v>
      </c>
      <c r="G2530" s="13">
        <v>7.1860980000000003</v>
      </c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</row>
    <row r="2531" spans="1:19" x14ac:dyDescent="0.2">
      <c r="A2531" s="12" t="s">
        <v>338</v>
      </c>
      <c r="B2531" s="12" t="s">
        <v>569</v>
      </c>
      <c r="C2531" s="12" t="s">
        <v>563</v>
      </c>
      <c r="D2531" s="13">
        <v>0</v>
      </c>
      <c r="E2531" s="13">
        <v>0</v>
      </c>
      <c r="F2531" s="13">
        <v>0</v>
      </c>
      <c r="G2531" s="13">
        <v>0</v>
      </c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</row>
    <row r="2532" spans="1:19" x14ac:dyDescent="0.2">
      <c r="A2532" s="12" t="s">
        <v>338</v>
      </c>
      <c r="B2532" s="12" t="s">
        <v>569</v>
      </c>
      <c r="C2532" s="12" t="s">
        <v>564</v>
      </c>
      <c r="D2532" s="13">
        <v>11</v>
      </c>
      <c r="E2532" s="13">
        <v>10.073273</v>
      </c>
      <c r="F2532" s="13">
        <v>8.9685439999999996</v>
      </c>
      <c r="G2532" s="13">
        <v>8.6689330000000009</v>
      </c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</row>
    <row r="2533" spans="1:19" x14ac:dyDescent="0.2">
      <c r="A2533" s="12" t="s">
        <v>338</v>
      </c>
      <c r="B2533" s="12" t="s">
        <v>569</v>
      </c>
      <c r="C2533" s="12" t="s">
        <v>565</v>
      </c>
      <c r="D2533" s="13">
        <v>3</v>
      </c>
      <c r="E2533" s="13">
        <v>4.8088040000000003</v>
      </c>
      <c r="F2533" s="13">
        <v>3.5692219999999999</v>
      </c>
      <c r="G2533" s="13">
        <v>3.3675060000000001</v>
      </c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</row>
    <row r="2534" spans="1:19" x14ac:dyDescent="0.2">
      <c r="A2534" s="12" t="s">
        <v>338</v>
      </c>
      <c r="B2534" s="12" t="s">
        <v>569</v>
      </c>
      <c r="C2534" s="12" t="s">
        <v>566</v>
      </c>
      <c r="D2534" s="13">
        <v>0</v>
      </c>
      <c r="E2534" s="13">
        <v>0</v>
      </c>
      <c r="F2534" s="13">
        <v>1.8000000000000001E-4</v>
      </c>
      <c r="G2534" s="13">
        <v>2.0900000000000001E-4</v>
      </c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</row>
    <row r="2535" spans="1:19" x14ac:dyDescent="0.2">
      <c r="A2535" s="12" t="s">
        <v>338</v>
      </c>
      <c r="B2535" s="12" t="s">
        <v>570</v>
      </c>
      <c r="C2535" s="12" t="s">
        <v>554</v>
      </c>
      <c r="D2535" s="13">
        <v>0</v>
      </c>
      <c r="E2535" s="13">
        <v>0</v>
      </c>
      <c r="F2535" s="13">
        <v>0</v>
      </c>
      <c r="G2535" s="13">
        <v>0</v>
      </c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</row>
    <row r="2536" spans="1:19" x14ac:dyDescent="0.2">
      <c r="A2536" s="12" t="s">
        <v>338</v>
      </c>
      <c r="B2536" s="12" t="s">
        <v>570</v>
      </c>
      <c r="C2536" s="12" t="s">
        <v>555</v>
      </c>
      <c r="D2536" s="13">
        <v>0</v>
      </c>
      <c r="E2536" s="13">
        <v>0</v>
      </c>
      <c r="F2536" s="13">
        <v>0</v>
      </c>
      <c r="G2536" s="13">
        <v>0</v>
      </c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</row>
    <row r="2537" spans="1:19" x14ac:dyDescent="0.2">
      <c r="A2537" s="12" t="s">
        <v>338</v>
      </c>
      <c r="B2537" s="12" t="s">
        <v>570</v>
      </c>
      <c r="C2537" s="12" t="s">
        <v>556</v>
      </c>
      <c r="D2537" s="13">
        <v>0</v>
      </c>
      <c r="E2537" s="13">
        <v>0</v>
      </c>
      <c r="F2537" s="13">
        <v>0</v>
      </c>
      <c r="G2537" s="13">
        <v>0</v>
      </c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</row>
    <row r="2538" spans="1:19" x14ac:dyDescent="0.2">
      <c r="A2538" s="12" t="s">
        <v>338</v>
      </c>
      <c r="B2538" s="12" t="s">
        <v>570</v>
      </c>
      <c r="C2538" s="12" t="s">
        <v>557</v>
      </c>
      <c r="D2538" s="13">
        <v>0</v>
      </c>
      <c r="E2538" s="13">
        <v>0</v>
      </c>
      <c r="F2538" s="13">
        <v>0</v>
      </c>
      <c r="G2538" s="13">
        <v>0</v>
      </c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</row>
    <row r="2539" spans="1:19" x14ac:dyDescent="0.2">
      <c r="A2539" s="12" t="s">
        <v>338</v>
      </c>
      <c r="B2539" s="12" t="s">
        <v>570</v>
      </c>
      <c r="C2539" s="12" t="s">
        <v>558</v>
      </c>
      <c r="D2539" s="13">
        <v>0</v>
      </c>
      <c r="E2539" s="13">
        <v>0</v>
      </c>
      <c r="F2539" s="13">
        <v>0</v>
      </c>
      <c r="G2539" s="13">
        <v>0</v>
      </c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</row>
    <row r="2540" spans="1:19" x14ac:dyDescent="0.2">
      <c r="A2540" s="12" t="s">
        <v>338</v>
      </c>
      <c r="B2540" s="12" t="s">
        <v>570</v>
      </c>
      <c r="C2540" s="12" t="s">
        <v>560</v>
      </c>
      <c r="D2540" s="13">
        <v>0</v>
      </c>
      <c r="E2540" s="13">
        <v>0</v>
      </c>
      <c r="F2540" s="13">
        <v>0</v>
      </c>
      <c r="G2540" s="13">
        <v>0</v>
      </c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</row>
    <row r="2541" spans="1:19" x14ac:dyDescent="0.2">
      <c r="A2541" s="12" t="s">
        <v>338</v>
      </c>
      <c r="B2541" s="12" t="s">
        <v>570</v>
      </c>
      <c r="C2541" s="12" t="s">
        <v>561</v>
      </c>
      <c r="D2541" s="13">
        <v>0</v>
      </c>
      <c r="E2541" s="13">
        <v>0</v>
      </c>
      <c r="F2541" s="13">
        <v>0</v>
      </c>
      <c r="G2541" s="13">
        <v>0</v>
      </c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</row>
    <row r="2542" spans="1:19" x14ac:dyDescent="0.2">
      <c r="A2542" s="12" t="s">
        <v>338</v>
      </c>
      <c r="B2542" s="12" t="s">
        <v>570</v>
      </c>
      <c r="C2542" s="12" t="s">
        <v>562</v>
      </c>
      <c r="D2542" s="13">
        <v>0</v>
      </c>
      <c r="E2542" s="13">
        <v>0</v>
      </c>
      <c r="F2542" s="13">
        <v>0</v>
      </c>
      <c r="G2542" s="13">
        <v>0</v>
      </c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</row>
    <row r="2543" spans="1:19" x14ac:dyDescent="0.2">
      <c r="A2543" s="12" t="s">
        <v>338</v>
      </c>
      <c r="B2543" s="12" t="s">
        <v>570</v>
      </c>
      <c r="C2543" s="12" t="s">
        <v>563</v>
      </c>
      <c r="D2543" s="13">
        <v>0</v>
      </c>
      <c r="E2543" s="13">
        <v>0</v>
      </c>
      <c r="F2543" s="13">
        <v>0</v>
      </c>
      <c r="G2543" s="13">
        <v>0</v>
      </c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</row>
    <row r="2544" spans="1:19" x14ac:dyDescent="0.2">
      <c r="A2544" s="12" t="s">
        <v>338</v>
      </c>
      <c r="B2544" s="12" t="s">
        <v>570</v>
      </c>
      <c r="C2544" s="12" t="s">
        <v>564</v>
      </c>
      <c r="D2544" s="13">
        <v>0</v>
      </c>
      <c r="E2544" s="13">
        <v>0</v>
      </c>
      <c r="F2544" s="13">
        <v>0</v>
      </c>
      <c r="G2544" s="13">
        <v>0</v>
      </c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</row>
    <row r="2545" spans="1:19" x14ac:dyDescent="0.2">
      <c r="A2545" s="12" t="s">
        <v>338</v>
      </c>
      <c r="B2545" s="12" t="s">
        <v>570</v>
      </c>
      <c r="C2545" s="12" t="s">
        <v>565</v>
      </c>
      <c r="D2545" s="13">
        <v>0</v>
      </c>
      <c r="E2545" s="13">
        <v>0</v>
      </c>
      <c r="F2545" s="13">
        <v>0</v>
      </c>
      <c r="G2545" s="13">
        <v>0</v>
      </c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</row>
    <row r="2546" spans="1:19" x14ac:dyDescent="0.2">
      <c r="A2546" s="12" t="s">
        <v>338</v>
      </c>
      <c r="B2546" s="12" t="s">
        <v>570</v>
      </c>
      <c r="C2546" s="12" t="s">
        <v>566</v>
      </c>
      <c r="D2546" s="13">
        <v>0</v>
      </c>
      <c r="E2546" s="13">
        <v>0</v>
      </c>
      <c r="F2546" s="13">
        <v>0</v>
      </c>
      <c r="G2546" s="13">
        <v>0</v>
      </c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</row>
    <row r="2547" spans="1:19" x14ac:dyDescent="0.2">
      <c r="A2547" s="12" t="s">
        <v>338</v>
      </c>
      <c r="B2547" s="12" t="s">
        <v>571</v>
      </c>
      <c r="C2547" s="12" t="s">
        <v>554</v>
      </c>
      <c r="D2547" s="13">
        <v>13</v>
      </c>
      <c r="E2547" s="13">
        <v>12.920372</v>
      </c>
      <c r="F2547" s="13">
        <v>13.01085</v>
      </c>
      <c r="G2547" s="13">
        <v>12.191022999999999</v>
      </c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</row>
    <row r="2548" spans="1:19" x14ac:dyDescent="0.2">
      <c r="A2548" s="12" t="s">
        <v>338</v>
      </c>
      <c r="B2548" s="12" t="s">
        <v>571</v>
      </c>
      <c r="C2548" s="12" t="s">
        <v>555</v>
      </c>
      <c r="D2548" s="13">
        <v>7</v>
      </c>
      <c r="E2548" s="13">
        <v>6.5763619999999996</v>
      </c>
      <c r="F2548" s="13">
        <v>6.1635469999999994</v>
      </c>
      <c r="G2548" s="13">
        <v>6.3368770000000003</v>
      </c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</row>
    <row r="2549" spans="1:19" x14ac:dyDescent="0.2">
      <c r="A2549" s="12" t="s">
        <v>338</v>
      </c>
      <c r="B2549" s="12" t="s">
        <v>571</v>
      </c>
      <c r="C2549" s="12" t="s">
        <v>556</v>
      </c>
      <c r="D2549" s="13">
        <v>-1</v>
      </c>
      <c r="E2549" s="13">
        <v>-0.88927599999999996</v>
      </c>
      <c r="F2549" s="13">
        <v>-1.140949</v>
      </c>
      <c r="G2549" s="13">
        <v>-0.59606199999999998</v>
      </c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</row>
    <row r="2550" spans="1:19" x14ac:dyDescent="0.2">
      <c r="A2550" s="12" t="s">
        <v>338</v>
      </c>
      <c r="B2550" s="12" t="s">
        <v>571</v>
      </c>
      <c r="C2550" s="12" t="s">
        <v>557</v>
      </c>
      <c r="D2550" s="13">
        <v>18</v>
      </c>
      <c r="E2550" s="13">
        <v>18.610852999999999</v>
      </c>
      <c r="F2550" s="13">
        <v>18.052848999999998</v>
      </c>
      <c r="G2550" s="13">
        <v>17.957612000000001</v>
      </c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</row>
    <row r="2551" spans="1:19" x14ac:dyDescent="0.2">
      <c r="A2551" s="12" t="s">
        <v>338</v>
      </c>
      <c r="B2551" s="12" t="s">
        <v>571</v>
      </c>
      <c r="C2551" s="12" t="s">
        <v>558</v>
      </c>
      <c r="D2551" s="13">
        <v>-10</v>
      </c>
      <c r="E2551" s="13">
        <v>-10.412077999999999</v>
      </c>
      <c r="F2551" s="13">
        <v>-9.935963000000001</v>
      </c>
      <c r="G2551" s="13">
        <v>-10.319545</v>
      </c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</row>
    <row r="2552" spans="1:19" x14ac:dyDescent="0.2">
      <c r="A2552" s="12" t="s">
        <v>338</v>
      </c>
      <c r="B2552" s="12" t="s">
        <v>571</v>
      </c>
      <c r="C2552" s="12" t="s">
        <v>560</v>
      </c>
      <c r="D2552" s="13">
        <v>0</v>
      </c>
      <c r="E2552" s="13">
        <v>0</v>
      </c>
      <c r="F2552" s="13">
        <v>0</v>
      </c>
      <c r="G2552" s="13">
        <v>0</v>
      </c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</row>
    <row r="2553" spans="1:19" x14ac:dyDescent="0.2">
      <c r="A2553" s="12" t="s">
        <v>338</v>
      </c>
      <c r="B2553" s="12" t="s">
        <v>571</v>
      </c>
      <c r="C2553" s="12" t="s">
        <v>561</v>
      </c>
      <c r="D2553" s="13">
        <v>8</v>
      </c>
      <c r="E2553" s="13">
        <v>8.0256429999999988</v>
      </c>
      <c r="F2553" s="13">
        <v>7.9629080000000014</v>
      </c>
      <c r="G2553" s="13">
        <v>7.4590399999999999</v>
      </c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</row>
    <row r="2554" spans="1:19" x14ac:dyDescent="0.2">
      <c r="A2554" s="12" t="s">
        <v>338</v>
      </c>
      <c r="B2554" s="12" t="s">
        <v>571</v>
      </c>
      <c r="C2554" s="12" t="s">
        <v>562</v>
      </c>
      <c r="D2554" s="13">
        <v>1</v>
      </c>
      <c r="E2554" s="13">
        <v>1.405551</v>
      </c>
      <c r="F2554" s="13">
        <v>1.385429</v>
      </c>
      <c r="G2554" s="13">
        <v>0.89136099999999996</v>
      </c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</row>
    <row r="2555" spans="1:19" x14ac:dyDescent="0.2">
      <c r="A2555" s="12" t="s">
        <v>338</v>
      </c>
      <c r="B2555" s="12" t="s">
        <v>571</v>
      </c>
      <c r="C2555" s="12" t="s">
        <v>563</v>
      </c>
      <c r="D2555" s="13">
        <v>6</v>
      </c>
      <c r="E2555" s="13">
        <v>5.804081</v>
      </c>
      <c r="F2555" s="13">
        <v>5.4280690000000007</v>
      </c>
      <c r="G2555" s="13">
        <v>5.2522440000000001</v>
      </c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</row>
    <row r="2556" spans="1:19" x14ac:dyDescent="0.2">
      <c r="A2556" s="12" t="s">
        <v>338</v>
      </c>
      <c r="B2556" s="12" t="s">
        <v>571</v>
      </c>
      <c r="C2556" s="12" t="s">
        <v>564</v>
      </c>
      <c r="D2556" s="13">
        <v>1</v>
      </c>
      <c r="E2556" s="13">
        <v>0.77245200000000003</v>
      </c>
      <c r="F2556" s="13">
        <v>1.010392</v>
      </c>
      <c r="G2556" s="13">
        <v>1.2694080000000001</v>
      </c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</row>
    <row r="2557" spans="1:19" x14ac:dyDescent="0.2">
      <c r="A2557" s="12" t="s">
        <v>338</v>
      </c>
      <c r="B2557" s="12" t="s">
        <v>571</v>
      </c>
      <c r="C2557" s="12" t="s">
        <v>565</v>
      </c>
      <c r="D2557" s="13">
        <v>0</v>
      </c>
      <c r="E2557" s="13">
        <v>2.8427999999999998E-2</v>
      </c>
      <c r="F2557" s="13">
        <v>5.3289999999999997E-2</v>
      </c>
      <c r="G2557" s="13">
        <v>3.6638999999999998E-2</v>
      </c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</row>
    <row r="2558" spans="1:19" x14ac:dyDescent="0.2">
      <c r="A2558" s="12" t="s">
        <v>338</v>
      </c>
      <c r="B2558" s="12" t="s">
        <v>571</v>
      </c>
      <c r="C2558" s="12" t="s">
        <v>566</v>
      </c>
      <c r="D2558" s="13">
        <v>0</v>
      </c>
      <c r="E2558" s="13">
        <v>1.5131E-2</v>
      </c>
      <c r="F2558" s="13">
        <v>8.5729E-2</v>
      </c>
      <c r="G2558" s="13">
        <v>9.3870000000000012E-3</v>
      </c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</row>
    <row r="2559" spans="1:19" x14ac:dyDescent="0.2">
      <c r="A2559" s="12" t="s">
        <v>338</v>
      </c>
      <c r="B2559" s="12" t="s">
        <v>572</v>
      </c>
      <c r="C2559" s="12" t="s">
        <v>554</v>
      </c>
      <c r="D2559" s="13">
        <v>0</v>
      </c>
      <c r="E2559" s="13">
        <v>0</v>
      </c>
      <c r="F2559" s="13">
        <v>0</v>
      </c>
      <c r="G2559" s="13">
        <v>0</v>
      </c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</row>
    <row r="2560" spans="1:19" x14ac:dyDescent="0.2">
      <c r="A2560" s="12" t="s">
        <v>338</v>
      </c>
      <c r="B2560" s="12" t="s">
        <v>572</v>
      </c>
      <c r="C2560" s="12" t="s">
        <v>555</v>
      </c>
      <c r="D2560" s="13">
        <v>24</v>
      </c>
      <c r="E2560" s="13">
        <v>24.330490999999999</v>
      </c>
      <c r="F2560" s="13">
        <v>24.036912999999998</v>
      </c>
      <c r="G2560" s="13">
        <v>23.004439999999999</v>
      </c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</row>
    <row r="2561" spans="1:19" x14ac:dyDescent="0.2">
      <c r="A2561" s="12" t="s">
        <v>338</v>
      </c>
      <c r="B2561" s="12" t="s">
        <v>572</v>
      </c>
      <c r="C2561" s="12" t="s">
        <v>556</v>
      </c>
      <c r="D2561" s="13">
        <v>-4</v>
      </c>
      <c r="E2561" s="13">
        <v>-3.7336960000000001</v>
      </c>
      <c r="F2561" s="13">
        <v>-4.2114390000000004</v>
      </c>
      <c r="G2561" s="13">
        <v>-4.2758200000000004</v>
      </c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</row>
    <row r="2562" spans="1:19" x14ac:dyDescent="0.2">
      <c r="A2562" s="12" t="s">
        <v>338</v>
      </c>
      <c r="B2562" s="12" t="s">
        <v>572</v>
      </c>
      <c r="C2562" s="12" t="s">
        <v>557</v>
      </c>
      <c r="D2562" s="13">
        <v>20</v>
      </c>
      <c r="E2562" s="13">
        <v>20.596795</v>
      </c>
      <c r="F2562" s="13">
        <v>19.825474</v>
      </c>
      <c r="G2562" s="13">
        <v>18.728619999999999</v>
      </c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</row>
    <row r="2563" spans="1:19" x14ac:dyDescent="0.2">
      <c r="A2563" s="12" t="s">
        <v>338</v>
      </c>
      <c r="B2563" s="12" t="s">
        <v>572</v>
      </c>
      <c r="C2563" s="12" t="s">
        <v>558</v>
      </c>
      <c r="D2563" s="13">
        <v>4</v>
      </c>
      <c r="E2563" s="13">
        <v>4.4388999999999994</v>
      </c>
      <c r="F2563" s="13">
        <v>4.3150630000000003</v>
      </c>
      <c r="G2563" s="13">
        <v>4.9850720000000006</v>
      </c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</row>
    <row r="2564" spans="1:19" x14ac:dyDescent="0.2">
      <c r="A2564" s="12" t="s">
        <v>338</v>
      </c>
      <c r="B2564" s="12" t="s">
        <v>572</v>
      </c>
      <c r="C2564" s="12" t="s">
        <v>560</v>
      </c>
      <c r="D2564" s="13">
        <v>0</v>
      </c>
      <c r="E2564" s="13">
        <v>0</v>
      </c>
      <c r="F2564" s="13">
        <v>0</v>
      </c>
      <c r="G2564" s="13">
        <v>0</v>
      </c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</row>
    <row r="2565" spans="1:19" x14ac:dyDescent="0.2">
      <c r="A2565" s="12" t="s">
        <v>338</v>
      </c>
      <c r="B2565" s="12" t="s">
        <v>572</v>
      </c>
      <c r="C2565" s="12" t="s">
        <v>561</v>
      </c>
      <c r="D2565" s="13">
        <v>22</v>
      </c>
      <c r="E2565" s="13">
        <v>23.014286999999999</v>
      </c>
      <c r="F2565" s="13">
        <v>22.160267999999999</v>
      </c>
      <c r="G2565" s="13">
        <v>21.769572</v>
      </c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</row>
    <row r="2566" spans="1:19" x14ac:dyDescent="0.2">
      <c r="A2566" s="12" t="s">
        <v>338</v>
      </c>
      <c r="B2566" s="12" t="s">
        <v>572</v>
      </c>
      <c r="C2566" s="12" t="s">
        <v>562</v>
      </c>
      <c r="D2566" s="13">
        <v>10</v>
      </c>
      <c r="E2566" s="13">
        <v>10.606299</v>
      </c>
      <c r="F2566" s="13">
        <v>11.220151</v>
      </c>
      <c r="G2566" s="13">
        <v>10.456985</v>
      </c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</row>
    <row r="2567" spans="1:19" x14ac:dyDescent="0.2">
      <c r="A2567" s="12" t="s">
        <v>338</v>
      </c>
      <c r="B2567" s="12" t="s">
        <v>572</v>
      </c>
      <c r="C2567" s="12" t="s">
        <v>563</v>
      </c>
      <c r="D2567" s="13">
        <v>1</v>
      </c>
      <c r="E2567" s="13">
        <v>0.59840300000000002</v>
      </c>
      <c r="F2567" s="13">
        <v>0.68816300000000008</v>
      </c>
      <c r="G2567" s="13">
        <v>0.81688699999999992</v>
      </c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</row>
    <row r="2568" spans="1:19" x14ac:dyDescent="0.2">
      <c r="A2568" s="12" t="s">
        <v>338</v>
      </c>
      <c r="B2568" s="12" t="s">
        <v>572</v>
      </c>
      <c r="C2568" s="12" t="s">
        <v>564</v>
      </c>
      <c r="D2568" s="13">
        <v>3</v>
      </c>
      <c r="E2568" s="13">
        <v>3.3859780000000002</v>
      </c>
      <c r="F2568" s="13">
        <v>3.3625820000000002</v>
      </c>
      <c r="G2568" s="13">
        <v>3.314371</v>
      </c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</row>
    <row r="2569" spans="1:19" x14ac:dyDescent="0.2">
      <c r="A2569" s="12" t="s">
        <v>338</v>
      </c>
      <c r="B2569" s="12" t="s">
        <v>572</v>
      </c>
      <c r="C2569" s="12" t="s">
        <v>565</v>
      </c>
      <c r="D2569" s="13">
        <v>8</v>
      </c>
      <c r="E2569" s="13">
        <v>8.2989119999999996</v>
      </c>
      <c r="F2569" s="13">
        <v>6.7545809999999999</v>
      </c>
      <c r="G2569" s="13">
        <v>7.0478670000000001</v>
      </c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</row>
    <row r="2570" spans="1:19" x14ac:dyDescent="0.2">
      <c r="A2570" s="12" t="s">
        <v>338</v>
      </c>
      <c r="B2570" s="12" t="s">
        <v>572</v>
      </c>
      <c r="C2570" s="12" t="s">
        <v>566</v>
      </c>
      <c r="D2570" s="13">
        <v>0</v>
      </c>
      <c r="E2570" s="13">
        <v>0.124695</v>
      </c>
      <c r="F2570" s="13">
        <v>0.13478599999999999</v>
      </c>
      <c r="G2570" s="13">
        <v>0.13345799999999999</v>
      </c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</row>
    <row r="2571" spans="1:19" x14ac:dyDescent="0.2">
      <c r="A2571" s="12" t="s">
        <v>338</v>
      </c>
      <c r="B2571" s="12" t="s">
        <v>573</v>
      </c>
      <c r="C2571" s="12" t="s">
        <v>554</v>
      </c>
      <c r="D2571" s="13">
        <v>0</v>
      </c>
      <c r="E2571" s="13">
        <v>0</v>
      </c>
      <c r="F2571" s="13">
        <v>0</v>
      </c>
      <c r="G2571" s="13">
        <v>0</v>
      </c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</row>
    <row r="2572" spans="1:19" x14ac:dyDescent="0.2">
      <c r="A2572" s="12" t="s">
        <v>338</v>
      </c>
      <c r="B2572" s="12" t="s">
        <v>573</v>
      </c>
      <c r="C2572" s="12" t="s">
        <v>555</v>
      </c>
      <c r="D2572" s="13">
        <v>0</v>
      </c>
      <c r="E2572" s="13">
        <v>0</v>
      </c>
      <c r="F2572" s="13">
        <v>0</v>
      </c>
      <c r="G2572" s="13">
        <v>0</v>
      </c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</row>
    <row r="2573" spans="1:19" x14ac:dyDescent="0.2">
      <c r="A2573" s="12" t="s">
        <v>338</v>
      </c>
      <c r="B2573" s="12" t="s">
        <v>573</v>
      </c>
      <c r="C2573" s="12" t="s">
        <v>556</v>
      </c>
      <c r="D2573" s="13">
        <v>0</v>
      </c>
      <c r="E2573" s="13">
        <v>0</v>
      </c>
      <c r="F2573" s="13">
        <v>0</v>
      </c>
      <c r="G2573" s="13">
        <v>0</v>
      </c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</row>
    <row r="2574" spans="1:19" x14ac:dyDescent="0.2">
      <c r="A2574" s="12" t="s">
        <v>338</v>
      </c>
      <c r="B2574" s="12" t="s">
        <v>573</v>
      </c>
      <c r="C2574" s="12" t="s">
        <v>557</v>
      </c>
      <c r="D2574" s="13">
        <v>0</v>
      </c>
      <c r="E2574" s="13">
        <v>0</v>
      </c>
      <c r="F2574" s="13">
        <v>0</v>
      </c>
      <c r="G2574" s="13">
        <v>0</v>
      </c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</row>
    <row r="2575" spans="1:19" x14ac:dyDescent="0.2">
      <c r="A2575" s="12" t="s">
        <v>338</v>
      </c>
      <c r="B2575" s="12" t="s">
        <v>573</v>
      </c>
      <c r="C2575" s="12" t="s">
        <v>558</v>
      </c>
      <c r="D2575" s="13">
        <v>6</v>
      </c>
      <c r="E2575" s="13">
        <v>6.1224869999999996</v>
      </c>
      <c r="F2575" s="13">
        <v>5.4051170000000006</v>
      </c>
      <c r="G2575" s="13">
        <v>5.0513870000000001</v>
      </c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</row>
    <row r="2576" spans="1:19" x14ac:dyDescent="0.2">
      <c r="A2576" s="12" t="s">
        <v>338</v>
      </c>
      <c r="B2576" s="12" t="s">
        <v>573</v>
      </c>
      <c r="C2576" s="12" t="s">
        <v>560</v>
      </c>
      <c r="D2576" s="13">
        <v>0</v>
      </c>
      <c r="E2576" s="13">
        <v>0</v>
      </c>
      <c r="F2576" s="13">
        <v>0</v>
      </c>
      <c r="G2576" s="13">
        <v>0</v>
      </c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</row>
    <row r="2577" spans="1:19" x14ac:dyDescent="0.2">
      <c r="A2577" s="12" t="s">
        <v>338</v>
      </c>
      <c r="B2577" s="12" t="s">
        <v>573</v>
      </c>
      <c r="C2577" s="12" t="s">
        <v>561</v>
      </c>
      <c r="D2577" s="13">
        <v>5</v>
      </c>
      <c r="E2577" s="13">
        <v>5.4261010000000001</v>
      </c>
      <c r="F2577" s="13">
        <v>5.0825780000000007</v>
      </c>
      <c r="G2577" s="13">
        <v>4.7807520000000006</v>
      </c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</row>
    <row r="2578" spans="1:19" x14ac:dyDescent="0.2">
      <c r="A2578" s="12" t="s">
        <v>338</v>
      </c>
      <c r="B2578" s="12" t="s">
        <v>573</v>
      </c>
      <c r="C2578" s="12" t="s">
        <v>562</v>
      </c>
      <c r="D2578" s="13">
        <v>0</v>
      </c>
      <c r="E2578" s="13">
        <v>7.949500000000001E-2</v>
      </c>
      <c r="F2578" s="13">
        <v>7.3135000000000006E-2</v>
      </c>
      <c r="G2578" s="13">
        <v>7.7104000000000006E-2</v>
      </c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</row>
    <row r="2579" spans="1:19" x14ac:dyDescent="0.2">
      <c r="A2579" s="12" t="s">
        <v>338</v>
      </c>
      <c r="B2579" s="12" t="s">
        <v>573</v>
      </c>
      <c r="C2579" s="12" t="s">
        <v>563</v>
      </c>
      <c r="D2579" s="13">
        <v>0</v>
      </c>
      <c r="E2579" s="13">
        <v>0</v>
      </c>
      <c r="F2579" s="13">
        <v>0</v>
      </c>
      <c r="G2579" s="13">
        <v>0</v>
      </c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</row>
    <row r="2580" spans="1:19" x14ac:dyDescent="0.2">
      <c r="A2580" s="12" t="s">
        <v>338</v>
      </c>
      <c r="B2580" s="12" t="s">
        <v>573</v>
      </c>
      <c r="C2580" s="12" t="s">
        <v>564</v>
      </c>
      <c r="D2580" s="13">
        <v>0</v>
      </c>
      <c r="E2580" s="13">
        <v>0</v>
      </c>
      <c r="F2580" s="13">
        <v>0</v>
      </c>
      <c r="G2580" s="13">
        <v>0</v>
      </c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</row>
    <row r="2581" spans="1:19" x14ac:dyDescent="0.2">
      <c r="A2581" s="12" t="s">
        <v>338</v>
      </c>
      <c r="B2581" s="12" t="s">
        <v>573</v>
      </c>
      <c r="C2581" s="12" t="s">
        <v>565</v>
      </c>
      <c r="D2581" s="13">
        <v>5</v>
      </c>
      <c r="E2581" s="13">
        <v>5.346552</v>
      </c>
      <c r="F2581" s="13">
        <v>4.6962000000000002</v>
      </c>
      <c r="G2581" s="13">
        <v>4.3667949999999998</v>
      </c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</row>
    <row r="2582" spans="1:19" x14ac:dyDescent="0.2">
      <c r="A2582" s="12" t="s">
        <v>338</v>
      </c>
      <c r="B2582" s="12" t="s">
        <v>573</v>
      </c>
      <c r="C2582" s="12" t="s">
        <v>566</v>
      </c>
      <c r="D2582" s="13">
        <v>0</v>
      </c>
      <c r="E2582" s="13">
        <v>5.8999999999999998E-5</v>
      </c>
      <c r="F2582" s="13">
        <v>0.31324400000000002</v>
      </c>
      <c r="G2582" s="13">
        <v>0.33685700000000002</v>
      </c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</row>
    <row r="2583" spans="1:19" x14ac:dyDescent="0.2">
      <c r="A2583" s="12" t="s">
        <v>338</v>
      </c>
      <c r="B2583" s="12" t="s">
        <v>574</v>
      </c>
      <c r="C2583" s="12" t="s">
        <v>554</v>
      </c>
      <c r="D2583" s="13">
        <v>13</v>
      </c>
      <c r="E2583" s="13">
        <v>12.920373</v>
      </c>
      <c r="F2583" s="13">
        <v>13.010849</v>
      </c>
      <c r="G2583" s="13">
        <v>12.191024000000001</v>
      </c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</row>
    <row r="2584" spans="1:19" x14ac:dyDescent="0.2">
      <c r="A2584" s="12" t="s">
        <v>338</v>
      </c>
      <c r="B2584" s="12" t="s">
        <v>574</v>
      </c>
      <c r="C2584" s="12" t="s">
        <v>555</v>
      </c>
      <c r="D2584" s="13">
        <v>159</v>
      </c>
      <c r="E2584" s="13">
        <v>168.33084199999999</v>
      </c>
      <c r="F2584" s="13">
        <v>152.061059</v>
      </c>
      <c r="G2584" s="13">
        <v>145.32263499999999</v>
      </c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</row>
    <row r="2585" spans="1:19" x14ac:dyDescent="0.2">
      <c r="A2585" s="12" t="s">
        <v>338</v>
      </c>
      <c r="B2585" s="12" t="s">
        <v>574</v>
      </c>
      <c r="C2585" s="12" t="s">
        <v>556</v>
      </c>
      <c r="D2585" s="13">
        <v>-5</v>
      </c>
      <c r="E2585" s="13">
        <v>-4.6578989999999996</v>
      </c>
      <c r="F2585" s="13">
        <v>-5.3940809999999999</v>
      </c>
      <c r="G2585" s="13">
        <v>-4.9035219999999997</v>
      </c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</row>
    <row r="2586" spans="1:19" x14ac:dyDescent="0.2">
      <c r="A2586" s="12" t="s">
        <v>338</v>
      </c>
      <c r="B2586" s="12" t="s">
        <v>574</v>
      </c>
      <c r="C2586" s="12" t="s">
        <v>557</v>
      </c>
      <c r="D2586" s="13">
        <v>143</v>
      </c>
      <c r="E2586" s="13">
        <v>150.90381099999999</v>
      </c>
      <c r="F2586" s="13">
        <v>132.973555</v>
      </c>
      <c r="G2586" s="13">
        <v>128.13753299999999</v>
      </c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</row>
    <row r="2587" spans="1:19" x14ac:dyDescent="0.2">
      <c r="A2587" s="12" t="s">
        <v>338</v>
      </c>
      <c r="B2587" s="12" t="s">
        <v>574</v>
      </c>
      <c r="C2587" s="12" t="s">
        <v>558</v>
      </c>
      <c r="D2587" s="13">
        <v>-2</v>
      </c>
      <c r="E2587" s="13">
        <v>-2.631856</v>
      </c>
      <c r="F2587" s="13">
        <v>-2.3561459999999999</v>
      </c>
      <c r="G2587" s="13">
        <v>-1.857202</v>
      </c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</row>
    <row r="2588" spans="1:19" x14ac:dyDescent="0.2">
      <c r="A2588" s="12" t="s">
        <v>338</v>
      </c>
      <c r="B2588" s="12" t="s">
        <v>574</v>
      </c>
      <c r="C2588" s="12" t="s">
        <v>560</v>
      </c>
      <c r="D2588" s="13">
        <v>0</v>
      </c>
      <c r="E2588" s="13">
        <v>0</v>
      </c>
      <c r="F2588" s="13">
        <v>0</v>
      </c>
      <c r="G2588" s="13">
        <v>0</v>
      </c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</row>
    <row r="2589" spans="1:19" x14ac:dyDescent="0.2">
      <c r="A2589" s="12" t="s">
        <v>338</v>
      </c>
      <c r="B2589" s="12" t="s">
        <v>574</v>
      </c>
      <c r="C2589" s="12" t="s">
        <v>561</v>
      </c>
      <c r="D2589" s="13">
        <v>138</v>
      </c>
      <c r="E2589" s="13">
        <v>145.54162500000001</v>
      </c>
      <c r="F2589" s="13">
        <v>128.297113</v>
      </c>
      <c r="G2589" s="13">
        <v>124.03338100000001</v>
      </c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</row>
    <row r="2590" spans="1:19" x14ac:dyDescent="0.2">
      <c r="A2590" s="12" t="s">
        <v>338</v>
      </c>
      <c r="B2590" s="12" t="s">
        <v>574</v>
      </c>
      <c r="C2590" s="12" t="s">
        <v>562</v>
      </c>
      <c r="D2590" s="13">
        <v>24</v>
      </c>
      <c r="E2590" s="13">
        <v>25.418695</v>
      </c>
      <c r="F2590" s="13">
        <v>22.765150999999999</v>
      </c>
      <c r="G2590" s="13">
        <v>20.408213</v>
      </c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</row>
    <row r="2591" spans="1:19" x14ac:dyDescent="0.2">
      <c r="A2591" s="12" t="s">
        <v>338</v>
      </c>
      <c r="B2591" s="12" t="s">
        <v>574</v>
      </c>
      <c r="C2591" s="12" t="s">
        <v>563</v>
      </c>
      <c r="D2591" s="13">
        <v>70</v>
      </c>
      <c r="E2591" s="13">
        <v>74.591388000000009</v>
      </c>
      <c r="F2591" s="13">
        <v>65.507396999999997</v>
      </c>
      <c r="G2591" s="13">
        <v>63.661479</v>
      </c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</row>
    <row r="2592" spans="1:19" x14ac:dyDescent="0.2">
      <c r="A2592" s="12" t="s">
        <v>338</v>
      </c>
      <c r="B2592" s="12" t="s">
        <v>574</v>
      </c>
      <c r="C2592" s="12" t="s">
        <v>564</v>
      </c>
      <c r="D2592" s="13">
        <v>21</v>
      </c>
      <c r="E2592" s="13">
        <v>19.878240000000002</v>
      </c>
      <c r="F2592" s="13">
        <v>18.792442999999999</v>
      </c>
      <c r="G2592" s="13">
        <v>18.907384</v>
      </c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</row>
    <row r="2593" spans="1:19" x14ac:dyDescent="0.2">
      <c r="A2593" s="12" t="s">
        <v>338</v>
      </c>
      <c r="B2593" s="12" t="s">
        <v>574</v>
      </c>
      <c r="C2593" s="12" t="s">
        <v>565</v>
      </c>
      <c r="D2593" s="13">
        <v>21</v>
      </c>
      <c r="E2593" s="13">
        <v>23.243987000000001</v>
      </c>
      <c r="F2593" s="13">
        <v>18.792535999999998</v>
      </c>
      <c r="G2593" s="13">
        <v>18.47428</v>
      </c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</row>
    <row r="2594" spans="1:19" x14ac:dyDescent="0.2">
      <c r="A2594" s="12" t="s">
        <v>338</v>
      </c>
      <c r="B2594" s="12" t="s">
        <v>574</v>
      </c>
      <c r="C2594" s="12" t="s">
        <v>566</v>
      </c>
      <c r="D2594" s="13">
        <v>2</v>
      </c>
      <c r="E2594" s="13">
        <v>2.409319</v>
      </c>
      <c r="F2594" s="13">
        <v>2.4395899999999999</v>
      </c>
      <c r="G2594" s="13">
        <v>2.5820240000000001</v>
      </c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</row>
    <row r="2595" spans="1:19" x14ac:dyDescent="0.2">
      <c r="A2595" s="12" t="s">
        <v>351</v>
      </c>
      <c r="B2595" s="12" t="s">
        <v>553</v>
      </c>
      <c r="C2595" s="12" t="s">
        <v>554</v>
      </c>
      <c r="D2595" s="13">
        <v>184</v>
      </c>
      <c r="E2595" s="13">
        <v>129.163027</v>
      </c>
      <c r="F2595" s="13">
        <v>129.19513599999999</v>
      </c>
      <c r="G2595" s="13">
        <v>121.443426</v>
      </c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</row>
    <row r="2596" spans="1:19" x14ac:dyDescent="0.2">
      <c r="A2596" s="12" t="s">
        <v>351</v>
      </c>
      <c r="B2596" s="12" t="s">
        <v>553</v>
      </c>
      <c r="C2596" s="12" t="s">
        <v>555</v>
      </c>
      <c r="D2596" s="13">
        <v>178</v>
      </c>
      <c r="E2596" s="13">
        <v>190.81872300000001</v>
      </c>
      <c r="F2596" s="13">
        <v>254.36155199999999</v>
      </c>
      <c r="G2596" s="13">
        <v>285.99185499999999</v>
      </c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</row>
    <row r="2597" spans="1:19" x14ac:dyDescent="0.2">
      <c r="A2597" s="12" t="s">
        <v>351</v>
      </c>
      <c r="B2597" s="12" t="s">
        <v>553</v>
      </c>
      <c r="C2597" s="12" t="s">
        <v>556</v>
      </c>
      <c r="D2597" s="13">
        <v>0</v>
      </c>
      <c r="E2597" s="13">
        <v>-0.10199900000000001</v>
      </c>
      <c r="F2597" s="13">
        <v>-0.10199900000000001</v>
      </c>
      <c r="G2597" s="13">
        <v>-0.13064899999999999</v>
      </c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</row>
    <row r="2598" spans="1:19" x14ac:dyDescent="0.2">
      <c r="A2598" s="12" t="s">
        <v>351</v>
      </c>
      <c r="B2598" s="12" t="s">
        <v>553</v>
      </c>
      <c r="C2598" s="12" t="s">
        <v>557</v>
      </c>
      <c r="D2598" s="13">
        <v>369</v>
      </c>
      <c r="E2598" s="13">
        <v>319.00046500000002</v>
      </c>
      <c r="F2598" s="13">
        <v>383.87394300000011</v>
      </c>
      <c r="G2598" s="13">
        <v>424.38737900000001</v>
      </c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</row>
    <row r="2599" spans="1:19" x14ac:dyDescent="0.2">
      <c r="A2599" s="12" t="s">
        <v>351</v>
      </c>
      <c r="B2599" s="12" t="s">
        <v>553</v>
      </c>
      <c r="C2599" s="12" t="s">
        <v>558</v>
      </c>
      <c r="D2599" s="13">
        <v>-187</v>
      </c>
      <c r="E2599" s="13">
        <v>-195.75552500000001</v>
      </c>
      <c r="F2599" s="13">
        <v>-274.25890099999998</v>
      </c>
      <c r="G2599" s="13">
        <v>-356.523437</v>
      </c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</row>
    <row r="2600" spans="1:19" x14ac:dyDescent="0.2">
      <c r="A2600" s="12" t="s">
        <v>351</v>
      </c>
      <c r="B2600" s="12" t="s">
        <v>553</v>
      </c>
      <c r="C2600" s="12" t="s">
        <v>560</v>
      </c>
      <c r="D2600" s="13">
        <v>0</v>
      </c>
      <c r="E2600" s="13">
        <v>0</v>
      </c>
      <c r="F2600" s="13">
        <v>0</v>
      </c>
      <c r="G2600" s="13">
        <v>0</v>
      </c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</row>
    <row r="2601" spans="1:19" x14ac:dyDescent="0.2">
      <c r="A2601" s="12" t="s">
        <v>351</v>
      </c>
      <c r="B2601" s="12" t="s">
        <v>553</v>
      </c>
      <c r="C2601" s="12" t="s">
        <v>561</v>
      </c>
      <c r="D2601" s="13">
        <v>106</v>
      </c>
      <c r="E2601" s="13">
        <v>51.691747999999997</v>
      </c>
      <c r="F2601" s="13">
        <v>69.30616400000001</v>
      </c>
      <c r="G2601" s="13">
        <v>60.952272000000001</v>
      </c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</row>
    <row r="2602" spans="1:19" x14ac:dyDescent="0.2">
      <c r="A2602" s="12" t="s">
        <v>351</v>
      </c>
      <c r="B2602" s="12" t="s">
        <v>553</v>
      </c>
      <c r="C2602" s="12" t="s">
        <v>562</v>
      </c>
      <c r="D2602" s="13">
        <v>103</v>
      </c>
      <c r="E2602" s="13">
        <v>49.337607000000013</v>
      </c>
      <c r="F2602" s="13">
        <v>67.024128000000005</v>
      </c>
      <c r="G2602" s="13">
        <v>60.952272000000001</v>
      </c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</row>
    <row r="2603" spans="1:19" x14ac:dyDescent="0.2">
      <c r="A2603" s="12" t="s">
        <v>351</v>
      </c>
      <c r="B2603" s="12" t="s">
        <v>553</v>
      </c>
      <c r="C2603" s="12" t="s">
        <v>563</v>
      </c>
      <c r="D2603" s="13">
        <v>0</v>
      </c>
      <c r="E2603" s="13">
        <v>0</v>
      </c>
      <c r="F2603" s="13">
        <v>0</v>
      </c>
      <c r="G2603" s="13">
        <v>0</v>
      </c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</row>
    <row r="2604" spans="1:19" x14ac:dyDescent="0.2">
      <c r="A2604" s="12" t="s">
        <v>351</v>
      </c>
      <c r="B2604" s="12" t="s">
        <v>553</v>
      </c>
      <c r="C2604" s="12" t="s">
        <v>564</v>
      </c>
      <c r="D2604" s="13">
        <v>0</v>
      </c>
      <c r="E2604" s="13">
        <v>0</v>
      </c>
      <c r="F2604" s="13">
        <v>0</v>
      </c>
      <c r="G2604" s="13">
        <v>0</v>
      </c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</row>
    <row r="2605" spans="1:19" x14ac:dyDescent="0.2">
      <c r="A2605" s="12" t="s">
        <v>351</v>
      </c>
      <c r="B2605" s="12" t="s">
        <v>553</v>
      </c>
      <c r="C2605" s="12" t="s">
        <v>565</v>
      </c>
      <c r="D2605" s="13">
        <v>0</v>
      </c>
      <c r="E2605" s="13">
        <v>0</v>
      </c>
      <c r="F2605" s="13">
        <v>0</v>
      </c>
      <c r="G2605" s="13">
        <v>0</v>
      </c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</row>
    <row r="2606" spans="1:19" x14ac:dyDescent="0.2">
      <c r="A2606" s="12" t="s">
        <v>351</v>
      </c>
      <c r="B2606" s="12" t="s">
        <v>553</v>
      </c>
      <c r="C2606" s="12" t="s">
        <v>566</v>
      </c>
      <c r="D2606" s="13">
        <v>3</v>
      </c>
      <c r="E2606" s="13">
        <v>2.3541409999999998</v>
      </c>
      <c r="F2606" s="13">
        <v>2.2820360000000002</v>
      </c>
      <c r="G2606" s="13">
        <v>0</v>
      </c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</row>
    <row r="2607" spans="1:19" x14ac:dyDescent="0.2">
      <c r="A2607" s="12" t="s">
        <v>351</v>
      </c>
      <c r="B2607" s="12" t="s">
        <v>567</v>
      </c>
      <c r="C2607" s="12" t="s">
        <v>554</v>
      </c>
      <c r="D2607" s="13">
        <v>4099</v>
      </c>
      <c r="E2607" s="13">
        <v>4138.97768</v>
      </c>
      <c r="F2607" s="13">
        <v>4156.8561529999997</v>
      </c>
      <c r="G2607" s="13">
        <v>4279.6302320000004</v>
      </c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</row>
    <row r="2608" spans="1:19" x14ac:dyDescent="0.2">
      <c r="A2608" s="12" t="s">
        <v>351</v>
      </c>
      <c r="B2608" s="12" t="s">
        <v>567</v>
      </c>
      <c r="C2608" s="12" t="s">
        <v>555</v>
      </c>
      <c r="D2608" s="13">
        <v>18</v>
      </c>
      <c r="E2608" s="13">
        <v>21.522760000000002</v>
      </c>
      <c r="F2608" s="13">
        <v>30.683554000000001</v>
      </c>
      <c r="G2608" s="13">
        <v>48.971089999999997</v>
      </c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</row>
    <row r="2609" spans="1:19" x14ac:dyDescent="0.2">
      <c r="A2609" s="12" t="s">
        <v>351</v>
      </c>
      <c r="B2609" s="12" t="s">
        <v>567</v>
      </c>
      <c r="C2609" s="12" t="s">
        <v>556</v>
      </c>
      <c r="D2609" s="13">
        <v>-2590</v>
      </c>
      <c r="E2609" s="13">
        <v>-2351.7919750000001</v>
      </c>
      <c r="F2609" s="13">
        <v>-2180.192481</v>
      </c>
      <c r="G2609" s="13">
        <v>-2338.782788</v>
      </c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</row>
    <row r="2610" spans="1:19" x14ac:dyDescent="0.2">
      <c r="A2610" s="12" t="s">
        <v>351</v>
      </c>
      <c r="B2610" s="12" t="s">
        <v>567</v>
      </c>
      <c r="C2610" s="12" t="s">
        <v>557</v>
      </c>
      <c r="D2610" s="13">
        <v>1599</v>
      </c>
      <c r="E2610" s="13">
        <v>1795.264181</v>
      </c>
      <c r="F2610" s="13">
        <v>2005.6503740000001</v>
      </c>
      <c r="G2610" s="13">
        <v>1990.5581870000001</v>
      </c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</row>
    <row r="2611" spans="1:19" x14ac:dyDescent="0.2">
      <c r="A2611" s="12" t="s">
        <v>351</v>
      </c>
      <c r="B2611" s="12" t="s">
        <v>567</v>
      </c>
      <c r="C2611" s="12" t="s">
        <v>558</v>
      </c>
      <c r="D2611" s="13">
        <v>0</v>
      </c>
      <c r="E2611" s="13">
        <v>0</v>
      </c>
      <c r="F2611" s="13">
        <v>0</v>
      </c>
      <c r="G2611" s="13">
        <v>0</v>
      </c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</row>
    <row r="2612" spans="1:19" x14ac:dyDescent="0.2">
      <c r="A2612" s="12" t="s">
        <v>351</v>
      </c>
      <c r="B2612" s="12" t="s">
        <v>567</v>
      </c>
      <c r="C2612" s="12" t="s">
        <v>560</v>
      </c>
      <c r="D2612" s="13">
        <v>-1430</v>
      </c>
      <c r="E2612" s="13">
        <v>-1695.6623529999999</v>
      </c>
      <c r="F2612" s="13">
        <v>-1942.307348</v>
      </c>
      <c r="G2612" s="13">
        <v>-1951.41867</v>
      </c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</row>
    <row r="2613" spans="1:19" x14ac:dyDescent="0.2">
      <c r="A2613" s="12" t="s">
        <v>351</v>
      </c>
      <c r="B2613" s="12" t="s">
        <v>567</v>
      </c>
      <c r="C2613" s="12" t="s">
        <v>561</v>
      </c>
      <c r="D2613" s="13">
        <v>0</v>
      </c>
      <c r="E2613" s="13">
        <v>0</v>
      </c>
      <c r="F2613" s="13">
        <v>0</v>
      </c>
      <c r="G2613" s="13">
        <v>0</v>
      </c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</row>
    <row r="2614" spans="1:19" x14ac:dyDescent="0.2">
      <c r="A2614" s="12" t="s">
        <v>351</v>
      </c>
      <c r="B2614" s="12" t="s">
        <v>567</v>
      </c>
      <c r="C2614" s="12" t="s">
        <v>562</v>
      </c>
      <c r="D2614" s="13">
        <v>0</v>
      </c>
      <c r="E2614" s="13">
        <v>0</v>
      </c>
      <c r="F2614" s="13">
        <v>0</v>
      </c>
      <c r="G2614" s="13">
        <v>0</v>
      </c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</row>
    <row r="2615" spans="1:19" x14ac:dyDescent="0.2">
      <c r="A2615" s="12" t="s">
        <v>351</v>
      </c>
      <c r="B2615" s="12" t="s">
        <v>567</v>
      </c>
      <c r="C2615" s="12" t="s">
        <v>563</v>
      </c>
      <c r="D2615" s="13">
        <v>0</v>
      </c>
      <c r="E2615" s="13">
        <v>0</v>
      </c>
      <c r="F2615" s="13">
        <v>0</v>
      </c>
      <c r="G2615" s="13">
        <v>0</v>
      </c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</row>
    <row r="2616" spans="1:19" x14ac:dyDescent="0.2">
      <c r="A2616" s="12" t="s">
        <v>351</v>
      </c>
      <c r="B2616" s="12" t="s">
        <v>567</v>
      </c>
      <c r="C2616" s="12" t="s">
        <v>564</v>
      </c>
      <c r="D2616" s="13">
        <v>0</v>
      </c>
      <c r="E2616" s="13">
        <v>0</v>
      </c>
      <c r="F2616" s="13">
        <v>0</v>
      </c>
      <c r="G2616" s="13">
        <v>0</v>
      </c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</row>
    <row r="2617" spans="1:19" x14ac:dyDescent="0.2">
      <c r="A2617" s="12" t="s">
        <v>351</v>
      </c>
      <c r="B2617" s="12" t="s">
        <v>567</v>
      </c>
      <c r="C2617" s="12" t="s">
        <v>565</v>
      </c>
      <c r="D2617" s="13">
        <v>0</v>
      </c>
      <c r="E2617" s="13">
        <v>0</v>
      </c>
      <c r="F2617" s="13">
        <v>0</v>
      </c>
      <c r="G2617" s="13">
        <v>0</v>
      </c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</row>
    <row r="2618" spans="1:19" x14ac:dyDescent="0.2">
      <c r="A2618" s="12" t="s">
        <v>351</v>
      </c>
      <c r="B2618" s="12" t="s">
        <v>567</v>
      </c>
      <c r="C2618" s="12" t="s">
        <v>566</v>
      </c>
      <c r="D2618" s="13">
        <v>0</v>
      </c>
      <c r="E2618" s="13">
        <v>0</v>
      </c>
      <c r="F2618" s="13">
        <v>0</v>
      </c>
      <c r="G2618" s="13">
        <v>0</v>
      </c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</row>
    <row r="2619" spans="1:19" x14ac:dyDescent="0.2">
      <c r="A2619" s="12" t="s">
        <v>351</v>
      </c>
      <c r="B2619" s="12" t="s">
        <v>568</v>
      </c>
      <c r="C2619" s="12" t="s">
        <v>554</v>
      </c>
      <c r="D2619" s="13">
        <v>0</v>
      </c>
      <c r="E2619" s="13">
        <v>0</v>
      </c>
      <c r="F2619" s="13">
        <v>0</v>
      </c>
      <c r="G2619" s="13">
        <v>0</v>
      </c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</row>
    <row r="2620" spans="1:19" x14ac:dyDescent="0.2">
      <c r="A2620" s="12" t="s">
        <v>351</v>
      </c>
      <c r="B2620" s="12" t="s">
        <v>568</v>
      </c>
      <c r="C2620" s="12" t="s">
        <v>555</v>
      </c>
      <c r="D2620" s="13">
        <v>1846</v>
      </c>
      <c r="E2620" s="13">
        <v>1992.429302</v>
      </c>
      <c r="F2620" s="13">
        <v>2048.164201</v>
      </c>
      <c r="G2620" s="13">
        <v>2006.2938019999999</v>
      </c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</row>
    <row r="2621" spans="1:19" x14ac:dyDescent="0.2">
      <c r="A2621" s="12" t="s">
        <v>351</v>
      </c>
      <c r="B2621" s="12" t="s">
        <v>568</v>
      </c>
      <c r="C2621" s="12" t="s">
        <v>556</v>
      </c>
      <c r="D2621" s="13">
        <v>-306</v>
      </c>
      <c r="E2621" s="13">
        <v>-383.55260099999998</v>
      </c>
      <c r="F2621" s="13">
        <v>-446.16719999999998</v>
      </c>
      <c r="G2621" s="13">
        <v>-433.78859999999997</v>
      </c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</row>
    <row r="2622" spans="1:19" x14ac:dyDescent="0.2">
      <c r="A2622" s="12" t="s">
        <v>351</v>
      </c>
      <c r="B2622" s="12" t="s">
        <v>568</v>
      </c>
      <c r="C2622" s="12" t="s">
        <v>557</v>
      </c>
      <c r="D2622" s="13">
        <v>1466</v>
      </c>
      <c r="E2622" s="13">
        <v>1537.9998989999999</v>
      </c>
      <c r="F2622" s="13">
        <v>1482.6886039999999</v>
      </c>
      <c r="G2622" s="13">
        <v>1445.5325459999999</v>
      </c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</row>
    <row r="2623" spans="1:19" x14ac:dyDescent="0.2">
      <c r="A2623" s="12" t="s">
        <v>351</v>
      </c>
      <c r="B2623" s="12" t="s">
        <v>568</v>
      </c>
      <c r="C2623" s="12" t="s">
        <v>558</v>
      </c>
      <c r="D2623" s="13">
        <v>-436</v>
      </c>
      <c r="E2623" s="13">
        <v>-448.06459999999998</v>
      </c>
      <c r="F2623" s="13">
        <v>-248.579804</v>
      </c>
      <c r="G2623" s="13">
        <v>-281.06780199999997</v>
      </c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</row>
    <row r="2624" spans="1:19" x14ac:dyDescent="0.2">
      <c r="A2624" s="12" t="s">
        <v>351</v>
      </c>
      <c r="B2624" s="12" t="s">
        <v>568</v>
      </c>
      <c r="C2624" s="12" t="s">
        <v>560</v>
      </c>
      <c r="D2624" s="13">
        <v>1370</v>
      </c>
      <c r="E2624" s="13">
        <v>1615.6014</v>
      </c>
      <c r="F2624" s="13">
        <v>1860.6010000000001</v>
      </c>
      <c r="G2624" s="13">
        <v>1832.643998</v>
      </c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</row>
    <row r="2625" spans="1:19" x14ac:dyDescent="0.2">
      <c r="A2625" s="12" t="s">
        <v>351</v>
      </c>
      <c r="B2625" s="12" t="s">
        <v>568</v>
      </c>
      <c r="C2625" s="12" t="s">
        <v>561</v>
      </c>
      <c r="D2625" s="13">
        <v>2522</v>
      </c>
      <c r="E2625" s="13">
        <v>2529.0205970000002</v>
      </c>
      <c r="F2625" s="13">
        <v>3020.183826</v>
      </c>
      <c r="G2625" s="13">
        <v>2963.910844</v>
      </c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</row>
    <row r="2626" spans="1:19" x14ac:dyDescent="0.2">
      <c r="A2626" s="12" t="s">
        <v>351</v>
      </c>
      <c r="B2626" s="12" t="s">
        <v>568</v>
      </c>
      <c r="C2626" s="12" t="s">
        <v>562</v>
      </c>
      <c r="D2626" s="13">
        <v>224</v>
      </c>
      <c r="E2626" s="13">
        <v>225.61420000000001</v>
      </c>
      <c r="F2626" s="13">
        <v>224.273922</v>
      </c>
      <c r="G2626" s="13">
        <v>220.775001</v>
      </c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</row>
    <row r="2627" spans="1:19" x14ac:dyDescent="0.2">
      <c r="A2627" s="12" t="s">
        <v>351</v>
      </c>
      <c r="B2627" s="12" t="s">
        <v>568</v>
      </c>
      <c r="C2627" s="12" t="s">
        <v>563</v>
      </c>
      <c r="D2627" s="13">
        <v>1689</v>
      </c>
      <c r="E2627" s="13">
        <v>1710.3777990000001</v>
      </c>
      <c r="F2627" s="13">
        <v>2184.7847059999999</v>
      </c>
      <c r="G2627" s="13">
        <v>2146.299845</v>
      </c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</row>
    <row r="2628" spans="1:19" x14ac:dyDescent="0.2">
      <c r="A2628" s="12" t="s">
        <v>351</v>
      </c>
      <c r="B2628" s="12" t="s">
        <v>568</v>
      </c>
      <c r="C2628" s="12" t="s">
        <v>564</v>
      </c>
      <c r="D2628" s="13">
        <v>282</v>
      </c>
      <c r="E2628" s="13">
        <v>279.4957</v>
      </c>
      <c r="F2628" s="13">
        <v>276.70500099999998</v>
      </c>
      <c r="G2628" s="13">
        <v>254.568602</v>
      </c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</row>
    <row r="2629" spans="1:19" x14ac:dyDescent="0.2">
      <c r="A2629" s="12" t="s">
        <v>351</v>
      </c>
      <c r="B2629" s="12" t="s">
        <v>568</v>
      </c>
      <c r="C2629" s="12" t="s">
        <v>565</v>
      </c>
      <c r="D2629" s="13">
        <v>76</v>
      </c>
      <c r="E2629" s="13">
        <v>73.864998999999997</v>
      </c>
      <c r="F2629" s="13">
        <v>63.506298999999999</v>
      </c>
      <c r="G2629" s="13">
        <v>59.731697999999987</v>
      </c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</row>
    <row r="2630" spans="1:19" x14ac:dyDescent="0.2">
      <c r="A2630" s="12" t="s">
        <v>351</v>
      </c>
      <c r="B2630" s="12" t="s">
        <v>568</v>
      </c>
      <c r="C2630" s="12" t="s">
        <v>566</v>
      </c>
      <c r="D2630" s="13">
        <v>251</v>
      </c>
      <c r="E2630" s="13">
        <v>239.66789800000001</v>
      </c>
      <c r="F2630" s="13">
        <v>270.913903</v>
      </c>
      <c r="G2630" s="13">
        <v>282.53570100000002</v>
      </c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</row>
    <row r="2631" spans="1:19" x14ac:dyDescent="0.2">
      <c r="A2631" s="12" t="s">
        <v>351</v>
      </c>
      <c r="B2631" s="12" t="s">
        <v>569</v>
      </c>
      <c r="C2631" s="12" t="s">
        <v>554</v>
      </c>
      <c r="D2631" s="13">
        <v>1309</v>
      </c>
      <c r="E2631" s="13">
        <v>1326.6639009999999</v>
      </c>
      <c r="F2631" s="13">
        <v>1391.0940009999999</v>
      </c>
      <c r="G2631" s="13">
        <v>1491.024598</v>
      </c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</row>
    <row r="2632" spans="1:19" x14ac:dyDescent="0.2">
      <c r="A2632" s="12" t="s">
        <v>351</v>
      </c>
      <c r="B2632" s="12" t="s">
        <v>569</v>
      </c>
      <c r="C2632" s="12" t="s">
        <v>555</v>
      </c>
      <c r="D2632" s="13">
        <v>1629</v>
      </c>
      <c r="E2632" s="13">
        <v>1694.5334989999999</v>
      </c>
      <c r="F2632" s="13">
        <v>1577.457848</v>
      </c>
      <c r="G2632" s="13">
        <v>1760.8129590000001</v>
      </c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</row>
    <row r="2633" spans="1:19" x14ac:dyDescent="0.2">
      <c r="A2633" s="12" t="s">
        <v>351</v>
      </c>
      <c r="B2633" s="12" t="s">
        <v>569</v>
      </c>
      <c r="C2633" s="12" t="s">
        <v>556</v>
      </c>
      <c r="D2633" s="13">
        <v>0</v>
      </c>
      <c r="E2633" s="13">
        <v>-0.283501</v>
      </c>
      <c r="F2633" s="13">
        <v>-0.26391500000000001</v>
      </c>
      <c r="G2633" s="13">
        <v>-0.29458699999999999</v>
      </c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</row>
    <row r="2634" spans="1:19" x14ac:dyDescent="0.2">
      <c r="A2634" s="12" t="s">
        <v>351</v>
      </c>
      <c r="B2634" s="12" t="s">
        <v>569</v>
      </c>
      <c r="C2634" s="12" t="s">
        <v>557</v>
      </c>
      <c r="D2634" s="13">
        <v>2945</v>
      </c>
      <c r="E2634" s="13">
        <v>3034.0835999999999</v>
      </c>
      <c r="F2634" s="13">
        <v>2968.287934</v>
      </c>
      <c r="G2634" s="13">
        <v>3251.54297</v>
      </c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</row>
    <row r="2635" spans="1:19" x14ac:dyDescent="0.2">
      <c r="A2635" s="12" t="s">
        <v>351</v>
      </c>
      <c r="B2635" s="12" t="s">
        <v>569</v>
      </c>
      <c r="C2635" s="12" t="s">
        <v>558</v>
      </c>
      <c r="D2635" s="13">
        <v>-1495</v>
      </c>
      <c r="E2635" s="13">
        <v>-1604.9088159999999</v>
      </c>
      <c r="F2635" s="13">
        <v>-1660.3868299999999</v>
      </c>
      <c r="G2635" s="13">
        <v>-1842.8348080000001</v>
      </c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</row>
    <row r="2636" spans="1:19" x14ac:dyDescent="0.2">
      <c r="A2636" s="12" t="s">
        <v>351</v>
      </c>
      <c r="B2636" s="12" t="s">
        <v>569</v>
      </c>
      <c r="C2636" s="12" t="s">
        <v>560</v>
      </c>
      <c r="D2636" s="13">
        <v>0</v>
      </c>
      <c r="E2636" s="13">
        <v>0</v>
      </c>
      <c r="F2636" s="13">
        <v>0</v>
      </c>
      <c r="G2636" s="13">
        <v>0</v>
      </c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</row>
    <row r="2637" spans="1:19" x14ac:dyDescent="0.2">
      <c r="A2637" s="12" t="s">
        <v>351</v>
      </c>
      <c r="B2637" s="12" t="s">
        <v>569</v>
      </c>
      <c r="C2637" s="12" t="s">
        <v>561</v>
      </c>
      <c r="D2637" s="13">
        <v>439</v>
      </c>
      <c r="E2637" s="13">
        <v>382.849198</v>
      </c>
      <c r="F2637" s="13">
        <v>389.04660000000001</v>
      </c>
      <c r="G2637" s="13">
        <v>391.99950000000001</v>
      </c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</row>
    <row r="2638" spans="1:19" x14ac:dyDescent="0.2">
      <c r="A2638" s="12" t="s">
        <v>351</v>
      </c>
      <c r="B2638" s="12" t="s">
        <v>569</v>
      </c>
      <c r="C2638" s="12" t="s">
        <v>562</v>
      </c>
      <c r="D2638" s="13">
        <v>395</v>
      </c>
      <c r="E2638" s="13">
        <v>338.70419900000002</v>
      </c>
      <c r="F2638" s="13">
        <v>347.25060000000002</v>
      </c>
      <c r="G2638" s="13">
        <v>347.63489800000002</v>
      </c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</row>
    <row r="2639" spans="1:19" x14ac:dyDescent="0.2">
      <c r="A2639" s="12" t="s">
        <v>351</v>
      </c>
      <c r="B2639" s="12" t="s">
        <v>569</v>
      </c>
      <c r="C2639" s="12" t="s">
        <v>563</v>
      </c>
      <c r="D2639" s="13">
        <v>2</v>
      </c>
      <c r="E2639" s="13">
        <v>1.5731980000000001</v>
      </c>
      <c r="F2639" s="13">
        <v>0.62189899999999998</v>
      </c>
      <c r="G2639" s="13">
        <v>0.67950100000000002</v>
      </c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</row>
    <row r="2640" spans="1:19" x14ac:dyDescent="0.2">
      <c r="A2640" s="12" t="s">
        <v>351</v>
      </c>
      <c r="B2640" s="12" t="s">
        <v>569</v>
      </c>
      <c r="C2640" s="12" t="s">
        <v>564</v>
      </c>
      <c r="D2640" s="13">
        <v>23</v>
      </c>
      <c r="E2640" s="13">
        <v>24.895800999999999</v>
      </c>
      <c r="F2640" s="13">
        <v>22.682701000000002</v>
      </c>
      <c r="G2640" s="13">
        <v>23.402701</v>
      </c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</row>
    <row r="2641" spans="1:19" x14ac:dyDescent="0.2">
      <c r="A2641" s="12" t="s">
        <v>351</v>
      </c>
      <c r="B2641" s="12" t="s">
        <v>569</v>
      </c>
      <c r="C2641" s="12" t="s">
        <v>565</v>
      </c>
      <c r="D2641" s="13">
        <v>9</v>
      </c>
      <c r="E2641" s="13">
        <v>10.644297999999999</v>
      </c>
      <c r="F2641" s="13">
        <v>10.794600000000001</v>
      </c>
      <c r="G2641" s="13">
        <v>11.857499000000001</v>
      </c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</row>
    <row r="2642" spans="1:19" x14ac:dyDescent="0.2">
      <c r="A2642" s="12" t="s">
        <v>351</v>
      </c>
      <c r="B2642" s="12" t="s">
        <v>569</v>
      </c>
      <c r="C2642" s="12" t="s">
        <v>566</v>
      </c>
      <c r="D2642" s="13">
        <v>11</v>
      </c>
      <c r="E2642" s="13">
        <v>7.031701</v>
      </c>
      <c r="F2642" s="13">
        <v>7.6968000000000014</v>
      </c>
      <c r="G2642" s="13">
        <v>8.4249010000000002</v>
      </c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</row>
    <row r="2643" spans="1:19" x14ac:dyDescent="0.2">
      <c r="A2643" s="12" t="s">
        <v>351</v>
      </c>
      <c r="B2643" s="12" t="s">
        <v>570</v>
      </c>
      <c r="C2643" s="12" t="s">
        <v>554</v>
      </c>
      <c r="D2643" s="13">
        <v>122</v>
      </c>
      <c r="E2643" s="13">
        <v>130.06909200000001</v>
      </c>
      <c r="F2643" s="13">
        <v>118.363637</v>
      </c>
      <c r="G2643" s="13">
        <v>135.120002</v>
      </c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</row>
    <row r="2644" spans="1:19" x14ac:dyDescent="0.2">
      <c r="A2644" s="12" t="s">
        <v>351</v>
      </c>
      <c r="B2644" s="12" t="s">
        <v>570</v>
      </c>
      <c r="C2644" s="12" t="s">
        <v>555</v>
      </c>
      <c r="D2644" s="13">
        <v>0</v>
      </c>
      <c r="E2644" s="13">
        <v>0</v>
      </c>
      <c r="F2644" s="13">
        <v>0</v>
      </c>
      <c r="G2644" s="13">
        <v>0</v>
      </c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</row>
    <row r="2645" spans="1:19" x14ac:dyDescent="0.2">
      <c r="A2645" s="12" t="s">
        <v>351</v>
      </c>
      <c r="B2645" s="12" t="s">
        <v>570</v>
      </c>
      <c r="C2645" s="12" t="s">
        <v>556</v>
      </c>
      <c r="D2645" s="13">
        <v>0</v>
      </c>
      <c r="E2645" s="13">
        <v>0</v>
      </c>
      <c r="F2645" s="13">
        <v>0</v>
      </c>
      <c r="G2645" s="13">
        <v>0</v>
      </c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</row>
    <row r="2646" spans="1:19" x14ac:dyDescent="0.2">
      <c r="A2646" s="12" t="s">
        <v>351</v>
      </c>
      <c r="B2646" s="12" t="s">
        <v>570</v>
      </c>
      <c r="C2646" s="12" t="s">
        <v>557</v>
      </c>
      <c r="D2646" s="13">
        <v>122</v>
      </c>
      <c r="E2646" s="13">
        <v>130.06909200000001</v>
      </c>
      <c r="F2646" s="13">
        <v>118.363637</v>
      </c>
      <c r="G2646" s="13">
        <v>135.120002</v>
      </c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</row>
    <row r="2647" spans="1:19" x14ac:dyDescent="0.2">
      <c r="A2647" s="12" t="s">
        <v>351</v>
      </c>
      <c r="B2647" s="12" t="s">
        <v>570</v>
      </c>
      <c r="C2647" s="12" t="s">
        <v>558</v>
      </c>
      <c r="D2647" s="13">
        <v>-122</v>
      </c>
      <c r="E2647" s="13">
        <v>-130.06909200000001</v>
      </c>
      <c r="F2647" s="13">
        <v>-118.363637</v>
      </c>
      <c r="G2647" s="13">
        <v>-135.120002</v>
      </c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</row>
    <row r="2648" spans="1:19" x14ac:dyDescent="0.2">
      <c r="A2648" s="12" t="s">
        <v>351</v>
      </c>
      <c r="B2648" s="12" t="s">
        <v>570</v>
      </c>
      <c r="C2648" s="12" t="s">
        <v>560</v>
      </c>
      <c r="D2648" s="13">
        <v>0</v>
      </c>
      <c r="E2648" s="13">
        <v>0</v>
      </c>
      <c r="F2648" s="13">
        <v>0</v>
      </c>
      <c r="G2648" s="13">
        <v>0</v>
      </c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</row>
    <row r="2649" spans="1:19" x14ac:dyDescent="0.2">
      <c r="A2649" s="12" t="s">
        <v>351</v>
      </c>
      <c r="B2649" s="12" t="s">
        <v>570</v>
      </c>
      <c r="C2649" s="12" t="s">
        <v>561</v>
      </c>
      <c r="D2649" s="13">
        <v>0</v>
      </c>
      <c r="E2649" s="13">
        <v>0</v>
      </c>
      <c r="F2649" s="13">
        <v>0</v>
      </c>
      <c r="G2649" s="13">
        <v>0</v>
      </c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</row>
    <row r="2650" spans="1:19" x14ac:dyDescent="0.2">
      <c r="A2650" s="12" t="s">
        <v>351</v>
      </c>
      <c r="B2650" s="12" t="s">
        <v>570</v>
      </c>
      <c r="C2650" s="12" t="s">
        <v>562</v>
      </c>
      <c r="D2650" s="13">
        <v>0</v>
      </c>
      <c r="E2650" s="13">
        <v>0</v>
      </c>
      <c r="F2650" s="13">
        <v>0</v>
      </c>
      <c r="G2650" s="13">
        <v>0</v>
      </c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</row>
    <row r="2651" spans="1:19" x14ac:dyDescent="0.2">
      <c r="A2651" s="12" t="s">
        <v>351</v>
      </c>
      <c r="B2651" s="12" t="s">
        <v>570</v>
      </c>
      <c r="C2651" s="12" t="s">
        <v>563</v>
      </c>
      <c r="D2651" s="13">
        <v>0</v>
      </c>
      <c r="E2651" s="13">
        <v>0</v>
      </c>
      <c r="F2651" s="13">
        <v>0</v>
      </c>
      <c r="G2651" s="13">
        <v>0</v>
      </c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</row>
    <row r="2652" spans="1:19" x14ac:dyDescent="0.2">
      <c r="A2652" s="12" t="s">
        <v>351</v>
      </c>
      <c r="B2652" s="12" t="s">
        <v>570</v>
      </c>
      <c r="C2652" s="12" t="s">
        <v>564</v>
      </c>
      <c r="D2652" s="13">
        <v>0</v>
      </c>
      <c r="E2652" s="13">
        <v>0</v>
      </c>
      <c r="F2652" s="13">
        <v>0</v>
      </c>
      <c r="G2652" s="13">
        <v>0</v>
      </c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</row>
    <row r="2653" spans="1:19" x14ac:dyDescent="0.2">
      <c r="A2653" s="12" t="s">
        <v>351</v>
      </c>
      <c r="B2653" s="12" t="s">
        <v>570</v>
      </c>
      <c r="C2653" s="12" t="s">
        <v>565</v>
      </c>
      <c r="D2653" s="13">
        <v>0</v>
      </c>
      <c r="E2653" s="13">
        <v>0</v>
      </c>
      <c r="F2653" s="13">
        <v>0</v>
      </c>
      <c r="G2653" s="13">
        <v>0</v>
      </c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</row>
    <row r="2654" spans="1:19" x14ac:dyDescent="0.2">
      <c r="A2654" s="12" t="s">
        <v>351</v>
      </c>
      <c r="B2654" s="12" t="s">
        <v>570</v>
      </c>
      <c r="C2654" s="12" t="s">
        <v>566</v>
      </c>
      <c r="D2654" s="13">
        <v>0</v>
      </c>
      <c r="E2654" s="13">
        <v>0</v>
      </c>
      <c r="F2654" s="13">
        <v>0</v>
      </c>
      <c r="G2654" s="13">
        <v>0</v>
      </c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</row>
    <row r="2655" spans="1:19" x14ac:dyDescent="0.2">
      <c r="A2655" s="12" t="s">
        <v>351</v>
      </c>
      <c r="B2655" s="12" t="s">
        <v>571</v>
      </c>
      <c r="C2655" s="12" t="s">
        <v>554</v>
      </c>
      <c r="D2655" s="13">
        <v>739</v>
      </c>
      <c r="E2655" s="13">
        <v>763.7722</v>
      </c>
      <c r="F2655" s="13">
        <v>806.87900300000001</v>
      </c>
      <c r="G2655" s="13">
        <v>725.84880200000009</v>
      </c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</row>
    <row r="2656" spans="1:19" x14ac:dyDescent="0.2">
      <c r="A2656" s="12" t="s">
        <v>351</v>
      </c>
      <c r="B2656" s="12" t="s">
        <v>571</v>
      </c>
      <c r="C2656" s="12" t="s">
        <v>555</v>
      </c>
      <c r="D2656" s="13">
        <v>0</v>
      </c>
      <c r="E2656" s="13">
        <v>0</v>
      </c>
      <c r="F2656" s="13">
        <v>0</v>
      </c>
      <c r="G2656" s="13">
        <v>0</v>
      </c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</row>
    <row r="2657" spans="1:19" x14ac:dyDescent="0.2">
      <c r="A2657" s="12" t="s">
        <v>351</v>
      </c>
      <c r="B2657" s="12" t="s">
        <v>571</v>
      </c>
      <c r="C2657" s="12" t="s">
        <v>556</v>
      </c>
      <c r="D2657" s="13">
        <v>0</v>
      </c>
      <c r="E2657" s="13">
        <v>0</v>
      </c>
      <c r="F2657" s="13">
        <v>0</v>
      </c>
      <c r="G2657" s="13">
        <v>0</v>
      </c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</row>
    <row r="2658" spans="1:19" x14ac:dyDescent="0.2">
      <c r="A2658" s="12" t="s">
        <v>351</v>
      </c>
      <c r="B2658" s="12" t="s">
        <v>571</v>
      </c>
      <c r="C2658" s="12" t="s">
        <v>557</v>
      </c>
      <c r="D2658" s="13">
        <v>739</v>
      </c>
      <c r="E2658" s="13">
        <v>763.77220000000011</v>
      </c>
      <c r="F2658" s="13">
        <v>806.87900300000001</v>
      </c>
      <c r="G2658" s="13">
        <v>725.84880200000009</v>
      </c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</row>
    <row r="2659" spans="1:19" x14ac:dyDescent="0.2">
      <c r="A2659" s="12" t="s">
        <v>351</v>
      </c>
      <c r="B2659" s="12" t="s">
        <v>571</v>
      </c>
      <c r="C2659" s="12" t="s">
        <v>558</v>
      </c>
      <c r="D2659" s="13">
        <v>-436</v>
      </c>
      <c r="E2659" s="13">
        <v>-453.30219399999999</v>
      </c>
      <c r="F2659" s="13">
        <v>-492.38299499999999</v>
      </c>
      <c r="G2659" s="13">
        <v>-395.80080600000002</v>
      </c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</row>
    <row r="2660" spans="1:19" x14ac:dyDescent="0.2">
      <c r="A2660" s="12" t="s">
        <v>351</v>
      </c>
      <c r="B2660" s="12" t="s">
        <v>571</v>
      </c>
      <c r="C2660" s="12" t="s">
        <v>560</v>
      </c>
      <c r="D2660" s="13">
        <v>0</v>
      </c>
      <c r="E2660" s="13">
        <v>0</v>
      </c>
      <c r="F2660" s="13">
        <v>0</v>
      </c>
      <c r="G2660" s="13">
        <v>0</v>
      </c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</row>
    <row r="2661" spans="1:19" x14ac:dyDescent="0.2">
      <c r="A2661" s="12" t="s">
        <v>351</v>
      </c>
      <c r="B2661" s="12" t="s">
        <v>571</v>
      </c>
      <c r="C2661" s="12" t="s">
        <v>561</v>
      </c>
      <c r="D2661" s="13">
        <v>287</v>
      </c>
      <c r="E2661" s="13">
        <v>309.82400000000001</v>
      </c>
      <c r="F2661" s="13">
        <v>311.40599900000001</v>
      </c>
      <c r="G2661" s="13">
        <v>311.73200000000003</v>
      </c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</row>
    <row r="2662" spans="1:19" x14ac:dyDescent="0.2">
      <c r="A2662" s="12" t="s">
        <v>351</v>
      </c>
      <c r="B2662" s="12" t="s">
        <v>571</v>
      </c>
      <c r="C2662" s="12" t="s">
        <v>562</v>
      </c>
      <c r="D2662" s="13">
        <v>54</v>
      </c>
      <c r="E2662" s="13">
        <v>48.433999000000007</v>
      </c>
      <c r="F2662" s="13">
        <v>50.322999000000003</v>
      </c>
      <c r="G2662" s="13">
        <v>47.049001999999987</v>
      </c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</row>
    <row r="2663" spans="1:19" x14ac:dyDescent="0.2">
      <c r="A2663" s="12" t="s">
        <v>351</v>
      </c>
      <c r="B2663" s="12" t="s">
        <v>571</v>
      </c>
      <c r="C2663" s="12" t="s">
        <v>563</v>
      </c>
      <c r="D2663" s="13">
        <v>0</v>
      </c>
      <c r="E2663" s="13">
        <v>0</v>
      </c>
      <c r="F2663" s="13">
        <v>0</v>
      </c>
      <c r="G2663" s="13">
        <v>0</v>
      </c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</row>
    <row r="2664" spans="1:19" x14ac:dyDescent="0.2">
      <c r="A2664" s="12" t="s">
        <v>351</v>
      </c>
      <c r="B2664" s="12" t="s">
        <v>571</v>
      </c>
      <c r="C2664" s="12" t="s">
        <v>564</v>
      </c>
      <c r="D2664" s="13">
        <v>227</v>
      </c>
      <c r="E2664" s="13">
        <v>254.747998</v>
      </c>
      <c r="F2664" s="13">
        <v>254.215001</v>
      </c>
      <c r="G2664" s="13">
        <v>256.05200200000002</v>
      </c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</row>
    <row r="2665" spans="1:19" x14ac:dyDescent="0.2">
      <c r="A2665" s="12" t="s">
        <v>351</v>
      </c>
      <c r="B2665" s="12" t="s">
        <v>571</v>
      </c>
      <c r="C2665" s="12" t="s">
        <v>565</v>
      </c>
      <c r="D2665" s="13">
        <v>6</v>
      </c>
      <c r="E2665" s="13">
        <v>6.6419980000000001</v>
      </c>
      <c r="F2665" s="13">
        <v>6.8680020000000006</v>
      </c>
      <c r="G2665" s="13">
        <v>8.6310000000000002</v>
      </c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</row>
    <row r="2666" spans="1:19" x14ac:dyDescent="0.2">
      <c r="A2666" s="12" t="s">
        <v>351</v>
      </c>
      <c r="B2666" s="12" t="s">
        <v>571</v>
      </c>
      <c r="C2666" s="12" t="s">
        <v>566</v>
      </c>
      <c r="D2666" s="13">
        <v>0</v>
      </c>
      <c r="E2666" s="13">
        <v>0</v>
      </c>
      <c r="F2666" s="13">
        <v>0</v>
      </c>
      <c r="G2666" s="13">
        <v>0</v>
      </c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</row>
    <row r="2667" spans="1:19" x14ac:dyDescent="0.2">
      <c r="A2667" s="12" t="s">
        <v>351</v>
      </c>
      <c r="B2667" s="12" t="s">
        <v>572</v>
      </c>
      <c r="C2667" s="12" t="s">
        <v>554</v>
      </c>
      <c r="D2667" s="13">
        <v>0</v>
      </c>
      <c r="E2667" s="13">
        <v>0</v>
      </c>
      <c r="F2667" s="13">
        <v>0</v>
      </c>
      <c r="G2667" s="13">
        <v>0</v>
      </c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</row>
    <row r="2668" spans="1:19" x14ac:dyDescent="0.2">
      <c r="A2668" s="12" t="s">
        <v>351</v>
      </c>
      <c r="B2668" s="12" t="s">
        <v>572</v>
      </c>
      <c r="C2668" s="12" t="s">
        <v>555</v>
      </c>
      <c r="D2668" s="13">
        <v>36</v>
      </c>
      <c r="E2668" s="13">
        <v>6.2531990000000004</v>
      </c>
      <c r="F2668" s="13">
        <v>7.7292009999999998</v>
      </c>
      <c r="G2668" s="13">
        <v>7.4700010000000008</v>
      </c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</row>
    <row r="2669" spans="1:19" x14ac:dyDescent="0.2">
      <c r="A2669" s="12" t="s">
        <v>351</v>
      </c>
      <c r="B2669" s="12" t="s">
        <v>572</v>
      </c>
      <c r="C2669" s="12" t="s">
        <v>556</v>
      </c>
      <c r="D2669" s="13">
        <v>-21</v>
      </c>
      <c r="E2669" s="13">
        <v>-9.6947990000000015</v>
      </c>
      <c r="F2669" s="13">
        <v>-8.715599000000001</v>
      </c>
      <c r="G2669" s="13">
        <v>-11.203199</v>
      </c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</row>
    <row r="2670" spans="1:19" x14ac:dyDescent="0.2">
      <c r="A2670" s="12" t="s">
        <v>351</v>
      </c>
      <c r="B2670" s="12" t="s">
        <v>572</v>
      </c>
      <c r="C2670" s="12" t="s">
        <v>557</v>
      </c>
      <c r="D2670" s="13">
        <v>14</v>
      </c>
      <c r="E2670" s="13">
        <v>-3.4416000000000002</v>
      </c>
      <c r="F2670" s="13">
        <v>-0.98640200000000011</v>
      </c>
      <c r="G2670" s="13">
        <v>-3.7332019999999999</v>
      </c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</row>
    <row r="2671" spans="1:19" x14ac:dyDescent="0.2">
      <c r="A2671" s="12" t="s">
        <v>351</v>
      </c>
      <c r="B2671" s="12" t="s">
        <v>572</v>
      </c>
      <c r="C2671" s="12" t="s">
        <v>558</v>
      </c>
      <c r="D2671" s="13">
        <v>1193</v>
      </c>
      <c r="E2671" s="13">
        <v>1261.3091549999999</v>
      </c>
      <c r="F2671" s="13">
        <v>1312.9538050000001</v>
      </c>
      <c r="G2671" s="13">
        <v>1369.2931209999999</v>
      </c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</row>
    <row r="2672" spans="1:19" x14ac:dyDescent="0.2">
      <c r="A2672" s="12" t="s">
        <v>351</v>
      </c>
      <c r="B2672" s="12" t="s">
        <v>572</v>
      </c>
      <c r="C2672" s="12" t="s">
        <v>560</v>
      </c>
      <c r="D2672" s="13">
        <v>0</v>
      </c>
      <c r="E2672" s="13">
        <v>0</v>
      </c>
      <c r="F2672" s="13">
        <v>0</v>
      </c>
      <c r="G2672" s="13">
        <v>0</v>
      </c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</row>
    <row r="2673" spans="1:19" x14ac:dyDescent="0.2">
      <c r="A2673" s="12" t="s">
        <v>351</v>
      </c>
      <c r="B2673" s="12" t="s">
        <v>572</v>
      </c>
      <c r="C2673" s="12" t="s">
        <v>561</v>
      </c>
      <c r="D2673" s="13">
        <v>1080</v>
      </c>
      <c r="E2673" s="13">
        <v>1062.147354</v>
      </c>
      <c r="F2673" s="13">
        <v>1079.9828239999999</v>
      </c>
      <c r="G2673" s="13">
        <v>1099.4760000000001</v>
      </c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</row>
    <row r="2674" spans="1:19" x14ac:dyDescent="0.2">
      <c r="A2674" s="12" t="s">
        <v>351</v>
      </c>
      <c r="B2674" s="12" t="s">
        <v>572</v>
      </c>
      <c r="C2674" s="12" t="s">
        <v>562</v>
      </c>
      <c r="D2674" s="13">
        <v>631</v>
      </c>
      <c r="E2674" s="13">
        <v>617.29332999999997</v>
      </c>
      <c r="F2674" s="13">
        <v>637.34422100000006</v>
      </c>
      <c r="G2674" s="13">
        <v>634.95359999999994</v>
      </c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</row>
    <row r="2675" spans="1:19" x14ac:dyDescent="0.2">
      <c r="A2675" s="12" t="s">
        <v>351</v>
      </c>
      <c r="B2675" s="12" t="s">
        <v>572</v>
      </c>
      <c r="C2675" s="12" t="s">
        <v>563</v>
      </c>
      <c r="D2675" s="13">
        <v>3</v>
      </c>
      <c r="E2675" s="13">
        <v>5.6936249999999999</v>
      </c>
      <c r="F2675" s="13">
        <v>5.8830070000000001</v>
      </c>
      <c r="G2675" s="13">
        <v>5.9507989999999999</v>
      </c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</row>
    <row r="2676" spans="1:19" x14ac:dyDescent="0.2">
      <c r="A2676" s="12" t="s">
        <v>351</v>
      </c>
      <c r="B2676" s="12" t="s">
        <v>572</v>
      </c>
      <c r="C2676" s="12" t="s">
        <v>564</v>
      </c>
      <c r="D2676" s="13">
        <v>260</v>
      </c>
      <c r="E2676" s="13">
        <v>250.063199</v>
      </c>
      <c r="F2676" s="13">
        <v>256.24439799999999</v>
      </c>
      <c r="G2676" s="13">
        <v>271.63440100000003</v>
      </c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</row>
    <row r="2677" spans="1:19" x14ac:dyDescent="0.2">
      <c r="A2677" s="12" t="s">
        <v>351</v>
      </c>
      <c r="B2677" s="12" t="s">
        <v>572</v>
      </c>
      <c r="C2677" s="12" t="s">
        <v>565</v>
      </c>
      <c r="D2677" s="13">
        <v>69</v>
      </c>
      <c r="E2677" s="13">
        <v>64.713600999999997</v>
      </c>
      <c r="F2677" s="13">
        <v>68.108401000000001</v>
      </c>
      <c r="G2677" s="13">
        <v>70.106399999999994</v>
      </c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</row>
    <row r="2678" spans="1:19" x14ac:dyDescent="0.2">
      <c r="A2678" s="12" t="s">
        <v>351</v>
      </c>
      <c r="B2678" s="12" t="s">
        <v>572</v>
      </c>
      <c r="C2678" s="12" t="s">
        <v>566</v>
      </c>
      <c r="D2678" s="13">
        <v>117</v>
      </c>
      <c r="E2678" s="13">
        <v>124.38359800000001</v>
      </c>
      <c r="F2678" s="13">
        <v>112.40280199999999</v>
      </c>
      <c r="G2678" s="13">
        <v>116.830799</v>
      </c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</row>
    <row r="2679" spans="1:19" x14ac:dyDescent="0.2">
      <c r="A2679" s="12" t="s">
        <v>351</v>
      </c>
      <c r="B2679" s="12" t="s">
        <v>573</v>
      </c>
      <c r="C2679" s="12" t="s">
        <v>554</v>
      </c>
      <c r="D2679" s="13">
        <v>0</v>
      </c>
      <c r="E2679" s="13">
        <v>0</v>
      </c>
      <c r="F2679" s="13">
        <v>0</v>
      </c>
      <c r="G2679" s="13">
        <v>0</v>
      </c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</row>
    <row r="2680" spans="1:19" x14ac:dyDescent="0.2">
      <c r="A2680" s="12" t="s">
        <v>351</v>
      </c>
      <c r="B2680" s="12" t="s">
        <v>573</v>
      </c>
      <c r="C2680" s="12" t="s">
        <v>555</v>
      </c>
      <c r="D2680" s="13">
        <v>0</v>
      </c>
      <c r="E2680" s="13">
        <v>0</v>
      </c>
      <c r="F2680" s="13">
        <v>0</v>
      </c>
      <c r="G2680" s="13">
        <v>0</v>
      </c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</row>
    <row r="2681" spans="1:19" x14ac:dyDescent="0.2">
      <c r="A2681" s="12" t="s">
        <v>351</v>
      </c>
      <c r="B2681" s="12" t="s">
        <v>573</v>
      </c>
      <c r="C2681" s="12" t="s">
        <v>556</v>
      </c>
      <c r="D2681" s="13">
        <v>0</v>
      </c>
      <c r="E2681" s="13">
        <v>0</v>
      </c>
      <c r="F2681" s="13">
        <v>0</v>
      </c>
      <c r="G2681" s="13">
        <v>0</v>
      </c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</row>
    <row r="2682" spans="1:19" x14ac:dyDescent="0.2">
      <c r="A2682" s="12" t="s">
        <v>351</v>
      </c>
      <c r="B2682" s="12" t="s">
        <v>573</v>
      </c>
      <c r="C2682" s="12" t="s">
        <v>557</v>
      </c>
      <c r="D2682" s="13">
        <v>0</v>
      </c>
      <c r="E2682" s="13">
        <v>0</v>
      </c>
      <c r="F2682" s="13">
        <v>0</v>
      </c>
      <c r="G2682" s="13">
        <v>0</v>
      </c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</row>
    <row r="2683" spans="1:19" x14ac:dyDescent="0.2">
      <c r="A2683" s="12" t="s">
        <v>351</v>
      </c>
      <c r="B2683" s="12" t="s">
        <v>573</v>
      </c>
      <c r="C2683" s="12" t="s">
        <v>558</v>
      </c>
      <c r="D2683" s="13">
        <v>0</v>
      </c>
      <c r="E2683" s="13">
        <v>0</v>
      </c>
      <c r="F2683" s="13">
        <v>0</v>
      </c>
      <c r="G2683" s="13">
        <v>0</v>
      </c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</row>
    <row r="2684" spans="1:19" x14ac:dyDescent="0.2">
      <c r="A2684" s="12" t="s">
        <v>351</v>
      </c>
      <c r="B2684" s="12" t="s">
        <v>573</v>
      </c>
      <c r="C2684" s="12" t="s">
        <v>560</v>
      </c>
      <c r="D2684" s="13">
        <v>0</v>
      </c>
      <c r="E2684" s="13">
        <v>0</v>
      </c>
      <c r="F2684" s="13">
        <v>0</v>
      </c>
      <c r="G2684" s="13">
        <v>0</v>
      </c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</row>
    <row r="2685" spans="1:19" x14ac:dyDescent="0.2">
      <c r="A2685" s="12" t="s">
        <v>351</v>
      </c>
      <c r="B2685" s="12" t="s">
        <v>573</v>
      </c>
      <c r="C2685" s="12" t="s">
        <v>561</v>
      </c>
      <c r="D2685" s="13">
        <v>0</v>
      </c>
      <c r="E2685" s="13">
        <v>0</v>
      </c>
      <c r="F2685" s="13">
        <v>0</v>
      </c>
      <c r="G2685" s="13">
        <v>0</v>
      </c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</row>
    <row r="2686" spans="1:19" x14ac:dyDescent="0.2">
      <c r="A2686" s="12" t="s">
        <v>351</v>
      </c>
      <c r="B2686" s="12" t="s">
        <v>573</v>
      </c>
      <c r="C2686" s="12" t="s">
        <v>562</v>
      </c>
      <c r="D2686" s="13">
        <v>0</v>
      </c>
      <c r="E2686" s="13">
        <v>0</v>
      </c>
      <c r="F2686" s="13">
        <v>0</v>
      </c>
      <c r="G2686" s="13">
        <v>0</v>
      </c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</row>
    <row r="2687" spans="1:19" x14ac:dyDescent="0.2">
      <c r="A2687" s="12" t="s">
        <v>351</v>
      </c>
      <c r="B2687" s="12" t="s">
        <v>573</v>
      </c>
      <c r="C2687" s="12" t="s">
        <v>563</v>
      </c>
      <c r="D2687" s="13">
        <v>0</v>
      </c>
      <c r="E2687" s="13">
        <v>0</v>
      </c>
      <c r="F2687" s="13">
        <v>0</v>
      </c>
      <c r="G2687" s="13">
        <v>0</v>
      </c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</row>
    <row r="2688" spans="1:19" x14ac:dyDescent="0.2">
      <c r="A2688" s="12" t="s">
        <v>351</v>
      </c>
      <c r="B2688" s="12" t="s">
        <v>573</v>
      </c>
      <c r="C2688" s="12" t="s">
        <v>564</v>
      </c>
      <c r="D2688" s="13">
        <v>0</v>
      </c>
      <c r="E2688" s="13">
        <v>0</v>
      </c>
      <c r="F2688" s="13">
        <v>0</v>
      </c>
      <c r="G2688" s="13">
        <v>0</v>
      </c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</row>
    <row r="2689" spans="1:19" x14ac:dyDescent="0.2">
      <c r="A2689" s="12" t="s">
        <v>351</v>
      </c>
      <c r="B2689" s="12" t="s">
        <v>573</v>
      </c>
      <c r="C2689" s="12" t="s">
        <v>565</v>
      </c>
      <c r="D2689" s="13">
        <v>0</v>
      </c>
      <c r="E2689" s="13">
        <v>0</v>
      </c>
      <c r="F2689" s="13">
        <v>0</v>
      </c>
      <c r="G2689" s="13">
        <v>0</v>
      </c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</row>
    <row r="2690" spans="1:19" x14ac:dyDescent="0.2">
      <c r="A2690" s="12" t="s">
        <v>351</v>
      </c>
      <c r="B2690" s="12" t="s">
        <v>573</v>
      </c>
      <c r="C2690" s="12" t="s">
        <v>566</v>
      </c>
      <c r="D2690" s="13">
        <v>0</v>
      </c>
      <c r="E2690" s="13">
        <v>0</v>
      </c>
      <c r="F2690" s="13">
        <v>0</v>
      </c>
      <c r="G2690" s="13">
        <v>0</v>
      </c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</row>
    <row r="2691" spans="1:19" x14ac:dyDescent="0.2">
      <c r="A2691" s="12" t="s">
        <v>351</v>
      </c>
      <c r="B2691" s="12" t="s">
        <v>574</v>
      </c>
      <c r="C2691" s="12" t="s">
        <v>554</v>
      </c>
      <c r="D2691" s="13">
        <v>6453</v>
      </c>
      <c r="E2691" s="13">
        <v>6488.6459000000004</v>
      </c>
      <c r="F2691" s="13">
        <v>6602.3879340000003</v>
      </c>
      <c r="G2691" s="13">
        <v>6753.0670640000008</v>
      </c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</row>
    <row r="2692" spans="1:19" x14ac:dyDescent="0.2">
      <c r="A2692" s="12" t="s">
        <v>351</v>
      </c>
      <c r="B2692" s="12" t="s">
        <v>574</v>
      </c>
      <c r="C2692" s="12" t="s">
        <v>555</v>
      </c>
      <c r="D2692" s="13">
        <v>3707</v>
      </c>
      <c r="E2692" s="13">
        <v>3905.5574839999999</v>
      </c>
      <c r="F2692" s="13">
        <v>3918.3963560000002</v>
      </c>
      <c r="G2692" s="13">
        <v>4109.5397069999999</v>
      </c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</row>
    <row r="2693" spans="1:19" x14ac:dyDescent="0.2">
      <c r="A2693" s="12" t="s">
        <v>351</v>
      </c>
      <c r="B2693" s="12" t="s">
        <v>574</v>
      </c>
      <c r="C2693" s="12" t="s">
        <v>556</v>
      </c>
      <c r="D2693" s="13">
        <v>-2917</v>
      </c>
      <c r="E2693" s="13">
        <v>-2745.4248750000002</v>
      </c>
      <c r="F2693" s="13">
        <v>-2635.441194</v>
      </c>
      <c r="G2693" s="13">
        <v>-2784.1998229999999</v>
      </c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</row>
    <row r="2694" spans="1:19" x14ac:dyDescent="0.2">
      <c r="A2694" s="12" t="s">
        <v>351</v>
      </c>
      <c r="B2694" s="12" t="s">
        <v>574</v>
      </c>
      <c r="C2694" s="12" t="s">
        <v>557</v>
      </c>
      <c r="D2694" s="13">
        <v>7254</v>
      </c>
      <c r="E2694" s="13">
        <v>7576.7478380000002</v>
      </c>
      <c r="F2694" s="13">
        <v>7764.757106</v>
      </c>
      <c r="G2694" s="13">
        <v>7969.2566830000014</v>
      </c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</row>
    <row r="2695" spans="1:19" x14ac:dyDescent="0.2">
      <c r="A2695" s="12" t="s">
        <v>351</v>
      </c>
      <c r="B2695" s="12" t="s">
        <v>574</v>
      </c>
      <c r="C2695" s="12" t="s">
        <v>558</v>
      </c>
      <c r="D2695" s="13">
        <v>-1483</v>
      </c>
      <c r="E2695" s="13">
        <v>-1570.791076</v>
      </c>
      <c r="F2695" s="13">
        <v>-1481.0183509999999</v>
      </c>
      <c r="G2695" s="13">
        <v>-1642.0537320000001</v>
      </c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</row>
    <row r="2696" spans="1:19" x14ac:dyDescent="0.2">
      <c r="A2696" s="12" t="s">
        <v>351</v>
      </c>
      <c r="B2696" s="12" t="s">
        <v>574</v>
      </c>
      <c r="C2696" s="12" t="s">
        <v>560</v>
      </c>
      <c r="D2696" s="13">
        <v>-60</v>
      </c>
      <c r="E2696" s="13">
        <v>-80.06094800000001</v>
      </c>
      <c r="F2696" s="13">
        <v>-81.706348000000006</v>
      </c>
      <c r="G2696" s="13">
        <v>-118.774672</v>
      </c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</row>
    <row r="2697" spans="1:19" x14ac:dyDescent="0.2">
      <c r="A2697" s="12" t="s">
        <v>351</v>
      </c>
      <c r="B2697" s="12" t="s">
        <v>574</v>
      </c>
      <c r="C2697" s="12" t="s">
        <v>561</v>
      </c>
      <c r="D2697" s="13">
        <v>4434</v>
      </c>
      <c r="E2697" s="13">
        <v>4335.5329009999996</v>
      </c>
      <c r="F2697" s="13">
        <v>4869.9254099999998</v>
      </c>
      <c r="G2697" s="13">
        <v>4828.0706150000015</v>
      </c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</row>
    <row r="2698" spans="1:19" x14ac:dyDescent="0.2">
      <c r="A2698" s="12" t="s">
        <v>351</v>
      </c>
      <c r="B2698" s="12" t="s">
        <v>574</v>
      </c>
      <c r="C2698" s="12" t="s">
        <v>562</v>
      </c>
      <c r="D2698" s="13">
        <v>1406</v>
      </c>
      <c r="E2698" s="13">
        <v>1279.3833320000001</v>
      </c>
      <c r="F2698" s="13">
        <v>1326.215868</v>
      </c>
      <c r="G2698" s="13">
        <v>1311.364769</v>
      </c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</row>
    <row r="2699" spans="1:19" x14ac:dyDescent="0.2">
      <c r="A2699" s="12" t="s">
        <v>351</v>
      </c>
      <c r="B2699" s="12" t="s">
        <v>574</v>
      </c>
      <c r="C2699" s="12" t="s">
        <v>563</v>
      </c>
      <c r="D2699" s="13">
        <v>1694</v>
      </c>
      <c r="E2699" s="13">
        <v>1717.6446269999999</v>
      </c>
      <c r="F2699" s="13">
        <v>2191.2896110000001</v>
      </c>
      <c r="G2699" s="13">
        <v>2152.9301409999998</v>
      </c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</row>
    <row r="2700" spans="1:19" x14ac:dyDescent="0.2">
      <c r="A2700" s="12" t="s">
        <v>351</v>
      </c>
      <c r="B2700" s="12" t="s">
        <v>574</v>
      </c>
      <c r="C2700" s="12" t="s">
        <v>564</v>
      </c>
      <c r="D2700" s="13">
        <v>793</v>
      </c>
      <c r="E2700" s="13">
        <v>809.20269799999994</v>
      </c>
      <c r="F2700" s="13">
        <v>809.84710100000007</v>
      </c>
      <c r="G2700" s="13">
        <v>805.65770499999996</v>
      </c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</row>
    <row r="2701" spans="1:19" x14ac:dyDescent="0.2">
      <c r="A2701" s="12" t="s">
        <v>351</v>
      </c>
      <c r="B2701" s="12" t="s">
        <v>574</v>
      </c>
      <c r="C2701" s="12" t="s">
        <v>565</v>
      </c>
      <c r="D2701" s="13">
        <v>160</v>
      </c>
      <c r="E2701" s="13">
        <v>155.86489700000001</v>
      </c>
      <c r="F2701" s="13">
        <v>149.27730199999999</v>
      </c>
      <c r="G2701" s="13">
        <v>150.32659799999999</v>
      </c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</row>
    <row r="2702" spans="1:19" x14ac:dyDescent="0.2">
      <c r="A2702" s="12" t="s">
        <v>351</v>
      </c>
      <c r="B2702" s="12" t="s">
        <v>574</v>
      </c>
      <c r="C2702" s="12" t="s">
        <v>566</v>
      </c>
      <c r="D2702" s="13">
        <v>381</v>
      </c>
      <c r="E2702" s="13">
        <v>373.43733500000002</v>
      </c>
      <c r="F2702" s="13">
        <v>393.29553299999992</v>
      </c>
      <c r="G2702" s="13">
        <v>407.79140100000001</v>
      </c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</row>
    <row r="2703" spans="1:19" x14ac:dyDescent="0.2">
      <c r="A2703" s="12" t="s">
        <v>398</v>
      </c>
      <c r="B2703" s="12" t="s">
        <v>553</v>
      </c>
      <c r="C2703" s="12" t="s">
        <v>554</v>
      </c>
      <c r="D2703" s="13">
        <v>0</v>
      </c>
      <c r="E2703" s="13">
        <v>0</v>
      </c>
      <c r="F2703" s="13">
        <v>0</v>
      </c>
      <c r="G2703" s="13">
        <v>0</v>
      </c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</row>
    <row r="2704" spans="1:19" x14ac:dyDescent="0.2">
      <c r="A2704" s="12" t="s">
        <v>398</v>
      </c>
      <c r="B2704" s="12" t="s">
        <v>553</v>
      </c>
      <c r="C2704" s="12" t="s">
        <v>555</v>
      </c>
      <c r="D2704" s="13">
        <v>166</v>
      </c>
      <c r="E2704" s="13">
        <v>234.829971</v>
      </c>
      <c r="F2704" s="13">
        <v>240.79060100000001</v>
      </c>
      <c r="G2704" s="13">
        <v>175.94488200000001</v>
      </c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</row>
    <row r="2705" spans="1:19" x14ac:dyDescent="0.2">
      <c r="A2705" s="12" t="s">
        <v>398</v>
      </c>
      <c r="B2705" s="12" t="s">
        <v>553</v>
      </c>
      <c r="C2705" s="12" t="s">
        <v>556</v>
      </c>
      <c r="D2705" s="13">
        <v>-8</v>
      </c>
      <c r="E2705" s="13">
        <v>-1.4771829999999999</v>
      </c>
      <c r="F2705" s="13">
        <v>-4.5591200000000001</v>
      </c>
      <c r="G2705" s="13">
        <v>-13.808062</v>
      </c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</row>
    <row r="2706" spans="1:19" x14ac:dyDescent="0.2">
      <c r="A2706" s="12" t="s">
        <v>398</v>
      </c>
      <c r="B2706" s="12" t="s">
        <v>553</v>
      </c>
      <c r="C2706" s="12" t="s">
        <v>557</v>
      </c>
      <c r="D2706" s="13">
        <v>172</v>
      </c>
      <c r="E2706" s="13">
        <v>234.324612</v>
      </c>
      <c r="F2706" s="13">
        <v>231.324941</v>
      </c>
      <c r="G2706" s="13">
        <v>158.36281299999999</v>
      </c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</row>
    <row r="2707" spans="1:19" x14ac:dyDescent="0.2">
      <c r="A2707" s="12" t="s">
        <v>398</v>
      </c>
      <c r="B2707" s="12" t="s">
        <v>553</v>
      </c>
      <c r="C2707" s="12" t="s">
        <v>558</v>
      </c>
      <c r="D2707" s="13">
        <v>-86</v>
      </c>
      <c r="E2707" s="13">
        <v>-142.664029</v>
      </c>
      <c r="F2707" s="13">
        <v>-143.80327</v>
      </c>
      <c r="G2707" s="13">
        <v>-89.49934300000001</v>
      </c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</row>
    <row r="2708" spans="1:19" x14ac:dyDescent="0.2">
      <c r="A2708" s="12" t="s">
        <v>398</v>
      </c>
      <c r="B2708" s="12" t="s">
        <v>553</v>
      </c>
      <c r="C2708" s="12" t="s">
        <v>560</v>
      </c>
      <c r="D2708" s="13">
        <v>0</v>
      </c>
      <c r="E2708" s="13">
        <v>0</v>
      </c>
      <c r="F2708" s="13">
        <v>0</v>
      </c>
      <c r="G2708" s="13">
        <v>0</v>
      </c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</row>
    <row r="2709" spans="1:19" x14ac:dyDescent="0.2">
      <c r="A2709" s="12" t="s">
        <v>398</v>
      </c>
      <c r="B2709" s="12" t="s">
        <v>553</v>
      </c>
      <c r="C2709" s="12" t="s">
        <v>561</v>
      </c>
      <c r="D2709" s="13">
        <v>18</v>
      </c>
      <c r="E2709" s="13">
        <v>17.133181</v>
      </c>
      <c r="F2709" s="13">
        <v>18.617238</v>
      </c>
      <c r="G2709" s="13">
        <v>16.758454</v>
      </c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</row>
    <row r="2710" spans="1:19" x14ac:dyDescent="0.2">
      <c r="A2710" s="12" t="s">
        <v>398</v>
      </c>
      <c r="B2710" s="12" t="s">
        <v>553</v>
      </c>
      <c r="C2710" s="12" t="s">
        <v>562</v>
      </c>
      <c r="D2710" s="13">
        <v>15</v>
      </c>
      <c r="E2710" s="13">
        <v>14.98488</v>
      </c>
      <c r="F2710" s="13">
        <v>17.107135</v>
      </c>
      <c r="G2710" s="13">
        <v>15.180617</v>
      </c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</row>
    <row r="2711" spans="1:19" x14ac:dyDescent="0.2">
      <c r="A2711" s="12" t="s">
        <v>398</v>
      </c>
      <c r="B2711" s="12" t="s">
        <v>553</v>
      </c>
      <c r="C2711" s="12" t="s">
        <v>563</v>
      </c>
      <c r="D2711" s="13">
        <v>0</v>
      </c>
      <c r="E2711" s="13">
        <v>0</v>
      </c>
      <c r="F2711" s="13">
        <v>0</v>
      </c>
      <c r="G2711" s="13">
        <v>0</v>
      </c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</row>
    <row r="2712" spans="1:19" x14ac:dyDescent="0.2">
      <c r="A2712" s="12" t="s">
        <v>398</v>
      </c>
      <c r="B2712" s="12" t="s">
        <v>553</v>
      </c>
      <c r="C2712" s="12" t="s">
        <v>564</v>
      </c>
      <c r="D2712" s="13">
        <v>0</v>
      </c>
      <c r="E2712" s="13">
        <v>1.5847E-2</v>
      </c>
      <c r="F2712" s="13">
        <v>2.7550000000000001E-3</v>
      </c>
      <c r="G2712" s="13">
        <v>2.4910000000000002E-3</v>
      </c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</row>
    <row r="2713" spans="1:19" x14ac:dyDescent="0.2">
      <c r="A2713" s="12" t="s">
        <v>398</v>
      </c>
      <c r="B2713" s="12" t="s">
        <v>553</v>
      </c>
      <c r="C2713" s="12" t="s">
        <v>565</v>
      </c>
      <c r="D2713" s="13">
        <v>0</v>
      </c>
      <c r="E2713" s="13">
        <v>0.117678</v>
      </c>
      <c r="F2713" s="13">
        <v>0.25380000000000003</v>
      </c>
      <c r="G2713" s="13">
        <v>0.31282100000000002</v>
      </c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</row>
    <row r="2714" spans="1:19" x14ac:dyDescent="0.2">
      <c r="A2714" s="12" t="s">
        <v>398</v>
      </c>
      <c r="B2714" s="12" t="s">
        <v>553</v>
      </c>
      <c r="C2714" s="12" t="s">
        <v>566</v>
      </c>
      <c r="D2714" s="13">
        <v>3</v>
      </c>
      <c r="E2714" s="13">
        <v>2.01478</v>
      </c>
      <c r="F2714" s="13">
        <v>1.253549</v>
      </c>
      <c r="G2714" s="13">
        <v>1.2625249999999999</v>
      </c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</row>
    <row r="2715" spans="1:19" x14ac:dyDescent="0.2">
      <c r="A2715" s="12" t="s">
        <v>398</v>
      </c>
      <c r="B2715" s="12" t="s">
        <v>567</v>
      </c>
      <c r="C2715" s="12" t="s">
        <v>554</v>
      </c>
      <c r="D2715" s="13">
        <v>45</v>
      </c>
      <c r="E2715" s="13">
        <v>48.116301</v>
      </c>
      <c r="F2715" s="13">
        <v>30.865511999999999</v>
      </c>
      <c r="G2715" s="13">
        <v>28.144414999999999</v>
      </c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</row>
    <row r="2716" spans="1:19" x14ac:dyDescent="0.2">
      <c r="A2716" s="12" t="s">
        <v>398</v>
      </c>
      <c r="B2716" s="12" t="s">
        <v>567</v>
      </c>
      <c r="C2716" s="12" t="s">
        <v>555</v>
      </c>
      <c r="D2716" s="13">
        <v>2436</v>
      </c>
      <c r="E2716" s="13">
        <v>2500.6466569999998</v>
      </c>
      <c r="F2716" s="13">
        <v>2665.186721</v>
      </c>
      <c r="G2716" s="13">
        <v>2686.8576389999998</v>
      </c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</row>
    <row r="2717" spans="1:19" x14ac:dyDescent="0.2">
      <c r="A2717" s="12" t="s">
        <v>398</v>
      </c>
      <c r="B2717" s="12" t="s">
        <v>567</v>
      </c>
      <c r="C2717" s="12" t="s">
        <v>556</v>
      </c>
      <c r="D2717" s="13">
        <v>-41</v>
      </c>
      <c r="E2717" s="13">
        <v>-54.709351000000012</v>
      </c>
      <c r="F2717" s="13">
        <v>-31.812650000000001</v>
      </c>
      <c r="G2717" s="13">
        <v>-46.343404000000007</v>
      </c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</row>
    <row r="2718" spans="1:19" x14ac:dyDescent="0.2">
      <c r="A2718" s="12" t="s">
        <v>398</v>
      </c>
      <c r="B2718" s="12" t="s">
        <v>567</v>
      </c>
      <c r="C2718" s="12" t="s">
        <v>557</v>
      </c>
      <c r="D2718" s="13">
        <v>2448</v>
      </c>
      <c r="E2718" s="13">
        <v>2545.0884420000002</v>
      </c>
      <c r="F2718" s="13">
        <v>2546.318428</v>
      </c>
      <c r="G2718" s="13">
        <v>2717.5067279999998</v>
      </c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</row>
    <row r="2719" spans="1:19" x14ac:dyDescent="0.2">
      <c r="A2719" s="12" t="s">
        <v>398</v>
      </c>
      <c r="B2719" s="12" t="s">
        <v>567</v>
      </c>
      <c r="C2719" s="12" t="s">
        <v>558</v>
      </c>
      <c r="D2719" s="13">
        <v>0</v>
      </c>
      <c r="E2719" s="13">
        <v>0</v>
      </c>
      <c r="F2719" s="13">
        <v>0</v>
      </c>
      <c r="G2719" s="13">
        <v>0</v>
      </c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</row>
    <row r="2720" spans="1:19" x14ac:dyDescent="0.2">
      <c r="A2720" s="12" t="s">
        <v>398</v>
      </c>
      <c r="B2720" s="12" t="s">
        <v>567</v>
      </c>
      <c r="C2720" s="12" t="s">
        <v>560</v>
      </c>
      <c r="D2720" s="13">
        <v>-2377</v>
      </c>
      <c r="E2720" s="13">
        <v>-2536.7329209999998</v>
      </c>
      <c r="F2720" s="13">
        <v>-2518.7348470000002</v>
      </c>
      <c r="G2720" s="13">
        <v>-2642.4160510000002</v>
      </c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</row>
    <row r="2721" spans="1:19" x14ac:dyDescent="0.2">
      <c r="A2721" s="12" t="s">
        <v>398</v>
      </c>
      <c r="B2721" s="12" t="s">
        <v>567</v>
      </c>
      <c r="C2721" s="12" t="s">
        <v>561</v>
      </c>
      <c r="D2721" s="13">
        <v>68</v>
      </c>
      <c r="E2721" s="13">
        <v>60.022936000000001</v>
      </c>
      <c r="F2721" s="13">
        <v>62.697471999999998</v>
      </c>
      <c r="G2721" s="13">
        <v>113.287745</v>
      </c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</row>
    <row r="2722" spans="1:19" x14ac:dyDescent="0.2">
      <c r="A2722" s="12" t="s">
        <v>398</v>
      </c>
      <c r="B2722" s="12" t="s">
        <v>567</v>
      </c>
      <c r="C2722" s="12" t="s">
        <v>562</v>
      </c>
      <c r="D2722" s="13">
        <v>0</v>
      </c>
      <c r="E2722" s="13">
        <v>0</v>
      </c>
      <c r="F2722" s="13">
        <v>0</v>
      </c>
      <c r="G2722" s="13">
        <v>0</v>
      </c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</row>
    <row r="2723" spans="1:19" x14ac:dyDescent="0.2">
      <c r="A2723" s="12" t="s">
        <v>398</v>
      </c>
      <c r="B2723" s="12" t="s">
        <v>567</v>
      </c>
      <c r="C2723" s="12" t="s">
        <v>563</v>
      </c>
      <c r="D2723" s="13">
        <v>0</v>
      </c>
      <c r="E2723" s="13">
        <v>0</v>
      </c>
      <c r="F2723" s="13">
        <v>0</v>
      </c>
      <c r="G2723" s="13">
        <v>0</v>
      </c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</row>
    <row r="2724" spans="1:19" x14ac:dyDescent="0.2">
      <c r="A2724" s="12" t="s">
        <v>398</v>
      </c>
      <c r="B2724" s="12" t="s">
        <v>567</v>
      </c>
      <c r="C2724" s="12" t="s">
        <v>564</v>
      </c>
      <c r="D2724" s="13">
        <v>0</v>
      </c>
      <c r="E2724" s="13">
        <v>0</v>
      </c>
      <c r="F2724" s="13">
        <v>0</v>
      </c>
      <c r="G2724" s="13">
        <v>0</v>
      </c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</row>
    <row r="2725" spans="1:19" x14ac:dyDescent="0.2">
      <c r="A2725" s="12" t="s">
        <v>398</v>
      </c>
      <c r="B2725" s="12" t="s">
        <v>567</v>
      </c>
      <c r="C2725" s="12" t="s">
        <v>565</v>
      </c>
      <c r="D2725" s="13">
        <v>0</v>
      </c>
      <c r="E2725" s="13">
        <v>0</v>
      </c>
      <c r="F2725" s="13">
        <v>0</v>
      </c>
      <c r="G2725" s="13">
        <v>0</v>
      </c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</row>
    <row r="2726" spans="1:19" x14ac:dyDescent="0.2">
      <c r="A2726" s="12" t="s">
        <v>398</v>
      </c>
      <c r="B2726" s="12" t="s">
        <v>567</v>
      </c>
      <c r="C2726" s="12" t="s">
        <v>566</v>
      </c>
      <c r="D2726" s="13">
        <v>68</v>
      </c>
      <c r="E2726" s="13">
        <v>60.022936000000001</v>
      </c>
      <c r="F2726" s="13">
        <v>62.697471999999998</v>
      </c>
      <c r="G2726" s="13">
        <v>113.287745</v>
      </c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</row>
    <row r="2727" spans="1:19" x14ac:dyDescent="0.2">
      <c r="A2727" s="12" t="s">
        <v>398</v>
      </c>
      <c r="B2727" s="12" t="s">
        <v>568</v>
      </c>
      <c r="C2727" s="12" t="s">
        <v>554</v>
      </c>
      <c r="D2727" s="13">
        <v>0</v>
      </c>
      <c r="E2727" s="13">
        <v>0</v>
      </c>
      <c r="F2727" s="13">
        <v>0</v>
      </c>
      <c r="G2727" s="13">
        <v>0</v>
      </c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</row>
    <row r="2728" spans="1:19" x14ac:dyDescent="0.2">
      <c r="A2728" s="12" t="s">
        <v>398</v>
      </c>
      <c r="B2728" s="12" t="s">
        <v>568</v>
      </c>
      <c r="C2728" s="12" t="s">
        <v>555</v>
      </c>
      <c r="D2728" s="13">
        <v>3090</v>
      </c>
      <c r="E2728" s="13">
        <v>3489.398913</v>
      </c>
      <c r="F2728" s="13">
        <v>3601.1021460000002</v>
      </c>
      <c r="G2728" s="13">
        <v>3278.5106380000002</v>
      </c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</row>
    <row r="2729" spans="1:19" x14ac:dyDescent="0.2">
      <c r="A2729" s="12" t="s">
        <v>398</v>
      </c>
      <c r="B2729" s="12" t="s">
        <v>568</v>
      </c>
      <c r="C2729" s="12" t="s">
        <v>556</v>
      </c>
      <c r="D2729" s="13">
        <v>-3849</v>
      </c>
      <c r="E2729" s="13">
        <v>-4527.5470429999996</v>
      </c>
      <c r="F2729" s="13">
        <v>-4493.1338159999996</v>
      </c>
      <c r="G2729" s="13">
        <v>-4422.0327539999998</v>
      </c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</row>
    <row r="2730" spans="1:19" x14ac:dyDescent="0.2">
      <c r="A2730" s="12" t="s">
        <v>398</v>
      </c>
      <c r="B2730" s="12" t="s">
        <v>568</v>
      </c>
      <c r="C2730" s="12" t="s">
        <v>557</v>
      </c>
      <c r="D2730" s="13">
        <v>-1390</v>
      </c>
      <c r="E2730" s="13">
        <v>-1473.7415169999999</v>
      </c>
      <c r="F2730" s="13">
        <v>-1526.166487</v>
      </c>
      <c r="G2730" s="13">
        <v>-1664.890185</v>
      </c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</row>
    <row r="2731" spans="1:19" x14ac:dyDescent="0.2">
      <c r="A2731" s="12" t="s">
        <v>398</v>
      </c>
      <c r="B2731" s="12" t="s">
        <v>568</v>
      </c>
      <c r="C2731" s="12" t="s">
        <v>558</v>
      </c>
      <c r="D2731" s="13">
        <v>-20</v>
      </c>
      <c r="E2731" s="13">
        <v>-19.345870999999999</v>
      </c>
      <c r="F2731" s="13">
        <v>-23.933553</v>
      </c>
      <c r="G2731" s="13">
        <v>-20.551780000000001</v>
      </c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</row>
    <row r="2732" spans="1:19" x14ac:dyDescent="0.2">
      <c r="A2732" s="12" t="s">
        <v>398</v>
      </c>
      <c r="B2732" s="12" t="s">
        <v>568</v>
      </c>
      <c r="C2732" s="12" t="s">
        <v>560</v>
      </c>
      <c r="D2732" s="13">
        <v>2368</v>
      </c>
      <c r="E2732" s="13">
        <v>2519.1723350000002</v>
      </c>
      <c r="F2732" s="13">
        <v>2495.1830169999998</v>
      </c>
      <c r="G2732" s="13">
        <v>2611.6236950000002</v>
      </c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</row>
    <row r="2733" spans="1:19" x14ac:dyDescent="0.2">
      <c r="A2733" s="12" t="s">
        <v>398</v>
      </c>
      <c r="B2733" s="12" t="s">
        <v>568</v>
      </c>
      <c r="C2733" s="12" t="s">
        <v>561</v>
      </c>
      <c r="D2733" s="13">
        <v>899</v>
      </c>
      <c r="E2733" s="13">
        <v>890.67908599999998</v>
      </c>
      <c r="F2733" s="13">
        <v>818.81503399999997</v>
      </c>
      <c r="G2733" s="13">
        <v>802.09914700000002</v>
      </c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</row>
    <row r="2734" spans="1:19" x14ac:dyDescent="0.2">
      <c r="A2734" s="12" t="s">
        <v>398</v>
      </c>
      <c r="B2734" s="12" t="s">
        <v>568</v>
      </c>
      <c r="C2734" s="12" t="s">
        <v>562</v>
      </c>
      <c r="D2734" s="13">
        <v>151</v>
      </c>
      <c r="E2734" s="13">
        <v>143.71370999999999</v>
      </c>
      <c r="F2734" s="13">
        <v>136.40632099999999</v>
      </c>
      <c r="G2734" s="13">
        <v>135.87656100000001</v>
      </c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</row>
    <row r="2735" spans="1:19" x14ac:dyDescent="0.2">
      <c r="A2735" s="12" t="s">
        <v>398</v>
      </c>
      <c r="B2735" s="12" t="s">
        <v>568</v>
      </c>
      <c r="C2735" s="12" t="s">
        <v>563</v>
      </c>
      <c r="D2735" s="13">
        <v>344</v>
      </c>
      <c r="E2735" s="13">
        <v>345.18828300000001</v>
      </c>
      <c r="F2735" s="13">
        <v>343.42543499999999</v>
      </c>
      <c r="G2735" s="13">
        <v>358.57333199999999</v>
      </c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</row>
    <row r="2736" spans="1:19" x14ac:dyDescent="0.2">
      <c r="A2736" s="12" t="s">
        <v>398</v>
      </c>
      <c r="B2736" s="12" t="s">
        <v>568</v>
      </c>
      <c r="C2736" s="12" t="s">
        <v>564</v>
      </c>
      <c r="D2736" s="13">
        <v>3</v>
      </c>
      <c r="E2736" s="13">
        <v>2.5958580000000002</v>
      </c>
      <c r="F2736" s="13">
        <v>2.535183</v>
      </c>
      <c r="G2736" s="13">
        <v>2.480553</v>
      </c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</row>
    <row r="2737" spans="1:19" x14ac:dyDescent="0.2">
      <c r="A2737" s="12" t="s">
        <v>398</v>
      </c>
      <c r="B2737" s="12" t="s">
        <v>568</v>
      </c>
      <c r="C2737" s="12" t="s">
        <v>565</v>
      </c>
      <c r="D2737" s="13">
        <v>9</v>
      </c>
      <c r="E2737" s="13">
        <v>8.9445619999999995</v>
      </c>
      <c r="F2737" s="13">
        <v>8.4046699999999994</v>
      </c>
      <c r="G2737" s="13">
        <v>8.0881899999999991</v>
      </c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</row>
    <row r="2738" spans="1:19" x14ac:dyDescent="0.2">
      <c r="A2738" s="12" t="s">
        <v>398</v>
      </c>
      <c r="B2738" s="12" t="s">
        <v>568</v>
      </c>
      <c r="C2738" s="12" t="s">
        <v>566</v>
      </c>
      <c r="D2738" s="13">
        <v>394</v>
      </c>
      <c r="E2738" s="13">
        <v>390.23667200000011</v>
      </c>
      <c r="F2738" s="13">
        <v>328.04343</v>
      </c>
      <c r="G2738" s="13">
        <v>297.08051</v>
      </c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</row>
    <row r="2739" spans="1:19" x14ac:dyDescent="0.2">
      <c r="A2739" s="12" t="s">
        <v>398</v>
      </c>
      <c r="B2739" s="12" t="s">
        <v>569</v>
      </c>
      <c r="C2739" s="12" t="s">
        <v>554</v>
      </c>
      <c r="D2739" s="13">
        <v>723</v>
      </c>
      <c r="E2739" s="13">
        <v>648.846902</v>
      </c>
      <c r="F2739" s="13">
        <v>539.35683600000004</v>
      </c>
      <c r="G2739" s="13">
        <v>354.71559400000001</v>
      </c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</row>
    <row r="2740" spans="1:19" x14ac:dyDescent="0.2">
      <c r="A2740" s="12" t="s">
        <v>398</v>
      </c>
      <c r="B2740" s="12" t="s">
        <v>569</v>
      </c>
      <c r="C2740" s="12" t="s">
        <v>555</v>
      </c>
      <c r="D2740" s="13">
        <v>1086</v>
      </c>
      <c r="E2740" s="13">
        <v>927.22962399999994</v>
      </c>
      <c r="F2740" s="13">
        <v>1163.7952499999999</v>
      </c>
      <c r="G2740" s="13">
        <v>1210.080148</v>
      </c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</row>
    <row r="2741" spans="1:19" x14ac:dyDescent="0.2">
      <c r="A2741" s="12" t="s">
        <v>398</v>
      </c>
      <c r="B2741" s="12" t="s">
        <v>569</v>
      </c>
      <c r="C2741" s="12" t="s">
        <v>556</v>
      </c>
      <c r="D2741" s="13">
        <v>-491</v>
      </c>
      <c r="E2741" s="13">
        <v>-500.16658699999999</v>
      </c>
      <c r="F2741" s="13">
        <v>-529.68996200000004</v>
      </c>
      <c r="G2741" s="13">
        <v>-598.47735299999999</v>
      </c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</row>
    <row r="2742" spans="1:19" x14ac:dyDescent="0.2">
      <c r="A2742" s="12" t="s">
        <v>398</v>
      </c>
      <c r="B2742" s="12" t="s">
        <v>569</v>
      </c>
      <c r="C2742" s="12" t="s">
        <v>557</v>
      </c>
      <c r="D2742" s="13">
        <v>1317</v>
      </c>
      <c r="E2742" s="13">
        <v>1262.789356</v>
      </c>
      <c r="F2742" s="13">
        <v>978.13626800000009</v>
      </c>
      <c r="G2742" s="13">
        <v>928.79862800000001</v>
      </c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</row>
    <row r="2743" spans="1:19" x14ac:dyDescent="0.2">
      <c r="A2743" s="12" t="s">
        <v>398</v>
      </c>
      <c r="B2743" s="12" t="s">
        <v>569</v>
      </c>
      <c r="C2743" s="12" t="s">
        <v>558</v>
      </c>
      <c r="D2743" s="13">
        <v>-475</v>
      </c>
      <c r="E2743" s="13">
        <v>-377.161024</v>
      </c>
      <c r="F2743" s="13">
        <v>-321.44889300000011</v>
      </c>
      <c r="G2743" s="13">
        <v>-311.30808200000001</v>
      </c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</row>
    <row r="2744" spans="1:19" x14ac:dyDescent="0.2">
      <c r="A2744" s="12" t="s">
        <v>398</v>
      </c>
      <c r="B2744" s="12" t="s">
        <v>569</v>
      </c>
      <c r="C2744" s="12" t="s">
        <v>560</v>
      </c>
      <c r="D2744" s="13">
        <v>0</v>
      </c>
      <c r="E2744" s="13">
        <v>0</v>
      </c>
      <c r="F2744" s="13">
        <v>0</v>
      </c>
      <c r="G2744" s="13">
        <v>0</v>
      </c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</row>
    <row r="2745" spans="1:19" x14ac:dyDescent="0.2">
      <c r="A2745" s="12" t="s">
        <v>398</v>
      </c>
      <c r="B2745" s="12" t="s">
        <v>569</v>
      </c>
      <c r="C2745" s="12" t="s">
        <v>561</v>
      </c>
      <c r="D2745" s="13">
        <v>771</v>
      </c>
      <c r="E2745" s="13">
        <v>829.04714999999999</v>
      </c>
      <c r="F2745" s="13">
        <v>648.77924300000006</v>
      </c>
      <c r="G2745" s="13">
        <v>600.29910100000006</v>
      </c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</row>
    <row r="2746" spans="1:19" x14ac:dyDescent="0.2">
      <c r="A2746" s="12" t="s">
        <v>398</v>
      </c>
      <c r="B2746" s="12" t="s">
        <v>569</v>
      </c>
      <c r="C2746" s="12" t="s">
        <v>562</v>
      </c>
      <c r="D2746" s="13">
        <v>209</v>
      </c>
      <c r="E2746" s="13">
        <v>214.433807</v>
      </c>
      <c r="F2746" s="13">
        <v>185.31044800000001</v>
      </c>
      <c r="G2746" s="13">
        <v>176.09743599999999</v>
      </c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</row>
    <row r="2747" spans="1:19" x14ac:dyDescent="0.2">
      <c r="A2747" s="12" t="s">
        <v>398</v>
      </c>
      <c r="B2747" s="12" t="s">
        <v>569</v>
      </c>
      <c r="C2747" s="12" t="s">
        <v>563</v>
      </c>
      <c r="D2747" s="13">
        <v>3</v>
      </c>
      <c r="E2747" s="13">
        <v>2.5994959999999998</v>
      </c>
      <c r="F2747" s="13">
        <v>2.6720120000000001</v>
      </c>
      <c r="G2747" s="13">
        <v>2.672355</v>
      </c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</row>
    <row r="2748" spans="1:19" x14ac:dyDescent="0.2">
      <c r="A2748" s="12" t="s">
        <v>398</v>
      </c>
      <c r="B2748" s="12" t="s">
        <v>569</v>
      </c>
      <c r="C2748" s="12" t="s">
        <v>564</v>
      </c>
      <c r="D2748" s="13">
        <v>265</v>
      </c>
      <c r="E2748" s="13">
        <v>300.43754999999999</v>
      </c>
      <c r="F2748" s="13">
        <v>237.450615</v>
      </c>
      <c r="G2748" s="13">
        <v>201.182987</v>
      </c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</row>
    <row r="2749" spans="1:19" x14ac:dyDescent="0.2">
      <c r="A2749" s="12" t="s">
        <v>398</v>
      </c>
      <c r="B2749" s="12" t="s">
        <v>569</v>
      </c>
      <c r="C2749" s="12" t="s">
        <v>565</v>
      </c>
      <c r="D2749" s="13">
        <v>104</v>
      </c>
      <c r="E2749" s="13">
        <v>113.960375</v>
      </c>
      <c r="F2749" s="13">
        <v>95.341449999999995</v>
      </c>
      <c r="G2749" s="13">
        <v>88.881619000000015</v>
      </c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</row>
    <row r="2750" spans="1:19" x14ac:dyDescent="0.2">
      <c r="A2750" s="12" t="s">
        <v>398</v>
      </c>
      <c r="B2750" s="12" t="s">
        <v>569</v>
      </c>
      <c r="C2750" s="12" t="s">
        <v>566</v>
      </c>
      <c r="D2750" s="13">
        <v>190</v>
      </c>
      <c r="E2750" s="13">
        <v>197.61592200000001</v>
      </c>
      <c r="F2750" s="13">
        <v>128.00472300000001</v>
      </c>
      <c r="G2750" s="13">
        <v>131.46470400000001</v>
      </c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</row>
    <row r="2751" spans="1:19" x14ac:dyDescent="0.2">
      <c r="A2751" s="12" t="s">
        <v>398</v>
      </c>
      <c r="B2751" s="12" t="s">
        <v>570</v>
      </c>
      <c r="C2751" s="12" t="s">
        <v>554</v>
      </c>
      <c r="D2751" s="13">
        <v>45</v>
      </c>
      <c r="E2751" s="13">
        <v>41.759519999999988</v>
      </c>
      <c r="F2751" s="13">
        <v>45.341595000000012</v>
      </c>
      <c r="G2751" s="13">
        <v>43.475923999999999</v>
      </c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</row>
    <row r="2752" spans="1:19" x14ac:dyDescent="0.2">
      <c r="A2752" s="12" t="s">
        <v>398</v>
      </c>
      <c r="B2752" s="12" t="s">
        <v>570</v>
      </c>
      <c r="C2752" s="12" t="s">
        <v>555</v>
      </c>
      <c r="D2752" s="13">
        <v>0</v>
      </c>
      <c r="E2752" s="13">
        <v>0</v>
      </c>
      <c r="F2752" s="13">
        <v>0</v>
      </c>
      <c r="G2752" s="13">
        <v>0</v>
      </c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</row>
    <row r="2753" spans="1:19" x14ac:dyDescent="0.2">
      <c r="A2753" s="12" t="s">
        <v>398</v>
      </c>
      <c r="B2753" s="12" t="s">
        <v>570</v>
      </c>
      <c r="C2753" s="12" t="s">
        <v>556</v>
      </c>
      <c r="D2753" s="13">
        <v>0</v>
      </c>
      <c r="E2753" s="13">
        <v>0</v>
      </c>
      <c r="F2753" s="13">
        <v>0</v>
      </c>
      <c r="G2753" s="13">
        <v>0</v>
      </c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</row>
    <row r="2754" spans="1:19" x14ac:dyDescent="0.2">
      <c r="A2754" s="12" t="s">
        <v>398</v>
      </c>
      <c r="B2754" s="12" t="s">
        <v>570</v>
      </c>
      <c r="C2754" s="12" t="s">
        <v>557</v>
      </c>
      <c r="D2754" s="13">
        <v>45</v>
      </c>
      <c r="E2754" s="13">
        <v>41.759519999999988</v>
      </c>
      <c r="F2754" s="13">
        <v>45.341595000000012</v>
      </c>
      <c r="G2754" s="13">
        <v>43.475923999999999</v>
      </c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</row>
    <row r="2755" spans="1:19" x14ac:dyDescent="0.2">
      <c r="A2755" s="12" t="s">
        <v>398</v>
      </c>
      <c r="B2755" s="12" t="s">
        <v>570</v>
      </c>
      <c r="C2755" s="12" t="s">
        <v>558</v>
      </c>
      <c r="D2755" s="13">
        <v>-45</v>
      </c>
      <c r="E2755" s="13">
        <v>-41.759519999999988</v>
      </c>
      <c r="F2755" s="13">
        <v>-45.341595000000012</v>
      </c>
      <c r="G2755" s="13">
        <v>-43.475923999999999</v>
      </c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</row>
    <row r="2756" spans="1:19" x14ac:dyDescent="0.2">
      <c r="A2756" s="12" t="s">
        <v>398</v>
      </c>
      <c r="B2756" s="12" t="s">
        <v>570</v>
      </c>
      <c r="C2756" s="12" t="s">
        <v>560</v>
      </c>
      <c r="D2756" s="13">
        <v>0</v>
      </c>
      <c r="E2756" s="13">
        <v>0</v>
      </c>
      <c r="F2756" s="13">
        <v>0</v>
      </c>
      <c r="G2756" s="13">
        <v>0</v>
      </c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</row>
    <row r="2757" spans="1:19" x14ac:dyDescent="0.2">
      <c r="A2757" s="12" t="s">
        <v>398</v>
      </c>
      <c r="B2757" s="12" t="s">
        <v>570</v>
      </c>
      <c r="C2757" s="12" t="s">
        <v>561</v>
      </c>
      <c r="D2757" s="13">
        <v>0</v>
      </c>
      <c r="E2757" s="13">
        <v>0</v>
      </c>
      <c r="F2757" s="13">
        <v>0</v>
      </c>
      <c r="G2757" s="13">
        <v>0</v>
      </c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</row>
    <row r="2758" spans="1:19" x14ac:dyDescent="0.2">
      <c r="A2758" s="12" t="s">
        <v>398</v>
      </c>
      <c r="B2758" s="12" t="s">
        <v>570</v>
      </c>
      <c r="C2758" s="12" t="s">
        <v>562</v>
      </c>
      <c r="D2758" s="13">
        <v>0</v>
      </c>
      <c r="E2758" s="13">
        <v>0</v>
      </c>
      <c r="F2758" s="13">
        <v>0</v>
      </c>
      <c r="G2758" s="13">
        <v>0</v>
      </c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</row>
    <row r="2759" spans="1:19" x14ac:dyDescent="0.2">
      <c r="A2759" s="12" t="s">
        <v>398</v>
      </c>
      <c r="B2759" s="12" t="s">
        <v>570</v>
      </c>
      <c r="C2759" s="12" t="s">
        <v>563</v>
      </c>
      <c r="D2759" s="13">
        <v>0</v>
      </c>
      <c r="E2759" s="13">
        <v>0</v>
      </c>
      <c r="F2759" s="13">
        <v>0</v>
      </c>
      <c r="G2759" s="13">
        <v>0</v>
      </c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</row>
    <row r="2760" spans="1:19" x14ac:dyDescent="0.2">
      <c r="A2760" s="12" t="s">
        <v>398</v>
      </c>
      <c r="B2760" s="12" t="s">
        <v>570</v>
      </c>
      <c r="C2760" s="12" t="s">
        <v>564</v>
      </c>
      <c r="D2760" s="13">
        <v>0</v>
      </c>
      <c r="E2760" s="13">
        <v>0</v>
      </c>
      <c r="F2760" s="13">
        <v>0</v>
      </c>
      <c r="G2760" s="13">
        <v>0</v>
      </c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</row>
    <row r="2761" spans="1:19" x14ac:dyDescent="0.2">
      <c r="A2761" s="12" t="s">
        <v>398</v>
      </c>
      <c r="B2761" s="12" t="s">
        <v>570</v>
      </c>
      <c r="C2761" s="12" t="s">
        <v>565</v>
      </c>
      <c r="D2761" s="13">
        <v>0</v>
      </c>
      <c r="E2761" s="13">
        <v>0</v>
      </c>
      <c r="F2761" s="13">
        <v>0</v>
      </c>
      <c r="G2761" s="13">
        <v>0</v>
      </c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</row>
    <row r="2762" spans="1:19" x14ac:dyDescent="0.2">
      <c r="A2762" s="12" t="s">
        <v>398</v>
      </c>
      <c r="B2762" s="12" t="s">
        <v>570</v>
      </c>
      <c r="C2762" s="12" t="s">
        <v>566</v>
      </c>
      <c r="D2762" s="13">
        <v>0</v>
      </c>
      <c r="E2762" s="13">
        <v>0</v>
      </c>
      <c r="F2762" s="13">
        <v>0</v>
      </c>
      <c r="G2762" s="13">
        <v>0</v>
      </c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</row>
    <row r="2763" spans="1:19" x14ac:dyDescent="0.2">
      <c r="A2763" s="12" t="s">
        <v>398</v>
      </c>
      <c r="B2763" s="12" t="s">
        <v>571</v>
      </c>
      <c r="C2763" s="12" t="s">
        <v>554</v>
      </c>
      <c r="D2763" s="13">
        <v>322</v>
      </c>
      <c r="E2763" s="13">
        <v>351.39113600000002</v>
      </c>
      <c r="F2763" s="13">
        <v>377.64838900000001</v>
      </c>
      <c r="G2763" s="13">
        <v>414.20254799999998</v>
      </c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</row>
    <row r="2764" spans="1:19" x14ac:dyDescent="0.2">
      <c r="A2764" s="12" t="s">
        <v>398</v>
      </c>
      <c r="B2764" s="12" t="s">
        <v>571</v>
      </c>
      <c r="C2764" s="12" t="s">
        <v>555</v>
      </c>
      <c r="D2764" s="13">
        <v>67</v>
      </c>
      <c r="E2764" s="13">
        <v>81.182441000000011</v>
      </c>
      <c r="F2764" s="13">
        <v>78.061475000000002</v>
      </c>
      <c r="G2764" s="13">
        <v>59.979832999999999</v>
      </c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</row>
    <row r="2765" spans="1:19" x14ac:dyDescent="0.2">
      <c r="A2765" s="12" t="s">
        <v>398</v>
      </c>
      <c r="B2765" s="12" t="s">
        <v>571</v>
      </c>
      <c r="C2765" s="12" t="s">
        <v>556</v>
      </c>
      <c r="D2765" s="13">
        <v>-73</v>
      </c>
      <c r="E2765" s="13">
        <v>-66.798681999999999</v>
      </c>
      <c r="F2765" s="13">
        <v>-45.51482</v>
      </c>
      <c r="G2765" s="13">
        <v>-84.080732999999995</v>
      </c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</row>
    <row r="2766" spans="1:19" x14ac:dyDescent="0.2">
      <c r="A2766" s="12" t="s">
        <v>398</v>
      </c>
      <c r="B2766" s="12" t="s">
        <v>571</v>
      </c>
      <c r="C2766" s="12" t="s">
        <v>557</v>
      </c>
      <c r="D2766" s="13">
        <v>308</v>
      </c>
      <c r="E2766" s="13">
        <v>355.77533199999999</v>
      </c>
      <c r="F2766" s="13">
        <v>375.464202</v>
      </c>
      <c r="G2766" s="13">
        <v>387.49402600000002</v>
      </c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</row>
    <row r="2767" spans="1:19" x14ac:dyDescent="0.2">
      <c r="A2767" s="12" t="s">
        <v>398</v>
      </c>
      <c r="B2767" s="12" t="s">
        <v>571</v>
      </c>
      <c r="C2767" s="12" t="s">
        <v>558</v>
      </c>
      <c r="D2767" s="13">
        <v>-229</v>
      </c>
      <c r="E2767" s="13">
        <v>-273.95952999999997</v>
      </c>
      <c r="F2767" s="13">
        <v>-295.74722100000002</v>
      </c>
      <c r="G2767" s="13">
        <v>-309.94397199999997</v>
      </c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</row>
    <row r="2768" spans="1:19" x14ac:dyDescent="0.2">
      <c r="A2768" s="12" t="s">
        <v>398</v>
      </c>
      <c r="B2768" s="12" t="s">
        <v>571</v>
      </c>
      <c r="C2768" s="12" t="s">
        <v>560</v>
      </c>
      <c r="D2768" s="13">
        <v>0</v>
      </c>
      <c r="E2768" s="13">
        <v>0</v>
      </c>
      <c r="F2768" s="13">
        <v>0</v>
      </c>
      <c r="G2768" s="13">
        <v>0</v>
      </c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</row>
    <row r="2769" spans="1:19" x14ac:dyDescent="0.2">
      <c r="A2769" s="12" t="s">
        <v>398</v>
      </c>
      <c r="B2769" s="12" t="s">
        <v>571</v>
      </c>
      <c r="C2769" s="12" t="s">
        <v>561</v>
      </c>
      <c r="D2769" s="13">
        <v>72</v>
      </c>
      <c r="E2769" s="13">
        <v>74.927144999999996</v>
      </c>
      <c r="F2769" s="13">
        <v>71.763845000000003</v>
      </c>
      <c r="G2769" s="13">
        <v>67.808248000000006</v>
      </c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</row>
    <row r="2770" spans="1:19" x14ac:dyDescent="0.2">
      <c r="A2770" s="12" t="s">
        <v>398</v>
      </c>
      <c r="B2770" s="12" t="s">
        <v>571</v>
      </c>
      <c r="C2770" s="12" t="s">
        <v>562</v>
      </c>
      <c r="D2770" s="13">
        <v>8</v>
      </c>
      <c r="E2770" s="13">
        <v>7.5013720000000008</v>
      </c>
      <c r="F2770" s="13">
        <v>7.7061989999999998</v>
      </c>
      <c r="G2770" s="13">
        <v>7.0063459999999997</v>
      </c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</row>
    <row r="2771" spans="1:19" x14ac:dyDescent="0.2">
      <c r="A2771" s="12" t="s">
        <v>398</v>
      </c>
      <c r="B2771" s="12" t="s">
        <v>571</v>
      </c>
      <c r="C2771" s="12" t="s">
        <v>563</v>
      </c>
      <c r="D2771" s="13">
        <v>22</v>
      </c>
      <c r="E2771" s="13">
        <v>24.780493</v>
      </c>
      <c r="F2771" s="13">
        <v>23.027798000000001</v>
      </c>
      <c r="G2771" s="13">
        <v>22.877914000000001</v>
      </c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</row>
    <row r="2772" spans="1:19" x14ac:dyDescent="0.2">
      <c r="A2772" s="12" t="s">
        <v>398</v>
      </c>
      <c r="B2772" s="12" t="s">
        <v>571</v>
      </c>
      <c r="C2772" s="12" t="s">
        <v>564</v>
      </c>
      <c r="D2772" s="13">
        <v>17</v>
      </c>
      <c r="E2772" s="13">
        <v>17.119648999999999</v>
      </c>
      <c r="F2772" s="13">
        <v>17.129355</v>
      </c>
      <c r="G2772" s="13">
        <v>17.120625</v>
      </c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</row>
    <row r="2773" spans="1:19" x14ac:dyDescent="0.2">
      <c r="A2773" s="12" t="s">
        <v>398</v>
      </c>
      <c r="B2773" s="12" t="s">
        <v>571</v>
      </c>
      <c r="C2773" s="12" t="s">
        <v>565</v>
      </c>
      <c r="D2773" s="13">
        <v>9</v>
      </c>
      <c r="E2773" s="13">
        <v>8.5380240000000001</v>
      </c>
      <c r="F2773" s="13">
        <v>7.2290209999999986</v>
      </c>
      <c r="G2773" s="13">
        <v>8.0273889999999994</v>
      </c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</row>
    <row r="2774" spans="1:19" x14ac:dyDescent="0.2">
      <c r="A2774" s="12" t="s">
        <v>398</v>
      </c>
      <c r="B2774" s="12" t="s">
        <v>571</v>
      </c>
      <c r="C2774" s="12" t="s">
        <v>566</v>
      </c>
      <c r="D2774" s="13">
        <v>16</v>
      </c>
      <c r="E2774" s="13">
        <v>16.987597999999998</v>
      </c>
      <c r="F2774" s="13">
        <v>16.671468999999998</v>
      </c>
      <c r="G2774" s="13">
        <v>12.775978</v>
      </c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</row>
    <row r="2775" spans="1:19" x14ac:dyDescent="0.2">
      <c r="A2775" s="12" t="s">
        <v>398</v>
      </c>
      <c r="B2775" s="12" t="s">
        <v>572</v>
      </c>
      <c r="C2775" s="12" t="s">
        <v>554</v>
      </c>
      <c r="D2775" s="13">
        <v>0</v>
      </c>
      <c r="E2775" s="13">
        <v>0</v>
      </c>
      <c r="F2775" s="13">
        <v>0</v>
      </c>
      <c r="G2775" s="13">
        <v>0</v>
      </c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</row>
    <row r="2776" spans="1:19" x14ac:dyDescent="0.2">
      <c r="A2776" s="12" t="s">
        <v>398</v>
      </c>
      <c r="B2776" s="12" t="s">
        <v>572</v>
      </c>
      <c r="C2776" s="12" t="s">
        <v>555</v>
      </c>
      <c r="D2776" s="13">
        <v>71</v>
      </c>
      <c r="E2776" s="13">
        <v>75.187425000000005</v>
      </c>
      <c r="F2776" s="13">
        <v>66.760012000000003</v>
      </c>
      <c r="G2776" s="13">
        <v>70.367782000000005</v>
      </c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</row>
    <row r="2777" spans="1:19" x14ac:dyDescent="0.2">
      <c r="A2777" s="12" t="s">
        <v>398</v>
      </c>
      <c r="B2777" s="12" t="s">
        <v>572</v>
      </c>
      <c r="C2777" s="12" t="s">
        <v>556</v>
      </c>
      <c r="D2777" s="13">
        <v>-81</v>
      </c>
      <c r="E2777" s="13">
        <v>-74.276804999999996</v>
      </c>
      <c r="F2777" s="13">
        <v>-82.119045</v>
      </c>
      <c r="G2777" s="13">
        <v>-90.74209900000001</v>
      </c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</row>
    <row r="2778" spans="1:19" x14ac:dyDescent="0.2">
      <c r="A2778" s="12" t="s">
        <v>398</v>
      </c>
      <c r="B2778" s="12" t="s">
        <v>572</v>
      </c>
      <c r="C2778" s="12" t="s">
        <v>557</v>
      </c>
      <c r="D2778" s="13">
        <v>-10</v>
      </c>
      <c r="E2778" s="13">
        <v>0.91062100000000001</v>
      </c>
      <c r="F2778" s="13">
        <v>-15.359033</v>
      </c>
      <c r="G2778" s="13">
        <v>-20.374317000000001</v>
      </c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</row>
    <row r="2779" spans="1:19" x14ac:dyDescent="0.2">
      <c r="A2779" s="12" t="s">
        <v>398</v>
      </c>
      <c r="B2779" s="12" t="s">
        <v>572</v>
      </c>
      <c r="C2779" s="12" t="s">
        <v>558</v>
      </c>
      <c r="D2779" s="13">
        <v>444</v>
      </c>
      <c r="E2779" s="13">
        <v>439.81363599999997</v>
      </c>
      <c r="F2779" s="13">
        <v>437.66225600000013</v>
      </c>
      <c r="G2779" s="13">
        <v>436.79010399999999</v>
      </c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</row>
    <row r="2780" spans="1:19" x14ac:dyDescent="0.2">
      <c r="A2780" s="12" t="s">
        <v>398</v>
      </c>
      <c r="B2780" s="12" t="s">
        <v>572</v>
      </c>
      <c r="C2780" s="12" t="s">
        <v>560</v>
      </c>
      <c r="D2780" s="13">
        <v>0</v>
      </c>
      <c r="E2780" s="13">
        <v>0</v>
      </c>
      <c r="F2780" s="13">
        <v>0</v>
      </c>
      <c r="G2780" s="13">
        <v>0</v>
      </c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</row>
    <row r="2781" spans="1:19" x14ac:dyDescent="0.2">
      <c r="A2781" s="12" t="s">
        <v>398</v>
      </c>
      <c r="B2781" s="12" t="s">
        <v>572</v>
      </c>
      <c r="C2781" s="12" t="s">
        <v>561</v>
      </c>
      <c r="D2781" s="13">
        <v>383</v>
      </c>
      <c r="E2781" s="13">
        <v>386.11852800000003</v>
      </c>
      <c r="F2781" s="13">
        <v>373.42249700000002</v>
      </c>
      <c r="G2781" s="13">
        <v>366.24522000000002</v>
      </c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</row>
    <row r="2782" spans="1:19" x14ac:dyDescent="0.2">
      <c r="A2782" s="12" t="s">
        <v>398</v>
      </c>
      <c r="B2782" s="12" t="s">
        <v>572</v>
      </c>
      <c r="C2782" s="12" t="s">
        <v>562</v>
      </c>
      <c r="D2782" s="13">
        <v>128</v>
      </c>
      <c r="E2782" s="13">
        <v>127.118994</v>
      </c>
      <c r="F2782" s="13">
        <v>121.83178100000001</v>
      </c>
      <c r="G2782" s="13">
        <v>115.158822</v>
      </c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</row>
    <row r="2783" spans="1:19" x14ac:dyDescent="0.2">
      <c r="A2783" s="12" t="s">
        <v>398</v>
      </c>
      <c r="B2783" s="12" t="s">
        <v>572</v>
      </c>
      <c r="C2783" s="12" t="s">
        <v>563</v>
      </c>
      <c r="D2783" s="13">
        <v>8</v>
      </c>
      <c r="E2783" s="13">
        <v>9.7082139999999999</v>
      </c>
      <c r="F2783" s="13">
        <v>12.040157000000001</v>
      </c>
      <c r="G2783" s="13">
        <v>13.980176999999999</v>
      </c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</row>
    <row r="2784" spans="1:19" x14ac:dyDescent="0.2">
      <c r="A2784" s="12" t="s">
        <v>398</v>
      </c>
      <c r="B2784" s="12" t="s">
        <v>572</v>
      </c>
      <c r="C2784" s="12" t="s">
        <v>564</v>
      </c>
      <c r="D2784" s="13">
        <v>79</v>
      </c>
      <c r="E2784" s="13">
        <v>80.891286999999991</v>
      </c>
      <c r="F2784" s="13">
        <v>80.061614000000006</v>
      </c>
      <c r="G2784" s="13">
        <v>76.764739000000006</v>
      </c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</row>
    <row r="2785" spans="1:19" x14ac:dyDescent="0.2">
      <c r="A2785" s="12" t="s">
        <v>398</v>
      </c>
      <c r="B2785" s="12" t="s">
        <v>572</v>
      </c>
      <c r="C2785" s="12" t="s">
        <v>565</v>
      </c>
      <c r="D2785" s="13">
        <v>129</v>
      </c>
      <c r="E2785" s="13">
        <v>131.54267400000001</v>
      </c>
      <c r="F2785" s="13">
        <v>134.27039500000001</v>
      </c>
      <c r="G2785" s="13">
        <v>133.93192199999999</v>
      </c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</row>
    <row r="2786" spans="1:19" x14ac:dyDescent="0.2">
      <c r="A2786" s="12" t="s">
        <v>398</v>
      </c>
      <c r="B2786" s="12" t="s">
        <v>572</v>
      </c>
      <c r="C2786" s="12" t="s">
        <v>566</v>
      </c>
      <c r="D2786" s="13">
        <v>38</v>
      </c>
      <c r="E2786" s="13">
        <v>36.857362999999999</v>
      </c>
      <c r="F2786" s="13">
        <v>25.218548999999999</v>
      </c>
      <c r="G2786" s="13">
        <v>26.409551</v>
      </c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</row>
    <row r="2787" spans="1:19" x14ac:dyDescent="0.2">
      <c r="A2787" s="12" t="s">
        <v>398</v>
      </c>
      <c r="B2787" s="12" t="s">
        <v>573</v>
      </c>
      <c r="C2787" s="12" t="s">
        <v>554</v>
      </c>
      <c r="D2787" s="13">
        <v>12</v>
      </c>
      <c r="E2787" s="13">
        <v>11.810677999999999</v>
      </c>
      <c r="F2787" s="13">
        <v>10.773175999999999</v>
      </c>
      <c r="G2787" s="13">
        <v>8.0311109999999992</v>
      </c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</row>
    <row r="2788" spans="1:19" x14ac:dyDescent="0.2">
      <c r="A2788" s="12" t="s">
        <v>398</v>
      </c>
      <c r="B2788" s="12" t="s">
        <v>573</v>
      </c>
      <c r="C2788" s="12" t="s">
        <v>555</v>
      </c>
      <c r="D2788" s="13">
        <v>0</v>
      </c>
      <c r="E2788" s="13">
        <v>0</v>
      </c>
      <c r="F2788" s="13">
        <v>0</v>
      </c>
      <c r="G2788" s="13">
        <v>0</v>
      </c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</row>
    <row r="2789" spans="1:19" x14ac:dyDescent="0.2">
      <c r="A2789" s="12" t="s">
        <v>398</v>
      </c>
      <c r="B2789" s="12" t="s">
        <v>573</v>
      </c>
      <c r="C2789" s="12" t="s">
        <v>556</v>
      </c>
      <c r="D2789" s="13">
        <v>0</v>
      </c>
      <c r="E2789" s="13">
        <v>0</v>
      </c>
      <c r="F2789" s="13">
        <v>0</v>
      </c>
      <c r="G2789" s="13">
        <v>0</v>
      </c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</row>
    <row r="2790" spans="1:19" x14ac:dyDescent="0.2">
      <c r="A2790" s="12" t="s">
        <v>398</v>
      </c>
      <c r="B2790" s="12" t="s">
        <v>573</v>
      </c>
      <c r="C2790" s="12" t="s">
        <v>557</v>
      </c>
      <c r="D2790" s="13">
        <v>12</v>
      </c>
      <c r="E2790" s="13">
        <v>11.810677999999999</v>
      </c>
      <c r="F2790" s="13">
        <v>10.773175999999999</v>
      </c>
      <c r="G2790" s="13">
        <v>8.0311109999999992</v>
      </c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</row>
    <row r="2791" spans="1:19" x14ac:dyDescent="0.2">
      <c r="A2791" s="12" t="s">
        <v>398</v>
      </c>
      <c r="B2791" s="12" t="s">
        <v>573</v>
      </c>
      <c r="C2791" s="12" t="s">
        <v>558</v>
      </c>
      <c r="D2791" s="13">
        <v>94</v>
      </c>
      <c r="E2791" s="13">
        <v>98.963658999999993</v>
      </c>
      <c r="F2791" s="13">
        <v>92.579853999999997</v>
      </c>
      <c r="G2791" s="13">
        <v>85.26804700000001</v>
      </c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</row>
    <row r="2792" spans="1:19" x14ac:dyDescent="0.2">
      <c r="A2792" s="12" t="s">
        <v>398</v>
      </c>
      <c r="B2792" s="12" t="s">
        <v>573</v>
      </c>
      <c r="C2792" s="12" t="s">
        <v>560</v>
      </c>
      <c r="D2792" s="13">
        <v>0</v>
      </c>
      <c r="E2792" s="13">
        <v>0</v>
      </c>
      <c r="F2792" s="13">
        <v>0</v>
      </c>
      <c r="G2792" s="13">
        <v>0</v>
      </c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</row>
    <row r="2793" spans="1:19" x14ac:dyDescent="0.2">
      <c r="A2793" s="12" t="s">
        <v>398</v>
      </c>
      <c r="B2793" s="12" t="s">
        <v>573</v>
      </c>
      <c r="C2793" s="12" t="s">
        <v>561</v>
      </c>
      <c r="D2793" s="13">
        <v>80</v>
      </c>
      <c r="E2793" s="13">
        <v>84.140498999999991</v>
      </c>
      <c r="F2793" s="13">
        <v>77.368915999999999</v>
      </c>
      <c r="G2793" s="13">
        <v>68.717454000000004</v>
      </c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</row>
    <row r="2794" spans="1:19" x14ac:dyDescent="0.2">
      <c r="A2794" s="12" t="s">
        <v>398</v>
      </c>
      <c r="B2794" s="12" t="s">
        <v>573</v>
      </c>
      <c r="C2794" s="12" t="s">
        <v>562</v>
      </c>
      <c r="D2794" s="13">
        <v>55</v>
      </c>
      <c r="E2794" s="13">
        <v>58.879822999999988</v>
      </c>
      <c r="F2794" s="13">
        <v>54.525756000000001</v>
      </c>
      <c r="G2794" s="13">
        <v>47.883012000000001</v>
      </c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</row>
    <row r="2795" spans="1:19" x14ac:dyDescent="0.2">
      <c r="A2795" s="12" t="s">
        <v>398</v>
      </c>
      <c r="B2795" s="12" t="s">
        <v>573</v>
      </c>
      <c r="C2795" s="12" t="s">
        <v>563</v>
      </c>
      <c r="D2795" s="13">
        <v>0</v>
      </c>
      <c r="E2795" s="13">
        <v>0</v>
      </c>
      <c r="F2795" s="13">
        <v>0</v>
      </c>
      <c r="G2795" s="13">
        <v>0</v>
      </c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</row>
    <row r="2796" spans="1:19" x14ac:dyDescent="0.2">
      <c r="A2796" s="12" t="s">
        <v>398</v>
      </c>
      <c r="B2796" s="12" t="s">
        <v>573</v>
      </c>
      <c r="C2796" s="12" t="s">
        <v>564</v>
      </c>
      <c r="D2796" s="13">
        <v>12</v>
      </c>
      <c r="E2796" s="13">
        <v>13.2804</v>
      </c>
      <c r="F2796" s="13">
        <v>10.686501</v>
      </c>
      <c r="G2796" s="13">
        <v>9.9062579999999993</v>
      </c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</row>
    <row r="2797" spans="1:19" x14ac:dyDescent="0.2">
      <c r="A2797" s="12" t="s">
        <v>398</v>
      </c>
      <c r="B2797" s="12" t="s">
        <v>573</v>
      </c>
      <c r="C2797" s="12" t="s">
        <v>565</v>
      </c>
      <c r="D2797" s="13">
        <v>9</v>
      </c>
      <c r="E2797" s="13">
        <v>8.3849549999999997</v>
      </c>
      <c r="F2797" s="13">
        <v>9.6882510000000011</v>
      </c>
      <c r="G2797" s="13">
        <v>8.4642990000000005</v>
      </c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</row>
    <row r="2798" spans="1:19" x14ac:dyDescent="0.2">
      <c r="A2798" s="12" t="s">
        <v>398</v>
      </c>
      <c r="B2798" s="12" t="s">
        <v>573</v>
      </c>
      <c r="C2798" s="12" t="s">
        <v>566</v>
      </c>
      <c r="D2798" s="13">
        <v>3</v>
      </c>
      <c r="E2798" s="13">
        <v>3.5953270000000002</v>
      </c>
      <c r="F2798" s="13">
        <v>2.4684119999999998</v>
      </c>
      <c r="G2798" s="13">
        <v>2.463886</v>
      </c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</row>
    <row r="2799" spans="1:19" x14ac:dyDescent="0.2">
      <c r="A2799" s="12" t="s">
        <v>398</v>
      </c>
      <c r="B2799" s="12" t="s">
        <v>574</v>
      </c>
      <c r="C2799" s="12" t="s">
        <v>554</v>
      </c>
      <c r="D2799" s="13">
        <v>1147</v>
      </c>
      <c r="E2799" s="13">
        <v>1101.9245370000001</v>
      </c>
      <c r="F2799" s="13">
        <v>1003.985513</v>
      </c>
      <c r="G2799" s="13">
        <v>848.56958799999995</v>
      </c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</row>
    <row r="2800" spans="1:19" x14ac:dyDescent="0.2">
      <c r="A2800" s="12" t="s">
        <v>398</v>
      </c>
      <c r="B2800" s="12" t="s">
        <v>574</v>
      </c>
      <c r="C2800" s="12" t="s">
        <v>555</v>
      </c>
      <c r="D2800" s="13">
        <v>6916</v>
      </c>
      <c r="E2800" s="13">
        <v>7308.4750279999998</v>
      </c>
      <c r="F2800" s="13">
        <v>7815.6962060000014</v>
      </c>
      <c r="G2800" s="13">
        <v>7481.7409230000003</v>
      </c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</row>
    <row r="2801" spans="1:19" x14ac:dyDescent="0.2">
      <c r="A2801" s="12" t="s">
        <v>398</v>
      </c>
      <c r="B2801" s="12" t="s">
        <v>574</v>
      </c>
      <c r="C2801" s="12" t="s">
        <v>556</v>
      </c>
      <c r="D2801" s="13">
        <v>-4543</v>
      </c>
      <c r="E2801" s="13">
        <v>-5224.9756539999998</v>
      </c>
      <c r="F2801" s="13">
        <v>-5186.8294100000003</v>
      </c>
      <c r="G2801" s="13">
        <v>-5255.4844050000002</v>
      </c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</row>
    <row r="2802" spans="1:19" x14ac:dyDescent="0.2">
      <c r="A2802" s="12" t="s">
        <v>398</v>
      </c>
      <c r="B2802" s="12" t="s">
        <v>574</v>
      </c>
      <c r="C2802" s="12" t="s">
        <v>557</v>
      </c>
      <c r="D2802" s="13">
        <v>2903</v>
      </c>
      <c r="E2802" s="13">
        <v>2978.7170470000001</v>
      </c>
      <c r="F2802" s="13">
        <v>2645.833095</v>
      </c>
      <c r="G2802" s="13">
        <v>2558.4047270000001</v>
      </c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</row>
    <row r="2803" spans="1:19" x14ac:dyDescent="0.2">
      <c r="A2803" s="12" t="s">
        <v>398</v>
      </c>
      <c r="B2803" s="12" t="s">
        <v>574</v>
      </c>
      <c r="C2803" s="12" t="s">
        <v>558</v>
      </c>
      <c r="D2803" s="13">
        <v>-317</v>
      </c>
      <c r="E2803" s="13">
        <v>-316.11268699999999</v>
      </c>
      <c r="F2803" s="13">
        <v>-300.03242200000011</v>
      </c>
      <c r="G2803" s="13">
        <v>-252.72094999999999</v>
      </c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</row>
    <row r="2804" spans="1:19" x14ac:dyDescent="0.2">
      <c r="A2804" s="12" t="s">
        <v>398</v>
      </c>
      <c r="B2804" s="12" t="s">
        <v>574</v>
      </c>
      <c r="C2804" s="12" t="s">
        <v>560</v>
      </c>
      <c r="D2804" s="13">
        <v>-9</v>
      </c>
      <c r="E2804" s="13">
        <v>-17.560590999999999</v>
      </c>
      <c r="F2804" s="13">
        <v>-23.551839000000001</v>
      </c>
      <c r="G2804" s="13">
        <v>-30.792361</v>
      </c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</row>
    <row r="2805" spans="1:19" x14ac:dyDescent="0.2">
      <c r="A2805" s="12" t="s">
        <v>398</v>
      </c>
      <c r="B2805" s="12" t="s">
        <v>574</v>
      </c>
      <c r="C2805" s="12" t="s">
        <v>561</v>
      </c>
      <c r="D2805" s="13">
        <v>2291</v>
      </c>
      <c r="E2805" s="13">
        <v>2342.068522</v>
      </c>
      <c r="F2805" s="13">
        <v>2071.4642490000001</v>
      </c>
      <c r="G2805" s="13">
        <v>2035.2153619999999</v>
      </c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</row>
    <row r="2806" spans="1:19" x14ac:dyDescent="0.2">
      <c r="A2806" s="12" t="s">
        <v>398</v>
      </c>
      <c r="B2806" s="12" t="s">
        <v>574</v>
      </c>
      <c r="C2806" s="12" t="s">
        <v>562</v>
      </c>
      <c r="D2806" s="13">
        <v>567</v>
      </c>
      <c r="E2806" s="13">
        <v>566.63258200000007</v>
      </c>
      <c r="F2806" s="13">
        <v>522.88763900000004</v>
      </c>
      <c r="G2806" s="13">
        <v>497.202789</v>
      </c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</row>
    <row r="2807" spans="1:19" x14ac:dyDescent="0.2">
      <c r="A2807" s="12" t="s">
        <v>398</v>
      </c>
      <c r="B2807" s="12" t="s">
        <v>574</v>
      </c>
      <c r="C2807" s="12" t="s">
        <v>563</v>
      </c>
      <c r="D2807" s="13">
        <v>376</v>
      </c>
      <c r="E2807" s="13">
        <v>382.27648199999999</v>
      </c>
      <c r="F2807" s="13">
        <v>381.16540500000002</v>
      </c>
      <c r="G2807" s="13">
        <v>398.10378300000002</v>
      </c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</row>
    <row r="2808" spans="1:19" x14ac:dyDescent="0.2">
      <c r="A2808" s="12" t="s">
        <v>398</v>
      </c>
      <c r="B2808" s="12" t="s">
        <v>574</v>
      </c>
      <c r="C2808" s="12" t="s">
        <v>564</v>
      </c>
      <c r="D2808" s="13">
        <v>375</v>
      </c>
      <c r="E2808" s="13">
        <v>414.34058700000003</v>
      </c>
      <c r="F2808" s="13">
        <v>347.86602599999998</v>
      </c>
      <c r="G2808" s="13">
        <v>307.45765399999999</v>
      </c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</row>
    <row r="2809" spans="1:19" x14ac:dyDescent="0.2">
      <c r="A2809" s="12" t="s">
        <v>398</v>
      </c>
      <c r="B2809" s="12" t="s">
        <v>574</v>
      </c>
      <c r="C2809" s="12" t="s">
        <v>565</v>
      </c>
      <c r="D2809" s="13">
        <v>260</v>
      </c>
      <c r="E2809" s="13">
        <v>271.48827299999999</v>
      </c>
      <c r="F2809" s="13">
        <v>255.18758299999999</v>
      </c>
      <c r="G2809" s="13">
        <v>247.706244</v>
      </c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</row>
    <row r="2810" spans="1:19" x14ac:dyDescent="0.2">
      <c r="A2810" s="12" t="s">
        <v>398</v>
      </c>
      <c r="B2810" s="12" t="s">
        <v>574</v>
      </c>
      <c r="C2810" s="12" t="s">
        <v>566</v>
      </c>
      <c r="D2810" s="13">
        <v>712</v>
      </c>
      <c r="E2810" s="13">
        <v>707.330603</v>
      </c>
      <c r="F2810" s="13">
        <v>564.35760399999992</v>
      </c>
      <c r="G2810" s="13">
        <v>584.74489599999993</v>
      </c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</row>
    <row r="2811" spans="1:19" x14ac:dyDescent="0.2">
      <c r="A2811" s="12" t="s">
        <v>406</v>
      </c>
      <c r="B2811" s="12" t="s">
        <v>553</v>
      </c>
      <c r="C2811" s="12" t="s">
        <v>554</v>
      </c>
      <c r="D2811" s="13">
        <v>64</v>
      </c>
      <c r="E2811" s="13">
        <v>65.953102999999999</v>
      </c>
      <c r="F2811" s="13">
        <v>61.864210999999997</v>
      </c>
      <c r="G2811" s="13">
        <v>61.629142999999999</v>
      </c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</row>
    <row r="2812" spans="1:19" x14ac:dyDescent="0.2">
      <c r="A2812" s="12" t="s">
        <v>406</v>
      </c>
      <c r="B2812" s="12" t="s">
        <v>553</v>
      </c>
      <c r="C2812" s="12" t="s">
        <v>555</v>
      </c>
      <c r="D2812" s="13">
        <v>22</v>
      </c>
      <c r="E2812" s="13">
        <v>36.634098000000002</v>
      </c>
      <c r="F2812" s="13">
        <v>14.880838000000001</v>
      </c>
      <c r="G2812" s="13">
        <v>5.1247230000000004</v>
      </c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</row>
    <row r="2813" spans="1:19" x14ac:dyDescent="0.2">
      <c r="A2813" s="12" t="s">
        <v>406</v>
      </c>
      <c r="B2813" s="12" t="s">
        <v>553</v>
      </c>
      <c r="C2813" s="12" t="s">
        <v>556</v>
      </c>
      <c r="D2813" s="13">
        <v>-32</v>
      </c>
      <c r="E2813" s="13">
        <v>-35.100037999999998</v>
      </c>
      <c r="F2813" s="13">
        <v>-36.245668000000002</v>
      </c>
      <c r="G2813" s="13">
        <v>-34.905398000000012</v>
      </c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</row>
    <row r="2814" spans="1:19" x14ac:dyDescent="0.2">
      <c r="A2814" s="12" t="s">
        <v>406</v>
      </c>
      <c r="B2814" s="12" t="s">
        <v>553</v>
      </c>
      <c r="C2814" s="12" t="s">
        <v>557</v>
      </c>
      <c r="D2814" s="13">
        <v>49</v>
      </c>
      <c r="E2814" s="13">
        <v>60.988065000000013</v>
      </c>
      <c r="F2814" s="13">
        <v>40.565796000000013</v>
      </c>
      <c r="G2814" s="13">
        <v>35.708571999999997</v>
      </c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</row>
    <row r="2815" spans="1:19" x14ac:dyDescent="0.2">
      <c r="A2815" s="12" t="s">
        <v>406</v>
      </c>
      <c r="B2815" s="12" t="s">
        <v>553</v>
      </c>
      <c r="C2815" s="12" t="s">
        <v>558</v>
      </c>
      <c r="D2815" s="13">
        <v>-24</v>
      </c>
      <c r="E2815" s="13">
        <v>-31.659182999999999</v>
      </c>
      <c r="F2815" s="13">
        <v>-14.467161000000001</v>
      </c>
      <c r="G2815" s="13">
        <v>-11.930789000000001</v>
      </c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</row>
    <row r="2816" spans="1:19" x14ac:dyDescent="0.2">
      <c r="A2816" s="12" t="s">
        <v>406</v>
      </c>
      <c r="B2816" s="12" t="s">
        <v>553</v>
      </c>
      <c r="C2816" s="12" t="s">
        <v>560</v>
      </c>
      <c r="D2816" s="13">
        <v>0</v>
      </c>
      <c r="E2816" s="13">
        <v>0</v>
      </c>
      <c r="F2816" s="13">
        <v>0</v>
      </c>
      <c r="G2816" s="13">
        <v>0</v>
      </c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</row>
    <row r="2817" spans="1:19" x14ac:dyDescent="0.2">
      <c r="A2817" s="12" t="s">
        <v>406</v>
      </c>
      <c r="B2817" s="12" t="s">
        <v>553</v>
      </c>
      <c r="C2817" s="12" t="s">
        <v>561</v>
      </c>
      <c r="D2817" s="13">
        <v>22</v>
      </c>
      <c r="E2817" s="13">
        <v>22.27018</v>
      </c>
      <c r="F2817" s="13">
        <v>20.658374999999999</v>
      </c>
      <c r="G2817" s="13">
        <v>19.155359000000001</v>
      </c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</row>
    <row r="2818" spans="1:19" x14ac:dyDescent="0.2">
      <c r="A2818" s="12" t="s">
        <v>406</v>
      </c>
      <c r="B2818" s="12" t="s">
        <v>553</v>
      </c>
      <c r="C2818" s="12" t="s">
        <v>562</v>
      </c>
      <c r="D2818" s="13">
        <v>20</v>
      </c>
      <c r="E2818" s="13">
        <v>20.179940999999999</v>
      </c>
      <c r="F2818" s="13">
        <v>18.599222999999999</v>
      </c>
      <c r="G2818" s="13">
        <v>17.071057</v>
      </c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</row>
    <row r="2819" spans="1:19" x14ac:dyDescent="0.2">
      <c r="A2819" s="12" t="s">
        <v>406</v>
      </c>
      <c r="B2819" s="12" t="s">
        <v>553</v>
      </c>
      <c r="C2819" s="12" t="s">
        <v>563</v>
      </c>
      <c r="D2819" s="13">
        <v>0</v>
      </c>
      <c r="E2819" s="13">
        <v>4.4799999999999999E-4</v>
      </c>
      <c r="F2819" s="13">
        <v>0</v>
      </c>
      <c r="G2819" s="13">
        <v>0</v>
      </c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</row>
    <row r="2820" spans="1:19" x14ac:dyDescent="0.2">
      <c r="A2820" s="12" t="s">
        <v>406</v>
      </c>
      <c r="B2820" s="12" t="s">
        <v>553</v>
      </c>
      <c r="C2820" s="12" t="s">
        <v>564</v>
      </c>
      <c r="D2820" s="13">
        <v>0</v>
      </c>
      <c r="E2820" s="13">
        <v>0.219192</v>
      </c>
      <c r="F2820" s="13">
        <v>0.13711799999999999</v>
      </c>
      <c r="G2820" s="13">
        <v>0.11894299999999999</v>
      </c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</row>
    <row r="2821" spans="1:19" x14ac:dyDescent="0.2">
      <c r="A2821" s="12" t="s">
        <v>406</v>
      </c>
      <c r="B2821" s="12" t="s">
        <v>553</v>
      </c>
      <c r="C2821" s="12" t="s">
        <v>565</v>
      </c>
      <c r="D2821" s="13">
        <v>1</v>
      </c>
      <c r="E2821" s="13">
        <v>0.44841500000000001</v>
      </c>
      <c r="F2821" s="13">
        <v>0.49500100000000002</v>
      </c>
      <c r="G2821" s="13">
        <v>0.45016499999999998</v>
      </c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</row>
    <row r="2822" spans="1:19" x14ac:dyDescent="0.2">
      <c r="A2822" s="12" t="s">
        <v>406</v>
      </c>
      <c r="B2822" s="12" t="s">
        <v>553</v>
      </c>
      <c r="C2822" s="12" t="s">
        <v>566</v>
      </c>
      <c r="D2822" s="13">
        <v>2</v>
      </c>
      <c r="E2822" s="13">
        <v>1.4221760000000001</v>
      </c>
      <c r="F2822" s="13">
        <v>1.4270370000000001</v>
      </c>
      <c r="G2822" s="13">
        <v>1.51519</v>
      </c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</row>
    <row r="2823" spans="1:19" x14ac:dyDescent="0.2">
      <c r="A2823" s="12" t="s">
        <v>406</v>
      </c>
      <c r="B2823" s="12" t="s">
        <v>567</v>
      </c>
      <c r="C2823" s="12" t="s">
        <v>554</v>
      </c>
      <c r="D2823" s="13">
        <v>49</v>
      </c>
      <c r="E2823" s="13">
        <v>42.814891000000003</v>
      </c>
      <c r="F2823" s="13">
        <v>39.217701000000012</v>
      </c>
      <c r="G2823" s="13">
        <v>42.157940000000004</v>
      </c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</row>
    <row r="2824" spans="1:19" x14ac:dyDescent="0.2">
      <c r="A2824" s="12" t="s">
        <v>406</v>
      </c>
      <c r="B2824" s="12" t="s">
        <v>567</v>
      </c>
      <c r="C2824" s="12" t="s">
        <v>555</v>
      </c>
      <c r="D2824" s="13">
        <v>163</v>
      </c>
      <c r="E2824" s="13">
        <v>144.57166100000001</v>
      </c>
      <c r="F2824" s="13">
        <v>35.407780000000002</v>
      </c>
      <c r="G2824" s="13">
        <v>0</v>
      </c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</row>
    <row r="2825" spans="1:19" x14ac:dyDescent="0.2">
      <c r="A2825" s="12" t="s">
        <v>406</v>
      </c>
      <c r="B2825" s="12" t="s">
        <v>567</v>
      </c>
      <c r="C2825" s="12" t="s">
        <v>556</v>
      </c>
      <c r="D2825" s="13">
        <v>-38</v>
      </c>
      <c r="E2825" s="13">
        <v>-25.300153999999999</v>
      </c>
      <c r="F2825" s="13">
        <v>-29.299226000000001</v>
      </c>
      <c r="G2825" s="13">
        <v>-36.366682999999988</v>
      </c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</row>
    <row r="2826" spans="1:19" x14ac:dyDescent="0.2">
      <c r="A2826" s="12" t="s">
        <v>406</v>
      </c>
      <c r="B2826" s="12" t="s">
        <v>567</v>
      </c>
      <c r="C2826" s="12" t="s">
        <v>557</v>
      </c>
      <c r="D2826" s="13">
        <v>165</v>
      </c>
      <c r="E2826" s="13">
        <v>171.560687</v>
      </c>
      <c r="F2826" s="13">
        <v>50.979112999999998</v>
      </c>
      <c r="G2826" s="13">
        <v>7.641521</v>
      </c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</row>
    <row r="2827" spans="1:19" x14ac:dyDescent="0.2">
      <c r="A2827" s="12" t="s">
        <v>406</v>
      </c>
      <c r="B2827" s="12" t="s">
        <v>567</v>
      </c>
      <c r="C2827" s="12" t="s">
        <v>558</v>
      </c>
      <c r="D2827" s="13">
        <v>0</v>
      </c>
      <c r="E2827" s="13">
        <v>0</v>
      </c>
      <c r="F2827" s="13">
        <v>0</v>
      </c>
      <c r="G2827" s="13">
        <v>0</v>
      </c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</row>
    <row r="2828" spans="1:19" x14ac:dyDescent="0.2">
      <c r="A2828" s="12" t="s">
        <v>406</v>
      </c>
      <c r="B2828" s="12" t="s">
        <v>567</v>
      </c>
      <c r="C2828" s="12" t="s">
        <v>560</v>
      </c>
      <c r="D2828" s="13">
        <v>-199</v>
      </c>
      <c r="E2828" s="13">
        <v>-189.34600800000001</v>
      </c>
      <c r="F2828" s="13">
        <v>-49.145952000000001</v>
      </c>
      <c r="G2828" s="13">
        <v>0</v>
      </c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</row>
    <row r="2829" spans="1:19" x14ac:dyDescent="0.2">
      <c r="A2829" s="12" t="s">
        <v>406</v>
      </c>
      <c r="B2829" s="12" t="s">
        <v>567</v>
      </c>
      <c r="C2829" s="12" t="s">
        <v>561</v>
      </c>
      <c r="D2829" s="13">
        <v>0</v>
      </c>
      <c r="E2829" s="13">
        <v>0</v>
      </c>
      <c r="F2829" s="13">
        <v>0</v>
      </c>
      <c r="G2829" s="13">
        <v>0</v>
      </c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</row>
    <row r="2830" spans="1:19" x14ac:dyDescent="0.2">
      <c r="A2830" s="12" t="s">
        <v>406</v>
      </c>
      <c r="B2830" s="12" t="s">
        <v>567</v>
      </c>
      <c r="C2830" s="12" t="s">
        <v>562</v>
      </c>
      <c r="D2830" s="13">
        <v>0</v>
      </c>
      <c r="E2830" s="13">
        <v>0</v>
      </c>
      <c r="F2830" s="13">
        <v>0</v>
      </c>
      <c r="G2830" s="13">
        <v>0</v>
      </c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</row>
    <row r="2831" spans="1:19" x14ac:dyDescent="0.2">
      <c r="A2831" s="12" t="s">
        <v>406</v>
      </c>
      <c r="B2831" s="12" t="s">
        <v>567</v>
      </c>
      <c r="C2831" s="12" t="s">
        <v>563</v>
      </c>
      <c r="D2831" s="13">
        <v>0</v>
      </c>
      <c r="E2831" s="13">
        <v>0</v>
      </c>
      <c r="F2831" s="13">
        <v>0</v>
      </c>
      <c r="G2831" s="13">
        <v>0</v>
      </c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</row>
    <row r="2832" spans="1:19" x14ac:dyDescent="0.2">
      <c r="A2832" s="12" t="s">
        <v>406</v>
      </c>
      <c r="B2832" s="12" t="s">
        <v>567</v>
      </c>
      <c r="C2832" s="12" t="s">
        <v>564</v>
      </c>
      <c r="D2832" s="13">
        <v>0</v>
      </c>
      <c r="E2832" s="13">
        <v>0</v>
      </c>
      <c r="F2832" s="13">
        <v>0</v>
      </c>
      <c r="G2832" s="13">
        <v>0</v>
      </c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</row>
    <row r="2833" spans="1:19" x14ac:dyDescent="0.2">
      <c r="A2833" s="12" t="s">
        <v>406</v>
      </c>
      <c r="B2833" s="12" t="s">
        <v>567</v>
      </c>
      <c r="C2833" s="12" t="s">
        <v>565</v>
      </c>
      <c r="D2833" s="13">
        <v>0</v>
      </c>
      <c r="E2833" s="13">
        <v>0</v>
      </c>
      <c r="F2833" s="13">
        <v>0</v>
      </c>
      <c r="G2833" s="13">
        <v>0</v>
      </c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</row>
    <row r="2834" spans="1:19" x14ac:dyDescent="0.2">
      <c r="A2834" s="12" t="s">
        <v>406</v>
      </c>
      <c r="B2834" s="12" t="s">
        <v>567</v>
      </c>
      <c r="C2834" s="12" t="s">
        <v>566</v>
      </c>
      <c r="D2834" s="13">
        <v>0</v>
      </c>
      <c r="E2834" s="13">
        <v>0</v>
      </c>
      <c r="F2834" s="13">
        <v>0</v>
      </c>
      <c r="G2834" s="13">
        <v>0</v>
      </c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</row>
    <row r="2835" spans="1:19" x14ac:dyDescent="0.2">
      <c r="A2835" s="12" t="s">
        <v>406</v>
      </c>
      <c r="B2835" s="12" t="s">
        <v>568</v>
      </c>
      <c r="C2835" s="12" t="s">
        <v>554</v>
      </c>
      <c r="D2835" s="13">
        <v>0</v>
      </c>
      <c r="E2835" s="13">
        <v>0</v>
      </c>
      <c r="F2835" s="13">
        <v>0</v>
      </c>
      <c r="G2835" s="13">
        <v>0</v>
      </c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</row>
    <row r="2836" spans="1:19" x14ac:dyDescent="0.2">
      <c r="A2836" s="12" t="s">
        <v>406</v>
      </c>
      <c r="B2836" s="12" t="s">
        <v>568</v>
      </c>
      <c r="C2836" s="12" t="s">
        <v>555</v>
      </c>
      <c r="D2836" s="13">
        <v>137</v>
      </c>
      <c r="E2836" s="13">
        <v>132.36571499999999</v>
      </c>
      <c r="F2836" s="13">
        <v>257.774925</v>
      </c>
      <c r="G2836" s="13">
        <v>318.018191</v>
      </c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</row>
    <row r="2837" spans="1:19" x14ac:dyDescent="0.2">
      <c r="A2837" s="12" t="s">
        <v>406</v>
      </c>
      <c r="B2837" s="12" t="s">
        <v>568</v>
      </c>
      <c r="C2837" s="12" t="s">
        <v>556</v>
      </c>
      <c r="D2837" s="13">
        <v>0</v>
      </c>
      <c r="E2837" s="13">
        <v>-8.8440460000000005</v>
      </c>
      <c r="F2837" s="13">
        <v>-11.957367</v>
      </c>
      <c r="G2837" s="13">
        <v>0</v>
      </c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</row>
    <row r="2838" spans="1:19" x14ac:dyDescent="0.2">
      <c r="A2838" s="12" t="s">
        <v>406</v>
      </c>
      <c r="B2838" s="12" t="s">
        <v>568</v>
      </c>
      <c r="C2838" s="12" t="s">
        <v>557</v>
      </c>
      <c r="D2838" s="13">
        <v>104</v>
      </c>
      <c r="E2838" s="13">
        <v>113.16592199999999</v>
      </c>
      <c r="F2838" s="13">
        <v>220.263093</v>
      </c>
      <c r="G2838" s="13">
        <v>264.14299699999998</v>
      </c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</row>
    <row r="2839" spans="1:19" x14ac:dyDescent="0.2">
      <c r="A2839" s="12" t="s">
        <v>406</v>
      </c>
      <c r="B2839" s="12" t="s">
        <v>568</v>
      </c>
      <c r="C2839" s="12" t="s">
        <v>558</v>
      </c>
      <c r="D2839" s="13">
        <v>-1</v>
      </c>
      <c r="E2839" s="13">
        <v>-0.30416300000000002</v>
      </c>
      <c r="F2839" s="13">
        <v>-8.6395E-2</v>
      </c>
      <c r="G2839" s="13">
        <v>-5.3252000000000001E-2</v>
      </c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</row>
    <row r="2840" spans="1:19" x14ac:dyDescent="0.2">
      <c r="A2840" s="12" t="s">
        <v>406</v>
      </c>
      <c r="B2840" s="12" t="s">
        <v>568</v>
      </c>
      <c r="C2840" s="12" t="s">
        <v>560</v>
      </c>
      <c r="D2840" s="13">
        <v>197</v>
      </c>
      <c r="E2840" s="13">
        <v>185.268069</v>
      </c>
      <c r="F2840" s="13">
        <v>47.981900000000003</v>
      </c>
      <c r="G2840" s="13">
        <v>0</v>
      </c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</row>
    <row r="2841" spans="1:19" x14ac:dyDescent="0.2">
      <c r="A2841" s="12" t="s">
        <v>406</v>
      </c>
      <c r="B2841" s="12" t="s">
        <v>568</v>
      </c>
      <c r="C2841" s="12" t="s">
        <v>561</v>
      </c>
      <c r="D2841" s="13">
        <v>263</v>
      </c>
      <c r="E2841" s="13">
        <v>269.55071400000003</v>
      </c>
      <c r="F2841" s="13">
        <v>270.770961</v>
      </c>
      <c r="G2841" s="13">
        <v>270.90984600000002</v>
      </c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</row>
    <row r="2842" spans="1:19" x14ac:dyDescent="0.2">
      <c r="A2842" s="12" t="s">
        <v>406</v>
      </c>
      <c r="B2842" s="12" t="s">
        <v>568</v>
      </c>
      <c r="C2842" s="12" t="s">
        <v>562</v>
      </c>
      <c r="D2842" s="13">
        <v>19</v>
      </c>
      <c r="E2842" s="13">
        <v>19.406438000000001</v>
      </c>
      <c r="F2842" s="13">
        <v>20.436022000000001</v>
      </c>
      <c r="G2842" s="13">
        <v>19.314881</v>
      </c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</row>
    <row r="2843" spans="1:19" x14ac:dyDescent="0.2">
      <c r="A2843" s="12" t="s">
        <v>406</v>
      </c>
      <c r="B2843" s="12" t="s">
        <v>568</v>
      </c>
      <c r="C2843" s="12" t="s">
        <v>563</v>
      </c>
      <c r="D2843" s="13">
        <v>194</v>
      </c>
      <c r="E2843" s="13">
        <v>203.54005100000001</v>
      </c>
      <c r="F2843" s="13">
        <v>204.01120800000001</v>
      </c>
      <c r="G2843" s="13">
        <v>205.95752200000001</v>
      </c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</row>
    <row r="2844" spans="1:19" x14ac:dyDescent="0.2">
      <c r="A2844" s="12" t="s">
        <v>406</v>
      </c>
      <c r="B2844" s="12" t="s">
        <v>568</v>
      </c>
      <c r="C2844" s="12" t="s">
        <v>564</v>
      </c>
      <c r="D2844" s="13">
        <v>4</v>
      </c>
      <c r="E2844" s="13">
        <v>4.4444140000000001</v>
      </c>
      <c r="F2844" s="13">
        <v>4.6139830000000002</v>
      </c>
      <c r="G2844" s="13">
        <v>4.6030850000000001</v>
      </c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</row>
    <row r="2845" spans="1:19" x14ac:dyDescent="0.2">
      <c r="A2845" s="12" t="s">
        <v>406</v>
      </c>
      <c r="B2845" s="12" t="s">
        <v>568</v>
      </c>
      <c r="C2845" s="12" t="s">
        <v>565</v>
      </c>
      <c r="D2845" s="13">
        <v>10</v>
      </c>
      <c r="E2845" s="13">
        <v>10.11875</v>
      </c>
      <c r="F2845" s="13">
        <v>11.89912</v>
      </c>
      <c r="G2845" s="13">
        <v>10.194171000000001</v>
      </c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</row>
    <row r="2846" spans="1:19" x14ac:dyDescent="0.2">
      <c r="A2846" s="12" t="s">
        <v>406</v>
      </c>
      <c r="B2846" s="12" t="s">
        <v>568</v>
      </c>
      <c r="C2846" s="12" t="s">
        <v>566</v>
      </c>
      <c r="D2846" s="13">
        <v>36</v>
      </c>
      <c r="E2846" s="13">
        <v>32.041058</v>
      </c>
      <c r="F2846" s="13">
        <v>29.810631999999998</v>
      </c>
      <c r="G2846" s="13">
        <v>30.840187</v>
      </c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</row>
    <row r="2847" spans="1:19" x14ac:dyDescent="0.2">
      <c r="A2847" s="12" t="s">
        <v>406</v>
      </c>
      <c r="B2847" s="12" t="s">
        <v>569</v>
      </c>
      <c r="C2847" s="12" t="s">
        <v>554</v>
      </c>
      <c r="D2847" s="13">
        <v>162</v>
      </c>
      <c r="E2847" s="13">
        <v>141.69268299999999</v>
      </c>
      <c r="F2847" s="13">
        <v>128.819965</v>
      </c>
      <c r="G2847" s="13">
        <v>133.19179199999999</v>
      </c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</row>
    <row r="2848" spans="1:19" x14ac:dyDescent="0.2">
      <c r="A2848" s="12" t="s">
        <v>406</v>
      </c>
      <c r="B2848" s="12" t="s">
        <v>569</v>
      </c>
      <c r="C2848" s="12" t="s">
        <v>555</v>
      </c>
      <c r="D2848" s="13">
        <v>0</v>
      </c>
      <c r="E2848" s="13">
        <v>0</v>
      </c>
      <c r="F2848" s="13">
        <v>0</v>
      </c>
      <c r="G2848" s="13">
        <v>0</v>
      </c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</row>
    <row r="2849" spans="1:19" x14ac:dyDescent="0.2">
      <c r="A2849" s="12" t="s">
        <v>406</v>
      </c>
      <c r="B2849" s="12" t="s">
        <v>569</v>
      </c>
      <c r="C2849" s="12" t="s">
        <v>556</v>
      </c>
      <c r="D2849" s="13">
        <v>0</v>
      </c>
      <c r="E2849" s="13">
        <v>0</v>
      </c>
      <c r="F2849" s="13">
        <v>0</v>
      </c>
      <c r="G2849" s="13">
        <v>0</v>
      </c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</row>
    <row r="2850" spans="1:19" x14ac:dyDescent="0.2">
      <c r="A2850" s="12" t="s">
        <v>406</v>
      </c>
      <c r="B2850" s="12" t="s">
        <v>569</v>
      </c>
      <c r="C2850" s="12" t="s">
        <v>557</v>
      </c>
      <c r="D2850" s="13">
        <v>161</v>
      </c>
      <c r="E2850" s="13">
        <v>138.01233500000001</v>
      </c>
      <c r="F2850" s="13">
        <v>132.18462400000001</v>
      </c>
      <c r="G2850" s="13">
        <v>133.99868900000001</v>
      </c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</row>
    <row r="2851" spans="1:19" x14ac:dyDescent="0.2">
      <c r="A2851" s="12" t="s">
        <v>406</v>
      </c>
      <c r="B2851" s="12" t="s">
        <v>569</v>
      </c>
      <c r="C2851" s="12" t="s">
        <v>558</v>
      </c>
      <c r="D2851" s="13">
        <v>-48</v>
      </c>
      <c r="E2851" s="13">
        <v>-38.619855999999999</v>
      </c>
      <c r="F2851" s="13">
        <v>-37.735574000000007</v>
      </c>
      <c r="G2851" s="13">
        <v>-38.602883000000013</v>
      </c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</row>
    <row r="2852" spans="1:19" x14ac:dyDescent="0.2">
      <c r="A2852" s="12" t="s">
        <v>406</v>
      </c>
      <c r="B2852" s="12" t="s">
        <v>569</v>
      </c>
      <c r="C2852" s="12" t="s">
        <v>560</v>
      </c>
      <c r="D2852" s="13">
        <v>0</v>
      </c>
      <c r="E2852" s="13">
        <v>0</v>
      </c>
      <c r="F2852" s="13">
        <v>0</v>
      </c>
      <c r="G2852" s="13">
        <v>0</v>
      </c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</row>
    <row r="2853" spans="1:19" x14ac:dyDescent="0.2">
      <c r="A2853" s="12" t="s">
        <v>406</v>
      </c>
      <c r="B2853" s="12" t="s">
        <v>569</v>
      </c>
      <c r="C2853" s="12" t="s">
        <v>561</v>
      </c>
      <c r="D2853" s="13">
        <v>108</v>
      </c>
      <c r="E2853" s="13">
        <v>95.022227000000001</v>
      </c>
      <c r="F2853" s="13">
        <v>89.802414000000013</v>
      </c>
      <c r="G2853" s="13">
        <v>96.288092999999989</v>
      </c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</row>
    <row r="2854" spans="1:19" x14ac:dyDescent="0.2">
      <c r="A2854" s="12" t="s">
        <v>406</v>
      </c>
      <c r="B2854" s="12" t="s">
        <v>569</v>
      </c>
      <c r="C2854" s="12" t="s">
        <v>562</v>
      </c>
      <c r="D2854" s="13">
        <v>52</v>
      </c>
      <c r="E2854" s="13">
        <v>46.610790000000001</v>
      </c>
      <c r="F2854" s="13">
        <v>44.522539999999999</v>
      </c>
      <c r="G2854" s="13">
        <v>47.327143</v>
      </c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</row>
    <row r="2855" spans="1:19" x14ac:dyDescent="0.2">
      <c r="A2855" s="12" t="s">
        <v>406</v>
      </c>
      <c r="B2855" s="12" t="s">
        <v>569</v>
      </c>
      <c r="C2855" s="12" t="s">
        <v>563</v>
      </c>
      <c r="D2855" s="13">
        <v>0</v>
      </c>
      <c r="E2855" s="13">
        <v>0</v>
      </c>
      <c r="F2855" s="13">
        <v>0</v>
      </c>
      <c r="G2855" s="13">
        <v>0</v>
      </c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</row>
    <row r="2856" spans="1:19" x14ac:dyDescent="0.2">
      <c r="A2856" s="12" t="s">
        <v>406</v>
      </c>
      <c r="B2856" s="12" t="s">
        <v>569</v>
      </c>
      <c r="C2856" s="12" t="s">
        <v>564</v>
      </c>
      <c r="D2856" s="13">
        <v>6</v>
      </c>
      <c r="E2856" s="13">
        <v>6.4717169999999999</v>
      </c>
      <c r="F2856" s="13">
        <v>6.1106350000000003</v>
      </c>
      <c r="G2856" s="13">
        <v>6.4839460000000004</v>
      </c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</row>
    <row r="2857" spans="1:19" x14ac:dyDescent="0.2">
      <c r="A2857" s="12" t="s">
        <v>406</v>
      </c>
      <c r="B2857" s="12" t="s">
        <v>569</v>
      </c>
      <c r="C2857" s="12" t="s">
        <v>565</v>
      </c>
      <c r="D2857" s="13">
        <v>7</v>
      </c>
      <c r="E2857" s="13">
        <v>6.8957889999999997</v>
      </c>
      <c r="F2857" s="13">
        <v>6.7028740000000004</v>
      </c>
      <c r="G2857" s="13">
        <v>6.9517120000000006</v>
      </c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</row>
    <row r="2858" spans="1:19" x14ac:dyDescent="0.2">
      <c r="A2858" s="12" t="s">
        <v>406</v>
      </c>
      <c r="B2858" s="12" t="s">
        <v>569</v>
      </c>
      <c r="C2858" s="12" t="s">
        <v>566</v>
      </c>
      <c r="D2858" s="13">
        <v>43</v>
      </c>
      <c r="E2858" s="13">
        <v>35.043934999999998</v>
      </c>
      <c r="F2858" s="13">
        <v>32.466365000000003</v>
      </c>
      <c r="G2858" s="13">
        <v>35.525286999999999</v>
      </c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</row>
    <row r="2859" spans="1:19" x14ac:dyDescent="0.2">
      <c r="A2859" s="12" t="s">
        <v>406</v>
      </c>
      <c r="B2859" s="12" t="s">
        <v>570</v>
      </c>
      <c r="C2859" s="12" t="s">
        <v>554</v>
      </c>
      <c r="D2859" s="13">
        <v>0</v>
      </c>
      <c r="E2859" s="13">
        <v>0</v>
      </c>
      <c r="F2859" s="13">
        <v>0</v>
      </c>
      <c r="G2859" s="13">
        <v>0</v>
      </c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</row>
    <row r="2860" spans="1:19" x14ac:dyDescent="0.2">
      <c r="A2860" s="12" t="s">
        <v>406</v>
      </c>
      <c r="B2860" s="12" t="s">
        <v>570</v>
      </c>
      <c r="C2860" s="12" t="s">
        <v>555</v>
      </c>
      <c r="D2860" s="13">
        <v>0</v>
      </c>
      <c r="E2860" s="13">
        <v>0</v>
      </c>
      <c r="F2860" s="13">
        <v>0</v>
      </c>
      <c r="G2860" s="13">
        <v>0</v>
      </c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</row>
    <row r="2861" spans="1:19" x14ac:dyDescent="0.2">
      <c r="A2861" s="12" t="s">
        <v>406</v>
      </c>
      <c r="B2861" s="12" t="s">
        <v>570</v>
      </c>
      <c r="C2861" s="12" t="s">
        <v>556</v>
      </c>
      <c r="D2861" s="13">
        <v>0</v>
      </c>
      <c r="E2861" s="13">
        <v>0</v>
      </c>
      <c r="F2861" s="13">
        <v>0</v>
      </c>
      <c r="G2861" s="13">
        <v>0</v>
      </c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</row>
    <row r="2862" spans="1:19" x14ac:dyDescent="0.2">
      <c r="A2862" s="12" t="s">
        <v>406</v>
      </c>
      <c r="B2862" s="12" t="s">
        <v>570</v>
      </c>
      <c r="C2862" s="12" t="s">
        <v>557</v>
      </c>
      <c r="D2862" s="13">
        <v>0</v>
      </c>
      <c r="E2862" s="13">
        <v>0</v>
      </c>
      <c r="F2862" s="13">
        <v>0</v>
      </c>
      <c r="G2862" s="13">
        <v>0</v>
      </c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</row>
    <row r="2863" spans="1:19" x14ac:dyDescent="0.2">
      <c r="A2863" s="12" t="s">
        <v>406</v>
      </c>
      <c r="B2863" s="12" t="s">
        <v>570</v>
      </c>
      <c r="C2863" s="12" t="s">
        <v>558</v>
      </c>
      <c r="D2863" s="13">
        <v>0</v>
      </c>
      <c r="E2863" s="13">
        <v>0</v>
      </c>
      <c r="F2863" s="13">
        <v>0</v>
      </c>
      <c r="G2863" s="13">
        <v>0</v>
      </c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</row>
    <row r="2864" spans="1:19" x14ac:dyDescent="0.2">
      <c r="A2864" s="12" t="s">
        <v>406</v>
      </c>
      <c r="B2864" s="12" t="s">
        <v>570</v>
      </c>
      <c r="C2864" s="12" t="s">
        <v>560</v>
      </c>
      <c r="D2864" s="13">
        <v>0</v>
      </c>
      <c r="E2864" s="13">
        <v>0</v>
      </c>
      <c r="F2864" s="13">
        <v>0</v>
      </c>
      <c r="G2864" s="13">
        <v>0</v>
      </c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</row>
    <row r="2865" spans="1:19" x14ac:dyDescent="0.2">
      <c r="A2865" s="12" t="s">
        <v>406</v>
      </c>
      <c r="B2865" s="12" t="s">
        <v>570</v>
      </c>
      <c r="C2865" s="12" t="s">
        <v>561</v>
      </c>
      <c r="D2865" s="13">
        <v>0</v>
      </c>
      <c r="E2865" s="13">
        <v>0</v>
      </c>
      <c r="F2865" s="13">
        <v>0</v>
      </c>
      <c r="G2865" s="13">
        <v>0</v>
      </c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</row>
    <row r="2866" spans="1:19" x14ac:dyDescent="0.2">
      <c r="A2866" s="12" t="s">
        <v>406</v>
      </c>
      <c r="B2866" s="12" t="s">
        <v>570</v>
      </c>
      <c r="C2866" s="12" t="s">
        <v>562</v>
      </c>
      <c r="D2866" s="13">
        <v>0</v>
      </c>
      <c r="E2866" s="13">
        <v>0</v>
      </c>
      <c r="F2866" s="13">
        <v>0</v>
      </c>
      <c r="G2866" s="13">
        <v>0</v>
      </c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</row>
    <row r="2867" spans="1:19" x14ac:dyDescent="0.2">
      <c r="A2867" s="12" t="s">
        <v>406</v>
      </c>
      <c r="B2867" s="12" t="s">
        <v>570</v>
      </c>
      <c r="C2867" s="12" t="s">
        <v>563</v>
      </c>
      <c r="D2867" s="13">
        <v>0</v>
      </c>
      <c r="E2867" s="13">
        <v>0</v>
      </c>
      <c r="F2867" s="13">
        <v>0</v>
      </c>
      <c r="G2867" s="13">
        <v>0</v>
      </c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</row>
    <row r="2868" spans="1:19" x14ac:dyDescent="0.2">
      <c r="A2868" s="12" t="s">
        <v>406</v>
      </c>
      <c r="B2868" s="12" t="s">
        <v>570</v>
      </c>
      <c r="C2868" s="12" t="s">
        <v>564</v>
      </c>
      <c r="D2868" s="13">
        <v>0</v>
      </c>
      <c r="E2868" s="13">
        <v>0</v>
      </c>
      <c r="F2868" s="13">
        <v>0</v>
      </c>
      <c r="G2868" s="13">
        <v>0</v>
      </c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</row>
    <row r="2869" spans="1:19" x14ac:dyDescent="0.2">
      <c r="A2869" s="12" t="s">
        <v>406</v>
      </c>
      <c r="B2869" s="12" t="s">
        <v>570</v>
      </c>
      <c r="C2869" s="12" t="s">
        <v>565</v>
      </c>
      <c r="D2869" s="13">
        <v>0</v>
      </c>
      <c r="E2869" s="13">
        <v>0</v>
      </c>
      <c r="F2869" s="13">
        <v>0</v>
      </c>
      <c r="G2869" s="13">
        <v>0</v>
      </c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</row>
    <row r="2870" spans="1:19" x14ac:dyDescent="0.2">
      <c r="A2870" s="12" t="s">
        <v>406</v>
      </c>
      <c r="B2870" s="12" t="s">
        <v>570</v>
      </c>
      <c r="C2870" s="12" t="s">
        <v>566</v>
      </c>
      <c r="D2870" s="13">
        <v>0</v>
      </c>
      <c r="E2870" s="13">
        <v>0</v>
      </c>
      <c r="F2870" s="13">
        <v>0</v>
      </c>
      <c r="G2870" s="13">
        <v>0</v>
      </c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</row>
    <row r="2871" spans="1:19" x14ac:dyDescent="0.2">
      <c r="A2871" s="12" t="s">
        <v>406</v>
      </c>
      <c r="B2871" s="12" t="s">
        <v>571</v>
      </c>
      <c r="C2871" s="12" t="s">
        <v>554</v>
      </c>
      <c r="D2871" s="13">
        <v>341</v>
      </c>
      <c r="E2871" s="13">
        <v>347.93024000000003</v>
      </c>
      <c r="F2871" s="13">
        <v>356.70267700000011</v>
      </c>
      <c r="G2871" s="13">
        <v>355.18833400000011</v>
      </c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</row>
    <row r="2872" spans="1:19" x14ac:dyDescent="0.2">
      <c r="A2872" s="12" t="s">
        <v>406</v>
      </c>
      <c r="B2872" s="12" t="s">
        <v>571</v>
      </c>
      <c r="C2872" s="12" t="s">
        <v>555</v>
      </c>
      <c r="D2872" s="13">
        <v>0</v>
      </c>
      <c r="E2872" s="13">
        <v>0.186472</v>
      </c>
      <c r="F2872" s="13">
        <v>0.280943</v>
      </c>
      <c r="G2872" s="13">
        <v>0.23239699999999999</v>
      </c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</row>
    <row r="2873" spans="1:19" x14ac:dyDescent="0.2">
      <c r="A2873" s="12" t="s">
        <v>406</v>
      </c>
      <c r="B2873" s="12" t="s">
        <v>571</v>
      </c>
      <c r="C2873" s="12" t="s">
        <v>556</v>
      </c>
      <c r="D2873" s="13">
        <v>0</v>
      </c>
      <c r="E2873" s="13">
        <v>0</v>
      </c>
      <c r="F2873" s="13">
        <v>0</v>
      </c>
      <c r="G2873" s="13">
        <v>0</v>
      </c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</row>
    <row r="2874" spans="1:19" x14ac:dyDescent="0.2">
      <c r="A2874" s="12" t="s">
        <v>406</v>
      </c>
      <c r="B2874" s="12" t="s">
        <v>571</v>
      </c>
      <c r="C2874" s="12" t="s">
        <v>557</v>
      </c>
      <c r="D2874" s="13">
        <v>341</v>
      </c>
      <c r="E2874" s="13">
        <v>348.14191599999998</v>
      </c>
      <c r="F2874" s="13">
        <v>356.947002</v>
      </c>
      <c r="G2874" s="13">
        <v>355.47179699999998</v>
      </c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</row>
    <row r="2875" spans="1:19" x14ac:dyDescent="0.2">
      <c r="A2875" s="12" t="s">
        <v>406</v>
      </c>
      <c r="B2875" s="12" t="s">
        <v>571</v>
      </c>
      <c r="C2875" s="12" t="s">
        <v>558</v>
      </c>
      <c r="D2875" s="13">
        <v>-310</v>
      </c>
      <c r="E2875" s="13">
        <v>-314.76324699999998</v>
      </c>
      <c r="F2875" s="13">
        <v>-323.64435800000001</v>
      </c>
      <c r="G2875" s="13">
        <v>-327.32284900000002</v>
      </c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</row>
    <row r="2876" spans="1:19" x14ac:dyDescent="0.2">
      <c r="A2876" s="12" t="s">
        <v>406</v>
      </c>
      <c r="B2876" s="12" t="s">
        <v>571</v>
      </c>
      <c r="C2876" s="12" t="s">
        <v>560</v>
      </c>
      <c r="D2876" s="13">
        <v>0</v>
      </c>
      <c r="E2876" s="13">
        <v>0</v>
      </c>
      <c r="F2876" s="13">
        <v>0</v>
      </c>
      <c r="G2876" s="13">
        <v>0</v>
      </c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</row>
    <row r="2877" spans="1:19" x14ac:dyDescent="0.2">
      <c r="A2877" s="12" t="s">
        <v>406</v>
      </c>
      <c r="B2877" s="12" t="s">
        <v>571</v>
      </c>
      <c r="C2877" s="12" t="s">
        <v>561</v>
      </c>
      <c r="D2877" s="13">
        <v>31</v>
      </c>
      <c r="E2877" s="13">
        <v>33.002153999999997</v>
      </c>
      <c r="F2877" s="13">
        <v>37.903606999999987</v>
      </c>
      <c r="G2877" s="13">
        <v>32.732340000000001</v>
      </c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</row>
    <row r="2878" spans="1:19" x14ac:dyDescent="0.2">
      <c r="A2878" s="12" t="s">
        <v>406</v>
      </c>
      <c r="B2878" s="12" t="s">
        <v>571</v>
      </c>
      <c r="C2878" s="12" t="s">
        <v>562</v>
      </c>
      <c r="D2878" s="13">
        <v>21</v>
      </c>
      <c r="E2878" s="13">
        <v>23.139521999999999</v>
      </c>
      <c r="F2878" s="13">
        <v>28.042542000000001</v>
      </c>
      <c r="G2878" s="13">
        <v>22.874317999999999</v>
      </c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</row>
    <row r="2879" spans="1:19" x14ac:dyDescent="0.2">
      <c r="A2879" s="12" t="s">
        <v>406</v>
      </c>
      <c r="B2879" s="12" t="s">
        <v>571</v>
      </c>
      <c r="C2879" s="12" t="s">
        <v>563</v>
      </c>
      <c r="D2879" s="13">
        <v>0</v>
      </c>
      <c r="E2879" s="13">
        <v>0.16236800000000001</v>
      </c>
      <c r="F2879" s="13">
        <v>0.113596</v>
      </c>
      <c r="G2879" s="13">
        <v>0.15965099999999999</v>
      </c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</row>
    <row r="2880" spans="1:19" x14ac:dyDescent="0.2">
      <c r="A2880" s="12" t="s">
        <v>406</v>
      </c>
      <c r="B2880" s="12" t="s">
        <v>571</v>
      </c>
      <c r="C2880" s="12" t="s">
        <v>564</v>
      </c>
      <c r="D2880" s="13">
        <v>7</v>
      </c>
      <c r="E2880" s="13">
        <v>6.64114</v>
      </c>
      <c r="F2880" s="13">
        <v>6.6890619999999998</v>
      </c>
      <c r="G2880" s="13">
        <v>6.6402809999999999</v>
      </c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</row>
    <row r="2881" spans="1:19" x14ac:dyDescent="0.2">
      <c r="A2881" s="12" t="s">
        <v>406</v>
      </c>
      <c r="B2881" s="12" t="s">
        <v>571</v>
      </c>
      <c r="C2881" s="12" t="s">
        <v>565</v>
      </c>
      <c r="D2881" s="13">
        <v>3</v>
      </c>
      <c r="E2881" s="13">
        <v>2.6141369999999999</v>
      </c>
      <c r="F2881" s="13">
        <v>2.613417000000001</v>
      </c>
      <c r="G2881" s="13">
        <v>2.6130870000000002</v>
      </c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</row>
    <row r="2882" spans="1:19" x14ac:dyDescent="0.2">
      <c r="A2882" s="12" t="s">
        <v>406</v>
      </c>
      <c r="B2882" s="12" t="s">
        <v>571</v>
      </c>
      <c r="C2882" s="12" t="s">
        <v>566</v>
      </c>
      <c r="D2882" s="13">
        <v>0</v>
      </c>
      <c r="E2882" s="13">
        <v>0.444998</v>
      </c>
      <c r="F2882" s="13">
        <v>0.444998</v>
      </c>
      <c r="G2882" s="13">
        <v>0.444998</v>
      </c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</row>
    <row r="2883" spans="1:19" x14ac:dyDescent="0.2">
      <c r="A2883" s="12" t="s">
        <v>406</v>
      </c>
      <c r="B2883" s="12" t="s">
        <v>572</v>
      </c>
      <c r="C2883" s="12" t="s">
        <v>554</v>
      </c>
      <c r="D2883" s="13">
        <v>0</v>
      </c>
      <c r="E2883" s="13">
        <v>0</v>
      </c>
      <c r="F2883" s="13">
        <v>0</v>
      </c>
      <c r="G2883" s="13">
        <v>0</v>
      </c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</row>
    <row r="2884" spans="1:19" x14ac:dyDescent="0.2">
      <c r="A2884" s="12" t="s">
        <v>406</v>
      </c>
      <c r="B2884" s="12" t="s">
        <v>572</v>
      </c>
      <c r="C2884" s="12" t="s">
        <v>555</v>
      </c>
      <c r="D2884" s="13">
        <v>0</v>
      </c>
      <c r="E2884" s="13">
        <v>0</v>
      </c>
      <c r="F2884" s="13">
        <v>0</v>
      </c>
      <c r="G2884" s="13">
        <v>0</v>
      </c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</row>
    <row r="2885" spans="1:19" x14ac:dyDescent="0.2">
      <c r="A2885" s="12" t="s">
        <v>406</v>
      </c>
      <c r="B2885" s="12" t="s">
        <v>572</v>
      </c>
      <c r="C2885" s="12" t="s">
        <v>556</v>
      </c>
      <c r="D2885" s="13">
        <v>0</v>
      </c>
      <c r="E2885" s="13">
        <v>0</v>
      </c>
      <c r="F2885" s="13">
        <v>0</v>
      </c>
      <c r="G2885" s="13">
        <v>0</v>
      </c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</row>
    <row r="2886" spans="1:19" x14ac:dyDescent="0.2">
      <c r="A2886" s="12" t="s">
        <v>406</v>
      </c>
      <c r="B2886" s="12" t="s">
        <v>572</v>
      </c>
      <c r="C2886" s="12" t="s">
        <v>557</v>
      </c>
      <c r="D2886" s="13">
        <v>0</v>
      </c>
      <c r="E2886" s="13">
        <v>0</v>
      </c>
      <c r="F2886" s="13">
        <v>0</v>
      </c>
      <c r="G2886" s="13">
        <v>0</v>
      </c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</row>
    <row r="2887" spans="1:19" x14ac:dyDescent="0.2">
      <c r="A2887" s="12" t="s">
        <v>406</v>
      </c>
      <c r="B2887" s="12" t="s">
        <v>572</v>
      </c>
      <c r="C2887" s="12" t="s">
        <v>558</v>
      </c>
      <c r="D2887" s="13">
        <v>160</v>
      </c>
      <c r="E2887" s="13">
        <v>160.602566</v>
      </c>
      <c r="F2887" s="13">
        <v>160.78768500000001</v>
      </c>
      <c r="G2887" s="13">
        <v>160.78341</v>
      </c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</row>
    <row r="2888" spans="1:19" x14ac:dyDescent="0.2">
      <c r="A2888" s="12" t="s">
        <v>406</v>
      </c>
      <c r="B2888" s="12" t="s">
        <v>572</v>
      </c>
      <c r="C2888" s="12" t="s">
        <v>560</v>
      </c>
      <c r="D2888" s="13">
        <v>0</v>
      </c>
      <c r="E2888" s="13">
        <v>0</v>
      </c>
      <c r="F2888" s="13">
        <v>0</v>
      </c>
      <c r="G2888" s="13">
        <v>0</v>
      </c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</row>
    <row r="2889" spans="1:19" x14ac:dyDescent="0.2">
      <c r="A2889" s="12" t="s">
        <v>406</v>
      </c>
      <c r="B2889" s="12" t="s">
        <v>572</v>
      </c>
      <c r="C2889" s="12" t="s">
        <v>561</v>
      </c>
      <c r="D2889" s="13">
        <v>140</v>
      </c>
      <c r="E2889" s="13">
        <v>140.01125200000001</v>
      </c>
      <c r="F2889" s="13">
        <v>138.807873</v>
      </c>
      <c r="G2889" s="13">
        <v>139.29663600000001</v>
      </c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</row>
    <row r="2890" spans="1:19" x14ac:dyDescent="0.2">
      <c r="A2890" s="12" t="s">
        <v>406</v>
      </c>
      <c r="B2890" s="12" t="s">
        <v>572</v>
      </c>
      <c r="C2890" s="12" t="s">
        <v>562</v>
      </c>
      <c r="D2890" s="13">
        <v>48</v>
      </c>
      <c r="E2890" s="13">
        <v>47.094014000000001</v>
      </c>
      <c r="F2890" s="13">
        <v>47.143631999999997</v>
      </c>
      <c r="G2890" s="13">
        <v>45.122647000000001</v>
      </c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</row>
    <row r="2891" spans="1:19" x14ac:dyDescent="0.2">
      <c r="A2891" s="12" t="s">
        <v>406</v>
      </c>
      <c r="B2891" s="12" t="s">
        <v>572</v>
      </c>
      <c r="C2891" s="12" t="s">
        <v>563</v>
      </c>
      <c r="D2891" s="13">
        <v>0</v>
      </c>
      <c r="E2891" s="13">
        <v>0.35432100000000011</v>
      </c>
      <c r="F2891" s="13">
        <v>0.69598000000000004</v>
      </c>
      <c r="G2891" s="13">
        <v>0.99089800000000006</v>
      </c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</row>
    <row r="2892" spans="1:19" x14ac:dyDescent="0.2">
      <c r="A2892" s="12" t="s">
        <v>406</v>
      </c>
      <c r="B2892" s="12" t="s">
        <v>572</v>
      </c>
      <c r="C2892" s="12" t="s">
        <v>564</v>
      </c>
      <c r="D2892" s="13">
        <v>46</v>
      </c>
      <c r="E2892" s="13">
        <v>47.735185000000001</v>
      </c>
      <c r="F2892" s="13">
        <v>46.792074999999997</v>
      </c>
      <c r="G2892" s="13">
        <v>47.654111999999998</v>
      </c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</row>
    <row r="2893" spans="1:19" x14ac:dyDescent="0.2">
      <c r="A2893" s="12" t="s">
        <v>406</v>
      </c>
      <c r="B2893" s="12" t="s">
        <v>572</v>
      </c>
      <c r="C2893" s="12" t="s">
        <v>565</v>
      </c>
      <c r="D2893" s="13">
        <v>33</v>
      </c>
      <c r="E2893" s="13">
        <v>33.465209999999999</v>
      </c>
      <c r="F2893" s="13">
        <v>33.452489999999997</v>
      </c>
      <c r="G2893" s="13">
        <v>33.912711999999999</v>
      </c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</row>
    <row r="2894" spans="1:19" x14ac:dyDescent="0.2">
      <c r="A2894" s="12" t="s">
        <v>406</v>
      </c>
      <c r="B2894" s="12" t="s">
        <v>572</v>
      </c>
      <c r="C2894" s="12" t="s">
        <v>566</v>
      </c>
      <c r="D2894" s="13">
        <v>12</v>
      </c>
      <c r="E2894" s="13">
        <v>11.362527</v>
      </c>
      <c r="F2894" s="13">
        <v>10.723701</v>
      </c>
      <c r="G2894" s="13">
        <v>11.616273</v>
      </c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</row>
    <row r="2895" spans="1:19" x14ac:dyDescent="0.2">
      <c r="A2895" s="12" t="s">
        <v>406</v>
      </c>
      <c r="B2895" s="12" t="s">
        <v>573</v>
      </c>
      <c r="C2895" s="12" t="s">
        <v>554</v>
      </c>
      <c r="D2895" s="13">
        <v>0</v>
      </c>
      <c r="E2895" s="13">
        <v>0</v>
      </c>
      <c r="F2895" s="13">
        <v>0</v>
      </c>
      <c r="G2895" s="13">
        <v>0</v>
      </c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</row>
    <row r="2896" spans="1:19" x14ac:dyDescent="0.2">
      <c r="A2896" s="12" t="s">
        <v>406</v>
      </c>
      <c r="B2896" s="12" t="s">
        <v>573</v>
      </c>
      <c r="C2896" s="12" t="s">
        <v>555</v>
      </c>
      <c r="D2896" s="13">
        <v>0</v>
      </c>
      <c r="E2896" s="13">
        <v>0</v>
      </c>
      <c r="F2896" s="13">
        <v>0</v>
      </c>
      <c r="G2896" s="13">
        <v>0</v>
      </c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</row>
    <row r="2897" spans="1:19" x14ac:dyDescent="0.2">
      <c r="A2897" s="12" t="s">
        <v>406</v>
      </c>
      <c r="B2897" s="12" t="s">
        <v>573</v>
      </c>
      <c r="C2897" s="12" t="s">
        <v>556</v>
      </c>
      <c r="D2897" s="13">
        <v>0</v>
      </c>
      <c r="E2897" s="13">
        <v>0</v>
      </c>
      <c r="F2897" s="13">
        <v>0</v>
      </c>
      <c r="G2897" s="13">
        <v>0</v>
      </c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</row>
    <row r="2898" spans="1:19" x14ac:dyDescent="0.2">
      <c r="A2898" s="12" t="s">
        <v>406</v>
      </c>
      <c r="B2898" s="12" t="s">
        <v>573</v>
      </c>
      <c r="C2898" s="12" t="s">
        <v>557</v>
      </c>
      <c r="D2898" s="13">
        <v>0</v>
      </c>
      <c r="E2898" s="13">
        <v>0</v>
      </c>
      <c r="F2898" s="13">
        <v>0</v>
      </c>
      <c r="G2898" s="13">
        <v>0</v>
      </c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</row>
    <row r="2899" spans="1:19" x14ac:dyDescent="0.2">
      <c r="A2899" s="12" t="s">
        <v>406</v>
      </c>
      <c r="B2899" s="12" t="s">
        <v>573</v>
      </c>
      <c r="C2899" s="12" t="s">
        <v>558</v>
      </c>
      <c r="D2899" s="13">
        <v>1</v>
      </c>
      <c r="E2899" s="13">
        <v>1.107321</v>
      </c>
      <c r="F2899" s="13">
        <v>1.019871</v>
      </c>
      <c r="G2899" s="13">
        <v>0.83868299999999996</v>
      </c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</row>
    <row r="2900" spans="1:19" x14ac:dyDescent="0.2">
      <c r="A2900" s="12" t="s">
        <v>406</v>
      </c>
      <c r="B2900" s="12" t="s">
        <v>573</v>
      </c>
      <c r="C2900" s="12" t="s">
        <v>560</v>
      </c>
      <c r="D2900" s="13">
        <v>0</v>
      </c>
      <c r="E2900" s="13">
        <v>0</v>
      </c>
      <c r="F2900" s="13">
        <v>0</v>
      </c>
      <c r="G2900" s="13">
        <v>0</v>
      </c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</row>
    <row r="2901" spans="1:19" x14ac:dyDescent="0.2">
      <c r="A2901" s="12" t="s">
        <v>406</v>
      </c>
      <c r="B2901" s="12" t="s">
        <v>573</v>
      </c>
      <c r="C2901" s="12" t="s">
        <v>561</v>
      </c>
      <c r="D2901" s="13">
        <v>0</v>
      </c>
      <c r="E2901" s="13">
        <v>0</v>
      </c>
      <c r="F2901" s="13">
        <v>0</v>
      </c>
      <c r="G2901" s="13">
        <v>0</v>
      </c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</row>
    <row r="2902" spans="1:19" x14ac:dyDescent="0.2">
      <c r="A2902" s="12" t="s">
        <v>406</v>
      </c>
      <c r="B2902" s="12" t="s">
        <v>573</v>
      </c>
      <c r="C2902" s="12" t="s">
        <v>562</v>
      </c>
      <c r="D2902" s="13">
        <v>0</v>
      </c>
      <c r="E2902" s="13">
        <v>0</v>
      </c>
      <c r="F2902" s="13">
        <v>0</v>
      </c>
      <c r="G2902" s="13">
        <v>0</v>
      </c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</row>
    <row r="2903" spans="1:19" x14ac:dyDescent="0.2">
      <c r="A2903" s="12" t="s">
        <v>406</v>
      </c>
      <c r="B2903" s="12" t="s">
        <v>573</v>
      </c>
      <c r="C2903" s="12" t="s">
        <v>563</v>
      </c>
      <c r="D2903" s="13">
        <v>0</v>
      </c>
      <c r="E2903" s="13">
        <v>0</v>
      </c>
      <c r="F2903" s="13">
        <v>0</v>
      </c>
      <c r="G2903" s="13">
        <v>0</v>
      </c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</row>
    <row r="2904" spans="1:19" x14ac:dyDescent="0.2">
      <c r="A2904" s="12" t="s">
        <v>406</v>
      </c>
      <c r="B2904" s="12" t="s">
        <v>573</v>
      </c>
      <c r="C2904" s="12" t="s">
        <v>564</v>
      </c>
      <c r="D2904" s="13">
        <v>0</v>
      </c>
      <c r="E2904" s="13">
        <v>0</v>
      </c>
      <c r="F2904" s="13">
        <v>0</v>
      </c>
      <c r="G2904" s="13">
        <v>0</v>
      </c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</row>
    <row r="2905" spans="1:19" x14ac:dyDescent="0.2">
      <c r="A2905" s="12" t="s">
        <v>406</v>
      </c>
      <c r="B2905" s="12" t="s">
        <v>573</v>
      </c>
      <c r="C2905" s="12" t="s">
        <v>565</v>
      </c>
      <c r="D2905" s="13">
        <v>0</v>
      </c>
      <c r="E2905" s="13">
        <v>0</v>
      </c>
      <c r="F2905" s="13">
        <v>0</v>
      </c>
      <c r="G2905" s="13">
        <v>0</v>
      </c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</row>
    <row r="2906" spans="1:19" x14ac:dyDescent="0.2">
      <c r="A2906" s="12" t="s">
        <v>406</v>
      </c>
      <c r="B2906" s="12" t="s">
        <v>573</v>
      </c>
      <c r="C2906" s="12" t="s">
        <v>566</v>
      </c>
      <c r="D2906" s="13">
        <v>0</v>
      </c>
      <c r="E2906" s="13">
        <v>0</v>
      </c>
      <c r="F2906" s="13">
        <v>0</v>
      </c>
      <c r="G2906" s="13">
        <v>0</v>
      </c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</row>
    <row r="2907" spans="1:19" x14ac:dyDescent="0.2">
      <c r="A2907" s="12" t="s">
        <v>406</v>
      </c>
      <c r="B2907" s="12" t="s">
        <v>574</v>
      </c>
      <c r="C2907" s="12" t="s">
        <v>554</v>
      </c>
      <c r="D2907" s="13">
        <v>616</v>
      </c>
      <c r="E2907" s="13">
        <v>598.39091700000006</v>
      </c>
      <c r="F2907" s="13">
        <v>586.60455500000012</v>
      </c>
      <c r="G2907" s="13">
        <v>592.16720900000007</v>
      </c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</row>
    <row r="2908" spans="1:19" x14ac:dyDescent="0.2">
      <c r="A2908" s="12" t="s">
        <v>406</v>
      </c>
      <c r="B2908" s="12" t="s">
        <v>574</v>
      </c>
      <c r="C2908" s="12" t="s">
        <v>555</v>
      </c>
      <c r="D2908" s="13">
        <v>322</v>
      </c>
      <c r="E2908" s="13">
        <v>313.75795499999998</v>
      </c>
      <c r="F2908" s="13">
        <v>308.34448500000002</v>
      </c>
      <c r="G2908" s="13">
        <v>323.375315</v>
      </c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</row>
    <row r="2909" spans="1:19" x14ac:dyDescent="0.2">
      <c r="A2909" s="12" t="s">
        <v>406</v>
      </c>
      <c r="B2909" s="12" t="s">
        <v>574</v>
      </c>
      <c r="C2909" s="12" t="s">
        <v>556</v>
      </c>
      <c r="D2909" s="13">
        <v>-71</v>
      </c>
      <c r="E2909" s="13">
        <v>-69.244242</v>
      </c>
      <c r="F2909" s="13">
        <v>-77.502261000000004</v>
      </c>
      <c r="G2909" s="13">
        <v>-71.272081</v>
      </c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</row>
    <row r="2910" spans="1:19" x14ac:dyDescent="0.2">
      <c r="A2910" s="12" t="s">
        <v>406</v>
      </c>
      <c r="B2910" s="12" t="s">
        <v>574</v>
      </c>
      <c r="C2910" s="12" t="s">
        <v>557</v>
      </c>
      <c r="D2910" s="13">
        <v>820</v>
      </c>
      <c r="E2910" s="13">
        <v>831.86892399999999</v>
      </c>
      <c r="F2910" s="13">
        <v>800.93962600000009</v>
      </c>
      <c r="G2910" s="13">
        <v>796.96357599999999</v>
      </c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</row>
    <row r="2911" spans="1:19" x14ac:dyDescent="0.2">
      <c r="A2911" s="12" t="s">
        <v>406</v>
      </c>
      <c r="B2911" s="12" t="s">
        <v>574</v>
      </c>
      <c r="C2911" s="12" t="s">
        <v>558</v>
      </c>
      <c r="D2911" s="13">
        <v>-223</v>
      </c>
      <c r="E2911" s="13">
        <v>-223.63656</v>
      </c>
      <c r="F2911" s="13">
        <v>-214.12593100000001</v>
      </c>
      <c r="G2911" s="13">
        <v>-216.287676</v>
      </c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</row>
    <row r="2912" spans="1:19" x14ac:dyDescent="0.2">
      <c r="A2912" s="12" t="s">
        <v>406</v>
      </c>
      <c r="B2912" s="12" t="s">
        <v>574</v>
      </c>
      <c r="C2912" s="12" t="s">
        <v>560</v>
      </c>
      <c r="D2912" s="13">
        <v>-2</v>
      </c>
      <c r="E2912" s="13">
        <v>-4.0779430000000003</v>
      </c>
      <c r="F2912" s="13">
        <v>-1.164056</v>
      </c>
      <c r="G2912" s="13">
        <v>0</v>
      </c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</row>
    <row r="2913" spans="1:19" x14ac:dyDescent="0.2">
      <c r="A2913" s="12" t="s">
        <v>406</v>
      </c>
      <c r="B2913" s="12" t="s">
        <v>574</v>
      </c>
      <c r="C2913" s="12" t="s">
        <v>561</v>
      </c>
      <c r="D2913" s="13">
        <v>564</v>
      </c>
      <c r="E2913" s="13">
        <v>559.856539</v>
      </c>
      <c r="F2913" s="13">
        <v>557.94322999999997</v>
      </c>
      <c r="G2913" s="13">
        <v>558.38227399999994</v>
      </c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</row>
    <row r="2914" spans="1:19" x14ac:dyDescent="0.2">
      <c r="A2914" s="12" t="s">
        <v>406</v>
      </c>
      <c r="B2914" s="12" t="s">
        <v>574</v>
      </c>
      <c r="C2914" s="12" t="s">
        <v>562</v>
      </c>
      <c r="D2914" s="13">
        <v>159</v>
      </c>
      <c r="E2914" s="13">
        <v>156.43070499999999</v>
      </c>
      <c r="F2914" s="13">
        <v>158.74396200000001</v>
      </c>
      <c r="G2914" s="13">
        <v>151.71004199999999</v>
      </c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</row>
    <row r="2915" spans="1:19" x14ac:dyDescent="0.2">
      <c r="A2915" s="12" t="s">
        <v>406</v>
      </c>
      <c r="B2915" s="12" t="s">
        <v>574</v>
      </c>
      <c r="C2915" s="12" t="s">
        <v>563</v>
      </c>
      <c r="D2915" s="13">
        <v>195</v>
      </c>
      <c r="E2915" s="13">
        <v>204.05719199999999</v>
      </c>
      <c r="F2915" s="13">
        <v>204.82078100000001</v>
      </c>
      <c r="G2915" s="13">
        <v>207.10807600000001</v>
      </c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</row>
    <row r="2916" spans="1:19" x14ac:dyDescent="0.2">
      <c r="A2916" s="12" t="s">
        <v>406</v>
      </c>
      <c r="B2916" s="12" t="s">
        <v>574</v>
      </c>
      <c r="C2916" s="12" t="s">
        <v>564</v>
      </c>
      <c r="D2916" s="13">
        <v>64</v>
      </c>
      <c r="E2916" s="13">
        <v>65.511646999999996</v>
      </c>
      <c r="F2916" s="13">
        <v>64.342872</v>
      </c>
      <c r="G2916" s="13">
        <v>65.500366999999997</v>
      </c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</row>
    <row r="2917" spans="1:19" x14ac:dyDescent="0.2">
      <c r="A2917" s="12" t="s">
        <v>406</v>
      </c>
      <c r="B2917" s="12" t="s">
        <v>574</v>
      </c>
      <c r="C2917" s="12" t="s">
        <v>565</v>
      </c>
      <c r="D2917" s="13">
        <v>53</v>
      </c>
      <c r="E2917" s="13">
        <v>53.542301000000002</v>
      </c>
      <c r="F2917" s="13">
        <v>55.162899000000003</v>
      </c>
      <c r="G2917" s="13">
        <v>54.121842999999998</v>
      </c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</row>
    <row r="2918" spans="1:19" x14ac:dyDescent="0.2">
      <c r="A2918" s="12" t="s">
        <v>406</v>
      </c>
      <c r="B2918" s="12" t="s">
        <v>574</v>
      </c>
      <c r="C2918" s="12" t="s">
        <v>566</v>
      </c>
      <c r="D2918" s="13">
        <v>93</v>
      </c>
      <c r="E2918" s="13">
        <v>80.314706999999999</v>
      </c>
      <c r="F2918" s="13">
        <v>74.872731999999999</v>
      </c>
      <c r="G2918" s="13">
        <v>79.941935000000001</v>
      </c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</row>
    <row r="2919" spans="1:19" x14ac:dyDescent="0.2">
      <c r="A2919" s="12" t="s">
        <v>400</v>
      </c>
      <c r="B2919" s="12" t="s">
        <v>553</v>
      </c>
      <c r="C2919" s="12" t="s">
        <v>554</v>
      </c>
      <c r="D2919" s="13">
        <v>2</v>
      </c>
      <c r="E2919" s="13">
        <v>3.4075739999999999</v>
      </c>
      <c r="F2919" s="13">
        <v>3.2877010000000002</v>
      </c>
      <c r="G2919" s="13">
        <v>3.3648349999999998</v>
      </c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</row>
    <row r="2920" spans="1:19" x14ac:dyDescent="0.2">
      <c r="A2920" s="12" t="s">
        <v>400</v>
      </c>
      <c r="B2920" s="12" t="s">
        <v>553</v>
      </c>
      <c r="C2920" s="12" t="s">
        <v>555</v>
      </c>
      <c r="D2920" s="13">
        <v>33</v>
      </c>
      <c r="E2920" s="13">
        <v>33.982937</v>
      </c>
      <c r="F2920" s="13">
        <v>33.975864999999999</v>
      </c>
      <c r="G2920" s="13">
        <v>29.430910000000001</v>
      </c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</row>
    <row r="2921" spans="1:19" x14ac:dyDescent="0.2">
      <c r="A2921" s="12" t="s">
        <v>400</v>
      </c>
      <c r="B2921" s="12" t="s">
        <v>553</v>
      </c>
      <c r="C2921" s="12" t="s">
        <v>556</v>
      </c>
      <c r="D2921" s="13">
        <v>-1</v>
      </c>
      <c r="E2921" s="13">
        <v>-2.293634</v>
      </c>
      <c r="F2921" s="13">
        <v>-2.364843</v>
      </c>
      <c r="G2921" s="13">
        <v>-1.6881930000000001</v>
      </c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</row>
    <row r="2922" spans="1:19" x14ac:dyDescent="0.2">
      <c r="A2922" s="12" t="s">
        <v>400</v>
      </c>
      <c r="B2922" s="12" t="s">
        <v>553</v>
      </c>
      <c r="C2922" s="12" t="s">
        <v>557</v>
      </c>
      <c r="D2922" s="13">
        <v>34</v>
      </c>
      <c r="E2922" s="13">
        <v>35.173946999999998</v>
      </c>
      <c r="F2922" s="13">
        <v>33.890931999999999</v>
      </c>
      <c r="G2922" s="13">
        <v>30.947004</v>
      </c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</row>
    <row r="2923" spans="1:19" x14ac:dyDescent="0.2">
      <c r="A2923" s="12" t="s">
        <v>400</v>
      </c>
      <c r="B2923" s="12" t="s">
        <v>553</v>
      </c>
      <c r="C2923" s="12" t="s">
        <v>558</v>
      </c>
      <c r="D2923" s="13">
        <v>-2</v>
      </c>
      <c r="E2923" s="13">
        <v>-1.7959320000000001</v>
      </c>
      <c r="F2923" s="13">
        <v>-2.046106</v>
      </c>
      <c r="G2923" s="13">
        <v>-1.4814909999999999</v>
      </c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</row>
    <row r="2924" spans="1:19" x14ac:dyDescent="0.2">
      <c r="A2924" s="12" t="s">
        <v>400</v>
      </c>
      <c r="B2924" s="12" t="s">
        <v>553</v>
      </c>
      <c r="C2924" s="12" t="s">
        <v>560</v>
      </c>
      <c r="D2924" s="13">
        <v>0</v>
      </c>
      <c r="E2924" s="13">
        <v>0</v>
      </c>
      <c r="F2924" s="13">
        <v>0</v>
      </c>
      <c r="G2924" s="13">
        <v>0</v>
      </c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</row>
    <row r="2925" spans="1:19" x14ac:dyDescent="0.2">
      <c r="A2925" s="12" t="s">
        <v>400</v>
      </c>
      <c r="B2925" s="12" t="s">
        <v>553</v>
      </c>
      <c r="C2925" s="12" t="s">
        <v>561</v>
      </c>
      <c r="D2925" s="13">
        <v>26</v>
      </c>
      <c r="E2925" s="13">
        <v>27.994752999999999</v>
      </c>
      <c r="F2925" s="13">
        <v>25.407508</v>
      </c>
      <c r="G2925" s="13">
        <v>23.445250999999999</v>
      </c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</row>
    <row r="2926" spans="1:19" x14ac:dyDescent="0.2">
      <c r="A2926" s="12" t="s">
        <v>400</v>
      </c>
      <c r="B2926" s="12" t="s">
        <v>553</v>
      </c>
      <c r="C2926" s="12" t="s">
        <v>562</v>
      </c>
      <c r="D2926" s="13">
        <v>24</v>
      </c>
      <c r="E2926" s="13">
        <v>25.660231</v>
      </c>
      <c r="F2926" s="13">
        <v>23.564906000000001</v>
      </c>
      <c r="G2926" s="13">
        <v>21.661632000000001</v>
      </c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</row>
    <row r="2927" spans="1:19" x14ac:dyDescent="0.2">
      <c r="A2927" s="12" t="s">
        <v>400</v>
      </c>
      <c r="B2927" s="12" t="s">
        <v>553</v>
      </c>
      <c r="C2927" s="12" t="s">
        <v>563</v>
      </c>
      <c r="D2927" s="13">
        <v>0</v>
      </c>
      <c r="E2927" s="13">
        <v>0</v>
      </c>
      <c r="F2927" s="13">
        <v>0</v>
      </c>
      <c r="G2927" s="13">
        <v>0</v>
      </c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</row>
    <row r="2928" spans="1:19" x14ac:dyDescent="0.2">
      <c r="A2928" s="12" t="s">
        <v>400</v>
      </c>
      <c r="B2928" s="12" t="s">
        <v>553</v>
      </c>
      <c r="C2928" s="12" t="s">
        <v>564</v>
      </c>
      <c r="D2928" s="13">
        <v>0</v>
      </c>
      <c r="E2928" s="13">
        <v>0</v>
      </c>
      <c r="F2928" s="13">
        <v>0</v>
      </c>
      <c r="G2928" s="13">
        <v>0</v>
      </c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</row>
    <row r="2929" spans="1:19" x14ac:dyDescent="0.2">
      <c r="A2929" s="12" t="s">
        <v>400</v>
      </c>
      <c r="B2929" s="12" t="s">
        <v>553</v>
      </c>
      <c r="C2929" s="12" t="s">
        <v>565</v>
      </c>
      <c r="D2929" s="13">
        <v>0</v>
      </c>
      <c r="E2929" s="13">
        <v>3.9360000000000003E-3</v>
      </c>
      <c r="F2929" s="13">
        <v>3.9360000000000003E-3</v>
      </c>
      <c r="G2929" s="13">
        <v>3.9360000000000003E-3</v>
      </c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</row>
    <row r="2930" spans="1:19" x14ac:dyDescent="0.2">
      <c r="A2930" s="12" t="s">
        <v>400</v>
      </c>
      <c r="B2930" s="12" t="s">
        <v>553</v>
      </c>
      <c r="C2930" s="12" t="s">
        <v>566</v>
      </c>
      <c r="D2930" s="13">
        <v>2</v>
      </c>
      <c r="E2930" s="13">
        <v>2.3305859999999998</v>
      </c>
      <c r="F2930" s="13">
        <v>1.8386670000000001</v>
      </c>
      <c r="G2930" s="13">
        <v>1.779687</v>
      </c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</row>
    <row r="2931" spans="1:19" x14ac:dyDescent="0.2">
      <c r="A2931" s="12" t="s">
        <v>400</v>
      </c>
      <c r="B2931" s="12" t="s">
        <v>567</v>
      </c>
      <c r="C2931" s="12" t="s">
        <v>554</v>
      </c>
      <c r="D2931" s="13">
        <v>4010</v>
      </c>
      <c r="E2931" s="13">
        <v>4090.739313</v>
      </c>
      <c r="F2931" s="13">
        <v>3884.4425259999998</v>
      </c>
      <c r="G2931" s="13">
        <v>4125.5093340000003</v>
      </c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</row>
    <row r="2932" spans="1:19" x14ac:dyDescent="0.2">
      <c r="A2932" s="12" t="s">
        <v>400</v>
      </c>
      <c r="B2932" s="12" t="s">
        <v>567</v>
      </c>
      <c r="C2932" s="12" t="s">
        <v>555</v>
      </c>
      <c r="D2932" s="13">
        <v>139</v>
      </c>
      <c r="E2932" s="13">
        <v>106.03462</v>
      </c>
      <c r="F2932" s="13">
        <v>35.167923000000002</v>
      </c>
      <c r="G2932" s="13">
        <v>75.381085999999996</v>
      </c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</row>
    <row r="2933" spans="1:19" x14ac:dyDescent="0.2">
      <c r="A2933" s="12" t="s">
        <v>400</v>
      </c>
      <c r="B2933" s="12" t="s">
        <v>567</v>
      </c>
      <c r="C2933" s="12" t="s">
        <v>556</v>
      </c>
      <c r="D2933" s="13">
        <v>-3224</v>
      </c>
      <c r="E2933" s="13">
        <v>-3386.9036409999999</v>
      </c>
      <c r="F2933" s="13">
        <v>-3323.225629</v>
      </c>
      <c r="G2933" s="13">
        <v>-3601.9147750000002</v>
      </c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</row>
    <row r="2934" spans="1:19" x14ac:dyDescent="0.2">
      <c r="A2934" s="12" t="s">
        <v>400</v>
      </c>
      <c r="B2934" s="12" t="s">
        <v>567</v>
      </c>
      <c r="C2934" s="12" t="s">
        <v>557</v>
      </c>
      <c r="D2934" s="13">
        <v>894</v>
      </c>
      <c r="E2934" s="13">
        <v>844.12166100000002</v>
      </c>
      <c r="F2934" s="13">
        <v>579.59437800000001</v>
      </c>
      <c r="G2934" s="13">
        <v>605.70849699999997</v>
      </c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</row>
    <row r="2935" spans="1:19" x14ac:dyDescent="0.2">
      <c r="A2935" s="12" t="s">
        <v>400</v>
      </c>
      <c r="B2935" s="12" t="s">
        <v>567</v>
      </c>
      <c r="C2935" s="12" t="s">
        <v>558</v>
      </c>
      <c r="D2935" s="13">
        <v>0</v>
      </c>
      <c r="E2935" s="13">
        <v>0</v>
      </c>
      <c r="F2935" s="13">
        <v>0</v>
      </c>
      <c r="G2935" s="13">
        <v>0</v>
      </c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</row>
    <row r="2936" spans="1:19" x14ac:dyDescent="0.2">
      <c r="A2936" s="12" t="s">
        <v>400</v>
      </c>
      <c r="B2936" s="12" t="s">
        <v>567</v>
      </c>
      <c r="C2936" s="12" t="s">
        <v>560</v>
      </c>
      <c r="D2936" s="13">
        <v>-630</v>
      </c>
      <c r="E2936" s="13">
        <v>-592.32166799999993</v>
      </c>
      <c r="F2936" s="13">
        <v>-425.89441299999999</v>
      </c>
      <c r="G2936" s="13">
        <v>-464.01273600000002</v>
      </c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</row>
    <row r="2937" spans="1:19" x14ac:dyDescent="0.2">
      <c r="A2937" s="12" t="s">
        <v>400</v>
      </c>
      <c r="B2937" s="12" t="s">
        <v>567</v>
      </c>
      <c r="C2937" s="12" t="s">
        <v>561</v>
      </c>
      <c r="D2937" s="13">
        <v>0</v>
      </c>
      <c r="E2937" s="13">
        <v>0</v>
      </c>
      <c r="F2937" s="13">
        <v>0</v>
      </c>
      <c r="G2937" s="13">
        <v>0</v>
      </c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</row>
    <row r="2938" spans="1:19" x14ac:dyDescent="0.2">
      <c r="A2938" s="12" t="s">
        <v>400</v>
      </c>
      <c r="B2938" s="12" t="s">
        <v>567</v>
      </c>
      <c r="C2938" s="12" t="s">
        <v>562</v>
      </c>
      <c r="D2938" s="13">
        <v>0</v>
      </c>
      <c r="E2938" s="13">
        <v>0</v>
      </c>
      <c r="F2938" s="13">
        <v>0</v>
      </c>
      <c r="G2938" s="13">
        <v>0</v>
      </c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</row>
    <row r="2939" spans="1:19" x14ac:dyDescent="0.2">
      <c r="A2939" s="12" t="s">
        <v>400</v>
      </c>
      <c r="B2939" s="12" t="s">
        <v>567</v>
      </c>
      <c r="C2939" s="12" t="s">
        <v>563</v>
      </c>
      <c r="D2939" s="13">
        <v>0</v>
      </c>
      <c r="E2939" s="13">
        <v>0</v>
      </c>
      <c r="F2939" s="13">
        <v>0</v>
      </c>
      <c r="G2939" s="13">
        <v>0</v>
      </c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</row>
    <row r="2940" spans="1:19" x14ac:dyDescent="0.2">
      <c r="A2940" s="12" t="s">
        <v>400</v>
      </c>
      <c r="B2940" s="12" t="s">
        <v>567</v>
      </c>
      <c r="C2940" s="12" t="s">
        <v>564</v>
      </c>
      <c r="D2940" s="13">
        <v>0</v>
      </c>
      <c r="E2940" s="13">
        <v>0</v>
      </c>
      <c r="F2940" s="13">
        <v>0</v>
      </c>
      <c r="G2940" s="13">
        <v>0</v>
      </c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</row>
    <row r="2941" spans="1:19" x14ac:dyDescent="0.2">
      <c r="A2941" s="12" t="s">
        <v>400</v>
      </c>
      <c r="B2941" s="12" t="s">
        <v>567</v>
      </c>
      <c r="C2941" s="12" t="s">
        <v>565</v>
      </c>
      <c r="D2941" s="13">
        <v>0</v>
      </c>
      <c r="E2941" s="13">
        <v>0</v>
      </c>
      <c r="F2941" s="13">
        <v>0</v>
      </c>
      <c r="G2941" s="13">
        <v>0</v>
      </c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</row>
    <row r="2942" spans="1:19" x14ac:dyDescent="0.2">
      <c r="A2942" s="12" t="s">
        <v>400</v>
      </c>
      <c r="B2942" s="12" t="s">
        <v>567</v>
      </c>
      <c r="C2942" s="12" t="s">
        <v>566</v>
      </c>
      <c r="D2942" s="13">
        <v>0</v>
      </c>
      <c r="E2942" s="13">
        <v>0</v>
      </c>
      <c r="F2942" s="13">
        <v>0</v>
      </c>
      <c r="G2942" s="13">
        <v>0</v>
      </c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</row>
    <row r="2943" spans="1:19" x14ac:dyDescent="0.2">
      <c r="A2943" s="12" t="s">
        <v>400</v>
      </c>
      <c r="B2943" s="12" t="s">
        <v>568</v>
      </c>
      <c r="C2943" s="12" t="s">
        <v>554</v>
      </c>
      <c r="D2943" s="13">
        <v>0</v>
      </c>
      <c r="E2943" s="13">
        <v>0</v>
      </c>
      <c r="F2943" s="13">
        <v>0</v>
      </c>
      <c r="G2943" s="13">
        <v>0</v>
      </c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</row>
    <row r="2944" spans="1:19" x14ac:dyDescent="0.2">
      <c r="A2944" s="12" t="s">
        <v>400</v>
      </c>
      <c r="B2944" s="12" t="s">
        <v>568</v>
      </c>
      <c r="C2944" s="12" t="s">
        <v>555</v>
      </c>
      <c r="D2944" s="13">
        <v>251</v>
      </c>
      <c r="E2944" s="13">
        <v>260.18350299999997</v>
      </c>
      <c r="F2944" s="13">
        <v>343.560271</v>
      </c>
      <c r="G2944" s="13">
        <v>314.66673300000002</v>
      </c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</row>
    <row r="2945" spans="1:19" x14ac:dyDescent="0.2">
      <c r="A2945" s="12" t="s">
        <v>400</v>
      </c>
      <c r="B2945" s="12" t="s">
        <v>568</v>
      </c>
      <c r="C2945" s="12" t="s">
        <v>556</v>
      </c>
      <c r="D2945" s="13">
        <v>-745</v>
      </c>
      <c r="E2945" s="13">
        <v>-731.03950899999995</v>
      </c>
      <c r="F2945" s="13">
        <v>-591.34981600000003</v>
      </c>
      <c r="G2945" s="13">
        <v>-566.01039400000002</v>
      </c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</row>
    <row r="2946" spans="1:19" x14ac:dyDescent="0.2">
      <c r="A2946" s="12" t="s">
        <v>400</v>
      </c>
      <c r="B2946" s="12" t="s">
        <v>568</v>
      </c>
      <c r="C2946" s="12" t="s">
        <v>557</v>
      </c>
      <c r="D2946" s="13">
        <v>-518</v>
      </c>
      <c r="E2946" s="13">
        <v>-481.49553200000003</v>
      </c>
      <c r="F2946" s="13">
        <v>-284.24693100000002</v>
      </c>
      <c r="G2946" s="13">
        <v>-276.02191599999998</v>
      </c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</row>
    <row r="2947" spans="1:19" x14ac:dyDescent="0.2">
      <c r="A2947" s="12" t="s">
        <v>400</v>
      </c>
      <c r="B2947" s="12" t="s">
        <v>568</v>
      </c>
      <c r="C2947" s="12" t="s">
        <v>558</v>
      </c>
      <c r="D2947" s="13">
        <v>-2</v>
      </c>
      <c r="E2947" s="13">
        <v>-6.1109030000000013</v>
      </c>
      <c r="F2947" s="13">
        <v>-3.0662449999999999</v>
      </c>
      <c r="G2947" s="13">
        <v>-0.86184900000000009</v>
      </c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</row>
    <row r="2948" spans="1:19" x14ac:dyDescent="0.2">
      <c r="A2948" s="12" t="s">
        <v>400</v>
      </c>
      <c r="B2948" s="12" t="s">
        <v>568</v>
      </c>
      <c r="C2948" s="12" t="s">
        <v>560</v>
      </c>
      <c r="D2948" s="13">
        <v>627</v>
      </c>
      <c r="E2948" s="13">
        <v>597.15318100000002</v>
      </c>
      <c r="F2948" s="13">
        <v>426.79424</v>
      </c>
      <c r="G2948" s="13">
        <v>470.62537600000002</v>
      </c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</row>
    <row r="2949" spans="1:19" x14ac:dyDescent="0.2">
      <c r="A2949" s="12" t="s">
        <v>400</v>
      </c>
      <c r="B2949" s="12" t="s">
        <v>568</v>
      </c>
      <c r="C2949" s="12" t="s">
        <v>561</v>
      </c>
      <c r="D2949" s="13">
        <v>323</v>
      </c>
      <c r="E2949" s="13">
        <v>328.122187</v>
      </c>
      <c r="F2949" s="13">
        <v>328.25634100000002</v>
      </c>
      <c r="G2949" s="13">
        <v>331.21127500000011</v>
      </c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</row>
    <row r="2950" spans="1:19" x14ac:dyDescent="0.2">
      <c r="A2950" s="12" t="s">
        <v>400</v>
      </c>
      <c r="B2950" s="12" t="s">
        <v>568</v>
      </c>
      <c r="C2950" s="12" t="s">
        <v>562</v>
      </c>
      <c r="D2950" s="13">
        <v>40</v>
      </c>
      <c r="E2950" s="13">
        <v>38.199500999999998</v>
      </c>
      <c r="F2950" s="13">
        <v>36.409748</v>
      </c>
      <c r="G2950" s="13">
        <v>35.586258999999998</v>
      </c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</row>
    <row r="2951" spans="1:19" x14ac:dyDescent="0.2">
      <c r="A2951" s="12" t="s">
        <v>400</v>
      </c>
      <c r="B2951" s="12" t="s">
        <v>568</v>
      </c>
      <c r="C2951" s="12" t="s">
        <v>563</v>
      </c>
      <c r="D2951" s="13">
        <v>173</v>
      </c>
      <c r="E2951" s="13">
        <v>179.74004400000001</v>
      </c>
      <c r="F2951" s="13">
        <v>184.45298700000001</v>
      </c>
      <c r="G2951" s="13">
        <v>172.09985399999999</v>
      </c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</row>
    <row r="2952" spans="1:19" x14ac:dyDescent="0.2">
      <c r="A2952" s="12" t="s">
        <v>400</v>
      </c>
      <c r="B2952" s="12" t="s">
        <v>568</v>
      </c>
      <c r="C2952" s="12" t="s">
        <v>564</v>
      </c>
      <c r="D2952" s="13">
        <v>0</v>
      </c>
      <c r="E2952" s="13">
        <v>0.21123700000000001</v>
      </c>
      <c r="F2952" s="13">
        <v>0.167907</v>
      </c>
      <c r="G2952" s="13">
        <v>0.28736099999999998</v>
      </c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</row>
    <row r="2953" spans="1:19" x14ac:dyDescent="0.2">
      <c r="A2953" s="12" t="s">
        <v>400</v>
      </c>
      <c r="B2953" s="12" t="s">
        <v>568</v>
      </c>
      <c r="C2953" s="12" t="s">
        <v>565</v>
      </c>
      <c r="D2953" s="13">
        <v>12</v>
      </c>
      <c r="E2953" s="13">
        <v>11.752423</v>
      </c>
      <c r="F2953" s="13">
        <v>12.125362000000001</v>
      </c>
      <c r="G2953" s="13">
        <v>12.633016</v>
      </c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</row>
    <row r="2954" spans="1:19" x14ac:dyDescent="0.2">
      <c r="A2954" s="12" t="s">
        <v>400</v>
      </c>
      <c r="B2954" s="12" t="s">
        <v>568</v>
      </c>
      <c r="C2954" s="12" t="s">
        <v>566</v>
      </c>
      <c r="D2954" s="13">
        <v>99</v>
      </c>
      <c r="E2954" s="13">
        <v>98.21897899999999</v>
      </c>
      <c r="F2954" s="13">
        <v>95.100340000000003</v>
      </c>
      <c r="G2954" s="13">
        <v>110.60478500000001</v>
      </c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</row>
    <row r="2955" spans="1:19" x14ac:dyDescent="0.2">
      <c r="A2955" s="12" t="s">
        <v>400</v>
      </c>
      <c r="B2955" s="12" t="s">
        <v>569</v>
      </c>
      <c r="C2955" s="12" t="s">
        <v>554</v>
      </c>
      <c r="D2955" s="13">
        <v>4105</v>
      </c>
      <c r="E2955" s="13">
        <v>4220.7149769999996</v>
      </c>
      <c r="F2955" s="13">
        <v>4571.5529110000007</v>
      </c>
      <c r="G2955" s="13">
        <v>4343.0127990000001</v>
      </c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</row>
    <row r="2956" spans="1:19" x14ac:dyDescent="0.2">
      <c r="A2956" s="12" t="s">
        <v>400</v>
      </c>
      <c r="B2956" s="12" t="s">
        <v>569</v>
      </c>
      <c r="C2956" s="12" t="s">
        <v>555</v>
      </c>
      <c r="D2956" s="13">
        <v>1</v>
      </c>
      <c r="E2956" s="13">
        <v>5.6651880000000006</v>
      </c>
      <c r="F2956" s="13">
        <v>2.414034</v>
      </c>
      <c r="G2956" s="13">
        <v>3.6520619999999999</v>
      </c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</row>
    <row r="2957" spans="1:19" x14ac:dyDescent="0.2">
      <c r="A2957" s="12" t="s">
        <v>400</v>
      </c>
      <c r="B2957" s="12" t="s">
        <v>569</v>
      </c>
      <c r="C2957" s="12" t="s">
        <v>556</v>
      </c>
      <c r="D2957" s="13">
        <v>-3914</v>
      </c>
      <c r="E2957" s="13">
        <v>-4008.8269319999999</v>
      </c>
      <c r="F2957" s="13">
        <v>-4405.4857540000003</v>
      </c>
      <c r="G2957" s="13">
        <v>-4154.0005460000002</v>
      </c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</row>
    <row r="2958" spans="1:19" x14ac:dyDescent="0.2">
      <c r="A2958" s="12" t="s">
        <v>400</v>
      </c>
      <c r="B2958" s="12" t="s">
        <v>569</v>
      </c>
      <c r="C2958" s="12" t="s">
        <v>557</v>
      </c>
      <c r="D2958" s="13">
        <v>190</v>
      </c>
      <c r="E2958" s="13">
        <v>209.955589</v>
      </c>
      <c r="F2958" s="13">
        <v>167.177438</v>
      </c>
      <c r="G2958" s="13">
        <v>191.15486000000001</v>
      </c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</row>
    <row r="2959" spans="1:19" x14ac:dyDescent="0.2">
      <c r="A2959" s="12" t="s">
        <v>400</v>
      </c>
      <c r="B2959" s="12" t="s">
        <v>569</v>
      </c>
      <c r="C2959" s="12" t="s">
        <v>558</v>
      </c>
      <c r="D2959" s="13">
        <v>-10</v>
      </c>
      <c r="E2959" s="13">
        <v>-4.1660969999999997</v>
      </c>
      <c r="F2959" s="13">
        <v>-7.3086200000000003</v>
      </c>
      <c r="G2959" s="13">
        <v>-8.4390229999999988</v>
      </c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</row>
    <row r="2960" spans="1:19" x14ac:dyDescent="0.2">
      <c r="A2960" s="12" t="s">
        <v>400</v>
      </c>
      <c r="B2960" s="12" t="s">
        <v>569</v>
      </c>
      <c r="C2960" s="12" t="s">
        <v>560</v>
      </c>
      <c r="D2960" s="13">
        <v>0</v>
      </c>
      <c r="E2960" s="13">
        <v>0</v>
      </c>
      <c r="F2960" s="13">
        <v>0</v>
      </c>
      <c r="G2960" s="13">
        <v>0</v>
      </c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</row>
    <row r="2961" spans="1:19" x14ac:dyDescent="0.2">
      <c r="A2961" s="12" t="s">
        <v>400</v>
      </c>
      <c r="B2961" s="12" t="s">
        <v>569</v>
      </c>
      <c r="C2961" s="12" t="s">
        <v>561</v>
      </c>
      <c r="D2961" s="13">
        <v>36</v>
      </c>
      <c r="E2961" s="13">
        <v>34.951059000000001</v>
      </c>
      <c r="F2961" s="13">
        <v>30.218413000000002</v>
      </c>
      <c r="G2961" s="13">
        <v>29.984991000000001</v>
      </c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</row>
    <row r="2962" spans="1:19" x14ac:dyDescent="0.2">
      <c r="A2962" s="12" t="s">
        <v>400</v>
      </c>
      <c r="B2962" s="12" t="s">
        <v>569</v>
      </c>
      <c r="C2962" s="12" t="s">
        <v>562</v>
      </c>
      <c r="D2962" s="13">
        <v>11</v>
      </c>
      <c r="E2962" s="13">
        <v>12.342783000000001</v>
      </c>
      <c r="F2962" s="13">
        <v>10.989488</v>
      </c>
      <c r="G2962" s="13">
        <v>10.052356</v>
      </c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</row>
    <row r="2963" spans="1:19" x14ac:dyDescent="0.2">
      <c r="A2963" s="12" t="s">
        <v>400</v>
      </c>
      <c r="B2963" s="12" t="s">
        <v>569</v>
      </c>
      <c r="C2963" s="12" t="s">
        <v>563</v>
      </c>
      <c r="D2963" s="13">
        <v>3</v>
      </c>
      <c r="E2963" s="13">
        <v>3.2259500000000001</v>
      </c>
      <c r="F2963" s="13">
        <v>4.1961740000000001</v>
      </c>
      <c r="G2963" s="13">
        <v>3.6798500000000001</v>
      </c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</row>
    <row r="2964" spans="1:19" x14ac:dyDescent="0.2">
      <c r="A2964" s="12" t="s">
        <v>400</v>
      </c>
      <c r="B2964" s="12" t="s">
        <v>569</v>
      </c>
      <c r="C2964" s="12" t="s">
        <v>564</v>
      </c>
      <c r="D2964" s="13">
        <v>0</v>
      </c>
      <c r="E2964" s="13">
        <v>6.4204999999999998E-2</v>
      </c>
      <c r="F2964" s="13">
        <v>5.2631999999999998E-2</v>
      </c>
      <c r="G2964" s="13">
        <v>7.6927999999999996E-2</v>
      </c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</row>
    <row r="2965" spans="1:19" x14ac:dyDescent="0.2">
      <c r="A2965" s="12" t="s">
        <v>400</v>
      </c>
      <c r="B2965" s="12" t="s">
        <v>569</v>
      </c>
      <c r="C2965" s="12" t="s">
        <v>565</v>
      </c>
      <c r="D2965" s="13">
        <v>1</v>
      </c>
      <c r="E2965" s="13">
        <v>0.59824800000000011</v>
      </c>
      <c r="F2965" s="13">
        <v>0.47230499999999997</v>
      </c>
      <c r="G2965" s="13">
        <v>0.35591099999999998</v>
      </c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</row>
    <row r="2966" spans="1:19" x14ac:dyDescent="0.2">
      <c r="A2966" s="12" t="s">
        <v>400</v>
      </c>
      <c r="B2966" s="12" t="s">
        <v>569</v>
      </c>
      <c r="C2966" s="12" t="s">
        <v>566</v>
      </c>
      <c r="D2966" s="13">
        <v>21</v>
      </c>
      <c r="E2966" s="13">
        <v>18.719878000000001</v>
      </c>
      <c r="F2966" s="13">
        <v>14.507815000000001</v>
      </c>
      <c r="G2966" s="13">
        <v>15.819945000000001</v>
      </c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</row>
    <row r="2967" spans="1:19" x14ac:dyDescent="0.2">
      <c r="A2967" s="12" t="s">
        <v>400</v>
      </c>
      <c r="B2967" s="12" t="s">
        <v>570</v>
      </c>
      <c r="C2967" s="12" t="s">
        <v>554</v>
      </c>
      <c r="D2967" s="13">
        <v>0</v>
      </c>
      <c r="E2967" s="13">
        <v>0</v>
      </c>
      <c r="F2967" s="13">
        <v>0</v>
      </c>
      <c r="G2967" s="13">
        <v>0</v>
      </c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</row>
    <row r="2968" spans="1:19" x14ac:dyDescent="0.2">
      <c r="A2968" s="12" t="s">
        <v>400</v>
      </c>
      <c r="B2968" s="12" t="s">
        <v>570</v>
      </c>
      <c r="C2968" s="12" t="s">
        <v>555</v>
      </c>
      <c r="D2968" s="13">
        <v>0</v>
      </c>
      <c r="E2968" s="13">
        <v>0</v>
      </c>
      <c r="F2968" s="13">
        <v>0</v>
      </c>
      <c r="G2968" s="13">
        <v>0</v>
      </c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</row>
    <row r="2969" spans="1:19" x14ac:dyDescent="0.2">
      <c r="A2969" s="12" t="s">
        <v>400</v>
      </c>
      <c r="B2969" s="12" t="s">
        <v>570</v>
      </c>
      <c r="C2969" s="12" t="s">
        <v>556</v>
      </c>
      <c r="D2969" s="13">
        <v>0</v>
      </c>
      <c r="E2969" s="13">
        <v>0</v>
      </c>
      <c r="F2969" s="13">
        <v>0</v>
      </c>
      <c r="G2969" s="13">
        <v>0</v>
      </c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</row>
    <row r="2970" spans="1:19" x14ac:dyDescent="0.2">
      <c r="A2970" s="12" t="s">
        <v>400</v>
      </c>
      <c r="B2970" s="12" t="s">
        <v>570</v>
      </c>
      <c r="C2970" s="12" t="s">
        <v>557</v>
      </c>
      <c r="D2970" s="13">
        <v>0</v>
      </c>
      <c r="E2970" s="13">
        <v>0</v>
      </c>
      <c r="F2970" s="13">
        <v>0</v>
      </c>
      <c r="G2970" s="13">
        <v>0</v>
      </c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</row>
    <row r="2971" spans="1:19" x14ac:dyDescent="0.2">
      <c r="A2971" s="12" t="s">
        <v>400</v>
      </c>
      <c r="B2971" s="12" t="s">
        <v>570</v>
      </c>
      <c r="C2971" s="12" t="s">
        <v>558</v>
      </c>
      <c r="D2971" s="13">
        <v>0</v>
      </c>
      <c r="E2971" s="13">
        <v>0</v>
      </c>
      <c r="F2971" s="13">
        <v>0</v>
      </c>
      <c r="G2971" s="13">
        <v>0</v>
      </c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</row>
    <row r="2972" spans="1:19" x14ac:dyDescent="0.2">
      <c r="A2972" s="12" t="s">
        <v>400</v>
      </c>
      <c r="B2972" s="12" t="s">
        <v>570</v>
      </c>
      <c r="C2972" s="12" t="s">
        <v>560</v>
      </c>
      <c r="D2972" s="13">
        <v>0</v>
      </c>
      <c r="E2972" s="13">
        <v>0</v>
      </c>
      <c r="F2972" s="13">
        <v>0</v>
      </c>
      <c r="G2972" s="13">
        <v>0</v>
      </c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</row>
    <row r="2973" spans="1:19" x14ac:dyDescent="0.2">
      <c r="A2973" s="12" t="s">
        <v>400</v>
      </c>
      <c r="B2973" s="12" t="s">
        <v>570</v>
      </c>
      <c r="C2973" s="12" t="s">
        <v>561</v>
      </c>
      <c r="D2973" s="13">
        <v>0</v>
      </c>
      <c r="E2973" s="13">
        <v>0</v>
      </c>
      <c r="F2973" s="13">
        <v>0</v>
      </c>
      <c r="G2973" s="13">
        <v>0</v>
      </c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</row>
    <row r="2974" spans="1:19" x14ac:dyDescent="0.2">
      <c r="A2974" s="12" t="s">
        <v>400</v>
      </c>
      <c r="B2974" s="12" t="s">
        <v>570</v>
      </c>
      <c r="C2974" s="12" t="s">
        <v>562</v>
      </c>
      <c r="D2974" s="13">
        <v>0</v>
      </c>
      <c r="E2974" s="13">
        <v>0</v>
      </c>
      <c r="F2974" s="13">
        <v>0</v>
      </c>
      <c r="G2974" s="13">
        <v>0</v>
      </c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</row>
    <row r="2975" spans="1:19" x14ac:dyDescent="0.2">
      <c r="A2975" s="12" t="s">
        <v>400</v>
      </c>
      <c r="B2975" s="12" t="s">
        <v>570</v>
      </c>
      <c r="C2975" s="12" t="s">
        <v>563</v>
      </c>
      <c r="D2975" s="13">
        <v>0</v>
      </c>
      <c r="E2975" s="13">
        <v>0</v>
      </c>
      <c r="F2975" s="13">
        <v>0</v>
      </c>
      <c r="G2975" s="13">
        <v>0</v>
      </c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</row>
    <row r="2976" spans="1:19" x14ac:dyDescent="0.2">
      <c r="A2976" s="12" t="s">
        <v>400</v>
      </c>
      <c r="B2976" s="12" t="s">
        <v>570</v>
      </c>
      <c r="C2976" s="12" t="s">
        <v>564</v>
      </c>
      <c r="D2976" s="13">
        <v>0</v>
      </c>
      <c r="E2976" s="13">
        <v>0</v>
      </c>
      <c r="F2976" s="13">
        <v>0</v>
      </c>
      <c r="G2976" s="13">
        <v>0</v>
      </c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</row>
    <row r="2977" spans="1:19" x14ac:dyDescent="0.2">
      <c r="A2977" s="12" t="s">
        <v>400</v>
      </c>
      <c r="B2977" s="12" t="s">
        <v>570</v>
      </c>
      <c r="C2977" s="12" t="s">
        <v>565</v>
      </c>
      <c r="D2977" s="13">
        <v>0</v>
      </c>
      <c r="E2977" s="13">
        <v>0</v>
      </c>
      <c r="F2977" s="13">
        <v>0</v>
      </c>
      <c r="G2977" s="13">
        <v>0</v>
      </c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</row>
    <row r="2978" spans="1:19" x14ac:dyDescent="0.2">
      <c r="A2978" s="12" t="s">
        <v>400</v>
      </c>
      <c r="B2978" s="12" t="s">
        <v>570</v>
      </c>
      <c r="C2978" s="12" t="s">
        <v>566</v>
      </c>
      <c r="D2978" s="13">
        <v>0</v>
      </c>
      <c r="E2978" s="13">
        <v>0</v>
      </c>
      <c r="F2978" s="13">
        <v>0</v>
      </c>
      <c r="G2978" s="13">
        <v>0</v>
      </c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</row>
    <row r="2979" spans="1:19" x14ac:dyDescent="0.2">
      <c r="A2979" s="12" t="s">
        <v>400</v>
      </c>
      <c r="B2979" s="12" t="s">
        <v>571</v>
      </c>
      <c r="C2979" s="12" t="s">
        <v>554</v>
      </c>
      <c r="D2979" s="13">
        <v>612</v>
      </c>
      <c r="E2979" s="13">
        <v>633.84318200000007</v>
      </c>
      <c r="F2979" s="13">
        <v>588.39584500000001</v>
      </c>
      <c r="G2979" s="13">
        <v>616.27653299999997</v>
      </c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</row>
    <row r="2980" spans="1:19" x14ac:dyDescent="0.2">
      <c r="A2980" s="12" t="s">
        <v>400</v>
      </c>
      <c r="B2980" s="12" t="s">
        <v>571</v>
      </c>
      <c r="C2980" s="12" t="s">
        <v>555</v>
      </c>
      <c r="D2980" s="13">
        <v>20</v>
      </c>
      <c r="E2980" s="13">
        <v>20.291015999999999</v>
      </c>
      <c r="F2980" s="13">
        <v>21.367211999999999</v>
      </c>
      <c r="G2980" s="13">
        <v>23.328624000000001</v>
      </c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</row>
    <row r="2981" spans="1:19" x14ac:dyDescent="0.2">
      <c r="A2981" s="12" t="s">
        <v>400</v>
      </c>
      <c r="B2981" s="12" t="s">
        <v>571</v>
      </c>
      <c r="C2981" s="12" t="s">
        <v>556</v>
      </c>
      <c r="D2981" s="13">
        <v>-5</v>
      </c>
      <c r="E2981" s="13">
        <v>-4.4370280000000006</v>
      </c>
      <c r="F2981" s="13">
        <v>-4.8716180000000007</v>
      </c>
      <c r="G2981" s="13">
        <v>-5.3444419999999999</v>
      </c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</row>
    <row r="2982" spans="1:19" x14ac:dyDescent="0.2">
      <c r="A2982" s="12" t="s">
        <v>400</v>
      </c>
      <c r="B2982" s="12" t="s">
        <v>571</v>
      </c>
      <c r="C2982" s="12" t="s">
        <v>557</v>
      </c>
      <c r="D2982" s="13">
        <v>628</v>
      </c>
      <c r="E2982" s="13">
        <v>649.64753099999996</v>
      </c>
      <c r="F2982" s="13">
        <v>604.89143899999999</v>
      </c>
      <c r="G2982" s="13">
        <v>634.26071400000001</v>
      </c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</row>
    <row r="2983" spans="1:19" x14ac:dyDescent="0.2">
      <c r="A2983" s="12" t="s">
        <v>400</v>
      </c>
      <c r="B2983" s="12" t="s">
        <v>571</v>
      </c>
      <c r="C2983" s="12" t="s">
        <v>558</v>
      </c>
      <c r="D2983" s="13">
        <v>-569</v>
      </c>
      <c r="E2983" s="13">
        <v>-587.39913100000001</v>
      </c>
      <c r="F2983" s="13">
        <v>-541.92194199999994</v>
      </c>
      <c r="G2983" s="13">
        <v>-571.73632899999996</v>
      </c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</row>
    <row r="2984" spans="1:19" x14ac:dyDescent="0.2">
      <c r="A2984" s="12" t="s">
        <v>400</v>
      </c>
      <c r="B2984" s="12" t="s">
        <v>571</v>
      </c>
      <c r="C2984" s="12" t="s">
        <v>560</v>
      </c>
      <c r="D2984" s="13">
        <v>0</v>
      </c>
      <c r="E2984" s="13">
        <v>0</v>
      </c>
      <c r="F2984" s="13">
        <v>0</v>
      </c>
      <c r="G2984" s="13">
        <v>0</v>
      </c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</row>
    <row r="2985" spans="1:19" x14ac:dyDescent="0.2">
      <c r="A2985" s="12" t="s">
        <v>400</v>
      </c>
      <c r="B2985" s="12" t="s">
        <v>571</v>
      </c>
      <c r="C2985" s="12" t="s">
        <v>561</v>
      </c>
      <c r="D2985" s="13">
        <v>58</v>
      </c>
      <c r="E2985" s="13">
        <v>61.747512999999998</v>
      </c>
      <c r="F2985" s="13">
        <v>61.680619999999998</v>
      </c>
      <c r="G2985" s="13">
        <v>58.697035000000007</v>
      </c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</row>
    <row r="2986" spans="1:19" x14ac:dyDescent="0.2">
      <c r="A2986" s="12" t="s">
        <v>400</v>
      </c>
      <c r="B2986" s="12" t="s">
        <v>571</v>
      </c>
      <c r="C2986" s="12" t="s">
        <v>562</v>
      </c>
      <c r="D2986" s="13">
        <v>18</v>
      </c>
      <c r="E2986" s="13">
        <v>20.976725999999999</v>
      </c>
      <c r="F2986" s="13">
        <v>20.515073000000001</v>
      </c>
      <c r="G2986" s="13">
        <v>18.189515</v>
      </c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</row>
    <row r="2987" spans="1:19" x14ac:dyDescent="0.2">
      <c r="A2987" s="12" t="s">
        <v>400</v>
      </c>
      <c r="B2987" s="12" t="s">
        <v>571</v>
      </c>
      <c r="C2987" s="12" t="s">
        <v>563</v>
      </c>
      <c r="D2987" s="13">
        <v>17</v>
      </c>
      <c r="E2987" s="13">
        <v>16.522545000000001</v>
      </c>
      <c r="F2987" s="13">
        <v>15.75361</v>
      </c>
      <c r="G2987" s="13">
        <v>16.721685999999998</v>
      </c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</row>
    <row r="2988" spans="1:19" x14ac:dyDescent="0.2">
      <c r="A2988" s="12" t="s">
        <v>400</v>
      </c>
      <c r="B2988" s="12" t="s">
        <v>571</v>
      </c>
      <c r="C2988" s="12" t="s">
        <v>564</v>
      </c>
      <c r="D2988" s="13">
        <v>20</v>
      </c>
      <c r="E2988" s="13">
        <v>22.522266999999999</v>
      </c>
      <c r="F2988" s="13">
        <v>23.949701999999998</v>
      </c>
      <c r="G2988" s="13">
        <v>22.301442000000002</v>
      </c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</row>
    <row r="2989" spans="1:19" x14ac:dyDescent="0.2">
      <c r="A2989" s="12" t="s">
        <v>400</v>
      </c>
      <c r="B2989" s="12" t="s">
        <v>571</v>
      </c>
      <c r="C2989" s="12" t="s">
        <v>565</v>
      </c>
      <c r="D2989" s="13">
        <v>2</v>
      </c>
      <c r="E2989" s="13">
        <v>1.692275</v>
      </c>
      <c r="F2989" s="13">
        <v>1.459079</v>
      </c>
      <c r="G2989" s="13">
        <v>1.3671329999999999</v>
      </c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</row>
    <row r="2990" spans="1:19" x14ac:dyDescent="0.2">
      <c r="A2990" s="12" t="s">
        <v>400</v>
      </c>
      <c r="B2990" s="12" t="s">
        <v>571</v>
      </c>
      <c r="C2990" s="12" t="s">
        <v>566</v>
      </c>
      <c r="D2990" s="13">
        <v>0</v>
      </c>
      <c r="E2990" s="13">
        <v>3.3708000000000002E-2</v>
      </c>
      <c r="F2990" s="13">
        <v>3.1570000000000001E-3</v>
      </c>
      <c r="G2990" s="13">
        <v>0.117259</v>
      </c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</row>
    <row r="2991" spans="1:19" x14ac:dyDescent="0.2">
      <c r="A2991" s="12" t="s">
        <v>400</v>
      </c>
      <c r="B2991" s="12" t="s">
        <v>572</v>
      </c>
      <c r="C2991" s="12" t="s">
        <v>554</v>
      </c>
      <c r="D2991" s="13">
        <v>0</v>
      </c>
      <c r="E2991" s="13">
        <v>0</v>
      </c>
      <c r="F2991" s="13">
        <v>0</v>
      </c>
      <c r="G2991" s="13">
        <v>0</v>
      </c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</row>
    <row r="2992" spans="1:19" x14ac:dyDescent="0.2">
      <c r="A2992" s="12" t="s">
        <v>400</v>
      </c>
      <c r="B2992" s="12" t="s">
        <v>572</v>
      </c>
      <c r="C2992" s="12" t="s">
        <v>555</v>
      </c>
      <c r="D2992" s="13">
        <v>16</v>
      </c>
      <c r="E2992" s="13">
        <v>29.646249000000001</v>
      </c>
      <c r="F2992" s="13">
        <v>47.775599999999997</v>
      </c>
      <c r="G2992" s="13">
        <v>47.664000999999999</v>
      </c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</row>
    <row r="2993" spans="1:19" x14ac:dyDescent="0.2">
      <c r="A2993" s="12" t="s">
        <v>400</v>
      </c>
      <c r="B2993" s="12" t="s">
        <v>572</v>
      </c>
      <c r="C2993" s="12" t="s">
        <v>556</v>
      </c>
      <c r="D2993" s="13">
        <v>-90</v>
      </c>
      <c r="E2993" s="13">
        <v>-92.947998000000013</v>
      </c>
      <c r="F2993" s="13">
        <v>-92.849688</v>
      </c>
      <c r="G2993" s="13">
        <v>-111.520781</v>
      </c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</row>
    <row r="2994" spans="1:19" x14ac:dyDescent="0.2">
      <c r="A2994" s="12" t="s">
        <v>400</v>
      </c>
      <c r="B2994" s="12" t="s">
        <v>572</v>
      </c>
      <c r="C2994" s="12" t="s">
        <v>557</v>
      </c>
      <c r="D2994" s="13">
        <v>-74</v>
      </c>
      <c r="E2994" s="13">
        <v>-63.301749000000008</v>
      </c>
      <c r="F2994" s="13">
        <v>-45.074088000000003</v>
      </c>
      <c r="G2994" s="13">
        <v>-63.856781000000012</v>
      </c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</row>
    <row r="2995" spans="1:19" x14ac:dyDescent="0.2">
      <c r="A2995" s="12" t="s">
        <v>400</v>
      </c>
      <c r="B2995" s="12" t="s">
        <v>572</v>
      </c>
      <c r="C2995" s="12" t="s">
        <v>558</v>
      </c>
      <c r="D2995" s="13">
        <v>555</v>
      </c>
      <c r="E2995" s="13">
        <v>565.69028300000002</v>
      </c>
      <c r="F2995" s="13">
        <v>522.50452999999993</v>
      </c>
      <c r="G2995" s="13">
        <v>551.42775300000005</v>
      </c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</row>
    <row r="2996" spans="1:19" x14ac:dyDescent="0.2">
      <c r="A2996" s="12" t="s">
        <v>400</v>
      </c>
      <c r="B2996" s="12" t="s">
        <v>572</v>
      </c>
      <c r="C2996" s="12" t="s">
        <v>560</v>
      </c>
      <c r="D2996" s="13">
        <v>0</v>
      </c>
      <c r="E2996" s="13">
        <v>0</v>
      </c>
      <c r="F2996" s="13">
        <v>0</v>
      </c>
      <c r="G2996" s="13">
        <v>0</v>
      </c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</row>
    <row r="2997" spans="1:19" x14ac:dyDescent="0.2">
      <c r="A2997" s="12" t="s">
        <v>400</v>
      </c>
      <c r="B2997" s="12" t="s">
        <v>572</v>
      </c>
      <c r="C2997" s="12" t="s">
        <v>561</v>
      </c>
      <c r="D2997" s="13">
        <v>418</v>
      </c>
      <c r="E2997" s="13">
        <v>440.11706500000003</v>
      </c>
      <c r="F2997" s="13">
        <v>413.83068500000002</v>
      </c>
      <c r="G2997" s="13">
        <v>415.16382099999998</v>
      </c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</row>
    <row r="2998" spans="1:19" x14ac:dyDescent="0.2">
      <c r="A2998" s="12" t="s">
        <v>400</v>
      </c>
      <c r="B2998" s="12" t="s">
        <v>572</v>
      </c>
      <c r="C2998" s="12" t="s">
        <v>562</v>
      </c>
      <c r="D2998" s="13">
        <v>169</v>
      </c>
      <c r="E2998" s="13">
        <v>176.83888099999999</v>
      </c>
      <c r="F2998" s="13">
        <v>172.41433699999999</v>
      </c>
      <c r="G2998" s="13">
        <v>164.32781399999999</v>
      </c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</row>
    <row r="2999" spans="1:19" x14ac:dyDescent="0.2">
      <c r="A2999" s="12" t="s">
        <v>400</v>
      </c>
      <c r="B2999" s="12" t="s">
        <v>572</v>
      </c>
      <c r="C2999" s="12" t="s">
        <v>563</v>
      </c>
      <c r="D2999" s="13">
        <v>6</v>
      </c>
      <c r="E2999" s="13">
        <v>8.0210209999999993</v>
      </c>
      <c r="F2999" s="13">
        <v>10.491588999999999</v>
      </c>
      <c r="G2999" s="13">
        <v>12.127276</v>
      </c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</row>
    <row r="3000" spans="1:19" x14ac:dyDescent="0.2">
      <c r="A3000" s="12" t="s">
        <v>400</v>
      </c>
      <c r="B3000" s="12" t="s">
        <v>572</v>
      </c>
      <c r="C3000" s="12" t="s">
        <v>564</v>
      </c>
      <c r="D3000" s="13">
        <v>144</v>
      </c>
      <c r="E3000" s="13">
        <v>149.67980800000001</v>
      </c>
      <c r="F3000" s="13">
        <v>130.851551</v>
      </c>
      <c r="G3000" s="13">
        <v>139.842871</v>
      </c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</row>
    <row r="3001" spans="1:19" x14ac:dyDescent="0.2">
      <c r="A3001" s="12" t="s">
        <v>400</v>
      </c>
      <c r="B3001" s="12" t="s">
        <v>572</v>
      </c>
      <c r="C3001" s="12" t="s">
        <v>565</v>
      </c>
      <c r="D3001" s="13">
        <v>91</v>
      </c>
      <c r="E3001" s="13">
        <v>96.680598000000003</v>
      </c>
      <c r="F3001" s="13">
        <v>91.830934999999997</v>
      </c>
      <c r="G3001" s="13">
        <v>90.366438000000002</v>
      </c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</row>
    <row r="3002" spans="1:19" x14ac:dyDescent="0.2">
      <c r="A3002" s="12" t="s">
        <v>400</v>
      </c>
      <c r="B3002" s="12" t="s">
        <v>572</v>
      </c>
      <c r="C3002" s="12" t="s">
        <v>566</v>
      </c>
      <c r="D3002" s="13">
        <v>9</v>
      </c>
      <c r="E3002" s="13">
        <v>8.8967530000000004</v>
      </c>
      <c r="F3002" s="13">
        <v>8.2422729999999991</v>
      </c>
      <c r="G3002" s="13">
        <v>8.4994220000000009</v>
      </c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</row>
    <row r="3003" spans="1:19" x14ac:dyDescent="0.2">
      <c r="A3003" s="12" t="s">
        <v>400</v>
      </c>
      <c r="B3003" s="12" t="s">
        <v>573</v>
      </c>
      <c r="C3003" s="12" t="s">
        <v>554</v>
      </c>
      <c r="D3003" s="13">
        <v>5</v>
      </c>
      <c r="E3003" s="13">
        <v>5.7530939999999999</v>
      </c>
      <c r="F3003" s="13">
        <v>6.5340540000000003</v>
      </c>
      <c r="G3003" s="13">
        <v>6.6173549999999999</v>
      </c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</row>
    <row r="3004" spans="1:19" x14ac:dyDescent="0.2">
      <c r="A3004" s="12" t="s">
        <v>400</v>
      </c>
      <c r="B3004" s="12" t="s">
        <v>573</v>
      </c>
      <c r="C3004" s="12" t="s">
        <v>555</v>
      </c>
      <c r="D3004" s="13">
        <v>0</v>
      </c>
      <c r="E3004" s="13">
        <v>0</v>
      </c>
      <c r="F3004" s="13">
        <v>0</v>
      </c>
      <c r="G3004" s="13">
        <v>0</v>
      </c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</row>
    <row r="3005" spans="1:19" x14ac:dyDescent="0.2">
      <c r="A3005" s="12" t="s">
        <v>400</v>
      </c>
      <c r="B3005" s="12" t="s">
        <v>573</v>
      </c>
      <c r="C3005" s="12" t="s">
        <v>556</v>
      </c>
      <c r="D3005" s="13">
        <v>0</v>
      </c>
      <c r="E3005" s="13">
        <v>0</v>
      </c>
      <c r="F3005" s="13">
        <v>0</v>
      </c>
      <c r="G3005" s="13">
        <v>0</v>
      </c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</row>
    <row r="3006" spans="1:19" x14ac:dyDescent="0.2">
      <c r="A3006" s="12" t="s">
        <v>400</v>
      </c>
      <c r="B3006" s="12" t="s">
        <v>573</v>
      </c>
      <c r="C3006" s="12" t="s">
        <v>557</v>
      </c>
      <c r="D3006" s="13">
        <v>5</v>
      </c>
      <c r="E3006" s="13">
        <v>5.7530939999999999</v>
      </c>
      <c r="F3006" s="13">
        <v>6.5340540000000003</v>
      </c>
      <c r="G3006" s="13">
        <v>6.6173549999999999</v>
      </c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</row>
    <row r="3007" spans="1:19" x14ac:dyDescent="0.2">
      <c r="A3007" s="12" t="s">
        <v>400</v>
      </c>
      <c r="B3007" s="12" t="s">
        <v>573</v>
      </c>
      <c r="C3007" s="12" t="s">
        <v>558</v>
      </c>
      <c r="D3007" s="13">
        <v>17</v>
      </c>
      <c r="E3007" s="13">
        <v>21.360208</v>
      </c>
      <c r="F3007" s="13">
        <v>21.210618</v>
      </c>
      <c r="G3007" s="13">
        <v>22.655797</v>
      </c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</row>
    <row r="3008" spans="1:19" x14ac:dyDescent="0.2">
      <c r="A3008" s="12" t="s">
        <v>400</v>
      </c>
      <c r="B3008" s="12" t="s">
        <v>573</v>
      </c>
      <c r="C3008" s="12" t="s">
        <v>560</v>
      </c>
      <c r="D3008" s="13">
        <v>0</v>
      </c>
      <c r="E3008" s="13">
        <v>0</v>
      </c>
      <c r="F3008" s="13">
        <v>0</v>
      </c>
      <c r="G3008" s="13">
        <v>0</v>
      </c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</row>
    <row r="3009" spans="1:19" x14ac:dyDescent="0.2">
      <c r="A3009" s="12" t="s">
        <v>400</v>
      </c>
      <c r="B3009" s="12" t="s">
        <v>573</v>
      </c>
      <c r="C3009" s="12" t="s">
        <v>561</v>
      </c>
      <c r="D3009" s="13">
        <v>19</v>
      </c>
      <c r="E3009" s="13">
        <v>23.367356000000001</v>
      </c>
      <c r="F3009" s="13">
        <v>22.141649000000001</v>
      </c>
      <c r="G3009" s="13">
        <v>24.755192000000001</v>
      </c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</row>
    <row r="3010" spans="1:19" x14ac:dyDescent="0.2">
      <c r="A3010" s="12" t="s">
        <v>400</v>
      </c>
      <c r="B3010" s="12" t="s">
        <v>573</v>
      </c>
      <c r="C3010" s="12" t="s">
        <v>562</v>
      </c>
      <c r="D3010" s="13">
        <v>2</v>
      </c>
      <c r="E3010" s="13">
        <v>3.034735</v>
      </c>
      <c r="F3010" s="13">
        <v>2.9489559999999999</v>
      </c>
      <c r="G3010" s="13">
        <v>2.467784</v>
      </c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</row>
    <row r="3011" spans="1:19" x14ac:dyDescent="0.2">
      <c r="A3011" s="12" t="s">
        <v>400</v>
      </c>
      <c r="B3011" s="12" t="s">
        <v>573</v>
      </c>
      <c r="C3011" s="12" t="s">
        <v>563</v>
      </c>
      <c r="D3011" s="13">
        <v>0</v>
      </c>
      <c r="E3011" s="13">
        <v>0</v>
      </c>
      <c r="F3011" s="13">
        <v>0</v>
      </c>
      <c r="G3011" s="13">
        <v>0</v>
      </c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</row>
    <row r="3012" spans="1:19" x14ac:dyDescent="0.2">
      <c r="A3012" s="12" t="s">
        <v>400</v>
      </c>
      <c r="B3012" s="12" t="s">
        <v>573</v>
      </c>
      <c r="C3012" s="12" t="s">
        <v>564</v>
      </c>
      <c r="D3012" s="13">
        <v>5</v>
      </c>
      <c r="E3012" s="13">
        <v>6.1759240000000002</v>
      </c>
      <c r="F3012" s="13">
        <v>5.9485929999999998</v>
      </c>
      <c r="G3012" s="13">
        <v>6.9292670000000003</v>
      </c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</row>
    <row r="3013" spans="1:19" x14ac:dyDescent="0.2">
      <c r="A3013" s="12" t="s">
        <v>400</v>
      </c>
      <c r="B3013" s="12" t="s">
        <v>573</v>
      </c>
      <c r="C3013" s="12" t="s">
        <v>565</v>
      </c>
      <c r="D3013" s="13">
        <v>12</v>
      </c>
      <c r="E3013" s="13">
        <v>14.116165000000001</v>
      </c>
      <c r="F3013" s="13">
        <v>13.211748999999999</v>
      </c>
      <c r="G3013" s="13">
        <v>15.334209</v>
      </c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</row>
    <row r="3014" spans="1:19" x14ac:dyDescent="0.2">
      <c r="A3014" s="12" t="s">
        <v>400</v>
      </c>
      <c r="B3014" s="12" t="s">
        <v>573</v>
      </c>
      <c r="C3014" s="12" t="s">
        <v>566</v>
      </c>
      <c r="D3014" s="13">
        <v>0</v>
      </c>
      <c r="E3014" s="13">
        <v>4.0531999999999999E-2</v>
      </c>
      <c r="F3014" s="13">
        <v>3.2350999999999998E-2</v>
      </c>
      <c r="G3014" s="13">
        <v>2.3931999999999998E-2</v>
      </c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</row>
    <row r="3015" spans="1:19" x14ac:dyDescent="0.2">
      <c r="A3015" s="12" t="s">
        <v>400</v>
      </c>
      <c r="B3015" s="12" t="s">
        <v>574</v>
      </c>
      <c r="C3015" s="12" t="s">
        <v>554</v>
      </c>
      <c r="D3015" s="13">
        <v>8734</v>
      </c>
      <c r="E3015" s="13">
        <v>8954.4581390000003</v>
      </c>
      <c r="F3015" s="13">
        <v>9054.2130370000013</v>
      </c>
      <c r="G3015" s="13">
        <v>9094.7808589999986</v>
      </c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</row>
    <row r="3016" spans="1:19" x14ac:dyDescent="0.2">
      <c r="A3016" s="12" t="s">
        <v>400</v>
      </c>
      <c r="B3016" s="12" t="s">
        <v>574</v>
      </c>
      <c r="C3016" s="12" t="s">
        <v>555</v>
      </c>
      <c r="D3016" s="13">
        <v>460</v>
      </c>
      <c r="E3016" s="13">
        <v>455.80351000000002</v>
      </c>
      <c r="F3016" s="13">
        <v>484.26090099999999</v>
      </c>
      <c r="G3016" s="13">
        <v>494.12340999999998</v>
      </c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</row>
    <row r="3017" spans="1:19" x14ac:dyDescent="0.2">
      <c r="A3017" s="12" t="s">
        <v>400</v>
      </c>
      <c r="B3017" s="12" t="s">
        <v>574</v>
      </c>
      <c r="C3017" s="12" t="s">
        <v>556</v>
      </c>
      <c r="D3017" s="13">
        <v>-7978</v>
      </c>
      <c r="E3017" s="13">
        <v>-8226.4487470000004</v>
      </c>
      <c r="F3017" s="13">
        <v>-8420.1473440000009</v>
      </c>
      <c r="G3017" s="13">
        <v>-8440.4791310000001</v>
      </c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</row>
    <row r="3018" spans="1:19" x14ac:dyDescent="0.2">
      <c r="A3018" s="12" t="s">
        <v>400</v>
      </c>
      <c r="B3018" s="12" t="s">
        <v>574</v>
      </c>
      <c r="C3018" s="12" t="s">
        <v>557</v>
      </c>
      <c r="D3018" s="13">
        <v>1159</v>
      </c>
      <c r="E3018" s="13">
        <v>1199.854538</v>
      </c>
      <c r="F3018" s="13">
        <v>1062.7672219999999</v>
      </c>
      <c r="G3018" s="13">
        <v>1128.8097339999999</v>
      </c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</row>
    <row r="3019" spans="1:19" x14ac:dyDescent="0.2">
      <c r="A3019" s="12" t="s">
        <v>400</v>
      </c>
      <c r="B3019" s="12" t="s">
        <v>574</v>
      </c>
      <c r="C3019" s="12" t="s">
        <v>558</v>
      </c>
      <c r="D3019" s="13">
        <v>-10</v>
      </c>
      <c r="E3019" s="13">
        <v>-12.421569999999999</v>
      </c>
      <c r="F3019" s="13">
        <v>-10.627765</v>
      </c>
      <c r="G3019" s="13">
        <v>-8.4351409999999998</v>
      </c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</row>
    <row r="3020" spans="1:19" x14ac:dyDescent="0.2">
      <c r="A3020" s="12" t="s">
        <v>400</v>
      </c>
      <c r="B3020" s="12" t="s">
        <v>574</v>
      </c>
      <c r="C3020" s="12" t="s">
        <v>560</v>
      </c>
      <c r="D3020" s="13">
        <v>-3</v>
      </c>
      <c r="E3020" s="13">
        <v>4.8315169999999998</v>
      </c>
      <c r="F3020" s="13">
        <v>0.89984000000000008</v>
      </c>
      <c r="G3020" s="13">
        <v>6.6126360000000002</v>
      </c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</row>
    <row r="3021" spans="1:19" x14ac:dyDescent="0.2">
      <c r="A3021" s="12" t="s">
        <v>400</v>
      </c>
      <c r="B3021" s="12" t="s">
        <v>574</v>
      </c>
      <c r="C3021" s="12" t="s">
        <v>561</v>
      </c>
      <c r="D3021" s="13">
        <v>881</v>
      </c>
      <c r="E3021" s="13">
        <v>916.29993300000001</v>
      </c>
      <c r="F3021" s="13">
        <v>881.53521200000012</v>
      </c>
      <c r="G3021" s="13">
        <v>883.25756100000001</v>
      </c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</row>
    <row r="3022" spans="1:19" x14ac:dyDescent="0.2">
      <c r="A3022" s="12" t="s">
        <v>400</v>
      </c>
      <c r="B3022" s="12" t="s">
        <v>574</v>
      </c>
      <c r="C3022" s="12" t="s">
        <v>562</v>
      </c>
      <c r="D3022" s="13">
        <v>264</v>
      </c>
      <c r="E3022" s="13">
        <v>277.05285300000003</v>
      </c>
      <c r="F3022" s="13">
        <v>266.84250800000001</v>
      </c>
      <c r="G3022" s="13">
        <v>252.28536</v>
      </c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</row>
    <row r="3023" spans="1:19" x14ac:dyDescent="0.2">
      <c r="A3023" s="12" t="s">
        <v>400</v>
      </c>
      <c r="B3023" s="12" t="s">
        <v>574</v>
      </c>
      <c r="C3023" s="12" t="s">
        <v>563</v>
      </c>
      <c r="D3023" s="13">
        <v>200</v>
      </c>
      <c r="E3023" s="13">
        <v>207.50955999999999</v>
      </c>
      <c r="F3023" s="13">
        <v>214.89435499999999</v>
      </c>
      <c r="G3023" s="13">
        <v>204.62866500000001</v>
      </c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</row>
    <row r="3024" spans="1:19" x14ac:dyDescent="0.2">
      <c r="A3024" s="12" t="s">
        <v>400</v>
      </c>
      <c r="B3024" s="12" t="s">
        <v>574</v>
      </c>
      <c r="C3024" s="12" t="s">
        <v>564</v>
      </c>
      <c r="D3024" s="13">
        <v>169</v>
      </c>
      <c r="E3024" s="13">
        <v>178.65343999999999</v>
      </c>
      <c r="F3024" s="13">
        <v>160.97038499999999</v>
      </c>
      <c r="G3024" s="13">
        <v>169.43787</v>
      </c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</row>
    <row r="3025" spans="1:19" x14ac:dyDescent="0.2">
      <c r="A3025" s="12" t="s">
        <v>400</v>
      </c>
      <c r="B3025" s="12" t="s">
        <v>574</v>
      </c>
      <c r="C3025" s="12" t="s">
        <v>565</v>
      </c>
      <c r="D3025" s="13">
        <v>117</v>
      </c>
      <c r="E3025" s="13">
        <v>124.843644</v>
      </c>
      <c r="F3025" s="13">
        <v>119.103365</v>
      </c>
      <c r="G3025" s="13">
        <v>120.060643</v>
      </c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</row>
    <row r="3026" spans="1:19" x14ac:dyDescent="0.2">
      <c r="A3026" s="12" t="s">
        <v>400</v>
      </c>
      <c r="B3026" s="12" t="s">
        <v>574</v>
      </c>
      <c r="C3026" s="12" t="s">
        <v>566</v>
      </c>
      <c r="D3026" s="13">
        <v>131</v>
      </c>
      <c r="E3026" s="13">
        <v>128.24043699999999</v>
      </c>
      <c r="F3026" s="13">
        <v>119.724603</v>
      </c>
      <c r="G3026" s="13">
        <v>136.84502599999999</v>
      </c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</row>
    <row r="3027" spans="1:19" x14ac:dyDescent="0.2">
      <c r="A3027" s="12" t="s">
        <v>424</v>
      </c>
      <c r="B3027" s="12" t="s">
        <v>553</v>
      </c>
      <c r="C3027" s="12" t="s">
        <v>554</v>
      </c>
      <c r="D3027" s="13">
        <v>1683</v>
      </c>
      <c r="E3027" s="13">
        <v>1766.510947</v>
      </c>
      <c r="F3027" s="13">
        <v>1709.6388460000001</v>
      </c>
      <c r="G3027" s="13">
        <v>1485.586317</v>
      </c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</row>
    <row r="3028" spans="1:19" x14ac:dyDescent="0.2">
      <c r="A3028" s="12" t="s">
        <v>424</v>
      </c>
      <c r="B3028" s="12" t="s">
        <v>553</v>
      </c>
      <c r="C3028" s="12" t="s">
        <v>555</v>
      </c>
      <c r="D3028" s="13">
        <v>324</v>
      </c>
      <c r="E3028" s="13">
        <v>315.441011</v>
      </c>
      <c r="F3028" s="13">
        <v>476.81991399999998</v>
      </c>
      <c r="G3028" s="13">
        <v>408.897178</v>
      </c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</row>
    <row r="3029" spans="1:19" x14ac:dyDescent="0.2">
      <c r="A3029" s="12" t="s">
        <v>424</v>
      </c>
      <c r="B3029" s="12" t="s">
        <v>553</v>
      </c>
      <c r="C3029" s="12" t="s">
        <v>556</v>
      </c>
      <c r="D3029" s="13">
        <v>-318</v>
      </c>
      <c r="E3029" s="13">
        <v>-384.89138100000002</v>
      </c>
      <c r="F3029" s="13">
        <v>-336.29007300000001</v>
      </c>
      <c r="G3029" s="13">
        <v>-337.44122900000002</v>
      </c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</row>
    <row r="3030" spans="1:19" x14ac:dyDescent="0.2">
      <c r="A3030" s="12" t="s">
        <v>424</v>
      </c>
      <c r="B3030" s="12" t="s">
        <v>553</v>
      </c>
      <c r="C3030" s="12" t="s">
        <v>557</v>
      </c>
      <c r="D3030" s="13">
        <v>1711</v>
      </c>
      <c r="E3030" s="13">
        <v>1901.241066</v>
      </c>
      <c r="F3030" s="13">
        <v>1771.876863</v>
      </c>
      <c r="G3030" s="13">
        <v>1445.3983169999999</v>
      </c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</row>
    <row r="3031" spans="1:19" x14ac:dyDescent="0.2">
      <c r="A3031" s="12" t="s">
        <v>424</v>
      </c>
      <c r="B3031" s="12" t="s">
        <v>553</v>
      </c>
      <c r="C3031" s="12" t="s">
        <v>558</v>
      </c>
      <c r="D3031" s="13">
        <v>-1205</v>
      </c>
      <c r="E3031" s="13">
        <v>-1399.586133</v>
      </c>
      <c r="F3031" s="13">
        <v>-1353.5222940000001</v>
      </c>
      <c r="G3031" s="13">
        <v>-1084.4236550000001</v>
      </c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</row>
    <row r="3032" spans="1:19" x14ac:dyDescent="0.2">
      <c r="A3032" s="12" t="s">
        <v>424</v>
      </c>
      <c r="B3032" s="12" t="s">
        <v>553</v>
      </c>
      <c r="C3032" s="12" t="s">
        <v>560</v>
      </c>
      <c r="D3032" s="13">
        <v>0</v>
      </c>
      <c r="E3032" s="13">
        <v>0</v>
      </c>
      <c r="F3032" s="13">
        <v>0</v>
      </c>
      <c r="G3032" s="13">
        <v>0</v>
      </c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</row>
    <row r="3033" spans="1:19" x14ac:dyDescent="0.2">
      <c r="A3033" s="12" t="s">
        <v>424</v>
      </c>
      <c r="B3033" s="12" t="s">
        <v>553</v>
      </c>
      <c r="C3033" s="12" t="s">
        <v>561</v>
      </c>
      <c r="D3033" s="13">
        <v>396</v>
      </c>
      <c r="E3033" s="13">
        <v>386.57805000000002</v>
      </c>
      <c r="F3033" s="13">
        <v>324.74651699999998</v>
      </c>
      <c r="G3033" s="13">
        <v>299.25245100000001</v>
      </c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</row>
    <row r="3034" spans="1:19" x14ac:dyDescent="0.2">
      <c r="A3034" s="12" t="s">
        <v>424</v>
      </c>
      <c r="B3034" s="12" t="s">
        <v>553</v>
      </c>
      <c r="C3034" s="12" t="s">
        <v>562</v>
      </c>
      <c r="D3034" s="13">
        <v>120</v>
      </c>
      <c r="E3034" s="13">
        <v>126.04413700000001</v>
      </c>
      <c r="F3034" s="13">
        <v>114.290283</v>
      </c>
      <c r="G3034" s="13">
        <v>96.217047999999991</v>
      </c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</row>
    <row r="3035" spans="1:19" x14ac:dyDescent="0.2">
      <c r="A3035" s="12" t="s">
        <v>424</v>
      </c>
      <c r="B3035" s="12" t="s">
        <v>553</v>
      </c>
      <c r="C3035" s="12" t="s">
        <v>563</v>
      </c>
      <c r="D3035" s="13">
        <v>0</v>
      </c>
      <c r="E3035" s="13">
        <v>0</v>
      </c>
      <c r="F3035" s="13">
        <v>0</v>
      </c>
      <c r="G3035" s="13">
        <v>0</v>
      </c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</row>
    <row r="3036" spans="1:19" x14ac:dyDescent="0.2">
      <c r="A3036" s="12" t="s">
        <v>424</v>
      </c>
      <c r="B3036" s="12" t="s">
        <v>553</v>
      </c>
      <c r="C3036" s="12" t="s">
        <v>564</v>
      </c>
      <c r="D3036" s="13">
        <v>218</v>
      </c>
      <c r="E3036" s="13">
        <v>203.36828800000001</v>
      </c>
      <c r="F3036" s="13">
        <v>172.463855</v>
      </c>
      <c r="G3036" s="13">
        <v>171.67200099999999</v>
      </c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</row>
    <row r="3037" spans="1:19" x14ac:dyDescent="0.2">
      <c r="A3037" s="12" t="s">
        <v>424</v>
      </c>
      <c r="B3037" s="12" t="s">
        <v>553</v>
      </c>
      <c r="C3037" s="12" t="s">
        <v>565</v>
      </c>
      <c r="D3037" s="13">
        <v>22</v>
      </c>
      <c r="E3037" s="13">
        <v>26.794394</v>
      </c>
      <c r="F3037" s="13">
        <v>12.847785999999999</v>
      </c>
      <c r="G3037" s="13">
        <v>10.722726</v>
      </c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</row>
    <row r="3038" spans="1:19" x14ac:dyDescent="0.2">
      <c r="A3038" s="12" t="s">
        <v>424</v>
      </c>
      <c r="B3038" s="12" t="s">
        <v>553</v>
      </c>
      <c r="C3038" s="12" t="s">
        <v>566</v>
      </c>
      <c r="D3038" s="13">
        <v>36</v>
      </c>
      <c r="E3038" s="13">
        <v>30.371223000000001</v>
      </c>
      <c r="F3038" s="13">
        <v>25.144582</v>
      </c>
      <c r="G3038" s="13">
        <v>20.640668999999999</v>
      </c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</row>
    <row r="3039" spans="1:19" x14ac:dyDescent="0.2">
      <c r="A3039" s="12" t="s">
        <v>424</v>
      </c>
      <c r="B3039" s="12" t="s">
        <v>567</v>
      </c>
      <c r="C3039" s="12" t="s">
        <v>554</v>
      </c>
      <c r="D3039" s="13">
        <v>39</v>
      </c>
      <c r="E3039" s="13">
        <v>38.164892999999999</v>
      </c>
      <c r="F3039" s="13">
        <v>38.350262999999998</v>
      </c>
      <c r="G3039" s="13">
        <v>35.54365</v>
      </c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</row>
    <row r="3040" spans="1:19" x14ac:dyDescent="0.2">
      <c r="A3040" s="12" t="s">
        <v>424</v>
      </c>
      <c r="B3040" s="12" t="s">
        <v>567</v>
      </c>
      <c r="C3040" s="12" t="s">
        <v>555</v>
      </c>
      <c r="D3040" s="13">
        <v>1071</v>
      </c>
      <c r="E3040" s="13">
        <v>1037.7334069999999</v>
      </c>
      <c r="F3040" s="13">
        <v>1167.1126899999999</v>
      </c>
      <c r="G3040" s="13">
        <v>1086.0795840000001</v>
      </c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</row>
    <row r="3041" spans="1:19" x14ac:dyDescent="0.2">
      <c r="A3041" s="12" t="s">
        <v>424</v>
      </c>
      <c r="B3041" s="12" t="s">
        <v>567</v>
      </c>
      <c r="C3041" s="12" t="s">
        <v>556</v>
      </c>
      <c r="D3041" s="13">
        <v>-8</v>
      </c>
      <c r="E3041" s="13">
        <v>-7.7034229999999999</v>
      </c>
      <c r="F3041" s="13">
        <v>-7.7144259999999996</v>
      </c>
      <c r="G3041" s="13">
        <v>-7.6989890000000001</v>
      </c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</row>
    <row r="3042" spans="1:19" x14ac:dyDescent="0.2">
      <c r="A3042" s="12" t="s">
        <v>424</v>
      </c>
      <c r="B3042" s="12" t="s">
        <v>567</v>
      </c>
      <c r="C3042" s="12" t="s">
        <v>557</v>
      </c>
      <c r="D3042" s="13">
        <v>1098</v>
      </c>
      <c r="E3042" s="13">
        <v>1089.6268580000001</v>
      </c>
      <c r="F3042" s="13">
        <v>1185.026241</v>
      </c>
      <c r="G3042" s="13">
        <v>1118.7643780000001</v>
      </c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</row>
    <row r="3043" spans="1:19" x14ac:dyDescent="0.2">
      <c r="A3043" s="12" t="s">
        <v>424</v>
      </c>
      <c r="B3043" s="12" t="s">
        <v>567</v>
      </c>
      <c r="C3043" s="12" t="s">
        <v>558</v>
      </c>
      <c r="D3043" s="13">
        <v>0</v>
      </c>
      <c r="E3043" s="13">
        <v>0</v>
      </c>
      <c r="F3043" s="13">
        <v>0</v>
      </c>
      <c r="G3043" s="13">
        <v>0</v>
      </c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</row>
    <row r="3044" spans="1:19" x14ac:dyDescent="0.2">
      <c r="A3044" s="12" t="s">
        <v>424</v>
      </c>
      <c r="B3044" s="12" t="s">
        <v>567</v>
      </c>
      <c r="C3044" s="12" t="s">
        <v>560</v>
      </c>
      <c r="D3044" s="13">
        <v>-1165</v>
      </c>
      <c r="E3044" s="13">
        <v>-1138.582529</v>
      </c>
      <c r="F3044" s="13">
        <v>-1226.189648</v>
      </c>
      <c r="G3044" s="13">
        <v>-1152.856565</v>
      </c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</row>
    <row r="3045" spans="1:19" x14ac:dyDescent="0.2">
      <c r="A3045" s="12" t="s">
        <v>424</v>
      </c>
      <c r="B3045" s="12" t="s">
        <v>567</v>
      </c>
      <c r="C3045" s="12" t="s">
        <v>561</v>
      </c>
      <c r="D3045" s="13">
        <v>0</v>
      </c>
      <c r="E3045" s="13">
        <v>0</v>
      </c>
      <c r="F3045" s="13">
        <v>0</v>
      </c>
      <c r="G3045" s="13">
        <v>0</v>
      </c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</row>
    <row r="3046" spans="1:19" x14ac:dyDescent="0.2">
      <c r="A3046" s="12" t="s">
        <v>424</v>
      </c>
      <c r="B3046" s="12" t="s">
        <v>567</v>
      </c>
      <c r="C3046" s="12" t="s">
        <v>562</v>
      </c>
      <c r="D3046" s="13">
        <v>0</v>
      </c>
      <c r="E3046" s="13">
        <v>0</v>
      </c>
      <c r="F3046" s="13">
        <v>0</v>
      </c>
      <c r="G3046" s="13">
        <v>0</v>
      </c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</row>
    <row r="3047" spans="1:19" x14ac:dyDescent="0.2">
      <c r="A3047" s="12" t="s">
        <v>424</v>
      </c>
      <c r="B3047" s="12" t="s">
        <v>567</v>
      </c>
      <c r="C3047" s="12" t="s">
        <v>563</v>
      </c>
      <c r="D3047" s="13">
        <v>0</v>
      </c>
      <c r="E3047" s="13">
        <v>0</v>
      </c>
      <c r="F3047" s="13">
        <v>0</v>
      </c>
      <c r="G3047" s="13">
        <v>0</v>
      </c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</row>
    <row r="3048" spans="1:19" x14ac:dyDescent="0.2">
      <c r="A3048" s="12" t="s">
        <v>424</v>
      </c>
      <c r="B3048" s="12" t="s">
        <v>567</v>
      </c>
      <c r="C3048" s="12" t="s">
        <v>564</v>
      </c>
      <c r="D3048" s="13">
        <v>0</v>
      </c>
      <c r="E3048" s="13">
        <v>0</v>
      </c>
      <c r="F3048" s="13">
        <v>0</v>
      </c>
      <c r="G3048" s="13">
        <v>0</v>
      </c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</row>
    <row r="3049" spans="1:19" x14ac:dyDescent="0.2">
      <c r="A3049" s="12" t="s">
        <v>424</v>
      </c>
      <c r="B3049" s="12" t="s">
        <v>567</v>
      </c>
      <c r="C3049" s="12" t="s">
        <v>565</v>
      </c>
      <c r="D3049" s="13">
        <v>0</v>
      </c>
      <c r="E3049" s="13">
        <v>0</v>
      </c>
      <c r="F3049" s="13">
        <v>0</v>
      </c>
      <c r="G3049" s="13">
        <v>0</v>
      </c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</row>
    <row r="3050" spans="1:19" x14ac:dyDescent="0.2">
      <c r="A3050" s="12" t="s">
        <v>424</v>
      </c>
      <c r="B3050" s="12" t="s">
        <v>567</v>
      </c>
      <c r="C3050" s="12" t="s">
        <v>566</v>
      </c>
      <c r="D3050" s="13">
        <v>0</v>
      </c>
      <c r="E3050" s="13">
        <v>0</v>
      </c>
      <c r="F3050" s="13">
        <v>0</v>
      </c>
      <c r="G3050" s="13">
        <v>0</v>
      </c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</row>
    <row r="3051" spans="1:19" x14ac:dyDescent="0.2">
      <c r="A3051" s="12" t="s">
        <v>424</v>
      </c>
      <c r="B3051" s="12" t="s">
        <v>568</v>
      </c>
      <c r="C3051" s="12" t="s">
        <v>554</v>
      </c>
      <c r="D3051" s="13">
        <v>0</v>
      </c>
      <c r="E3051" s="13">
        <v>0</v>
      </c>
      <c r="F3051" s="13">
        <v>0</v>
      </c>
      <c r="G3051" s="13">
        <v>0</v>
      </c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</row>
    <row r="3052" spans="1:19" x14ac:dyDescent="0.2">
      <c r="A3052" s="12" t="s">
        <v>424</v>
      </c>
      <c r="B3052" s="12" t="s">
        <v>568</v>
      </c>
      <c r="C3052" s="12" t="s">
        <v>555</v>
      </c>
      <c r="D3052" s="13">
        <v>331</v>
      </c>
      <c r="E3052" s="13">
        <v>408.11915699999997</v>
      </c>
      <c r="F3052" s="13">
        <v>423.54106300000001</v>
      </c>
      <c r="G3052" s="13">
        <v>508.05991499999999</v>
      </c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</row>
    <row r="3053" spans="1:19" x14ac:dyDescent="0.2">
      <c r="A3053" s="12" t="s">
        <v>424</v>
      </c>
      <c r="B3053" s="12" t="s">
        <v>568</v>
      </c>
      <c r="C3053" s="12" t="s">
        <v>556</v>
      </c>
      <c r="D3053" s="13">
        <v>-189</v>
      </c>
      <c r="E3053" s="13">
        <v>-166.06743700000001</v>
      </c>
      <c r="F3053" s="13">
        <v>-217.63163499999999</v>
      </c>
      <c r="G3053" s="13">
        <v>-237.597982</v>
      </c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</row>
    <row r="3054" spans="1:19" x14ac:dyDescent="0.2">
      <c r="A3054" s="12" t="s">
        <v>424</v>
      </c>
      <c r="B3054" s="12" t="s">
        <v>568</v>
      </c>
      <c r="C3054" s="12" t="s">
        <v>557</v>
      </c>
      <c r="D3054" s="13">
        <v>111</v>
      </c>
      <c r="E3054" s="13">
        <v>190.05708100000001</v>
      </c>
      <c r="F3054" s="13">
        <v>148.115904</v>
      </c>
      <c r="G3054" s="13">
        <v>211.89672400000001</v>
      </c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</row>
    <row r="3055" spans="1:19" x14ac:dyDescent="0.2">
      <c r="A3055" s="12" t="s">
        <v>424</v>
      </c>
      <c r="B3055" s="12" t="s">
        <v>568</v>
      </c>
      <c r="C3055" s="12" t="s">
        <v>558</v>
      </c>
      <c r="D3055" s="13">
        <v>-16</v>
      </c>
      <c r="E3055" s="13">
        <v>-18.853587000000001</v>
      </c>
      <c r="F3055" s="13">
        <v>-21.24183</v>
      </c>
      <c r="G3055" s="13">
        <v>-18.119876000000001</v>
      </c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</row>
    <row r="3056" spans="1:19" x14ac:dyDescent="0.2">
      <c r="A3056" s="12" t="s">
        <v>424</v>
      </c>
      <c r="B3056" s="12" t="s">
        <v>568</v>
      </c>
      <c r="C3056" s="12" t="s">
        <v>560</v>
      </c>
      <c r="D3056" s="13">
        <v>1148</v>
      </c>
      <c r="E3056" s="13">
        <v>1133.8808859999999</v>
      </c>
      <c r="F3056" s="13">
        <v>1215.5016479999999</v>
      </c>
      <c r="G3056" s="13">
        <v>1120.508687</v>
      </c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</row>
    <row r="3057" spans="1:19" x14ac:dyDescent="0.2">
      <c r="A3057" s="12" t="s">
        <v>424</v>
      </c>
      <c r="B3057" s="12" t="s">
        <v>568</v>
      </c>
      <c r="C3057" s="12" t="s">
        <v>561</v>
      </c>
      <c r="D3057" s="13">
        <v>1175</v>
      </c>
      <c r="E3057" s="13">
        <v>1231.733964</v>
      </c>
      <c r="F3057" s="13">
        <v>1262.055251</v>
      </c>
      <c r="G3057" s="13">
        <v>1229.7284360000001</v>
      </c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</row>
    <row r="3058" spans="1:19" x14ac:dyDescent="0.2">
      <c r="A3058" s="12" t="s">
        <v>424</v>
      </c>
      <c r="B3058" s="12" t="s">
        <v>568</v>
      </c>
      <c r="C3058" s="12" t="s">
        <v>562</v>
      </c>
      <c r="D3058" s="13">
        <v>36</v>
      </c>
      <c r="E3058" s="13">
        <v>39.158898000000001</v>
      </c>
      <c r="F3058" s="13">
        <v>40.260851000000002</v>
      </c>
      <c r="G3058" s="13">
        <v>44.910175000000002</v>
      </c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</row>
    <row r="3059" spans="1:19" x14ac:dyDescent="0.2">
      <c r="A3059" s="12" t="s">
        <v>424</v>
      </c>
      <c r="B3059" s="12" t="s">
        <v>568</v>
      </c>
      <c r="C3059" s="12" t="s">
        <v>563</v>
      </c>
      <c r="D3059" s="13">
        <v>841</v>
      </c>
      <c r="E3059" s="13">
        <v>912.06815800000004</v>
      </c>
      <c r="F3059" s="13">
        <v>919.00473499999998</v>
      </c>
      <c r="G3059" s="13">
        <v>921.75800800000002</v>
      </c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</row>
    <row r="3060" spans="1:19" x14ac:dyDescent="0.2">
      <c r="A3060" s="12" t="s">
        <v>424</v>
      </c>
      <c r="B3060" s="12" t="s">
        <v>568</v>
      </c>
      <c r="C3060" s="12" t="s">
        <v>564</v>
      </c>
      <c r="D3060" s="13">
        <v>26</v>
      </c>
      <c r="E3060" s="13">
        <v>26.024801</v>
      </c>
      <c r="F3060" s="13">
        <v>24.919</v>
      </c>
      <c r="G3060" s="13">
        <v>23.215140000000002</v>
      </c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</row>
    <row r="3061" spans="1:19" x14ac:dyDescent="0.2">
      <c r="A3061" s="12" t="s">
        <v>424</v>
      </c>
      <c r="B3061" s="12" t="s">
        <v>568</v>
      </c>
      <c r="C3061" s="12" t="s">
        <v>565</v>
      </c>
      <c r="D3061" s="13">
        <v>16</v>
      </c>
      <c r="E3061" s="13">
        <v>17.517219999999998</v>
      </c>
      <c r="F3061" s="13">
        <v>15.193424</v>
      </c>
      <c r="G3061" s="13">
        <v>11.003702000000001</v>
      </c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</row>
    <row r="3062" spans="1:19" x14ac:dyDescent="0.2">
      <c r="A3062" s="12" t="s">
        <v>424</v>
      </c>
      <c r="B3062" s="12" t="s">
        <v>568</v>
      </c>
      <c r="C3062" s="12" t="s">
        <v>566</v>
      </c>
      <c r="D3062" s="13">
        <v>257</v>
      </c>
      <c r="E3062" s="13">
        <v>236.964887</v>
      </c>
      <c r="F3062" s="13">
        <v>262.67723600000011</v>
      </c>
      <c r="G3062" s="13">
        <v>228.84141</v>
      </c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</row>
    <row r="3063" spans="1:19" x14ac:dyDescent="0.2">
      <c r="A3063" s="12" t="s">
        <v>424</v>
      </c>
      <c r="B3063" s="12" t="s">
        <v>569</v>
      </c>
      <c r="C3063" s="12" t="s">
        <v>554</v>
      </c>
      <c r="D3063" s="13">
        <v>142</v>
      </c>
      <c r="E3063" s="13">
        <v>139.833832</v>
      </c>
      <c r="F3063" s="13">
        <v>136.95734999999999</v>
      </c>
      <c r="G3063" s="13">
        <v>132.20217099999999</v>
      </c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</row>
    <row r="3064" spans="1:19" x14ac:dyDescent="0.2">
      <c r="A3064" s="12" t="s">
        <v>424</v>
      </c>
      <c r="B3064" s="12" t="s">
        <v>569</v>
      </c>
      <c r="C3064" s="12" t="s">
        <v>555</v>
      </c>
      <c r="D3064" s="13">
        <v>606</v>
      </c>
      <c r="E3064" s="13">
        <v>641.79294300000004</v>
      </c>
      <c r="F3064" s="13">
        <v>532.70957499999997</v>
      </c>
      <c r="G3064" s="13">
        <v>561.25768500000004</v>
      </c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</row>
    <row r="3065" spans="1:19" x14ac:dyDescent="0.2">
      <c r="A3065" s="12" t="s">
        <v>424</v>
      </c>
      <c r="B3065" s="12" t="s">
        <v>569</v>
      </c>
      <c r="C3065" s="12" t="s">
        <v>556</v>
      </c>
      <c r="D3065" s="13">
        <v>-48</v>
      </c>
      <c r="E3065" s="13">
        <v>-3.9502290000000002</v>
      </c>
      <c r="F3065" s="13">
        <v>-21.112048000000001</v>
      </c>
      <c r="G3065" s="13">
        <v>-24.656890000000001</v>
      </c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</row>
    <row r="3066" spans="1:19" x14ac:dyDescent="0.2">
      <c r="A3066" s="12" t="s">
        <v>424</v>
      </c>
      <c r="B3066" s="12" t="s">
        <v>569</v>
      </c>
      <c r="C3066" s="12" t="s">
        <v>557</v>
      </c>
      <c r="D3066" s="13">
        <v>716</v>
      </c>
      <c r="E3066" s="13">
        <v>763.28222699999992</v>
      </c>
      <c r="F3066" s="13">
        <v>629.86223800000005</v>
      </c>
      <c r="G3066" s="13">
        <v>659.97123799999997</v>
      </c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</row>
    <row r="3067" spans="1:19" x14ac:dyDescent="0.2">
      <c r="A3067" s="12" t="s">
        <v>424</v>
      </c>
      <c r="B3067" s="12" t="s">
        <v>569</v>
      </c>
      <c r="C3067" s="12" t="s">
        <v>558</v>
      </c>
      <c r="D3067" s="13">
        <v>-131</v>
      </c>
      <c r="E3067" s="13">
        <v>-128.89078900000001</v>
      </c>
      <c r="F3067" s="13">
        <v>-100.271809</v>
      </c>
      <c r="G3067" s="13">
        <v>-136.0874</v>
      </c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</row>
    <row r="3068" spans="1:19" x14ac:dyDescent="0.2">
      <c r="A3068" s="12" t="s">
        <v>424</v>
      </c>
      <c r="B3068" s="12" t="s">
        <v>569</v>
      </c>
      <c r="C3068" s="12" t="s">
        <v>560</v>
      </c>
      <c r="D3068" s="13">
        <v>0</v>
      </c>
      <c r="E3068" s="13">
        <v>0</v>
      </c>
      <c r="F3068" s="13">
        <v>0</v>
      </c>
      <c r="G3068" s="13">
        <v>0</v>
      </c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</row>
    <row r="3069" spans="1:19" x14ac:dyDescent="0.2">
      <c r="A3069" s="12" t="s">
        <v>424</v>
      </c>
      <c r="B3069" s="12" t="s">
        <v>569</v>
      </c>
      <c r="C3069" s="12" t="s">
        <v>561</v>
      </c>
      <c r="D3069" s="13">
        <v>470</v>
      </c>
      <c r="E3069" s="13">
        <v>531.87497400000007</v>
      </c>
      <c r="F3069" s="13">
        <v>474.57059400000003</v>
      </c>
      <c r="G3069" s="13">
        <v>450.344559</v>
      </c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</row>
    <row r="3070" spans="1:19" x14ac:dyDescent="0.2">
      <c r="A3070" s="12" t="s">
        <v>424</v>
      </c>
      <c r="B3070" s="12" t="s">
        <v>569</v>
      </c>
      <c r="C3070" s="12" t="s">
        <v>562</v>
      </c>
      <c r="D3070" s="13">
        <v>161</v>
      </c>
      <c r="E3070" s="13">
        <v>177.51751899999999</v>
      </c>
      <c r="F3070" s="13">
        <v>153.15123500000001</v>
      </c>
      <c r="G3070" s="13">
        <v>153.35743500000001</v>
      </c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</row>
    <row r="3071" spans="1:19" x14ac:dyDescent="0.2">
      <c r="A3071" s="12" t="s">
        <v>424</v>
      </c>
      <c r="B3071" s="12" t="s">
        <v>569</v>
      </c>
      <c r="C3071" s="12" t="s">
        <v>563</v>
      </c>
      <c r="D3071" s="13">
        <v>12</v>
      </c>
      <c r="E3071" s="13">
        <v>11.751607</v>
      </c>
      <c r="F3071" s="13">
        <v>2.5489320000000002</v>
      </c>
      <c r="G3071" s="13">
        <v>3.1800920000000001</v>
      </c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</row>
    <row r="3072" spans="1:19" x14ac:dyDescent="0.2">
      <c r="A3072" s="12" t="s">
        <v>424</v>
      </c>
      <c r="B3072" s="12" t="s">
        <v>569</v>
      </c>
      <c r="C3072" s="12" t="s">
        <v>564</v>
      </c>
      <c r="D3072" s="13">
        <v>161</v>
      </c>
      <c r="E3072" s="13">
        <v>191.17075800000001</v>
      </c>
      <c r="F3072" s="13">
        <v>181.65527499999999</v>
      </c>
      <c r="G3072" s="13">
        <v>176.06529</v>
      </c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</row>
    <row r="3073" spans="1:19" x14ac:dyDescent="0.2">
      <c r="A3073" s="12" t="s">
        <v>424</v>
      </c>
      <c r="B3073" s="12" t="s">
        <v>569</v>
      </c>
      <c r="C3073" s="12" t="s">
        <v>565</v>
      </c>
      <c r="D3073" s="13">
        <v>48</v>
      </c>
      <c r="E3073" s="13">
        <v>67.305875</v>
      </c>
      <c r="F3073" s="13">
        <v>64.525153000000003</v>
      </c>
      <c r="G3073" s="13">
        <v>59.168674000000003</v>
      </c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</row>
    <row r="3074" spans="1:19" x14ac:dyDescent="0.2">
      <c r="A3074" s="12" t="s">
        <v>424</v>
      </c>
      <c r="B3074" s="12" t="s">
        <v>569</v>
      </c>
      <c r="C3074" s="12" t="s">
        <v>566</v>
      </c>
      <c r="D3074" s="13">
        <v>88</v>
      </c>
      <c r="E3074" s="13">
        <v>84.129216</v>
      </c>
      <c r="F3074" s="13">
        <v>72.69</v>
      </c>
      <c r="G3074" s="13">
        <v>58.573073000000008</v>
      </c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</row>
    <row r="3075" spans="1:19" x14ac:dyDescent="0.2">
      <c r="A3075" s="12" t="s">
        <v>424</v>
      </c>
      <c r="B3075" s="12" t="s">
        <v>570</v>
      </c>
      <c r="C3075" s="12" t="s">
        <v>554</v>
      </c>
      <c r="D3075" s="13">
        <v>0</v>
      </c>
      <c r="E3075" s="13">
        <v>0</v>
      </c>
      <c r="F3075" s="13">
        <v>0</v>
      </c>
      <c r="G3075" s="13">
        <v>0</v>
      </c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</row>
    <row r="3076" spans="1:19" x14ac:dyDescent="0.2">
      <c r="A3076" s="12" t="s">
        <v>424</v>
      </c>
      <c r="B3076" s="12" t="s">
        <v>570</v>
      </c>
      <c r="C3076" s="12" t="s">
        <v>555</v>
      </c>
      <c r="D3076" s="13">
        <v>0</v>
      </c>
      <c r="E3076" s="13">
        <v>0</v>
      </c>
      <c r="F3076" s="13">
        <v>0</v>
      </c>
      <c r="G3076" s="13">
        <v>0</v>
      </c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</row>
    <row r="3077" spans="1:19" x14ac:dyDescent="0.2">
      <c r="A3077" s="12" t="s">
        <v>424</v>
      </c>
      <c r="B3077" s="12" t="s">
        <v>570</v>
      </c>
      <c r="C3077" s="12" t="s">
        <v>556</v>
      </c>
      <c r="D3077" s="13">
        <v>0</v>
      </c>
      <c r="E3077" s="13">
        <v>0</v>
      </c>
      <c r="F3077" s="13">
        <v>0</v>
      </c>
      <c r="G3077" s="13">
        <v>0</v>
      </c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</row>
    <row r="3078" spans="1:19" x14ac:dyDescent="0.2">
      <c r="A3078" s="12" t="s">
        <v>424</v>
      </c>
      <c r="B3078" s="12" t="s">
        <v>570</v>
      </c>
      <c r="C3078" s="12" t="s">
        <v>557</v>
      </c>
      <c r="D3078" s="13">
        <v>0</v>
      </c>
      <c r="E3078" s="13">
        <v>0</v>
      </c>
      <c r="F3078" s="13">
        <v>0</v>
      </c>
      <c r="G3078" s="13">
        <v>0</v>
      </c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</row>
    <row r="3079" spans="1:19" x14ac:dyDescent="0.2">
      <c r="A3079" s="12" t="s">
        <v>424</v>
      </c>
      <c r="B3079" s="12" t="s">
        <v>570</v>
      </c>
      <c r="C3079" s="12" t="s">
        <v>558</v>
      </c>
      <c r="D3079" s="13">
        <v>0</v>
      </c>
      <c r="E3079" s="13">
        <v>0</v>
      </c>
      <c r="F3079" s="13">
        <v>0</v>
      </c>
      <c r="G3079" s="13">
        <v>0</v>
      </c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</row>
    <row r="3080" spans="1:19" x14ac:dyDescent="0.2">
      <c r="A3080" s="12" t="s">
        <v>424</v>
      </c>
      <c r="B3080" s="12" t="s">
        <v>570</v>
      </c>
      <c r="C3080" s="12" t="s">
        <v>560</v>
      </c>
      <c r="D3080" s="13">
        <v>0</v>
      </c>
      <c r="E3080" s="13">
        <v>0</v>
      </c>
      <c r="F3080" s="13">
        <v>0</v>
      </c>
      <c r="G3080" s="13">
        <v>0</v>
      </c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</row>
    <row r="3081" spans="1:19" x14ac:dyDescent="0.2">
      <c r="A3081" s="12" t="s">
        <v>424</v>
      </c>
      <c r="B3081" s="12" t="s">
        <v>570</v>
      </c>
      <c r="C3081" s="12" t="s">
        <v>561</v>
      </c>
      <c r="D3081" s="13">
        <v>0</v>
      </c>
      <c r="E3081" s="13">
        <v>0</v>
      </c>
      <c r="F3081" s="13">
        <v>0</v>
      </c>
      <c r="G3081" s="13">
        <v>0</v>
      </c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</row>
    <row r="3082" spans="1:19" x14ac:dyDescent="0.2">
      <c r="A3082" s="12" t="s">
        <v>424</v>
      </c>
      <c r="B3082" s="12" t="s">
        <v>570</v>
      </c>
      <c r="C3082" s="12" t="s">
        <v>562</v>
      </c>
      <c r="D3082" s="13">
        <v>0</v>
      </c>
      <c r="E3082" s="13">
        <v>0</v>
      </c>
      <c r="F3082" s="13">
        <v>0</v>
      </c>
      <c r="G3082" s="13">
        <v>0</v>
      </c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</row>
    <row r="3083" spans="1:19" x14ac:dyDescent="0.2">
      <c r="A3083" s="12" t="s">
        <v>424</v>
      </c>
      <c r="B3083" s="12" t="s">
        <v>570</v>
      </c>
      <c r="C3083" s="12" t="s">
        <v>563</v>
      </c>
      <c r="D3083" s="13">
        <v>0</v>
      </c>
      <c r="E3083" s="13">
        <v>0</v>
      </c>
      <c r="F3083" s="13">
        <v>0</v>
      </c>
      <c r="G3083" s="13">
        <v>0</v>
      </c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</row>
    <row r="3084" spans="1:19" x14ac:dyDescent="0.2">
      <c r="A3084" s="12" t="s">
        <v>424</v>
      </c>
      <c r="B3084" s="12" t="s">
        <v>570</v>
      </c>
      <c r="C3084" s="12" t="s">
        <v>564</v>
      </c>
      <c r="D3084" s="13">
        <v>0</v>
      </c>
      <c r="E3084" s="13">
        <v>0</v>
      </c>
      <c r="F3084" s="13">
        <v>0</v>
      </c>
      <c r="G3084" s="13">
        <v>0</v>
      </c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</row>
    <row r="3085" spans="1:19" x14ac:dyDescent="0.2">
      <c r="A3085" s="12" t="s">
        <v>424</v>
      </c>
      <c r="B3085" s="12" t="s">
        <v>570</v>
      </c>
      <c r="C3085" s="12" t="s">
        <v>565</v>
      </c>
      <c r="D3085" s="13">
        <v>0</v>
      </c>
      <c r="E3085" s="13">
        <v>0</v>
      </c>
      <c r="F3085" s="13">
        <v>0</v>
      </c>
      <c r="G3085" s="13">
        <v>0</v>
      </c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</row>
    <row r="3086" spans="1:19" x14ac:dyDescent="0.2">
      <c r="A3086" s="12" t="s">
        <v>424</v>
      </c>
      <c r="B3086" s="12" t="s">
        <v>570</v>
      </c>
      <c r="C3086" s="12" t="s">
        <v>566</v>
      </c>
      <c r="D3086" s="13">
        <v>0</v>
      </c>
      <c r="E3086" s="13">
        <v>0</v>
      </c>
      <c r="F3086" s="13">
        <v>0</v>
      </c>
      <c r="G3086" s="13">
        <v>0</v>
      </c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</row>
    <row r="3087" spans="1:19" x14ac:dyDescent="0.2">
      <c r="A3087" s="12" t="s">
        <v>424</v>
      </c>
      <c r="B3087" s="12" t="s">
        <v>571</v>
      </c>
      <c r="C3087" s="12" t="s">
        <v>554</v>
      </c>
      <c r="D3087" s="13">
        <v>556</v>
      </c>
      <c r="E3087" s="13">
        <v>560.33625799999993</v>
      </c>
      <c r="F3087" s="13">
        <v>576.06810800000005</v>
      </c>
      <c r="G3087" s="13">
        <v>595.23204799999996</v>
      </c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</row>
    <row r="3088" spans="1:19" x14ac:dyDescent="0.2">
      <c r="A3088" s="12" t="s">
        <v>424</v>
      </c>
      <c r="B3088" s="12" t="s">
        <v>571</v>
      </c>
      <c r="C3088" s="12" t="s">
        <v>555</v>
      </c>
      <c r="D3088" s="13">
        <v>43</v>
      </c>
      <c r="E3088" s="13">
        <v>43.673796000000003</v>
      </c>
      <c r="F3088" s="13">
        <v>36.742590999999997</v>
      </c>
      <c r="G3088" s="13">
        <v>31.594961999999999</v>
      </c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</row>
    <row r="3089" spans="1:19" x14ac:dyDescent="0.2">
      <c r="A3089" s="12" t="s">
        <v>424</v>
      </c>
      <c r="B3089" s="12" t="s">
        <v>571</v>
      </c>
      <c r="C3089" s="12" t="s">
        <v>556</v>
      </c>
      <c r="D3089" s="13">
        <v>-25</v>
      </c>
      <c r="E3089" s="13">
        <v>-29.022600000000001</v>
      </c>
      <c r="F3089" s="13">
        <v>-27.588621</v>
      </c>
      <c r="G3089" s="13">
        <v>-22.867263000000001</v>
      </c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</row>
    <row r="3090" spans="1:19" x14ac:dyDescent="0.2">
      <c r="A3090" s="12" t="s">
        <v>424</v>
      </c>
      <c r="B3090" s="12" t="s">
        <v>571</v>
      </c>
      <c r="C3090" s="12" t="s">
        <v>557</v>
      </c>
      <c r="D3090" s="13">
        <v>574</v>
      </c>
      <c r="E3090" s="13">
        <v>573.15888199999995</v>
      </c>
      <c r="F3090" s="13">
        <v>584.21655099999998</v>
      </c>
      <c r="G3090" s="13">
        <v>603.89980400000002</v>
      </c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</row>
    <row r="3091" spans="1:19" x14ac:dyDescent="0.2">
      <c r="A3091" s="12" t="s">
        <v>424</v>
      </c>
      <c r="B3091" s="12" t="s">
        <v>571</v>
      </c>
      <c r="C3091" s="12" t="s">
        <v>558</v>
      </c>
      <c r="D3091" s="13">
        <v>-174</v>
      </c>
      <c r="E3091" s="13">
        <v>-179.742842</v>
      </c>
      <c r="F3091" s="13">
        <v>-202.66186099999999</v>
      </c>
      <c r="G3091" s="13">
        <v>-234.93907100000001</v>
      </c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</row>
    <row r="3092" spans="1:19" x14ac:dyDescent="0.2">
      <c r="A3092" s="12" t="s">
        <v>424</v>
      </c>
      <c r="B3092" s="12" t="s">
        <v>571</v>
      </c>
      <c r="C3092" s="12" t="s">
        <v>560</v>
      </c>
      <c r="D3092" s="13">
        <v>0</v>
      </c>
      <c r="E3092" s="13">
        <v>0</v>
      </c>
      <c r="F3092" s="13">
        <v>0</v>
      </c>
      <c r="G3092" s="13">
        <v>0</v>
      </c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</row>
    <row r="3093" spans="1:19" x14ac:dyDescent="0.2">
      <c r="A3093" s="12" t="s">
        <v>424</v>
      </c>
      <c r="B3093" s="12" t="s">
        <v>571</v>
      </c>
      <c r="C3093" s="12" t="s">
        <v>561</v>
      </c>
      <c r="D3093" s="13">
        <v>400</v>
      </c>
      <c r="E3093" s="13">
        <v>393.39643899999999</v>
      </c>
      <c r="F3093" s="13">
        <v>381.53154499999999</v>
      </c>
      <c r="G3093" s="13">
        <v>368.95268199999998</v>
      </c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</row>
    <row r="3094" spans="1:19" x14ac:dyDescent="0.2">
      <c r="A3094" s="12" t="s">
        <v>424</v>
      </c>
      <c r="B3094" s="12" t="s">
        <v>571</v>
      </c>
      <c r="C3094" s="12" t="s">
        <v>562</v>
      </c>
      <c r="D3094" s="13">
        <v>118</v>
      </c>
      <c r="E3094" s="13">
        <v>98.695100999999994</v>
      </c>
      <c r="F3094" s="13">
        <v>99.369528000000003</v>
      </c>
      <c r="G3094" s="13">
        <v>97.816217000000009</v>
      </c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</row>
    <row r="3095" spans="1:19" x14ac:dyDescent="0.2">
      <c r="A3095" s="12" t="s">
        <v>424</v>
      </c>
      <c r="B3095" s="12" t="s">
        <v>571</v>
      </c>
      <c r="C3095" s="12" t="s">
        <v>563</v>
      </c>
      <c r="D3095" s="13">
        <v>44</v>
      </c>
      <c r="E3095" s="13">
        <v>46.879075999999998</v>
      </c>
      <c r="F3095" s="13">
        <v>50.384818000000003</v>
      </c>
      <c r="G3095" s="13">
        <v>54.035179999999997</v>
      </c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</row>
    <row r="3096" spans="1:19" x14ac:dyDescent="0.2">
      <c r="A3096" s="12" t="s">
        <v>424</v>
      </c>
      <c r="B3096" s="12" t="s">
        <v>571</v>
      </c>
      <c r="C3096" s="12" t="s">
        <v>564</v>
      </c>
      <c r="D3096" s="13">
        <v>207</v>
      </c>
      <c r="E3096" s="13">
        <v>211.36587499999999</v>
      </c>
      <c r="F3096" s="13">
        <v>201.475154</v>
      </c>
      <c r="G3096" s="13">
        <v>187.48209900000001</v>
      </c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</row>
    <row r="3097" spans="1:19" x14ac:dyDescent="0.2">
      <c r="A3097" s="12" t="s">
        <v>424</v>
      </c>
      <c r="B3097" s="12" t="s">
        <v>571</v>
      </c>
      <c r="C3097" s="12" t="s">
        <v>565</v>
      </c>
      <c r="D3097" s="13">
        <v>11</v>
      </c>
      <c r="E3097" s="13">
        <v>12.215135999999999</v>
      </c>
      <c r="F3097" s="13">
        <v>10.495096999999999</v>
      </c>
      <c r="G3097" s="13">
        <v>11.314634</v>
      </c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</row>
    <row r="3098" spans="1:19" x14ac:dyDescent="0.2">
      <c r="A3098" s="12" t="s">
        <v>424</v>
      </c>
      <c r="B3098" s="12" t="s">
        <v>571</v>
      </c>
      <c r="C3098" s="12" t="s">
        <v>566</v>
      </c>
      <c r="D3098" s="13">
        <v>20</v>
      </c>
      <c r="E3098" s="13">
        <v>24.241244999999999</v>
      </c>
      <c r="F3098" s="13">
        <v>19.806937999999999</v>
      </c>
      <c r="G3098" s="13">
        <v>18.304556000000002</v>
      </c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</row>
    <row r="3099" spans="1:19" x14ac:dyDescent="0.2">
      <c r="A3099" s="12" t="s">
        <v>424</v>
      </c>
      <c r="B3099" s="12" t="s">
        <v>572</v>
      </c>
      <c r="C3099" s="12" t="s">
        <v>554</v>
      </c>
      <c r="D3099" s="13">
        <v>0</v>
      </c>
      <c r="E3099" s="13">
        <v>0</v>
      </c>
      <c r="F3099" s="13">
        <v>0</v>
      </c>
      <c r="G3099" s="13">
        <v>0</v>
      </c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</row>
    <row r="3100" spans="1:19" x14ac:dyDescent="0.2">
      <c r="A3100" s="12" t="s">
        <v>424</v>
      </c>
      <c r="B3100" s="12" t="s">
        <v>572</v>
      </c>
      <c r="C3100" s="12" t="s">
        <v>555</v>
      </c>
      <c r="D3100" s="13">
        <v>74</v>
      </c>
      <c r="E3100" s="13">
        <v>54.359409999999997</v>
      </c>
      <c r="F3100" s="13">
        <v>54.855466</v>
      </c>
      <c r="G3100" s="13">
        <v>54.503695</v>
      </c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</row>
    <row r="3101" spans="1:19" x14ac:dyDescent="0.2">
      <c r="A3101" s="12" t="s">
        <v>424</v>
      </c>
      <c r="B3101" s="12" t="s">
        <v>572</v>
      </c>
      <c r="C3101" s="12" t="s">
        <v>556</v>
      </c>
      <c r="D3101" s="13">
        <v>-26</v>
      </c>
      <c r="E3101" s="13">
        <v>-51.163429000000001</v>
      </c>
      <c r="F3101" s="13">
        <v>-60.893782000000002</v>
      </c>
      <c r="G3101" s="13">
        <v>-41.050226000000002</v>
      </c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</row>
    <row r="3102" spans="1:19" x14ac:dyDescent="0.2">
      <c r="A3102" s="12" t="s">
        <v>424</v>
      </c>
      <c r="B3102" s="12" t="s">
        <v>572</v>
      </c>
      <c r="C3102" s="12" t="s">
        <v>557</v>
      </c>
      <c r="D3102" s="13">
        <v>48</v>
      </c>
      <c r="E3102" s="13">
        <v>3.1959810000000002</v>
      </c>
      <c r="F3102" s="13">
        <v>-6.0383120000000003</v>
      </c>
      <c r="G3102" s="13">
        <v>13.453469999999999</v>
      </c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</row>
    <row r="3103" spans="1:19" x14ac:dyDescent="0.2">
      <c r="A3103" s="12" t="s">
        <v>424</v>
      </c>
      <c r="B3103" s="12" t="s">
        <v>572</v>
      </c>
      <c r="C3103" s="12" t="s">
        <v>558</v>
      </c>
      <c r="D3103" s="13">
        <v>566</v>
      </c>
      <c r="E3103" s="13">
        <v>643.6285620000001</v>
      </c>
      <c r="F3103" s="13">
        <v>643.09195700000009</v>
      </c>
      <c r="G3103" s="13">
        <v>597.55497200000013</v>
      </c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</row>
    <row r="3104" spans="1:19" x14ac:dyDescent="0.2">
      <c r="A3104" s="12" t="s">
        <v>424</v>
      </c>
      <c r="B3104" s="12" t="s">
        <v>572</v>
      </c>
      <c r="C3104" s="12" t="s">
        <v>560</v>
      </c>
      <c r="D3104" s="13">
        <v>0</v>
      </c>
      <c r="E3104" s="13">
        <v>0</v>
      </c>
      <c r="F3104" s="13">
        <v>0</v>
      </c>
      <c r="G3104" s="13">
        <v>0</v>
      </c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</row>
    <row r="3105" spans="1:19" x14ac:dyDescent="0.2">
      <c r="A3105" s="12" t="s">
        <v>424</v>
      </c>
      <c r="B3105" s="12" t="s">
        <v>572</v>
      </c>
      <c r="C3105" s="12" t="s">
        <v>561</v>
      </c>
      <c r="D3105" s="13">
        <v>494</v>
      </c>
      <c r="E3105" s="13">
        <v>517.277063</v>
      </c>
      <c r="F3105" s="13">
        <v>503.48057299999999</v>
      </c>
      <c r="G3105" s="13">
        <v>479.97906400000011</v>
      </c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</row>
    <row r="3106" spans="1:19" x14ac:dyDescent="0.2">
      <c r="A3106" s="12" t="s">
        <v>424</v>
      </c>
      <c r="B3106" s="12" t="s">
        <v>572</v>
      </c>
      <c r="C3106" s="12" t="s">
        <v>562</v>
      </c>
      <c r="D3106" s="13">
        <v>199</v>
      </c>
      <c r="E3106" s="13">
        <v>202.705015</v>
      </c>
      <c r="F3106" s="13">
        <v>191.462548</v>
      </c>
      <c r="G3106" s="13">
        <v>151.495012</v>
      </c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</row>
    <row r="3107" spans="1:19" x14ac:dyDescent="0.2">
      <c r="A3107" s="12" t="s">
        <v>424</v>
      </c>
      <c r="B3107" s="12" t="s">
        <v>572</v>
      </c>
      <c r="C3107" s="12" t="s">
        <v>563</v>
      </c>
      <c r="D3107" s="13">
        <v>11</v>
      </c>
      <c r="E3107" s="13">
        <v>12.212577</v>
      </c>
      <c r="F3107" s="13">
        <v>12.608892000000001</v>
      </c>
      <c r="G3107" s="13">
        <v>13.422743000000001</v>
      </c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</row>
    <row r="3108" spans="1:19" x14ac:dyDescent="0.2">
      <c r="A3108" s="12" t="s">
        <v>424</v>
      </c>
      <c r="B3108" s="12" t="s">
        <v>572</v>
      </c>
      <c r="C3108" s="12" t="s">
        <v>564</v>
      </c>
      <c r="D3108" s="13">
        <v>108</v>
      </c>
      <c r="E3108" s="13">
        <v>110.124002</v>
      </c>
      <c r="F3108" s="13">
        <v>103.895999</v>
      </c>
      <c r="G3108" s="13">
        <v>103.705198</v>
      </c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</row>
    <row r="3109" spans="1:19" x14ac:dyDescent="0.2">
      <c r="A3109" s="12" t="s">
        <v>424</v>
      </c>
      <c r="B3109" s="12" t="s">
        <v>572</v>
      </c>
      <c r="C3109" s="12" t="s">
        <v>565</v>
      </c>
      <c r="D3109" s="13">
        <v>169</v>
      </c>
      <c r="E3109" s="13">
        <v>185.632115</v>
      </c>
      <c r="F3109" s="13">
        <v>189.57313300000001</v>
      </c>
      <c r="G3109" s="13">
        <v>205.380832</v>
      </c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</row>
    <row r="3110" spans="1:19" x14ac:dyDescent="0.2">
      <c r="A3110" s="12" t="s">
        <v>424</v>
      </c>
      <c r="B3110" s="12" t="s">
        <v>572</v>
      </c>
      <c r="C3110" s="12" t="s">
        <v>566</v>
      </c>
      <c r="D3110" s="13">
        <v>7</v>
      </c>
      <c r="E3110" s="13">
        <v>6.6033540000000004</v>
      </c>
      <c r="F3110" s="13">
        <v>5.9400020000000007</v>
      </c>
      <c r="G3110" s="13">
        <v>5.9752800000000006</v>
      </c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</row>
    <row r="3111" spans="1:19" x14ac:dyDescent="0.2">
      <c r="A3111" s="12" t="s">
        <v>424</v>
      </c>
      <c r="B3111" s="12" t="s">
        <v>573</v>
      </c>
      <c r="C3111" s="12" t="s">
        <v>554</v>
      </c>
      <c r="D3111" s="13">
        <v>0</v>
      </c>
      <c r="E3111" s="13">
        <v>0.77813399999999999</v>
      </c>
      <c r="F3111" s="13">
        <v>0.498305</v>
      </c>
      <c r="G3111" s="13">
        <v>0.50249100000000002</v>
      </c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</row>
    <row r="3112" spans="1:19" x14ac:dyDescent="0.2">
      <c r="A3112" s="12" t="s">
        <v>424</v>
      </c>
      <c r="B3112" s="12" t="s">
        <v>573</v>
      </c>
      <c r="C3112" s="12" t="s">
        <v>555</v>
      </c>
      <c r="D3112" s="13">
        <v>0</v>
      </c>
      <c r="E3112" s="13">
        <v>0</v>
      </c>
      <c r="F3112" s="13">
        <v>0</v>
      </c>
      <c r="G3112" s="13">
        <v>0</v>
      </c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</row>
    <row r="3113" spans="1:19" x14ac:dyDescent="0.2">
      <c r="A3113" s="12" t="s">
        <v>424</v>
      </c>
      <c r="B3113" s="12" t="s">
        <v>573</v>
      </c>
      <c r="C3113" s="12" t="s">
        <v>556</v>
      </c>
      <c r="D3113" s="13">
        <v>0</v>
      </c>
      <c r="E3113" s="13">
        <v>0</v>
      </c>
      <c r="F3113" s="13">
        <v>0</v>
      </c>
      <c r="G3113" s="13">
        <v>0</v>
      </c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</row>
    <row r="3114" spans="1:19" x14ac:dyDescent="0.2">
      <c r="A3114" s="12" t="s">
        <v>424</v>
      </c>
      <c r="B3114" s="12" t="s">
        <v>573</v>
      </c>
      <c r="C3114" s="12" t="s">
        <v>557</v>
      </c>
      <c r="D3114" s="13">
        <v>0</v>
      </c>
      <c r="E3114" s="13">
        <v>0.77813399999999999</v>
      </c>
      <c r="F3114" s="13">
        <v>0.498305</v>
      </c>
      <c r="G3114" s="13">
        <v>0.50249100000000002</v>
      </c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</row>
    <row r="3115" spans="1:19" x14ac:dyDescent="0.2">
      <c r="A3115" s="12" t="s">
        <v>424</v>
      </c>
      <c r="B3115" s="12" t="s">
        <v>573</v>
      </c>
      <c r="C3115" s="12" t="s">
        <v>558</v>
      </c>
      <c r="D3115" s="13">
        <v>285</v>
      </c>
      <c r="E3115" s="13">
        <v>307.59274900000003</v>
      </c>
      <c r="F3115" s="13">
        <v>285.85840000000002</v>
      </c>
      <c r="G3115" s="13">
        <v>268.07757299999997</v>
      </c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</row>
    <row r="3116" spans="1:19" x14ac:dyDescent="0.2">
      <c r="A3116" s="12" t="s">
        <v>424</v>
      </c>
      <c r="B3116" s="12" t="s">
        <v>573</v>
      </c>
      <c r="C3116" s="12" t="s">
        <v>560</v>
      </c>
      <c r="D3116" s="13">
        <v>0</v>
      </c>
      <c r="E3116" s="13">
        <v>0</v>
      </c>
      <c r="F3116" s="13">
        <v>0</v>
      </c>
      <c r="G3116" s="13">
        <v>0</v>
      </c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</row>
    <row r="3117" spans="1:19" x14ac:dyDescent="0.2">
      <c r="A3117" s="12" t="s">
        <v>424</v>
      </c>
      <c r="B3117" s="12" t="s">
        <v>573</v>
      </c>
      <c r="C3117" s="12" t="s">
        <v>561</v>
      </c>
      <c r="D3117" s="13">
        <v>235</v>
      </c>
      <c r="E3117" s="13">
        <v>250.121027</v>
      </c>
      <c r="F3117" s="13">
        <v>235.533467</v>
      </c>
      <c r="G3117" s="13">
        <v>217.61037400000001</v>
      </c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</row>
    <row r="3118" spans="1:19" x14ac:dyDescent="0.2">
      <c r="A3118" s="12" t="s">
        <v>424</v>
      </c>
      <c r="B3118" s="12" t="s">
        <v>573</v>
      </c>
      <c r="C3118" s="12" t="s">
        <v>562</v>
      </c>
      <c r="D3118" s="13">
        <v>36</v>
      </c>
      <c r="E3118" s="13">
        <v>38.456960000000002</v>
      </c>
      <c r="F3118" s="13">
        <v>35.685842000000001</v>
      </c>
      <c r="G3118" s="13">
        <v>30.658065000000001</v>
      </c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</row>
    <row r="3119" spans="1:19" x14ac:dyDescent="0.2">
      <c r="A3119" s="12" t="s">
        <v>424</v>
      </c>
      <c r="B3119" s="12" t="s">
        <v>573</v>
      </c>
      <c r="C3119" s="12" t="s">
        <v>563</v>
      </c>
      <c r="D3119" s="13">
        <v>0</v>
      </c>
      <c r="E3119" s="13">
        <v>0</v>
      </c>
      <c r="F3119" s="13">
        <v>0</v>
      </c>
      <c r="G3119" s="13">
        <v>0</v>
      </c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</row>
    <row r="3120" spans="1:19" x14ac:dyDescent="0.2">
      <c r="A3120" s="12" t="s">
        <v>424</v>
      </c>
      <c r="B3120" s="12" t="s">
        <v>573</v>
      </c>
      <c r="C3120" s="12" t="s">
        <v>564</v>
      </c>
      <c r="D3120" s="13">
        <v>152</v>
      </c>
      <c r="E3120" s="13">
        <v>169.99999800000001</v>
      </c>
      <c r="F3120" s="13">
        <v>152.27000100000001</v>
      </c>
      <c r="G3120" s="13">
        <v>146.009998</v>
      </c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</row>
    <row r="3121" spans="1:19" x14ac:dyDescent="0.2">
      <c r="A3121" s="12" t="s">
        <v>424</v>
      </c>
      <c r="B3121" s="12" t="s">
        <v>573</v>
      </c>
      <c r="C3121" s="12" t="s">
        <v>565</v>
      </c>
      <c r="D3121" s="13">
        <v>46</v>
      </c>
      <c r="E3121" s="13">
        <v>40.814069000000003</v>
      </c>
      <c r="F3121" s="13">
        <v>46.802624999999999</v>
      </c>
      <c r="G3121" s="13">
        <v>40.291314</v>
      </c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</row>
    <row r="3122" spans="1:19" x14ac:dyDescent="0.2">
      <c r="A3122" s="12" t="s">
        <v>424</v>
      </c>
      <c r="B3122" s="12" t="s">
        <v>573</v>
      </c>
      <c r="C3122" s="12" t="s">
        <v>566</v>
      </c>
      <c r="D3122" s="13">
        <v>1</v>
      </c>
      <c r="E3122" s="13">
        <v>0.85</v>
      </c>
      <c r="F3122" s="13">
        <v>0.77500199999999997</v>
      </c>
      <c r="G3122" s="13">
        <v>0.65100099999999994</v>
      </c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</row>
    <row r="3123" spans="1:19" x14ac:dyDescent="0.2">
      <c r="A3123" s="12" t="s">
        <v>424</v>
      </c>
      <c r="B3123" s="12" t="s">
        <v>574</v>
      </c>
      <c r="C3123" s="12" t="s">
        <v>554</v>
      </c>
      <c r="D3123" s="13">
        <v>2421</v>
      </c>
      <c r="E3123" s="13">
        <v>2505.6240590000002</v>
      </c>
      <c r="F3123" s="13">
        <v>2461.5128719999998</v>
      </c>
      <c r="G3123" s="13">
        <v>2249.0666769999998</v>
      </c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</row>
    <row r="3124" spans="1:19" x14ac:dyDescent="0.2">
      <c r="A3124" s="12" t="s">
        <v>424</v>
      </c>
      <c r="B3124" s="12" t="s">
        <v>574</v>
      </c>
      <c r="C3124" s="12" t="s">
        <v>555</v>
      </c>
      <c r="D3124" s="13">
        <v>2449</v>
      </c>
      <c r="E3124" s="13">
        <v>2501.1197109999998</v>
      </c>
      <c r="F3124" s="13">
        <v>2691.7812949999998</v>
      </c>
      <c r="G3124" s="13">
        <v>2650.3930190000001</v>
      </c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</row>
    <row r="3125" spans="1:19" x14ac:dyDescent="0.2">
      <c r="A3125" s="12" t="s">
        <v>424</v>
      </c>
      <c r="B3125" s="12" t="s">
        <v>574</v>
      </c>
      <c r="C3125" s="12" t="s">
        <v>556</v>
      </c>
      <c r="D3125" s="13">
        <v>-616</v>
      </c>
      <c r="E3125" s="13">
        <v>-642.79849999999999</v>
      </c>
      <c r="F3125" s="13">
        <v>-671.23058500000002</v>
      </c>
      <c r="G3125" s="13">
        <v>-671.31257499999992</v>
      </c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</row>
    <row r="3126" spans="1:19" x14ac:dyDescent="0.2">
      <c r="A3126" s="12" t="s">
        <v>424</v>
      </c>
      <c r="B3126" s="12" t="s">
        <v>574</v>
      </c>
      <c r="C3126" s="12" t="s">
        <v>557</v>
      </c>
      <c r="D3126" s="13">
        <v>4258</v>
      </c>
      <c r="E3126" s="13">
        <v>4521.3402290000004</v>
      </c>
      <c r="F3126" s="13">
        <v>4313.5577819999999</v>
      </c>
      <c r="G3126" s="13">
        <v>4053.8864079999998</v>
      </c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</row>
    <row r="3127" spans="1:19" x14ac:dyDescent="0.2">
      <c r="A3127" s="12" t="s">
        <v>424</v>
      </c>
      <c r="B3127" s="12" t="s">
        <v>574</v>
      </c>
      <c r="C3127" s="12" t="s">
        <v>558</v>
      </c>
      <c r="D3127" s="13">
        <v>-675</v>
      </c>
      <c r="E3127" s="13">
        <v>-775.85203999999999</v>
      </c>
      <c r="F3127" s="13">
        <v>-748.74743799999999</v>
      </c>
      <c r="G3127" s="13">
        <v>-607.93745799999988</v>
      </c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</row>
    <row r="3128" spans="1:19" x14ac:dyDescent="0.2">
      <c r="A3128" s="12" t="s">
        <v>424</v>
      </c>
      <c r="B3128" s="12" t="s">
        <v>574</v>
      </c>
      <c r="C3128" s="12" t="s">
        <v>560</v>
      </c>
      <c r="D3128" s="13">
        <v>-17</v>
      </c>
      <c r="E3128" s="13">
        <v>-4.7016340000000003</v>
      </c>
      <c r="F3128" s="13">
        <v>-10.688000000000001</v>
      </c>
      <c r="G3128" s="13">
        <v>-32.347883000000003</v>
      </c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</row>
    <row r="3129" spans="1:19" x14ac:dyDescent="0.2">
      <c r="A3129" s="12" t="s">
        <v>424</v>
      </c>
      <c r="B3129" s="12" t="s">
        <v>574</v>
      </c>
      <c r="C3129" s="12" t="s">
        <v>561</v>
      </c>
      <c r="D3129" s="13">
        <v>3170</v>
      </c>
      <c r="E3129" s="13">
        <v>3310.9815119999998</v>
      </c>
      <c r="F3129" s="13">
        <v>3181.9179429999999</v>
      </c>
      <c r="G3129" s="13">
        <v>3045.8675669999998</v>
      </c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</row>
    <row r="3130" spans="1:19" x14ac:dyDescent="0.2">
      <c r="A3130" s="12" t="s">
        <v>424</v>
      </c>
      <c r="B3130" s="12" t="s">
        <v>574</v>
      </c>
      <c r="C3130" s="12" t="s">
        <v>562</v>
      </c>
      <c r="D3130" s="13">
        <v>670</v>
      </c>
      <c r="E3130" s="13">
        <v>682.57763399999999</v>
      </c>
      <c r="F3130" s="13">
        <v>634.22028699999998</v>
      </c>
      <c r="G3130" s="13">
        <v>574.45395099999996</v>
      </c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</row>
    <row r="3131" spans="1:19" x14ac:dyDescent="0.2">
      <c r="A3131" s="12" t="s">
        <v>424</v>
      </c>
      <c r="B3131" s="12" t="s">
        <v>574</v>
      </c>
      <c r="C3131" s="12" t="s">
        <v>563</v>
      </c>
      <c r="D3131" s="13">
        <v>908</v>
      </c>
      <c r="E3131" s="13">
        <v>982.91141400000004</v>
      </c>
      <c r="F3131" s="13">
        <v>984.54737699999998</v>
      </c>
      <c r="G3131" s="13">
        <v>992.39602300000001</v>
      </c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</row>
    <row r="3132" spans="1:19" x14ac:dyDescent="0.2">
      <c r="A3132" s="12" t="s">
        <v>424</v>
      </c>
      <c r="B3132" s="12" t="s">
        <v>574</v>
      </c>
      <c r="C3132" s="12" t="s">
        <v>564</v>
      </c>
      <c r="D3132" s="13">
        <v>872</v>
      </c>
      <c r="E3132" s="13">
        <v>912.05372199999999</v>
      </c>
      <c r="F3132" s="13">
        <v>836.67928500000005</v>
      </c>
      <c r="G3132" s="13">
        <v>808.14972599999999</v>
      </c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</row>
    <row r="3133" spans="1:19" x14ac:dyDescent="0.2">
      <c r="A3133" s="12" t="s">
        <v>424</v>
      </c>
      <c r="B3133" s="12" t="s">
        <v>574</v>
      </c>
      <c r="C3133" s="12" t="s">
        <v>565</v>
      </c>
      <c r="D3133" s="13">
        <v>312</v>
      </c>
      <c r="E3133" s="13">
        <v>350.27881200000002</v>
      </c>
      <c r="F3133" s="13">
        <v>339.43722400000001</v>
      </c>
      <c r="G3133" s="13">
        <v>337.88188200000002</v>
      </c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</row>
    <row r="3134" spans="1:19" x14ac:dyDescent="0.2">
      <c r="A3134" s="12" t="s">
        <v>424</v>
      </c>
      <c r="B3134" s="12" t="s">
        <v>574</v>
      </c>
      <c r="C3134" s="12" t="s">
        <v>566</v>
      </c>
      <c r="D3134" s="13">
        <v>408</v>
      </c>
      <c r="E3134" s="13">
        <v>383.15992599999998</v>
      </c>
      <c r="F3134" s="13">
        <v>387.03376300000002</v>
      </c>
      <c r="G3134" s="13">
        <v>332.98597999999998</v>
      </c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</row>
    <row r="3135" spans="1:19" x14ac:dyDescent="0.2">
      <c r="A3135" s="12" t="s">
        <v>430</v>
      </c>
      <c r="B3135" s="12" t="s">
        <v>553</v>
      </c>
      <c r="C3135" s="12" t="s">
        <v>554</v>
      </c>
      <c r="D3135" s="13">
        <v>0</v>
      </c>
      <c r="E3135" s="13">
        <v>0</v>
      </c>
      <c r="F3135" s="13">
        <v>0</v>
      </c>
      <c r="G3135" s="13">
        <v>0</v>
      </c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</row>
    <row r="3136" spans="1:19" x14ac:dyDescent="0.2">
      <c r="A3136" s="12" t="s">
        <v>430</v>
      </c>
      <c r="B3136" s="12" t="s">
        <v>553</v>
      </c>
      <c r="C3136" s="12" t="s">
        <v>555</v>
      </c>
      <c r="D3136" s="13">
        <v>0</v>
      </c>
      <c r="E3136" s="13">
        <v>0.37165399999999998</v>
      </c>
      <c r="F3136" s="13">
        <v>0.30702600000000002</v>
      </c>
      <c r="G3136" s="13">
        <v>0.17793100000000001</v>
      </c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</row>
    <row r="3137" spans="1:19" x14ac:dyDescent="0.2">
      <c r="A3137" s="12" t="s">
        <v>430</v>
      </c>
      <c r="B3137" s="12" t="s">
        <v>553</v>
      </c>
      <c r="C3137" s="12" t="s">
        <v>556</v>
      </c>
      <c r="D3137" s="13">
        <v>-2</v>
      </c>
      <c r="E3137" s="13">
        <v>0</v>
      </c>
      <c r="F3137" s="13">
        <v>0</v>
      </c>
      <c r="G3137" s="13">
        <v>0</v>
      </c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</row>
    <row r="3138" spans="1:19" x14ac:dyDescent="0.2">
      <c r="A3138" s="12" t="s">
        <v>430</v>
      </c>
      <c r="B3138" s="12" t="s">
        <v>553</v>
      </c>
      <c r="C3138" s="12" t="s">
        <v>557</v>
      </c>
      <c r="D3138" s="13">
        <v>24</v>
      </c>
      <c r="E3138" s="13">
        <v>8.1892680000000002</v>
      </c>
      <c r="F3138" s="13">
        <v>0.28583300000000011</v>
      </c>
      <c r="G3138" s="13">
        <v>0.21989500000000001</v>
      </c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</row>
    <row r="3139" spans="1:19" x14ac:dyDescent="0.2">
      <c r="A3139" s="12" t="s">
        <v>430</v>
      </c>
      <c r="B3139" s="12" t="s">
        <v>553</v>
      </c>
      <c r="C3139" s="12" t="s">
        <v>558</v>
      </c>
      <c r="D3139" s="13">
        <v>-23</v>
      </c>
      <c r="E3139" s="13">
        <v>-7.7706549999999996</v>
      </c>
      <c r="F3139" s="13">
        <v>0</v>
      </c>
      <c r="G3139" s="13">
        <v>0</v>
      </c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</row>
    <row r="3140" spans="1:19" x14ac:dyDescent="0.2">
      <c r="A3140" s="12" t="s">
        <v>430</v>
      </c>
      <c r="B3140" s="12" t="s">
        <v>553</v>
      </c>
      <c r="C3140" s="12" t="s">
        <v>560</v>
      </c>
      <c r="D3140" s="13">
        <v>0</v>
      </c>
      <c r="E3140" s="13">
        <v>0</v>
      </c>
      <c r="F3140" s="13">
        <v>0</v>
      </c>
      <c r="G3140" s="13">
        <v>0</v>
      </c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</row>
    <row r="3141" spans="1:19" x14ac:dyDescent="0.2">
      <c r="A3141" s="12" t="s">
        <v>430</v>
      </c>
      <c r="B3141" s="12" t="s">
        <v>553</v>
      </c>
      <c r="C3141" s="12" t="s">
        <v>561</v>
      </c>
      <c r="D3141" s="13">
        <v>0</v>
      </c>
      <c r="E3141" s="13">
        <v>0.41783399999999998</v>
      </c>
      <c r="F3141" s="13">
        <v>0.28554000000000002</v>
      </c>
      <c r="G3141" s="13">
        <v>0.20885000000000001</v>
      </c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</row>
    <row r="3142" spans="1:19" x14ac:dyDescent="0.2">
      <c r="A3142" s="12" t="s">
        <v>430</v>
      </c>
      <c r="B3142" s="12" t="s">
        <v>553</v>
      </c>
      <c r="C3142" s="12" t="s">
        <v>562</v>
      </c>
      <c r="D3142" s="13">
        <v>0</v>
      </c>
      <c r="E3142" s="13">
        <v>0.41783399999999998</v>
      </c>
      <c r="F3142" s="13">
        <v>0.28554000000000002</v>
      </c>
      <c r="G3142" s="13">
        <v>0.20885000000000001</v>
      </c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</row>
    <row r="3143" spans="1:19" x14ac:dyDescent="0.2">
      <c r="A3143" s="12" t="s">
        <v>430</v>
      </c>
      <c r="B3143" s="12" t="s">
        <v>553</v>
      </c>
      <c r="C3143" s="12" t="s">
        <v>563</v>
      </c>
      <c r="D3143" s="13">
        <v>0</v>
      </c>
      <c r="E3143" s="13">
        <v>0</v>
      </c>
      <c r="F3143" s="13">
        <v>0</v>
      </c>
      <c r="G3143" s="13">
        <v>0</v>
      </c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</row>
    <row r="3144" spans="1:19" x14ac:dyDescent="0.2">
      <c r="A3144" s="12" t="s">
        <v>430</v>
      </c>
      <c r="B3144" s="12" t="s">
        <v>553</v>
      </c>
      <c r="C3144" s="12" t="s">
        <v>564</v>
      </c>
      <c r="D3144" s="13">
        <v>0</v>
      </c>
      <c r="E3144" s="13">
        <v>0</v>
      </c>
      <c r="F3144" s="13">
        <v>0</v>
      </c>
      <c r="G3144" s="13">
        <v>0</v>
      </c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</row>
    <row r="3145" spans="1:19" x14ac:dyDescent="0.2">
      <c r="A3145" s="12" t="s">
        <v>430</v>
      </c>
      <c r="B3145" s="12" t="s">
        <v>553</v>
      </c>
      <c r="C3145" s="12" t="s">
        <v>565</v>
      </c>
      <c r="D3145" s="13">
        <v>0</v>
      </c>
      <c r="E3145" s="13">
        <v>0</v>
      </c>
      <c r="F3145" s="13">
        <v>0</v>
      </c>
      <c r="G3145" s="13">
        <v>0</v>
      </c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</row>
    <row r="3146" spans="1:19" x14ac:dyDescent="0.2">
      <c r="A3146" s="12" t="s">
        <v>430</v>
      </c>
      <c r="B3146" s="12" t="s">
        <v>553</v>
      </c>
      <c r="C3146" s="12" t="s">
        <v>566</v>
      </c>
      <c r="D3146" s="13">
        <v>0</v>
      </c>
      <c r="E3146" s="13">
        <v>0</v>
      </c>
      <c r="F3146" s="13">
        <v>0</v>
      </c>
      <c r="G3146" s="13">
        <v>0</v>
      </c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</row>
    <row r="3147" spans="1:19" x14ac:dyDescent="0.2">
      <c r="A3147" s="12" t="s">
        <v>430</v>
      </c>
      <c r="B3147" s="12" t="s">
        <v>567</v>
      </c>
      <c r="C3147" s="12" t="s">
        <v>554</v>
      </c>
      <c r="D3147" s="13">
        <v>0</v>
      </c>
      <c r="E3147" s="13">
        <v>0</v>
      </c>
      <c r="F3147" s="13">
        <v>0</v>
      </c>
      <c r="G3147" s="13">
        <v>0</v>
      </c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</row>
    <row r="3148" spans="1:19" x14ac:dyDescent="0.2">
      <c r="A3148" s="12" t="s">
        <v>430</v>
      </c>
      <c r="B3148" s="12" t="s">
        <v>567</v>
      </c>
      <c r="C3148" s="12" t="s">
        <v>555</v>
      </c>
      <c r="D3148" s="13">
        <v>497</v>
      </c>
      <c r="E3148" s="13">
        <v>466.95733799999999</v>
      </c>
      <c r="F3148" s="13">
        <v>500.620248</v>
      </c>
      <c r="G3148" s="13">
        <v>459.91738400000003</v>
      </c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</row>
    <row r="3149" spans="1:19" x14ac:dyDescent="0.2">
      <c r="A3149" s="12" t="s">
        <v>430</v>
      </c>
      <c r="B3149" s="12" t="s">
        <v>567</v>
      </c>
      <c r="C3149" s="12" t="s">
        <v>556</v>
      </c>
      <c r="D3149" s="13">
        <v>-6</v>
      </c>
      <c r="E3149" s="13">
        <v>-6.4278310000000003</v>
      </c>
      <c r="F3149" s="13">
        <v>-5.3137530000000002</v>
      </c>
      <c r="G3149" s="13">
        <v>-1.609812</v>
      </c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</row>
    <row r="3150" spans="1:19" x14ac:dyDescent="0.2">
      <c r="A3150" s="12" t="s">
        <v>430</v>
      </c>
      <c r="B3150" s="12" t="s">
        <v>567</v>
      </c>
      <c r="C3150" s="12" t="s">
        <v>557</v>
      </c>
      <c r="D3150" s="13">
        <v>500</v>
      </c>
      <c r="E3150" s="13">
        <v>467.55838599999998</v>
      </c>
      <c r="F3150" s="13">
        <v>499.94566200000003</v>
      </c>
      <c r="G3150" s="13">
        <v>455.09325300000012</v>
      </c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</row>
    <row r="3151" spans="1:19" x14ac:dyDescent="0.2">
      <c r="A3151" s="12" t="s">
        <v>430</v>
      </c>
      <c r="B3151" s="12" t="s">
        <v>567</v>
      </c>
      <c r="C3151" s="12" t="s">
        <v>558</v>
      </c>
      <c r="D3151" s="13">
        <v>0</v>
      </c>
      <c r="E3151" s="13">
        <v>0</v>
      </c>
      <c r="F3151" s="13">
        <v>0</v>
      </c>
      <c r="G3151" s="13">
        <v>0</v>
      </c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</row>
    <row r="3152" spans="1:19" x14ac:dyDescent="0.2">
      <c r="A3152" s="12" t="s">
        <v>430</v>
      </c>
      <c r="B3152" s="12" t="s">
        <v>567</v>
      </c>
      <c r="C3152" s="12" t="s">
        <v>560</v>
      </c>
      <c r="D3152" s="13">
        <v>-518</v>
      </c>
      <c r="E3152" s="13">
        <v>-485.77583099999998</v>
      </c>
      <c r="F3152" s="13">
        <v>-512.04531300000008</v>
      </c>
      <c r="G3152" s="13">
        <v>-468.197472</v>
      </c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</row>
    <row r="3153" spans="1:19" x14ac:dyDescent="0.2">
      <c r="A3153" s="12" t="s">
        <v>430</v>
      </c>
      <c r="B3153" s="12" t="s">
        <v>567</v>
      </c>
      <c r="C3153" s="12" t="s">
        <v>561</v>
      </c>
      <c r="D3153" s="13">
        <v>0</v>
      </c>
      <c r="E3153" s="13">
        <v>0</v>
      </c>
      <c r="F3153" s="13">
        <v>0</v>
      </c>
      <c r="G3153" s="13">
        <v>0</v>
      </c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</row>
    <row r="3154" spans="1:19" x14ac:dyDescent="0.2">
      <c r="A3154" s="12" t="s">
        <v>430</v>
      </c>
      <c r="B3154" s="12" t="s">
        <v>567</v>
      </c>
      <c r="C3154" s="12" t="s">
        <v>562</v>
      </c>
      <c r="D3154" s="13">
        <v>0</v>
      </c>
      <c r="E3154" s="13">
        <v>0</v>
      </c>
      <c r="F3154" s="13">
        <v>0</v>
      </c>
      <c r="G3154" s="13">
        <v>0</v>
      </c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</row>
    <row r="3155" spans="1:19" x14ac:dyDescent="0.2">
      <c r="A3155" s="12" t="s">
        <v>430</v>
      </c>
      <c r="B3155" s="12" t="s">
        <v>567</v>
      </c>
      <c r="C3155" s="12" t="s">
        <v>563</v>
      </c>
      <c r="D3155" s="13">
        <v>0</v>
      </c>
      <c r="E3155" s="13">
        <v>0</v>
      </c>
      <c r="F3155" s="13">
        <v>0</v>
      </c>
      <c r="G3155" s="13">
        <v>0</v>
      </c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</row>
    <row r="3156" spans="1:19" x14ac:dyDescent="0.2">
      <c r="A3156" s="12" t="s">
        <v>430</v>
      </c>
      <c r="B3156" s="12" t="s">
        <v>567</v>
      </c>
      <c r="C3156" s="12" t="s">
        <v>564</v>
      </c>
      <c r="D3156" s="13">
        <v>0</v>
      </c>
      <c r="E3156" s="13">
        <v>0</v>
      </c>
      <c r="F3156" s="13">
        <v>0</v>
      </c>
      <c r="G3156" s="13">
        <v>0</v>
      </c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</row>
    <row r="3157" spans="1:19" x14ac:dyDescent="0.2">
      <c r="A3157" s="12" t="s">
        <v>430</v>
      </c>
      <c r="B3157" s="12" t="s">
        <v>567</v>
      </c>
      <c r="C3157" s="12" t="s">
        <v>565</v>
      </c>
      <c r="D3157" s="13">
        <v>0</v>
      </c>
      <c r="E3157" s="13">
        <v>0</v>
      </c>
      <c r="F3157" s="13">
        <v>0</v>
      </c>
      <c r="G3157" s="13">
        <v>0</v>
      </c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</row>
    <row r="3158" spans="1:19" x14ac:dyDescent="0.2">
      <c r="A3158" s="12" t="s">
        <v>430</v>
      </c>
      <c r="B3158" s="12" t="s">
        <v>567</v>
      </c>
      <c r="C3158" s="12" t="s">
        <v>566</v>
      </c>
      <c r="D3158" s="13">
        <v>0</v>
      </c>
      <c r="E3158" s="13">
        <v>0</v>
      </c>
      <c r="F3158" s="13">
        <v>0</v>
      </c>
      <c r="G3158" s="13">
        <v>0</v>
      </c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</row>
    <row r="3159" spans="1:19" x14ac:dyDescent="0.2">
      <c r="A3159" s="12" t="s">
        <v>430</v>
      </c>
      <c r="B3159" s="12" t="s">
        <v>568</v>
      </c>
      <c r="C3159" s="12" t="s">
        <v>554</v>
      </c>
      <c r="D3159" s="13">
        <v>0</v>
      </c>
      <c r="E3159" s="13">
        <v>0</v>
      </c>
      <c r="F3159" s="13">
        <v>0</v>
      </c>
      <c r="G3159" s="13">
        <v>0</v>
      </c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</row>
    <row r="3160" spans="1:19" x14ac:dyDescent="0.2">
      <c r="A3160" s="12" t="s">
        <v>430</v>
      </c>
      <c r="B3160" s="12" t="s">
        <v>568</v>
      </c>
      <c r="C3160" s="12" t="s">
        <v>555</v>
      </c>
      <c r="D3160" s="13">
        <v>118</v>
      </c>
      <c r="E3160" s="13">
        <v>146.282861</v>
      </c>
      <c r="F3160" s="13">
        <v>143.48141799999999</v>
      </c>
      <c r="G3160" s="13">
        <v>155.58129099999999</v>
      </c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</row>
    <row r="3161" spans="1:19" x14ac:dyDescent="0.2">
      <c r="A3161" s="12" t="s">
        <v>430</v>
      </c>
      <c r="B3161" s="12" t="s">
        <v>568</v>
      </c>
      <c r="C3161" s="12" t="s">
        <v>556</v>
      </c>
      <c r="D3161" s="13">
        <v>-215</v>
      </c>
      <c r="E3161" s="13">
        <v>-204.717601</v>
      </c>
      <c r="F3161" s="13">
        <v>-185.03836000000001</v>
      </c>
      <c r="G3161" s="13">
        <v>-169.52600200000001</v>
      </c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</row>
    <row r="3162" spans="1:19" x14ac:dyDescent="0.2">
      <c r="A3162" s="12" t="s">
        <v>430</v>
      </c>
      <c r="B3162" s="12" t="s">
        <v>568</v>
      </c>
      <c r="C3162" s="12" t="s">
        <v>557</v>
      </c>
      <c r="D3162" s="13">
        <v>-147</v>
      </c>
      <c r="E3162" s="13">
        <v>-112.26555</v>
      </c>
      <c r="F3162" s="13">
        <v>-127.654703</v>
      </c>
      <c r="G3162" s="13">
        <v>-99.290075000000002</v>
      </c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</row>
    <row r="3163" spans="1:19" x14ac:dyDescent="0.2">
      <c r="A3163" s="12" t="s">
        <v>430</v>
      </c>
      <c r="B3163" s="12" t="s">
        <v>568</v>
      </c>
      <c r="C3163" s="12" t="s">
        <v>558</v>
      </c>
      <c r="D3163" s="13">
        <v>-10</v>
      </c>
      <c r="E3163" s="13">
        <v>-10.553675999999999</v>
      </c>
      <c r="F3163" s="13">
        <v>-10.524471999999999</v>
      </c>
      <c r="G3163" s="13">
        <v>-10.659763999999999</v>
      </c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</row>
    <row r="3164" spans="1:19" x14ac:dyDescent="0.2">
      <c r="A3164" s="12" t="s">
        <v>430</v>
      </c>
      <c r="B3164" s="12" t="s">
        <v>568</v>
      </c>
      <c r="C3164" s="12" t="s">
        <v>560</v>
      </c>
      <c r="D3164" s="13">
        <v>503</v>
      </c>
      <c r="E3164" s="13">
        <v>473.20895000000002</v>
      </c>
      <c r="F3164" s="13">
        <v>500.88610100000011</v>
      </c>
      <c r="G3164" s="13">
        <v>455.22215599999998</v>
      </c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</row>
    <row r="3165" spans="1:19" x14ac:dyDescent="0.2">
      <c r="A3165" s="12" t="s">
        <v>430</v>
      </c>
      <c r="B3165" s="12" t="s">
        <v>568</v>
      </c>
      <c r="C3165" s="12" t="s">
        <v>561</v>
      </c>
      <c r="D3165" s="13">
        <v>307</v>
      </c>
      <c r="E3165" s="13">
        <v>321.28241700000001</v>
      </c>
      <c r="F3165" s="13">
        <v>324.048427</v>
      </c>
      <c r="G3165" s="13">
        <v>316.69247000000001</v>
      </c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</row>
    <row r="3166" spans="1:19" x14ac:dyDescent="0.2">
      <c r="A3166" s="12" t="s">
        <v>430</v>
      </c>
      <c r="B3166" s="12" t="s">
        <v>568</v>
      </c>
      <c r="C3166" s="12" t="s">
        <v>562</v>
      </c>
      <c r="D3166" s="13">
        <v>23</v>
      </c>
      <c r="E3166" s="13">
        <v>21.379149000000002</v>
      </c>
      <c r="F3166" s="13">
        <v>24.567339</v>
      </c>
      <c r="G3166" s="13">
        <v>22.617796999999999</v>
      </c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</row>
    <row r="3167" spans="1:19" x14ac:dyDescent="0.2">
      <c r="A3167" s="12" t="s">
        <v>430</v>
      </c>
      <c r="B3167" s="12" t="s">
        <v>568</v>
      </c>
      <c r="C3167" s="12" t="s">
        <v>563</v>
      </c>
      <c r="D3167" s="13">
        <v>195</v>
      </c>
      <c r="E3167" s="13">
        <v>210.48831799999999</v>
      </c>
      <c r="F3167" s="13">
        <v>223.53680700000001</v>
      </c>
      <c r="G3167" s="13">
        <v>238.42662899999999</v>
      </c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</row>
    <row r="3168" spans="1:19" x14ac:dyDescent="0.2">
      <c r="A3168" s="12" t="s">
        <v>430</v>
      </c>
      <c r="B3168" s="12" t="s">
        <v>568</v>
      </c>
      <c r="C3168" s="12" t="s">
        <v>564</v>
      </c>
      <c r="D3168" s="13">
        <v>19</v>
      </c>
      <c r="E3168" s="13">
        <v>16.463004000000002</v>
      </c>
      <c r="F3168" s="13">
        <v>14.816985000000001</v>
      </c>
      <c r="G3168" s="13">
        <v>13.959009</v>
      </c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</row>
    <row r="3169" spans="1:19" x14ac:dyDescent="0.2">
      <c r="A3169" s="12" t="s">
        <v>430</v>
      </c>
      <c r="B3169" s="12" t="s">
        <v>568</v>
      </c>
      <c r="C3169" s="12" t="s">
        <v>565</v>
      </c>
      <c r="D3169" s="13">
        <v>5</v>
      </c>
      <c r="E3169" s="13">
        <v>4.5067259999999996</v>
      </c>
      <c r="F3169" s="13">
        <v>4.8474350000000008</v>
      </c>
      <c r="G3169" s="13">
        <v>4.8369470000000003</v>
      </c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</row>
    <row r="3170" spans="1:19" x14ac:dyDescent="0.2">
      <c r="A3170" s="12" t="s">
        <v>430</v>
      </c>
      <c r="B3170" s="12" t="s">
        <v>568</v>
      </c>
      <c r="C3170" s="12" t="s">
        <v>566</v>
      </c>
      <c r="D3170" s="13">
        <v>65</v>
      </c>
      <c r="E3170" s="13">
        <v>68.445219999999992</v>
      </c>
      <c r="F3170" s="13">
        <v>56.279859999999992</v>
      </c>
      <c r="G3170" s="13">
        <v>36.852093000000004</v>
      </c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</row>
    <row r="3171" spans="1:19" x14ac:dyDescent="0.2">
      <c r="A3171" s="12" t="s">
        <v>430</v>
      </c>
      <c r="B3171" s="12" t="s">
        <v>569</v>
      </c>
      <c r="C3171" s="12" t="s">
        <v>554</v>
      </c>
      <c r="D3171" s="13">
        <v>0</v>
      </c>
      <c r="E3171" s="13">
        <v>0</v>
      </c>
      <c r="F3171" s="13">
        <v>0</v>
      </c>
      <c r="G3171" s="13">
        <v>0</v>
      </c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</row>
    <row r="3172" spans="1:19" x14ac:dyDescent="0.2">
      <c r="A3172" s="12" t="s">
        <v>430</v>
      </c>
      <c r="B3172" s="12" t="s">
        <v>569</v>
      </c>
      <c r="C3172" s="12" t="s">
        <v>555</v>
      </c>
      <c r="D3172" s="13">
        <v>216</v>
      </c>
      <c r="E3172" s="13">
        <v>207.56160199999999</v>
      </c>
      <c r="F3172" s="13">
        <v>209.033874</v>
      </c>
      <c r="G3172" s="13">
        <v>155.45235500000001</v>
      </c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</row>
    <row r="3173" spans="1:19" x14ac:dyDescent="0.2">
      <c r="A3173" s="12" t="s">
        <v>430</v>
      </c>
      <c r="B3173" s="12" t="s">
        <v>569</v>
      </c>
      <c r="C3173" s="12" t="s">
        <v>556</v>
      </c>
      <c r="D3173" s="13">
        <v>0</v>
      </c>
      <c r="E3173" s="13">
        <v>0</v>
      </c>
      <c r="F3173" s="13">
        <v>0</v>
      </c>
      <c r="G3173" s="13">
        <v>0</v>
      </c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</row>
    <row r="3174" spans="1:19" x14ac:dyDescent="0.2">
      <c r="A3174" s="12" t="s">
        <v>430</v>
      </c>
      <c r="B3174" s="12" t="s">
        <v>569</v>
      </c>
      <c r="C3174" s="12" t="s">
        <v>557</v>
      </c>
      <c r="D3174" s="13">
        <v>217</v>
      </c>
      <c r="E3174" s="13">
        <v>207.46901500000001</v>
      </c>
      <c r="F3174" s="13">
        <v>200.996645</v>
      </c>
      <c r="G3174" s="13">
        <v>159.3905</v>
      </c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</row>
    <row r="3175" spans="1:19" x14ac:dyDescent="0.2">
      <c r="A3175" s="12" t="s">
        <v>430</v>
      </c>
      <c r="B3175" s="12" t="s">
        <v>569</v>
      </c>
      <c r="C3175" s="12" t="s">
        <v>558</v>
      </c>
      <c r="D3175" s="13">
        <v>-133</v>
      </c>
      <c r="E3175" s="13">
        <v>-117.222281</v>
      </c>
      <c r="F3175" s="13">
        <v>-122.377447</v>
      </c>
      <c r="G3175" s="13">
        <v>-76.694233999999994</v>
      </c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</row>
    <row r="3176" spans="1:19" x14ac:dyDescent="0.2">
      <c r="A3176" s="12" t="s">
        <v>430</v>
      </c>
      <c r="B3176" s="12" t="s">
        <v>569</v>
      </c>
      <c r="C3176" s="12" t="s">
        <v>560</v>
      </c>
      <c r="D3176" s="13">
        <v>0</v>
      </c>
      <c r="E3176" s="13">
        <v>0</v>
      </c>
      <c r="F3176" s="13">
        <v>0</v>
      </c>
      <c r="G3176" s="13">
        <v>0</v>
      </c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</row>
    <row r="3177" spans="1:19" x14ac:dyDescent="0.2">
      <c r="A3177" s="12" t="s">
        <v>430</v>
      </c>
      <c r="B3177" s="12" t="s">
        <v>569</v>
      </c>
      <c r="C3177" s="12" t="s">
        <v>561</v>
      </c>
      <c r="D3177" s="13">
        <v>73</v>
      </c>
      <c r="E3177" s="13">
        <v>80.427611999999996</v>
      </c>
      <c r="F3177" s="13">
        <v>72.823318999999998</v>
      </c>
      <c r="G3177" s="13">
        <v>70.925207999999998</v>
      </c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</row>
    <row r="3178" spans="1:19" x14ac:dyDescent="0.2">
      <c r="A3178" s="12" t="s">
        <v>430</v>
      </c>
      <c r="B3178" s="12" t="s">
        <v>569</v>
      </c>
      <c r="C3178" s="12" t="s">
        <v>562</v>
      </c>
      <c r="D3178" s="13">
        <v>49</v>
      </c>
      <c r="E3178" s="13">
        <v>54.826092000000003</v>
      </c>
      <c r="F3178" s="13">
        <v>48.636522999999997</v>
      </c>
      <c r="G3178" s="13">
        <v>47.202908000000001</v>
      </c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</row>
    <row r="3179" spans="1:19" x14ac:dyDescent="0.2">
      <c r="A3179" s="12" t="s">
        <v>430</v>
      </c>
      <c r="B3179" s="12" t="s">
        <v>569</v>
      </c>
      <c r="C3179" s="12" t="s">
        <v>563</v>
      </c>
      <c r="D3179" s="13">
        <v>1</v>
      </c>
      <c r="E3179" s="13">
        <v>0.99310100000000001</v>
      </c>
      <c r="F3179" s="13">
        <v>1.365324</v>
      </c>
      <c r="G3179" s="13">
        <v>1.423173</v>
      </c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</row>
    <row r="3180" spans="1:19" x14ac:dyDescent="0.2">
      <c r="A3180" s="12" t="s">
        <v>430</v>
      </c>
      <c r="B3180" s="12" t="s">
        <v>569</v>
      </c>
      <c r="C3180" s="12" t="s">
        <v>564</v>
      </c>
      <c r="D3180" s="13">
        <v>12</v>
      </c>
      <c r="E3180" s="13">
        <v>12.00567</v>
      </c>
      <c r="F3180" s="13">
        <v>11.176981</v>
      </c>
      <c r="G3180" s="13">
        <v>10.502905999999999</v>
      </c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</row>
    <row r="3181" spans="1:19" x14ac:dyDescent="0.2">
      <c r="A3181" s="12" t="s">
        <v>430</v>
      </c>
      <c r="B3181" s="12" t="s">
        <v>569</v>
      </c>
      <c r="C3181" s="12" t="s">
        <v>565</v>
      </c>
      <c r="D3181" s="13">
        <v>8</v>
      </c>
      <c r="E3181" s="13">
        <v>9.9157780000000013</v>
      </c>
      <c r="F3181" s="13">
        <v>9.4064879999999995</v>
      </c>
      <c r="G3181" s="13">
        <v>9.3330640000000002</v>
      </c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</row>
    <row r="3182" spans="1:19" x14ac:dyDescent="0.2">
      <c r="A3182" s="12" t="s">
        <v>430</v>
      </c>
      <c r="B3182" s="12" t="s">
        <v>569</v>
      </c>
      <c r="C3182" s="12" t="s">
        <v>566</v>
      </c>
      <c r="D3182" s="13">
        <v>3</v>
      </c>
      <c r="E3182" s="13">
        <v>2.6869749999999999</v>
      </c>
      <c r="F3182" s="13">
        <v>2.2380080000000002</v>
      </c>
      <c r="G3182" s="13">
        <v>2.4631530000000001</v>
      </c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</row>
    <row r="3183" spans="1:19" x14ac:dyDescent="0.2">
      <c r="A3183" s="12" t="s">
        <v>430</v>
      </c>
      <c r="B3183" s="12" t="s">
        <v>570</v>
      </c>
      <c r="C3183" s="12" t="s">
        <v>554</v>
      </c>
      <c r="D3183" s="13">
        <v>0</v>
      </c>
      <c r="E3183" s="13">
        <v>0</v>
      </c>
      <c r="F3183" s="13">
        <v>0</v>
      </c>
      <c r="G3183" s="13">
        <v>0</v>
      </c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</row>
    <row r="3184" spans="1:19" x14ac:dyDescent="0.2">
      <c r="A3184" s="12" t="s">
        <v>430</v>
      </c>
      <c r="B3184" s="12" t="s">
        <v>570</v>
      </c>
      <c r="C3184" s="12" t="s">
        <v>555</v>
      </c>
      <c r="D3184" s="13">
        <v>0</v>
      </c>
      <c r="E3184" s="13">
        <v>0</v>
      </c>
      <c r="F3184" s="13">
        <v>0</v>
      </c>
      <c r="G3184" s="13">
        <v>0</v>
      </c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</row>
    <row r="3185" spans="1:19" x14ac:dyDescent="0.2">
      <c r="A3185" s="12" t="s">
        <v>430</v>
      </c>
      <c r="B3185" s="12" t="s">
        <v>570</v>
      </c>
      <c r="C3185" s="12" t="s">
        <v>556</v>
      </c>
      <c r="D3185" s="13">
        <v>0</v>
      </c>
      <c r="E3185" s="13">
        <v>0</v>
      </c>
      <c r="F3185" s="13">
        <v>0</v>
      </c>
      <c r="G3185" s="13">
        <v>0</v>
      </c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</row>
    <row r="3186" spans="1:19" x14ac:dyDescent="0.2">
      <c r="A3186" s="12" t="s">
        <v>430</v>
      </c>
      <c r="B3186" s="12" t="s">
        <v>570</v>
      </c>
      <c r="C3186" s="12" t="s">
        <v>557</v>
      </c>
      <c r="D3186" s="13">
        <v>0</v>
      </c>
      <c r="E3186" s="13">
        <v>0</v>
      </c>
      <c r="F3186" s="13">
        <v>0</v>
      </c>
      <c r="G3186" s="13">
        <v>0</v>
      </c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</row>
    <row r="3187" spans="1:19" x14ac:dyDescent="0.2">
      <c r="A3187" s="12" t="s">
        <v>430</v>
      </c>
      <c r="B3187" s="12" t="s">
        <v>570</v>
      </c>
      <c r="C3187" s="12" t="s">
        <v>558</v>
      </c>
      <c r="D3187" s="13">
        <v>0</v>
      </c>
      <c r="E3187" s="13">
        <v>0</v>
      </c>
      <c r="F3187" s="13">
        <v>0</v>
      </c>
      <c r="G3187" s="13">
        <v>0</v>
      </c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</row>
    <row r="3188" spans="1:19" x14ac:dyDescent="0.2">
      <c r="A3188" s="12" t="s">
        <v>430</v>
      </c>
      <c r="B3188" s="12" t="s">
        <v>570</v>
      </c>
      <c r="C3188" s="12" t="s">
        <v>560</v>
      </c>
      <c r="D3188" s="13">
        <v>0</v>
      </c>
      <c r="E3188" s="13">
        <v>0</v>
      </c>
      <c r="F3188" s="13">
        <v>0</v>
      </c>
      <c r="G3188" s="13">
        <v>0</v>
      </c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</row>
    <row r="3189" spans="1:19" x14ac:dyDescent="0.2">
      <c r="A3189" s="12" t="s">
        <v>430</v>
      </c>
      <c r="B3189" s="12" t="s">
        <v>570</v>
      </c>
      <c r="C3189" s="12" t="s">
        <v>561</v>
      </c>
      <c r="D3189" s="13">
        <v>0</v>
      </c>
      <c r="E3189" s="13">
        <v>0</v>
      </c>
      <c r="F3189" s="13">
        <v>0</v>
      </c>
      <c r="G3189" s="13">
        <v>0</v>
      </c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</row>
    <row r="3190" spans="1:19" x14ac:dyDescent="0.2">
      <c r="A3190" s="12" t="s">
        <v>430</v>
      </c>
      <c r="B3190" s="12" t="s">
        <v>570</v>
      </c>
      <c r="C3190" s="12" t="s">
        <v>562</v>
      </c>
      <c r="D3190" s="13">
        <v>0</v>
      </c>
      <c r="E3190" s="13">
        <v>0</v>
      </c>
      <c r="F3190" s="13">
        <v>0</v>
      </c>
      <c r="G3190" s="13">
        <v>0</v>
      </c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</row>
    <row r="3191" spans="1:19" x14ac:dyDescent="0.2">
      <c r="A3191" s="12" t="s">
        <v>430</v>
      </c>
      <c r="B3191" s="12" t="s">
        <v>570</v>
      </c>
      <c r="C3191" s="12" t="s">
        <v>563</v>
      </c>
      <c r="D3191" s="13">
        <v>0</v>
      </c>
      <c r="E3191" s="13">
        <v>0</v>
      </c>
      <c r="F3191" s="13">
        <v>0</v>
      </c>
      <c r="G3191" s="13">
        <v>0</v>
      </c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</row>
    <row r="3192" spans="1:19" x14ac:dyDescent="0.2">
      <c r="A3192" s="12" t="s">
        <v>430</v>
      </c>
      <c r="B3192" s="12" t="s">
        <v>570</v>
      </c>
      <c r="C3192" s="12" t="s">
        <v>564</v>
      </c>
      <c r="D3192" s="13">
        <v>0</v>
      </c>
      <c r="E3192" s="13">
        <v>0</v>
      </c>
      <c r="F3192" s="13">
        <v>0</v>
      </c>
      <c r="G3192" s="13">
        <v>0</v>
      </c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</row>
    <row r="3193" spans="1:19" x14ac:dyDescent="0.2">
      <c r="A3193" s="12" t="s">
        <v>430</v>
      </c>
      <c r="B3193" s="12" t="s">
        <v>570</v>
      </c>
      <c r="C3193" s="12" t="s">
        <v>565</v>
      </c>
      <c r="D3193" s="13">
        <v>0</v>
      </c>
      <c r="E3193" s="13">
        <v>0</v>
      </c>
      <c r="F3193" s="13">
        <v>0</v>
      </c>
      <c r="G3193" s="13">
        <v>0</v>
      </c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</row>
    <row r="3194" spans="1:19" x14ac:dyDescent="0.2">
      <c r="A3194" s="12" t="s">
        <v>430</v>
      </c>
      <c r="B3194" s="12" t="s">
        <v>570</v>
      </c>
      <c r="C3194" s="12" t="s">
        <v>566</v>
      </c>
      <c r="D3194" s="13">
        <v>0</v>
      </c>
      <c r="E3194" s="13">
        <v>0</v>
      </c>
      <c r="F3194" s="13">
        <v>0</v>
      </c>
      <c r="G3194" s="13">
        <v>0</v>
      </c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</row>
    <row r="3195" spans="1:19" x14ac:dyDescent="0.2">
      <c r="A3195" s="12" t="s">
        <v>430</v>
      </c>
      <c r="B3195" s="12" t="s">
        <v>571</v>
      </c>
      <c r="C3195" s="12" t="s">
        <v>554</v>
      </c>
      <c r="D3195" s="13">
        <v>254</v>
      </c>
      <c r="E3195" s="13">
        <v>260.34293600000001</v>
      </c>
      <c r="F3195" s="13">
        <v>247.19959900000001</v>
      </c>
      <c r="G3195" s="13">
        <v>271.26345900000001</v>
      </c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</row>
    <row r="3196" spans="1:19" x14ac:dyDescent="0.2">
      <c r="A3196" s="12" t="s">
        <v>430</v>
      </c>
      <c r="B3196" s="12" t="s">
        <v>571</v>
      </c>
      <c r="C3196" s="12" t="s">
        <v>555</v>
      </c>
      <c r="D3196" s="13">
        <v>6</v>
      </c>
      <c r="E3196" s="13">
        <v>9.540063</v>
      </c>
      <c r="F3196" s="13">
        <v>10.23897</v>
      </c>
      <c r="G3196" s="13">
        <v>9.6238120000000009</v>
      </c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</row>
    <row r="3197" spans="1:19" x14ac:dyDescent="0.2">
      <c r="A3197" s="12" t="s">
        <v>430</v>
      </c>
      <c r="B3197" s="12" t="s">
        <v>571</v>
      </c>
      <c r="C3197" s="12" t="s">
        <v>556</v>
      </c>
      <c r="D3197" s="13">
        <v>-16</v>
      </c>
      <c r="E3197" s="13">
        <v>-14.973965</v>
      </c>
      <c r="F3197" s="13">
        <v>-12.293479</v>
      </c>
      <c r="G3197" s="13">
        <v>-12.476395999999999</v>
      </c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</row>
    <row r="3198" spans="1:19" x14ac:dyDescent="0.2">
      <c r="A3198" s="12" t="s">
        <v>430</v>
      </c>
      <c r="B3198" s="12" t="s">
        <v>571</v>
      </c>
      <c r="C3198" s="12" t="s">
        <v>557</v>
      </c>
      <c r="D3198" s="13">
        <v>244</v>
      </c>
      <c r="E3198" s="13">
        <v>254.99552199999999</v>
      </c>
      <c r="F3198" s="13">
        <v>244.94153700000001</v>
      </c>
      <c r="G3198" s="13">
        <v>268.48686900000001</v>
      </c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</row>
    <row r="3199" spans="1:19" x14ac:dyDescent="0.2">
      <c r="A3199" s="12" t="s">
        <v>430</v>
      </c>
      <c r="B3199" s="12" t="s">
        <v>571</v>
      </c>
      <c r="C3199" s="12" t="s">
        <v>558</v>
      </c>
      <c r="D3199" s="13">
        <v>-149</v>
      </c>
      <c r="E3199" s="13">
        <v>-156.10186400000001</v>
      </c>
      <c r="F3199" s="13">
        <v>-143.46097399999999</v>
      </c>
      <c r="G3199" s="13">
        <v>-166.59395799999999</v>
      </c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</row>
    <row r="3200" spans="1:19" x14ac:dyDescent="0.2">
      <c r="A3200" s="12" t="s">
        <v>430</v>
      </c>
      <c r="B3200" s="12" t="s">
        <v>571</v>
      </c>
      <c r="C3200" s="12" t="s">
        <v>560</v>
      </c>
      <c r="D3200" s="13">
        <v>0</v>
      </c>
      <c r="E3200" s="13">
        <v>0</v>
      </c>
      <c r="F3200" s="13">
        <v>0</v>
      </c>
      <c r="G3200" s="13">
        <v>0</v>
      </c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</row>
    <row r="3201" spans="1:19" x14ac:dyDescent="0.2">
      <c r="A3201" s="12" t="s">
        <v>430</v>
      </c>
      <c r="B3201" s="12" t="s">
        <v>571</v>
      </c>
      <c r="C3201" s="12" t="s">
        <v>561</v>
      </c>
      <c r="D3201" s="13">
        <v>96</v>
      </c>
      <c r="E3201" s="13">
        <v>98.423813999999993</v>
      </c>
      <c r="F3201" s="13">
        <v>101.075373</v>
      </c>
      <c r="G3201" s="13">
        <v>101.47017099999999</v>
      </c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</row>
    <row r="3202" spans="1:19" x14ac:dyDescent="0.2">
      <c r="A3202" s="12" t="s">
        <v>430</v>
      </c>
      <c r="B3202" s="12" t="s">
        <v>571</v>
      </c>
      <c r="C3202" s="12" t="s">
        <v>562</v>
      </c>
      <c r="D3202" s="13">
        <v>47</v>
      </c>
      <c r="E3202" s="13">
        <v>45.623362999999998</v>
      </c>
      <c r="F3202" s="13">
        <v>47.969290000000001</v>
      </c>
      <c r="G3202" s="13">
        <v>46.795645999999998</v>
      </c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</row>
    <row r="3203" spans="1:19" x14ac:dyDescent="0.2">
      <c r="A3203" s="12" t="s">
        <v>430</v>
      </c>
      <c r="B3203" s="12" t="s">
        <v>571</v>
      </c>
      <c r="C3203" s="12" t="s">
        <v>563</v>
      </c>
      <c r="D3203" s="13">
        <v>10</v>
      </c>
      <c r="E3203" s="13">
        <v>14.248200000000001</v>
      </c>
      <c r="F3203" s="13">
        <v>14.283243000000001</v>
      </c>
      <c r="G3203" s="13">
        <v>14.866808000000001</v>
      </c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</row>
    <row r="3204" spans="1:19" x14ac:dyDescent="0.2">
      <c r="A3204" s="12" t="s">
        <v>430</v>
      </c>
      <c r="B3204" s="12" t="s">
        <v>571</v>
      </c>
      <c r="C3204" s="12" t="s">
        <v>564</v>
      </c>
      <c r="D3204" s="13">
        <v>35</v>
      </c>
      <c r="E3204" s="13">
        <v>35.360816999999997</v>
      </c>
      <c r="F3204" s="13">
        <v>35.404806999999998</v>
      </c>
      <c r="G3204" s="13">
        <v>36.400491000000002</v>
      </c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</row>
    <row r="3205" spans="1:19" x14ac:dyDescent="0.2">
      <c r="A3205" s="12" t="s">
        <v>430</v>
      </c>
      <c r="B3205" s="12" t="s">
        <v>571</v>
      </c>
      <c r="C3205" s="12" t="s">
        <v>565</v>
      </c>
      <c r="D3205" s="13">
        <v>3</v>
      </c>
      <c r="E3205" s="13">
        <v>2.8851490000000002</v>
      </c>
      <c r="F3205" s="13">
        <v>3.24281</v>
      </c>
      <c r="G3205" s="13">
        <v>3.1830069999999999</v>
      </c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</row>
    <row r="3206" spans="1:19" x14ac:dyDescent="0.2">
      <c r="A3206" s="12" t="s">
        <v>430</v>
      </c>
      <c r="B3206" s="12" t="s">
        <v>571</v>
      </c>
      <c r="C3206" s="12" t="s">
        <v>566</v>
      </c>
      <c r="D3206" s="13">
        <v>0</v>
      </c>
      <c r="E3206" s="13">
        <v>0.30628899999999998</v>
      </c>
      <c r="F3206" s="13">
        <v>0.17521700000000001</v>
      </c>
      <c r="G3206" s="13">
        <v>0.22422400000000001</v>
      </c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</row>
    <row r="3207" spans="1:19" x14ac:dyDescent="0.2">
      <c r="A3207" s="12" t="s">
        <v>430</v>
      </c>
      <c r="B3207" s="12" t="s">
        <v>572</v>
      </c>
      <c r="C3207" s="12" t="s">
        <v>554</v>
      </c>
      <c r="D3207" s="13">
        <v>0</v>
      </c>
      <c r="E3207" s="13">
        <v>0</v>
      </c>
      <c r="F3207" s="13">
        <v>0</v>
      </c>
      <c r="G3207" s="13">
        <v>0</v>
      </c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</row>
    <row r="3208" spans="1:19" x14ac:dyDescent="0.2">
      <c r="A3208" s="12" t="s">
        <v>430</v>
      </c>
      <c r="B3208" s="12" t="s">
        <v>572</v>
      </c>
      <c r="C3208" s="12" t="s">
        <v>555</v>
      </c>
      <c r="D3208" s="13">
        <v>27</v>
      </c>
      <c r="E3208" s="13">
        <v>34.359904</v>
      </c>
      <c r="F3208" s="13">
        <v>44.332886000000002</v>
      </c>
      <c r="G3208" s="13">
        <v>49.161138000000001</v>
      </c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</row>
    <row r="3209" spans="1:19" x14ac:dyDescent="0.2">
      <c r="A3209" s="12" t="s">
        <v>430</v>
      </c>
      <c r="B3209" s="12" t="s">
        <v>572</v>
      </c>
      <c r="C3209" s="12" t="s">
        <v>556</v>
      </c>
      <c r="D3209" s="13">
        <v>-22</v>
      </c>
      <c r="E3209" s="13">
        <v>-17.24916</v>
      </c>
      <c r="F3209" s="13">
        <v>-11.020569999999999</v>
      </c>
      <c r="G3209" s="13">
        <v>-12.321923999999999</v>
      </c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</row>
    <row r="3210" spans="1:19" x14ac:dyDescent="0.2">
      <c r="A3210" s="12" t="s">
        <v>430</v>
      </c>
      <c r="B3210" s="12" t="s">
        <v>572</v>
      </c>
      <c r="C3210" s="12" t="s">
        <v>557</v>
      </c>
      <c r="D3210" s="13">
        <v>5</v>
      </c>
      <c r="E3210" s="13">
        <v>17.110744</v>
      </c>
      <c r="F3210" s="13">
        <v>33.312316000000003</v>
      </c>
      <c r="G3210" s="13">
        <v>36.839213999999998</v>
      </c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</row>
    <row r="3211" spans="1:19" x14ac:dyDescent="0.2">
      <c r="A3211" s="12" t="s">
        <v>430</v>
      </c>
      <c r="B3211" s="12" t="s">
        <v>572</v>
      </c>
      <c r="C3211" s="12" t="s">
        <v>558</v>
      </c>
      <c r="D3211" s="13">
        <v>186</v>
      </c>
      <c r="E3211" s="13">
        <v>177.956908</v>
      </c>
      <c r="F3211" s="13">
        <v>167.41609800000001</v>
      </c>
      <c r="G3211" s="13">
        <v>166.37214299999999</v>
      </c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</row>
    <row r="3212" spans="1:19" x14ac:dyDescent="0.2">
      <c r="A3212" s="12" t="s">
        <v>430</v>
      </c>
      <c r="B3212" s="12" t="s">
        <v>572</v>
      </c>
      <c r="C3212" s="12" t="s">
        <v>560</v>
      </c>
      <c r="D3212" s="13">
        <v>0</v>
      </c>
      <c r="E3212" s="13">
        <v>0</v>
      </c>
      <c r="F3212" s="13">
        <v>0</v>
      </c>
      <c r="G3212" s="13">
        <v>0</v>
      </c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</row>
    <row r="3213" spans="1:19" x14ac:dyDescent="0.2">
      <c r="A3213" s="12" t="s">
        <v>430</v>
      </c>
      <c r="B3213" s="12" t="s">
        <v>572</v>
      </c>
      <c r="C3213" s="12" t="s">
        <v>561</v>
      </c>
      <c r="D3213" s="13">
        <v>167</v>
      </c>
      <c r="E3213" s="13">
        <v>170.35487599999999</v>
      </c>
      <c r="F3213" s="13">
        <v>175.19007300000001</v>
      </c>
      <c r="G3213" s="13">
        <v>178.34304700000001</v>
      </c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</row>
    <row r="3214" spans="1:19" x14ac:dyDescent="0.2">
      <c r="A3214" s="12" t="s">
        <v>430</v>
      </c>
      <c r="B3214" s="12" t="s">
        <v>572</v>
      </c>
      <c r="C3214" s="12" t="s">
        <v>562</v>
      </c>
      <c r="D3214" s="13">
        <v>58</v>
      </c>
      <c r="E3214" s="13">
        <v>59.865203000000001</v>
      </c>
      <c r="F3214" s="13">
        <v>61.249324999999999</v>
      </c>
      <c r="G3214" s="13">
        <v>59.978904</v>
      </c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</row>
    <row r="3215" spans="1:19" x14ac:dyDescent="0.2">
      <c r="A3215" s="12" t="s">
        <v>430</v>
      </c>
      <c r="B3215" s="12" t="s">
        <v>572</v>
      </c>
      <c r="C3215" s="12" t="s">
        <v>563</v>
      </c>
      <c r="D3215" s="13">
        <v>2</v>
      </c>
      <c r="E3215" s="13">
        <v>1.698442</v>
      </c>
      <c r="F3215" s="13">
        <v>1.7929759999999999</v>
      </c>
      <c r="G3215" s="13">
        <v>2.1033599999999999</v>
      </c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</row>
    <row r="3216" spans="1:19" x14ac:dyDescent="0.2">
      <c r="A3216" s="12" t="s">
        <v>430</v>
      </c>
      <c r="B3216" s="12" t="s">
        <v>572</v>
      </c>
      <c r="C3216" s="12" t="s">
        <v>564</v>
      </c>
      <c r="D3216" s="13">
        <v>49</v>
      </c>
      <c r="E3216" s="13">
        <v>51.400502000000003</v>
      </c>
      <c r="F3216" s="13">
        <v>50.054546000000002</v>
      </c>
      <c r="G3216" s="13">
        <v>52.493228000000002</v>
      </c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</row>
    <row r="3217" spans="1:19" x14ac:dyDescent="0.2">
      <c r="A3217" s="12" t="s">
        <v>430</v>
      </c>
      <c r="B3217" s="12" t="s">
        <v>572</v>
      </c>
      <c r="C3217" s="12" t="s">
        <v>565</v>
      </c>
      <c r="D3217" s="13">
        <v>54</v>
      </c>
      <c r="E3217" s="13">
        <v>52.975940000000001</v>
      </c>
      <c r="F3217" s="13">
        <v>58.402819999999998</v>
      </c>
      <c r="G3217" s="13">
        <v>59.966917000000002</v>
      </c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</row>
    <row r="3218" spans="1:19" x14ac:dyDescent="0.2">
      <c r="A3218" s="12" t="s">
        <v>430</v>
      </c>
      <c r="B3218" s="12" t="s">
        <v>572</v>
      </c>
      <c r="C3218" s="12" t="s">
        <v>566</v>
      </c>
      <c r="D3218" s="13">
        <v>4</v>
      </c>
      <c r="E3218" s="13">
        <v>4.4147879999999997</v>
      </c>
      <c r="F3218" s="13">
        <v>3.690401</v>
      </c>
      <c r="G3218" s="13">
        <v>3.8006389999999999</v>
      </c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</row>
    <row r="3219" spans="1:19" x14ac:dyDescent="0.2">
      <c r="A3219" s="12" t="s">
        <v>430</v>
      </c>
      <c r="B3219" s="12" t="s">
        <v>573</v>
      </c>
      <c r="C3219" s="12" t="s">
        <v>554</v>
      </c>
      <c r="D3219" s="13">
        <v>0</v>
      </c>
      <c r="E3219" s="13">
        <v>0</v>
      </c>
      <c r="F3219" s="13">
        <v>0</v>
      </c>
      <c r="G3219" s="13">
        <v>0</v>
      </c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</row>
    <row r="3220" spans="1:19" x14ac:dyDescent="0.2">
      <c r="A3220" s="12" t="s">
        <v>430</v>
      </c>
      <c r="B3220" s="12" t="s">
        <v>573</v>
      </c>
      <c r="C3220" s="12" t="s">
        <v>555</v>
      </c>
      <c r="D3220" s="13">
        <v>0</v>
      </c>
      <c r="E3220" s="13">
        <v>0</v>
      </c>
      <c r="F3220" s="13">
        <v>0</v>
      </c>
      <c r="G3220" s="13">
        <v>0</v>
      </c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</row>
    <row r="3221" spans="1:19" x14ac:dyDescent="0.2">
      <c r="A3221" s="12" t="s">
        <v>430</v>
      </c>
      <c r="B3221" s="12" t="s">
        <v>573</v>
      </c>
      <c r="C3221" s="12" t="s">
        <v>556</v>
      </c>
      <c r="D3221" s="13">
        <v>0</v>
      </c>
      <c r="E3221" s="13">
        <v>0</v>
      </c>
      <c r="F3221" s="13">
        <v>0</v>
      </c>
      <c r="G3221" s="13">
        <v>0</v>
      </c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</row>
    <row r="3222" spans="1:19" x14ac:dyDescent="0.2">
      <c r="A3222" s="12" t="s">
        <v>430</v>
      </c>
      <c r="B3222" s="12" t="s">
        <v>573</v>
      </c>
      <c r="C3222" s="12" t="s">
        <v>557</v>
      </c>
      <c r="D3222" s="13">
        <v>0</v>
      </c>
      <c r="E3222" s="13">
        <v>0</v>
      </c>
      <c r="F3222" s="13">
        <v>0</v>
      </c>
      <c r="G3222" s="13">
        <v>0</v>
      </c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</row>
    <row r="3223" spans="1:19" x14ac:dyDescent="0.2">
      <c r="A3223" s="12" t="s">
        <v>430</v>
      </c>
      <c r="B3223" s="12" t="s">
        <v>573</v>
      </c>
      <c r="C3223" s="12" t="s">
        <v>558</v>
      </c>
      <c r="D3223" s="13">
        <v>21</v>
      </c>
      <c r="E3223" s="13">
        <v>16.673416</v>
      </c>
      <c r="F3223" s="13">
        <v>11.537824000000001</v>
      </c>
      <c r="G3223" s="13">
        <v>9.6945980000000009</v>
      </c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</row>
    <row r="3224" spans="1:19" x14ac:dyDescent="0.2">
      <c r="A3224" s="12" t="s">
        <v>430</v>
      </c>
      <c r="B3224" s="12" t="s">
        <v>573</v>
      </c>
      <c r="C3224" s="12" t="s">
        <v>560</v>
      </c>
      <c r="D3224" s="13">
        <v>0</v>
      </c>
      <c r="E3224" s="13">
        <v>0</v>
      </c>
      <c r="F3224" s="13">
        <v>0</v>
      </c>
      <c r="G3224" s="13">
        <v>0</v>
      </c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</row>
    <row r="3225" spans="1:19" x14ac:dyDescent="0.2">
      <c r="A3225" s="12" t="s">
        <v>430</v>
      </c>
      <c r="B3225" s="12" t="s">
        <v>573</v>
      </c>
      <c r="C3225" s="12" t="s">
        <v>561</v>
      </c>
      <c r="D3225" s="13">
        <v>9</v>
      </c>
      <c r="E3225" s="13">
        <v>8.3957060000000006</v>
      </c>
      <c r="F3225" s="13">
        <v>6.535628</v>
      </c>
      <c r="G3225" s="13">
        <v>4.0992540000000002</v>
      </c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</row>
    <row r="3226" spans="1:19" x14ac:dyDescent="0.2">
      <c r="A3226" s="12" t="s">
        <v>430</v>
      </c>
      <c r="B3226" s="12" t="s">
        <v>573</v>
      </c>
      <c r="C3226" s="12" t="s">
        <v>562</v>
      </c>
      <c r="D3226" s="13">
        <v>8</v>
      </c>
      <c r="E3226" s="13">
        <v>7.3436050000000002</v>
      </c>
      <c r="F3226" s="13">
        <v>5.6349260000000001</v>
      </c>
      <c r="G3226" s="13">
        <v>3.5624389999999999</v>
      </c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</row>
    <row r="3227" spans="1:19" x14ac:dyDescent="0.2">
      <c r="A3227" s="12" t="s">
        <v>430</v>
      </c>
      <c r="B3227" s="12" t="s">
        <v>573</v>
      </c>
      <c r="C3227" s="12" t="s">
        <v>563</v>
      </c>
      <c r="D3227" s="13">
        <v>0</v>
      </c>
      <c r="E3227" s="13">
        <v>0</v>
      </c>
      <c r="F3227" s="13">
        <v>0</v>
      </c>
      <c r="G3227" s="13">
        <v>0</v>
      </c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</row>
    <row r="3228" spans="1:19" x14ac:dyDescent="0.2">
      <c r="A3228" s="12" t="s">
        <v>430</v>
      </c>
      <c r="B3228" s="12" t="s">
        <v>573</v>
      </c>
      <c r="C3228" s="12" t="s">
        <v>564</v>
      </c>
      <c r="D3228" s="13">
        <v>0</v>
      </c>
      <c r="E3228" s="13">
        <v>3.5998000000000002E-2</v>
      </c>
      <c r="F3228" s="13">
        <v>2.4978E-2</v>
      </c>
      <c r="G3228" s="13">
        <v>0</v>
      </c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</row>
    <row r="3229" spans="1:19" x14ac:dyDescent="0.2">
      <c r="A3229" s="12" t="s">
        <v>430</v>
      </c>
      <c r="B3229" s="12" t="s">
        <v>573</v>
      </c>
      <c r="C3229" s="12" t="s">
        <v>565</v>
      </c>
      <c r="D3229" s="13">
        <v>1</v>
      </c>
      <c r="E3229" s="13">
        <v>1.016103</v>
      </c>
      <c r="F3229" s="13">
        <v>0.87572400000000006</v>
      </c>
      <c r="G3229" s="13">
        <v>0.53681500000000004</v>
      </c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</row>
    <row r="3230" spans="1:19" x14ac:dyDescent="0.2">
      <c r="A3230" s="12" t="s">
        <v>430</v>
      </c>
      <c r="B3230" s="12" t="s">
        <v>573</v>
      </c>
      <c r="C3230" s="12" t="s">
        <v>566</v>
      </c>
      <c r="D3230" s="13">
        <v>0</v>
      </c>
      <c r="E3230" s="13">
        <v>0</v>
      </c>
      <c r="F3230" s="13">
        <v>0</v>
      </c>
      <c r="G3230" s="13">
        <v>0</v>
      </c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</row>
    <row r="3231" spans="1:19" x14ac:dyDescent="0.2">
      <c r="A3231" s="12" t="s">
        <v>430</v>
      </c>
      <c r="B3231" s="12" t="s">
        <v>574</v>
      </c>
      <c r="C3231" s="12" t="s">
        <v>554</v>
      </c>
      <c r="D3231" s="13">
        <v>254</v>
      </c>
      <c r="E3231" s="13">
        <v>260.34293600000001</v>
      </c>
      <c r="F3231" s="13">
        <v>247.1996</v>
      </c>
      <c r="G3231" s="13">
        <v>271.26345900000001</v>
      </c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</row>
    <row r="3232" spans="1:19" x14ac:dyDescent="0.2">
      <c r="A3232" s="12" t="s">
        <v>430</v>
      </c>
      <c r="B3232" s="12" t="s">
        <v>574</v>
      </c>
      <c r="C3232" s="12" t="s">
        <v>555</v>
      </c>
      <c r="D3232" s="13">
        <v>864</v>
      </c>
      <c r="E3232" s="13">
        <v>865.07342099999994</v>
      </c>
      <c r="F3232" s="13">
        <v>908.01441899999998</v>
      </c>
      <c r="G3232" s="13">
        <v>829.91391399999998</v>
      </c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</row>
    <row r="3233" spans="1:19" x14ac:dyDescent="0.2">
      <c r="A3233" s="12" t="s">
        <v>430</v>
      </c>
      <c r="B3233" s="12" t="s">
        <v>574</v>
      </c>
      <c r="C3233" s="12" t="s">
        <v>556</v>
      </c>
      <c r="D3233" s="13">
        <v>-261</v>
      </c>
      <c r="E3233" s="13">
        <v>-243.36856</v>
      </c>
      <c r="F3233" s="13">
        <v>-213.66616200000001</v>
      </c>
      <c r="G3233" s="13">
        <v>-195.93413899999999</v>
      </c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</row>
    <row r="3234" spans="1:19" x14ac:dyDescent="0.2">
      <c r="A3234" s="12" t="s">
        <v>430</v>
      </c>
      <c r="B3234" s="12" t="s">
        <v>574</v>
      </c>
      <c r="C3234" s="12" t="s">
        <v>557</v>
      </c>
      <c r="D3234" s="13">
        <v>844</v>
      </c>
      <c r="E3234" s="13">
        <v>843.05738500000007</v>
      </c>
      <c r="F3234" s="13">
        <v>851.82727800000009</v>
      </c>
      <c r="G3234" s="13">
        <v>820.73966000000007</v>
      </c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</row>
    <row r="3235" spans="1:19" x14ac:dyDescent="0.2">
      <c r="A3235" s="12" t="s">
        <v>430</v>
      </c>
      <c r="B3235" s="12" t="s">
        <v>574</v>
      </c>
      <c r="C3235" s="12" t="s">
        <v>558</v>
      </c>
      <c r="D3235" s="13">
        <v>-109</v>
      </c>
      <c r="E3235" s="13">
        <v>-97.018155000000021</v>
      </c>
      <c r="F3235" s="13">
        <v>-97.408970999999994</v>
      </c>
      <c r="G3235" s="13">
        <v>-77.881212999999988</v>
      </c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</row>
    <row r="3236" spans="1:19" x14ac:dyDescent="0.2">
      <c r="A3236" s="12" t="s">
        <v>430</v>
      </c>
      <c r="B3236" s="12" t="s">
        <v>574</v>
      </c>
      <c r="C3236" s="12" t="s">
        <v>560</v>
      </c>
      <c r="D3236" s="13">
        <v>-15</v>
      </c>
      <c r="E3236" s="13">
        <v>-12.566884999999999</v>
      </c>
      <c r="F3236" s="13">
        <v>-11.159216000000001</v>
      </c>
      <c r="G3236" s="13">
        <v>-12.975312000000001</v>
      </c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</row>
    <row r="3237" spans="1:19" x14ac:dyDescent="0.2">
      <c r="A3237" s="12" t="s">
        <v>430</v>
      </c>
      <c r="B3237" s="12" t="s">
        <v>574</v>
      </c>
      <c r="C3237" s="12" t="s">
        <v>561</v>
      </c>
      <c r="D3237" s="13">
        <v>652</v>
      </c>
      <c r="E3237" s="13">
        <v>679.30225399999995</v>
      </c>
      <c r="F3237" s="13">
        <v>679.95835900000009</v>
      </c>
      <c r="G3237" s="13">
        <v>671.73900500000002</v>
      </c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</row>
    <row r="3238" spans="1:19" x14ac:dyDescent="0.2">
      <c r="A3238" s="12" t="s">
        <v>430</v>
      </c>
      <c r="B3238" s="12" t="s">
        <v>574</v>
      </c>
      <c r="C3238" s="12" t="s">
        <v>562</v>
      </c>
      <c r="D3238" s="13">
        <v>186</v>
      </c>
      <c r="E3238" s="13">
        <v>189.455241</v>
      </c>
      <c r="F3238" s="13">
        <v>188.34294700000001</v>
      </c>
      <c r="G3238" s="13">
        <v>180.366544</v>
      </c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</row>
    <row r="3239" spans="1:19" x14ac:dyDescent="0.2">
      <c r="A3239" s="12" t="s">
        <v>430</v>
      </c>
      <c r="B3239" s="12" t="s">
        <v>574</v>
      </c>
      <c r="C3239" s="12" t="s">
        <v>563</v>
      </c>
      <c r="D3239" s="13">
        <v>208</v>
      </c>
      <c r="E3239" s="13">
        <v>227.42805999999999</v>
      </c>
      <c r="F3239" s="13">
        <v>240.978354</v>
      </c>
      <c r="G3239" s="13">
        <v>256.819974</v>
      </c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</row>
    <row r="3240" spans="1:19" x14ac:dyDescent="0.2">
      <c r="A3240" s="12" t="s">
        <v>430</v>
      </c>
      <c r="B3240" s="12" t="s">
        <v>574</v>
      </c>
      <c r="C3240" s="12" t="s">
        <v>564</v>
      </c>
      <c r="D3240" s="13">
        <v>115</v>
      </c>
      <c r="E3240" s="13">
        <v>115.265991</v>
      </c>
      <c r="F3240" s="13">
        <v>111.478302</v>
      </c>
      <c r="G3240" s="13">
        <v>113.35563399999999</v>
      </c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</row>
    <row r="3241" spans="1:19" x14ac:dyDescent="0.2">
      <c r="A3241" s="12" t="s">
        <v>430</v>
      </c>
      <c r="B3241" s="12" t="s">
        <v>574</v>
      </c>
      <c r="C3241" s="12" t="s">
        <v>565</v>
      </c>
      <c r="D3241" s="13">
        <v>71</v>
      </c>
      <c r="E3241" s="13">
        <v>71.299696999999995</v>
      </c>
      <c r="F3241" s="13">
        <v>76.775272999999999</v>
      </c>
      <c r="G3241" s="13">
        <v>77.856748999999994</v>
      </c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</row>
    <row r="3242" spans="1:19" x14ac:dyDescent="0.2">
      <c r="A3242" s="12" t="s">
        <v>430</v>
      </c>
      <c r="B3242" s="12" t="s">
        <v>574</v>
      </c>
      <c r="C3242" s="12" t="s">
        <v>566</v>
      </c>
      <c r="D3242" s="13">
        <v>72</v>
      </c>
      <c r="E3242" s="13">
        <v>75.853273000000002</v>
      </c>
      <c r="F3242" s="13">
        <v>62.383488</v>
      </c>
      <c r="G3242" s="13">
        <v>43.340111999999998</v>
      </c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</row>
    <row r="3243" spans="1:19" x14ac:dyDescent="0.2">
      <c r="A3243" s="12" t="s">
        <v>576</v>
      </c>
      <c r="B3243" s="12" t="s">
        <v>553</v>
      </c>
      <c r="C3243" s="12" t="s">
        <v>554</v>
      </c>
      <c r="D3243" s="13">
        <v>10</v>
      </c>
      <c r="E3243" s="13">
        <v>11.395137999999999</v>
      </c>
      <c r="F3243" s="13">
        <v>8.6378579999999996</v>
      </c>
      <c r="G3243" s="13">
        <v>7.4980820000000001</v>
      </c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</row>
    <row r="3244" spans="1:19" x14ac:dyDescent="0.2">
      <c r="A3244" s="12" t="s">
        <v>576</v>
      </c>
      <c r="B3244" s="12" t="s">
        <v>553</v>
      </c>
      <c r="C3244" s="12" t="s">
        <v>555</v>
      </c>
      <c r="D3244" s="13">
        <v>84</v>
      </c>
      <c r="E3244" s="13">
        <v>106.011585</v>
      </c>
      <c r="F3244" s="13">
        <v>99.034697000000008</v>
      </c>
      <c r="G3244" s="13">
        <v>93.143232999999995</v>
      </c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</row>
    <row r="3245" spans="1:19" x14ac:dyDescent="0.2">
      <c r="A3245" s="12" t="s">
        <v>576</v>
      </c>
      <c r="B3245" s="12" t="s">
        <v>553</v>
      </c>
      <c r="C3245" s="12" t="s">
        <v>556</v>
      </c>
      <c r="D3245" s="13">
        <v>-1</v>
      </c>
      <c r="E3245" s="13">
        <v>-1.866949</v>
      </c>
      <c r="F3245" s="13">
        <v>-2.3839299999999999</v>
      </c>
      <c r="G3245" s="13">
        <v>-2.1929500000000002</v>
      </c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</row>
    <row r="3246" spans="1:19" x14ac:dyDescent="0.2">
      <c r="A3246" s="12" t="s">
        <v>576</v>
      </c>
      <c r="B3246" s="12" t="s">
        <v>553</v>
      </c>
      <c r="C3246" s="12" t="s">
        <v>557</v>
      </c>
      <c r="D3246" s="13">
        <v>97</v>
      </c>
      <c r="E3246" s="13">
        <v>118.20536800000001</v>
      </c>
      <c r="F3246" s="13">
        <v>100.595997</v>
      </c>
      <c r="G3246" s="13">
        <v>100.658058</v>
      </c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</row>
    <row r="3247" spans="1:19" x14ac:dyDescent="0.2">
      <c r="A3247" s="12" t="s">
        <v>576</v>
      </c>
      <c r="B3247" s="12" t="s">
        <v>553</v>
      </c>
      <c r="C3247" s="12" t="s">
        <v>558</v>
      </c>
      <c r="D3247" s="13">
        <v>-27</v>
      </c>
      <c r="E3247" s="13">
        <v>-23.062626999999999</v>
      </c>
      <c r="F3247" s="13">
        <v>-24.192364999999999</v>
      </c>
      <c r="G3247" s="13">
        <v>-18.741707999999999</v>
      </c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</row>
    <row r="3248" spans="1:19" x14ac:dyDescent="0.2">
      <c r="A3248" s="12" t="s">
        <v>576</v>
      </c>
      <c r="B3248" s="12" t="s">
        <v>553</v>
      </c>
      <c r="C3248" s="12" t="s">
        <v>560</v>
      </c>
      <c r="D3248" s="13">
        <v>0</v>
      </c>
      <c r="E3248" s="13">
        <v>0</v>
      </c>
      <c r="F3248" s="13">
        <v>0</v>
      </c>
      <c r="G3248" s="13">
        <v>0</v>
      </c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</row>
    <row r="3249" spans="1:19" x14ac:dyDescent="0.2">
      <c r="A3249" s="12" t="s">
        <v>576</v>
      </c>
      <c r="B3249" s="12" t="s">
        <v>553</v>
      </c>
      <c r="C3249" s="12" t="s">
        <v>561</v>
      </c>
      <c r="D3249" s="13">
        <v>29</v>
      </c>
      <c r="E3249" s="13">
        <v>35.536637000000013</v>
      </c>
      <c r="F3249" s="13">
        <v>32.772360999999997</v>
      </c>
      <c r="G3249" s="13">
        <v>26.292489</v>
      </c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</row>
    <row r="3250" spans="1:19" x14ac:dyDescent="0.2">
      <c r="A3250" s="12" t="s">
        <v>576</v>
      </c>
      <c r="B3250" s="12" t="s">
        <v>553</v>
      </c>
      <c r="C3250" s="12" t="s">
        <v>562</v>
      </c>
      <c r="D3250" s="13">
        <v>23</v>
      </c>
      <c r="E3250" s="13">
        <v>27.998396</v>
      </c>
      <c r="F3250" s="13">
        <v>27.150870000000001</v>
      </c>
      <c r="G3250" s="13">
        <v>22.521882000000002</v>
      </c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</row>
    <row r="3251" spans="1:19" x14ac:dyDescent="0.2">
      <c r="A3251" s="12" t="s">
        <v>576</v>
      </c>
      <c r="B3251" s="12" t="s">
        <v>553</v>
      </c>
      <c r="C3251" s="12" t="s">
        <v>563</v>
      </c>
      <c r="D3251" s="13">
        <v>0</v>
      </c>
      <c r="E3251" s="13">
        <v>0</v>
      </c>
      <c r="F3251" s="13">
        <v>0</v>
      </c>
      <c r="G3251" s="13">
        <v>0</v>
      </c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</row>
    <row r="3252" spans="1:19" x14ac:dyDescent="0.2">
      <c r="A3252" s="12" t="s">
        <v>576</v>
      </c>
      <c r="B3252" s="12" t="s">
        <v>553</v>
      </c>
      <c r="C3252" s="12" t="s">
        <v>564</v>
      </c>
      <c r="D3252" s="13">
        <v>2</v>
      </c>
      <c r="E3252" s="13">
        <v>2.330959</v>
      </c>
      <c r="F3252" s="13">
        <v>2.1163560000000001</v>
      </c>
      <c r="G3252" s="13">
        <v>1.2977030000000001</v>
      </c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</row>
    <row r="3253" spans="1:19" x14ac:dyDescent="0.2">
      <c r="A3253" s="12" t="s">
        <v>576</v>
      </c>
      <c r="B3253" s="12" t="s">
        <v>553</v>
      </c>
      <c r="C3253" s="12" t="s">
        <v>565</v>
      </c>
      <c r="D3253" s="13">
        <v>2</v>
      </c>
      <c r="E3253" s="13">
        <v>3.0299160000000001</v>
      </c>
      <c r="F3253" s="13">
        <v>1.762103</v>
      </c>
      <c r="G3253" s="13">
        <v>1.4550639999999999</v>
      </c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</row>
    <row r="3254" spans="1:19" x14ac:dyDescent="0.2">
      <c r="A3254" s="12" t="s">
        <v>576</v>
      </c>
      <c r="B3254" s="12" t="s">
        <v>553</v>
      </c>
      <c r="C3254" s="12" t="s">
        <v>566</v>
      </c>
      <c r="D3254" s="13">
        <v>2</v>
      </c>
      <c r="E3254" s="13">
        <v>2.1773660000000001</v>
      </c>
      <c r="F3254" s="13">
        <v>1.743036</v>
      </c>
      <c r="G3254" s="13">
        <v>1.0178529999999999</v>
      </c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</row>
    <row r="3255" spans="1:19" x14ac:dyDescent="0.2">
      <c r="A3255" s="12" t="s">
        <v>576</v>
      </c>
      <c r="B3255" s="12" t="s">
        <v>567</v>
      </c>
      <c r="C3255" s="12" t="s">
        <v>554</v>
      </c>
      <c r="D3255" s="13">
        <v>7</v>
      </c>
      <c r="E3255" s="13">
        <v>8.4466090000000005</v>
      </c>
      <c r="F3255" s="13">
        <v>7.6878399999999996</v>
      </c>
      <c r="G3255" s="13">
        <v>8.2749089999999992</v>
      </c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</row>
    <row r="3256" spans="1:19" x14ac:dyDescent="0.2">
      <c r="A3256" s="12" t="s">
        <v>576</v>
      </c>
      <c r="B3256" s="12" t="s">
        <v>567</v>
      </c>
      <c r="C3256" s="12" t="s">
        <v>555</v>
      </c>
      <c r="D3256" s="13">
        <v>238</v>
      </c>
      <c r="E3256" s="13">
        <v>230.53799900000001</v>
      </c>
      <c r="F3256" s="13">
        <v>229.44600199999999</v>
      </c>
      <c r="G3256" s="13">
        <v>228.018001</v>
      </c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</row>
    <row r="3257" spans="1:19" x14ac:dyDescent="0.2">
      <c r="A3257" s="12" t="s">
        <v>576</v>
      </c>
      <c r="B3257" s="12" t="s">
        <v>567</v>
      </c>
      <c r="C3257" s="12" t="s">
        <v>556</v>
      </c>
      <c r="D3257" s="13">
        <v>0</v>
      </c>
      <c r="E3257" s="13">
        <v>-0.21464900000000001</v>
      </c>
      <c r="F3257" s="13">
        <v>-8.5858999999999991E-2</v>
      </c>
      <c r="G3257" s="13">
        <v>-4.2930999999999997E-2</v>
      </c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</row>
    <row r="3258" spans="1:19" x14ac:dyDescent="0.2">
      <c r="A3258" s="12" t="s">
        <v>576</v>
      </c>
      <c r="B3258" s="12" t="s">
        <v>567</v>
      </c>
      <c r="C3258" s="12" t="s">
        <v>557</v>
      </c>
      <c r="D3258" s="13">
        <v>242</v>
      </c>
      <c r="E3258" s="13">
        <v>240.45003800000001</v>
      </c>
      <c r="F3258" s="13">
        <v>234.23391699999999</v>
      </c>
      <c r="G3258" s="13">
        <v>228.185787</v>
      </c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</row>
    <row r="3259" spans="1:19" x14ac:dyDescent="0.2">
      <c r="A3259" s="12" t="s">
        <v>576</v>
      </c>
      <c r="B3259" s="12" t="s">
        <v>567</v>
      </c>
      <c r="C3259" s="12" t="s">
        <v>558</v>
      </c>
      <c r="D3259" s="13">
        <v>0</v>
      </c>
      <c r="E3259" s="13">
        <v>0</v>
      </c>
      <c r="F3259" s="13">
        <v>0</v>
      </c>
      <c r="G3259" s="13">
        <v>0</v>
      </c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</row>
    <row r="3260" spans="1:19" x14ac:dyDescent="0.2">
      <c r="A3260" s="12" t="s">
        <v>576</v>
      </c>
      <c r="B3260" s="12" t="s">
        <v>567</v>
      </c>
      <c r="C3260" s="12" t="s">
        <v>560</v>
      </c>
      <c r="D3260" s="13">
        <v>-255</v>
      </c>
      <c r="E3260" s="13">
        <v>-254.99911399999999</v>
      </c>
      <c r="F3260" s="13">
        <v>-247.141516</v>
      </c>
      <c r="G3260" s="13">
        <v>-241.78566499999999</v>
      </c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</row>
    <row r="3261" spans="1:19" x14ac:dyDescent="0.2">
      <c r="A3261" s="12" t="s">
        <v>576</v>
      </c>
      <c r="B3261" s="12" t="s">
        <v>567</v>
      </c>
      <c r="C3261" s="12" t="s">
        <v>561</v>
      </c>
      <c r="D3261" s="13">
        <v>0</v>
      </c>
      <c r="E3261" s="13">
        <v>0</v>
      </c>
      <c r="F3261" s="13">
        <v>0</v>
      </c>
      <c r="G3261" s="13">
        <v>0</v>
      </c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</row>
    <row r="3262" spans="1:19" x14ac:dyDescent="0.2">
      <c r="A3262" s="12" t="s">
        <v>576</v>
      </c>
      <c r="B3262" s="12" t="s">
        <v>567</v>
      </c>
      <c r="C3262" s="12" t="s">
        <v>562</v>
      </c>
      <c r="D3262" s="13">
        <v>0</v>
      </c>
      <c r="E3262" s="13">
        <v>0</v>
      </c>
      <c r="F3262" s="13">
        <v>0</v>
      </c>
      <c r="G3262" s="13">
        <v>0</v>
      </c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</row>
    <row r="3263" spans="1:19" x14ac:dyDescent="0.2">
      <c r="A3263" s="12" t="s">
        <v>576</v>
      </c>
      <c r="B3263" s="12" t="s">
        <v>567</v>
      </c>
      <c r="C3263" s="12" t="s">
        <v>563</v>
      </c>
      <c r="D3263" s="13">
        <v>0</v>
      </c>
      <c r="E3263" s="13">
        <v>0</v>
      </c>
      <c r="F3263" s="13">
        <v>0</v>
      </c>
      <c r="G3263" s="13">
        <v>0</v>
      </c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</row>
    <row r="3264" spans="1:19" x14ac:dyDescent="0.2">
      <c r="A3264" s="12" t="s">
        <v>576</v>
      </c>
      <c r="B3264" s="12" t="s">
        <v>567</v>
      </c>
      <c r="C3264" s="12" t="s">
        <v>564</v>
      </c>
      <c r="D3264" s="13">
        <v>0</v>
      </c>
      <c r="E3264" s="13">
        <v>0</v>
      </c>
      <c r="F3264" s="13">
        <v>0</v>
      </c>
      <c r="G3264" s="13">
        <v>0</v>
      </c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</row>
    <row r="3265" spans="1:19" x14ac:dyDescent="0.2">
      <c r="A3265" s="12" t="s">
        <v>576</v>
      </c>
      <c r="B3265" s="12" t="s">
        <v>567</v>
      </c>
      <c r="C3265" s="12" t="s">
        <v>565</v>
      </c>
      <c r="D3265" s="13">
        <v>0</v>
      </c>
      <c r="E3265" s="13">
        <v>0</v>
      </c>
      <c r="F3265" s="13">
        <v>0</v>
      </c>
      <c r="G3265" s="13">
        <v>0</v>
      </c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</row>
    <row r="3266" spans="1:19" x14ac:dyDescent="0.2">
      <c r="A3266" s="12" t="s">
        <v>576</v>
      </c>
      <c r="B3266" s="12" t="s">
        <v>567</v>
      </c>
      <c r="C3266" s="12" t="s">
        <v>566</v>
      </c>
      <c r="D3266" s="13">
        <v>0</v>
      </c>
      <c r="E3266" s="13">
        <v>0</v>
      </c>
      <c r="F3266" s="13">
        <v>0</v>
      </c>
      <c r="G3266" s="13">
        <v>0</v>
      </c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</row>
    <row r="3267" spans="1:19" x14ac:dyDescent="0.2">
      <c r="A3267" s="12" t="s">
        <v>576</v>
      </c>
      <c r="B3267" s="12" t="s">
        <v>568</v>
      </c>
      <c r="C3267" s="12" t="s">
        <v>554</v>
      </c>
      <c r="D3267" s="13">
        <v>0</v>
      </c>
      <c r="E3267" s="13">
        <v>0</v>
      </c>
      <c r="F3267" s="13">
        <v>0</v>
      </c>
      <c r="G3267" s="13">
        <v>0</v>
      </c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</row>
    <row r="3268" spans="1:19" x14ac:dyDescent="0.2">
      <c r="A3268" s="12" t="s">
        <v>576</v>
      </c>
      <c r="B3268" s="12" t="s">
        <v>568</v>
      </c>
      <c r="C3268" s="12" t="s">
        <v>555</v>
      </c>
      <c r="D3268" s="13">
        <v>67</v>
      </c>
      <c r="E3268" s="13">
        <v>68.391801000000015</v>
      </c>
      <c r="F3268" s="13">
        <v>71.380598000000006</v>
      </c>
      <c r="G3268" s="13">
        <v>92.263800000000003</v>
      </c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</row>
    <row r="3269" spans="1:19" x14ac:dyDescent="0.2">
      <c r="A3269" s="12" t="s">
        <v>576</v>
      </c>
      <c r="B3269" s="12" t="s">
        <v>568</v>
      </c>
      <c r="C3269" s="12" t="s">
        <v>556</v>
      </c>
      <c r="D3269" s="13">
        <v>-152</v>
      </c>
      <c r="E3269" s="13">
        <v>-144.61540099999999</v>
      </c>
      <c r="F3269" s="13">
        <v>-135.663398</v>
      </c>
      <c r="G3269" s="13">
        <v>-156.371399</v>
      </c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</row>
    <row r="3270" spans="1:19" x14ac:dyDescent="0.2">
      <c r="A3270" s="12" t="s">
        <v>576</v>
      </c>
      <c r="B3270" s="12" t="s">
        <v>568</v>
      </c>
      <c r="C3270" s="12" t="s">
        <v>557</v>
      </c>
      <c r="D3270" s="13">
        <v>-86</v>
      </c>
      <c r="E3270" s="13">
        <v>-76.433600999999996</v>
      </c>
      <c r="F3270" s="13">
        <v>-67.848798000000002</v>
      </c>
      <c r="G3270" s="13">
        <v>-65.379598999999999</v>
      </c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</row>
    <row r="3271" spans="1:19" x14ac:dyDescent="0.2">
      <c r="A3271" s="12" t="s">
        <v>576</v>
      </c>
      <c r="B3271" s="12" t="s">
        <v>568</v>
      </c>
      <c r="C3271" s="12" t="s">
        <v>558</v>
      </c>
      <c r="D3271" s="13">
        <v>-3</v>
      </c>
      <c r="E3271" s="13">
        <v>-2.8596020000000002</v>
      </c>
      <c r="F3271" s="13">
        <v>-3.5911019999999998</v>
      </c>
      <c r="G3271" s="13">
        <v>-3.256999</v>
      </c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</row>
    <row r="3272" spans="1:19" x14ac:dyDescent="0.2">
      <c r="A3272" s="12" t="s">
        <v>576</v>
      </c>
      <c r="B3272" s="12" t="s">
        <v>568</v>
      </c>
      <c r="C3272" s="12" t="s">
        <v>560</v>
      </c>
      <c r="D3272" s="13">
        <v>261</v>
      </c>
      <c r="E3272" s="13">
        <v>260.9436</v>
      </c>
      <c r="F3272" s="13">
        <v>253.083799</v>
      </c>
      <c r="G3272" s="13">
        <v>248.07090199999999</v>
      </c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</row>
    <row r="3273" spans="1:19" x14ac:dyDescent="0.2">
      <c r="A3273" s="12" t="s">
        <v>576</v>
      </c>
      <c r="B3273" s="12" t="s">
        <v>568</v>
      </c>
      <c r="C3273" s="12" t="s">
        <v>561</v>
      </c>
      <c r="D3273" s="13">
        <v>144</v>
      </c>
      <c r="E3273" s="13">
        <v>150.40690000000001</v>
      </c>
      <c r="F3273" s="13">
        <v>151.978399</v>
      </c>
      <c r="G3273" s="13">
        <v>150.12730199999999</v>
      </c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</row>
    <row r="3274" spans="1:19" x14ac:dyDescent="0.2">
      <c r="A3274" s="12" t="s">
        <v>576</v>
      </c>
      <c r="B3274" s="12" t="s">
        <v>568</v>
      </c>
      <c r="C3274" s="12" t="s">
        <v>562</v>
      </c>
      <c r="D3274" s="13">
        <v>15</v>
      </c>
      <c r="E3274" s="13">
        <v>15.805300000000001</v>
      </c>
      <c r="F3274" s="13">
        <v>15.886398</v>
      </c>
      <c r="G3274" s="13">
        <v>16.180902</v>
      </c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</row>
    <row r="3275" spans="1:19" x14ac:dyDescent="0.2">
      <c r="A3275" s="12" t="s">
        <v>576</v>
      </c>
      <c r="B3275" s="12" t="s">
        <v>568</v>
      </c>
      <c r="C3275" s="12" t="s">
        <v>563</v>
      </c>
      <c r="D3275" s="13">
        <v>93</v>
      </c>
      <c r="E3275" s="13">
        <v>97.459602000000004</v>
      </c>
      <c r="F3275" s="13">
        <v>101.6694</v>
      </c>
      <c r="G3275" s="13">
        <v>100.707801</v>
      </c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</row>
    <row r="3276" spans="1:19" x14ac:dyDescent="0.2">
      <c r="A3276" s="12" t="s">
        <v>576</v>
      </c>
      <c r="B3276" s="12" t="s">
        <v>568</v>
      </c>
      <c r="C3276" s="12" t="s">
        <v>564</v>
      </c>
      <c r="D3276" s="13">
        <v>0</v>
      </c>
      <c r="E3276" s="13">
        <v>0.36799900000000002</v>
      </c>
      <c r="F3276" s="13">
        <v>0.32199800000000001</v>
      </c>
      <c r="G3276" s="13">
        <v>0.27599800000000002</v>
      </c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</row>
    <row r="3277" spans="1:19" x14ac:dyDescent="0.2">
      <c r="A3277" s="12" t="s">
        <v>576</v>
      </c>
      <c r="B3277" s="12" t="s">
        <v>568</v>
      </c>
      <c r="C3277" s="12" t="s">
        <v>565</v>
      </c>
      <c r="D3277" s="13">
        <v>0</v>
      </c>
      <c r="E3277" s="13">
        <v>0.21979899999999999</v>
      </c>
      <c r="F3277" s="13">
        <v>0.35439999999999999</v>
      </c>
      <c r="G3277" s="13">
        <v>0.17719799999999999</v>
      </c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</row>
    <row r="3278" spans="1:19" x14ac:dyDescent="0.2">
      <c r="A3278" s="12" t="s">
        <v>576</v>
      </c>
      <c r="B3278" s="12" t="s">
        <v>568</v>
      </c>
      <c r="C3278" s="12" t="s">
        <v>566</v>
      </c>
      <c r="D3278" s="13">
        <v>35</v>
      </c>
      <c r="E3278" s="13">
        <v>36.554201999999997</v>
      </c>
      <c r="F3278" s="13">
        <v>33.746198</v>
      </c>
      <c r="G3278" s="13">
        <v>32.785398999999998</v>
      </c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</row>
    <row r="3279" spans="1:19" x14ac:dyDescent="0.2">
      <c r="A3279" s="12" t="s">
        <v>576</v>
      </c>
      <c r="B3279" s="12" t="s">
        <v>569</v>
      </c>
      <c r="C3279" s="12" t="s">
        <v>554</v>
      </c>
      <c r="D3279" s="13">
        <v>2</v>
      </c>
      <c r="E3279" s="13">
        <v>2.0438990000000001</v>
      </c>
      <c r="F3279" s="13">
        <v>1.943098</v>
      </c>
      <c r="G3279" s="13">
        <v>1.7523010000000001</v>
      </c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</row>
    <row r="3280" spans="1:19" x14ac:dyDescent="0.2">
      <c r="A3280" s="12" t="s">
        <v>576</v>
      </c>
      <c r="B3280" s="12" t="s">
        <v>569</v>
      </c>
      <c r="C3280" s="12" t="s">
        <v>555</v>
      </c>
      <c r="D3280" s="13">
        <v>151</v>
      </c>
      <c r="E3280" s="13">
        <v>178.75890100000001</v>
      </c>
      <c r="F3280" s="13">
        <v>217.950301</v>
      </c>
      <c r="G3280" s="13">
        <v>159.698699</v>
      </c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</row>
    <row r="3281" spans="1:19" x14ac:dyDescent="0.2">
      <c r="A3281" s="12" t="s">
        <v>576</v>
      </c>
      <c r="B3281" s="12" t="s">
        <v>569</v>
      </c>
      <c r="C3281" s="12" t="s">
        <v>556</v>
      </c>
      <c r="D3281" s="13">
        <v>0</v>
      </c>
      <c r="E3281" s="13">
        <v>-47.207698000000001</v>
      </c>
      <c r="F3281" s="13">
        <v>0</v>
      </c>
      <c r="G3281" s="13">
        <v>0</v>
      </c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</row>
    <row r="3282" spans="1:19" x14ac:dyDescent="0.2">
      <c r="A3282" s="12" t="s">
        <v>576</v>
      </c>
      <c r="B3282" s="12" t="s">
        <v>569</v>
      </c>
      <c r="C3282" s="12" t="s">
        <v>557</v>
      </c>
      <c r="D3282" s="13">
        <v>171</v>
      </c>
      <c r="E3282" s="13">
        <v>190.54349999999999</v>
      </c>
      <c r="F3282" s="13">
        <v>158.75730100000001</v>
      </c>
      <c r="G3282" s="13">
        <v>151.13160199999999</v>
      </c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</row>
    <row r="3283" spans="1:19" x14ac:dyDescent="0.2">
      <c r="A3283" s="12" t="s">
        <v>576</v>
      </c>
      <c r="B3283" s="12" t="s">
        <v>569</v>
      </c>
      <c r="C3283" s="12" t="s">
        <v>558</v>
      </c>
      <c r="D3283" s="13">
        <v>-41</v>
      </c>
      <c r="E3283" s="13">
        <v>-46.9161</v>
      </c>
      <c r="F3283" s="13">
        <v>-29.641501000000002</v>
      </c>
      <c r="G3283" s="13">
        <v>-30.594601000000001</v>
      </c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</row>
    <row r="3284" spans="1:19" x14ac:dyDescent="0.2">
      <c r="A3284" s="12" t="s">
        <v>576</v>
      </c>
      <c r="B3284" s="12" t="s">
        <v>569</v>
      </c>
      <c r="C3284" s="12" t="s">
        <v>560</v>
      </c>
      <c r="D3284" s="13">
        <v>0</v>
      </c>
      <c r="E3284" s="13">
        <v>0</v>
      </c>
      <c r="F3284" s="13">
        <v>0</v>
      </c>
      <c r="G3284" s="13">
        <v>0</v>
      </c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</row>
    <row r="3285" spans="1:19" x14ac:dyDescent="0.2">
      <c r="A3285" s="12" t="s">
        <v>576</v>
      </c>
      <c r="B3285" s="12" t="s">
        <v>569</v>
      </c>
      <c r="C3285" s="12" t="s">
        <v>561</v>
      </c>
      <c r="D3285" s="13">
        <v>118</v>
      </c>
      <c r="E3285" s="13">
        <v>130.0959</v>
      </c>
      <c r="F3285" s="13">
        <v>116.142301</v>
      </c>
      <c r="G3285" s="13">
        <v>106.8318</v>
      </c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</row>
    <row r="3286" spans="1:19" x14ac:dyDescent="0.2">
      <c r="A3286" s="12" t="s">
        <v>576</v>
      </c>
      <c r="B3286" s="12" t="s">
        <v>569</v>
      </c>
      <c r="C3286" s="12" t="s">
        <v>562</v>
      </c>
      <c r="D3286" s="13">
        <v>34</v>
      </c>
      <c r="E3286" s="13">
        <v>34.815599000000013</v>
      </c>
      <c r="F3286" s="13">
        <v>32.088597999999998</v>
      </c>
      <c r="G3286" s="13">
        <v>30.413698</v>
      </c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</row>
    <row r="3287" spans="1:19" x14ac:dyDescent="0.2">
      <c r="A3287" s="12" t="s">
        <v>576</v>
      </c>
      <c r="B3287" s="12" t="s">
        <v>569</v>
      </c>
      <c r="C3287" s="12" t="s">
        <v>563</v>
      </c>
      <c r="D3287" s="13">
        <v>3</v>
      </c>
      <c r="E3287" s="13">
        <v>2.6693989999999999</v>
      </c>
      <c r="F3287" s="13">
        <v>1.056602</v>
      </c>
      <c r="G3287" s="13">
        <v>0.68580200000000002</v>
      </c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</row>
    <row r="3288" spans="1:19" x14ac:dyDescent="0.2">
      <c r="A3288" s="12" t="s">
        <v>576</v>
      </c>
      <c r="B3288" s="12" t="s">
        <v>569</v>
      </c>
      <c r="C3288" s="12" t="s">
        <v>564</v>
      </c>
      <c r="D3288" s="13">
        <v>48</v>
      </c>
      <c r="E3288" s="13">
        <v>51.432301000000002</v>
      </c>
      <c r="F3288" s="13">
        <v>46.376998999999998</v>
      </c>
      <c r="G3288" s="13">
        <v>43.948802000000008</v>
      </c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</row>
    <row r="3289" spans="1:19" x14ac:dyDescent="0.2">
      <c r="A3289" s="12" t="s">
        <v>576</v>
      </c>
      <c r="B3289" s="12" t="s">
        <v>569</v>
      </c>
      <c r="C3289" s="12" t="s">
        <v>565</v>
      </c>
      <c r="D3289" s="13">
        <v>15</v>
      </c>
      <c r="E3289" s="13">
        <v>23.067899000000001</v>
      </c>
      <c r="F3289" s="13">
        <v>21.682801000000001</v>
      </c>
      <c r="G3289" s="13">
        <v>18.008101</v>
      </c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</row>
    <row r="3290" spans="1:19" x14ac:dyDescent="0.2">
      <c r="A3290" s="12" t="s">
        <v>576</v>
      </c>
      <c r="B3290" s="12" t="s">
        <v>569</v>
      </c>
      <c r="C3290" s="12" t="s">
        <v>566</v>
      </c>
      <c r="D3290" s="13">
        <v>17</v>
      </c>
      <c r="E3290" s="13">
        <v>18.110703000000001</v>
      </c>
      <c r="F3290" s="13">
        <v>14.937301</v>
      </c>
      <c r="G3290" s="13">
        <v>13.775397</v>
      </c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</row>
    <row r="3291" spans="1:19" x14ac:dyDescent="0.2">
      <c r="A3291" s="12" t="s">
        <v>576</v>
      </c>
      <c r="B3291" s="12" t="s">
        <v>570</v>
      </c>
      <c r="C3291" s="12" t="s">
        <v>554</v>
      </c>
      <c r="D3291" s="13">
        <v>170</v>
      </c>
      <c r="E3291" s="13">
        <v>173.60899900000001</v>
      </c>
      <c r="F3291" s="13">
        <v>175.508726</v>
      </c>
      <c r="G3291" s="13">
        <v>201.77936399999999</v>
      </c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</row>
    <row r="3292" spans="1:19" x14ac:dyDescent="0.2">
      <c r="A3292" s="12" t="s">
        <v>576</v>
      </c>
      <c r="B3292" s="12" t="s">
        <v>570</v>
      </c>
      <c r="C3292" s="12" t="s">
        <v>555</v>
      </c>
      <c r="D3292" s="13">
        <v>0</v>
      </c>
      <c r="E3292" s="13">
        <v>0</v>
      </c>
      <c r="F3292" s="13">
        <v>0</v>
      </c>
      <c r="G3292" s="13">
        <v>0</v>
      </c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</row>
    <row r="3293" spans="1:19" x14ac:dyDescent="0.2">
      <c r="A3293" s="12" t="s">
        <v>576</v>
      </c>
      <c r="B3293" s="12" t="s">
        <v>570</v>
      </c>
      <c r="C3293" s="12" t="s">
        <v>556</v>
      </c>
      <c r="D3293" s="13">
        <v>0</v>
      </c>
      <c r="E3293" s="13">
        <v>0</v>
      </c>
      <c r="F3293" s="13">
        <v>0</v>
      </c>
      <c r="G3293" s="13">
        <v>0</v>
      </c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</row>
    <row r="3294" spans="1:19" x14ac:dyDescent="0.2">
      <c r="A3294" s="12" t="s">
        <v>576</v>
      </c>
      <c r="B3294" s="12" t="s">
        <v>570</v>
      </c>
      <c r="C3294" s="12" t="s">
        <v>557</v>
      </c>
      <c r="D3294" s="13">
        <v>170</v>
      </c>
      <c r="E3294" s="13">
        <v>173.60899900000001</v>
      </c>
      <c r="F3294" s="13">
        <v>175.508726</v>
      </c>
      <c r="G3294" s="13">
        <v>201.77936399999999</v>
      </c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</row>
    <row r="3295" spans="1:19" x14ac:dyDescent="0.2">
      <c r="A3295" s="12" t="s">
        <v>576</v>
      </c>
      <c r="B3295" s="12" t="s">
        <v>570</v>
      </c>
      <c r="C3295" s="12" t="s">
        <v>558</v>
      </c>
      <c r="D3295" s="13">
        <v>-170</v>
      </c>
      <c r="E3295" s="13">
        <v>-173.60899900000001</v>
      </c>
      <c r="F3295" s="13">
        <v>-175.508726</v>
      </c>
      <c r="G3295" s="13">
        <v>-201.77936299999999</v>
      </c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</row>
    <row r="3296" spans="1:19" x14ac:dyDescent="0.2">
      <c r="A3296" s="12" t="s">
        <v>576</v>
      </c>
      <c r="B3296" s="12" t="s">
        <v>570</v>
      </c>
      <c r="C3296" s="12" t="s">
        <v>560</v>
      </c>
      <c r="D3296" s="13">
        <v>0</v>
      </c>
      <c r="E3296" s="13">
        <v>0</v>
      </c>
      <c r="F3296" s="13">
        <v>0</v>
      </c>
      <c r="G3296" s="13">
        <v>0</v>
      </c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</row>
    <row r="3297" spans="1:19" x14ac:dyDescent="0.2">
      <c r="A3297" s="12" t="s">
        <v>576</v>
      </c>
      <c r="B3297" s="12" t="s">
        <v>570</v>
      </c>
      <c r="C3297" s="12" t="s">
        <v>561</v>
      </c>
      <c r="D3297" s="13">
        <v>0</v>
      </c>
      <c r="E3297" s="13">
        <v>0</v>
      </c>
      <c r="F3297" s="13">
        <v>0</v>
      </c>
      <c r="G3297" s="13">
        <v>0</v>
      </c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</row>
    <row r="3298" spans="1:19" x14ac:dyDescent="0.2">
      <c r="A3298" s="12" t="s">
        <v>576</v>
      </c>
      <c r="B3298" s="12" t="s">
        <v>570</v>
      </c>
      <c r="C3298" s="12" t="s">
        <v>562</v>
      </c>
      <c r="D3298" s="13">
        <v>0</v>
      </c>
      <c r="E3298" s="13">
        <v>0</v>
      </c>
      <c r="F3298" s="13">
        <v>0</v>
      </c>
      <c r="G3298" s="13">
        <v>0</v>
      </c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</row>
    <row r="3299" spans="1:19" x14ac:dyDescent="0.2">
      <c r="A3299" s="12" t="s">
        <v>576</v>
      </c>
      <c r="B3299" s="12" t="s">
        <v>570</v>
      </c>
      <c r="C3299" s="12" t="s">
        <v>563</v>
      </c>
      <c r="D3299" s="13">
        <v>0</v>
      </c>
      <c r="E3299" s="13">
        <v>0</v>
      </c>
      <c r="F3299" s="13">
        <v>0</v>
      </c>
      <c r="G3299" s="13">
        <v>0</v>
      </c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</row>
    <row r="3300" spans="1:19" x14ac:dyDescent="0.2">
      <c r="A3300" s="12" t="s">
        <v>576</v>
      </c>
      <c r="B3300" s="12" t="s">
        <v>570</v>
      </c>
      <c r="C3300" s="12" t="s">
        <v>564</v>
      </c>
      <c r="D3300" s="13">
        <v>0</v>
      </c>
      <c r="E3300" s="13">
        <v>0</v>
      </c>
      <c r="F3300" s="13">
        <v>0</v>
      </c>
      <c r="G3300" s="13">
        <v>0</v>
      </c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</row>
    <row r="3301" spans="1:19" x14ac:dyDescent="0.2">
      <c r="A3301" s="12" t="s">
        <v>576</v>
      </c>
      <c r="B3301" s="12" t="s">
        <v>570</v>
      </c>
      <c r="C3301" s="12" t="s">
        <v>565</v>
      </c>
      <c r="D3301" s="13">
        <v>0</v>
      </c>
      <c r="E3301" s="13">
        <v>0</v>
      </c>
      <c r="F3301" s="13">
        <v>0</v>
      </c>
      <c r="G3301" s="13">
        <v>0</v>
      </c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</row>
    <row r="3302" spans="1:19" x14ac:dyDescent="0.2">
      <c r="A3302" s="12" t="s">
        <v>576</v>
      </c>
      <c r="B3302" s="12" t="s">
        <v>570</v>
      </c>
      <c r="C3302" s="12" t="s">
        <v>566</v>
      </c>
      <c r="D3302" s="13">
        <v>0</v>
      </c>
      <c r="E3302" s="13">
        <v>0</v>
      </c>
      <c r="F3302" s="13">
        <v>0</v>
      </c>
      <c r="G3302" s="13">
        <v>0</v>
      </c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</row>
    <row r="3303" spans="1:19" x14ac:dyDescent="0.2">
      <c r="A3303" s="12" t="s">
        <v>576</v>
      </c>
      <c r="B3303" s="12" t="s">
        <v>571</v>
      </c>
      <c r="C3303" s="12" t="s">
        <v>554</v>
      </c>
      <c r="D3303" s="13">
        <v>99</v>
      </c>
      <c r="E3303" s="13">
        <v>105.633838</v>
      </c>
      <c r="F3303" s="13">
        <v>97.459635000000006</v>
      </c>
      <c r="G3303" s="13">
        <v>90.550005000000013</v>
      </c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</row>
    <row r="3304" spans="1:19" x14ac:dyDescent="0.2">
      <c r="A3304" s="12" t="s">
        <v>576</v>
      </c>
      <c r="B3304" s="12" t="s">
        <v>571</v>
      </c>
      <c r="C3304" s="12" t="s">
        <v>555</v>
      </c>
      <c r="D3304" s="13">
        <v>5</v>
      </c>
      <c r="E3304" s="13">
        <v>5.0454539999999994</v>
      </c>
      <c r="F3304" s="13">
        <v>6.0259980000000004</v>
      </c>
      <c r="G3304" s="13">
        <v>4.5368830000000004</v>
      </c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</row>
    <row r="3305" spans="1:19" x14ac:dyDescent="0.2">
      <c r="A3305" s="12" t="s">
        <v>576</v>
      </c>
      <c r="B3305" s="12" t="s">
        <v>571</v>
      </c>
      <c r="C3305" s="12" t="s">
        <v>556</v>
      </c>
      <c r="D3305" s="13">
        <v>-6</v>
      </c>
      <c r="E3305" s="13">
        <v>-6.0908939999999996</v>
      </c>
      <c r="F3305" s="13">
        <v>-6.9037610000000003</v>
      </c>
      <c r="G3305" s="13">
        <v>-5.0290039999999996</v>
      </c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</row>
    <row r="3306" spans="1:19" x14ac:dyDescent="0.2">
      <c r="A3306" s="12" t="s">
        <v>576</v>
      </c>
      <c r="B3306" s="12" t="s">
        <v>571</v>
      </c>
      <c r="C3306" s="12" t="s">
        <v>557</v>
      </c>
      <c r="D3306" s="13">
        <v>98</v>
      </c>
      <c r="E3306" s="13">
        <v>104.714271</v>
      </c>
      <c r="F3306" s="13">
        <v>96.096141000000003</v>
      </c>
      <c r="G3306" s="13">
        <v>89.904890000000009</v>
      </c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</row>
    <row r="3307" spans="1:19" x14ac:dyDescent="0.2">
      <c r="A3307" s="12" t="s">
        <v>576</v>
      </c>
      <c r="B3307" s="12" t="s">
        <v>571</v>
      </c>
      <c r="C3307" s="12" t="s">
        <v>558</v>
      </c>
      <c r="D3307" s="13">
        <v>-43</v>
      </c>
      <c r="E3307" s="13">
        <v>-44.633412</v>
      </c>
      <c r="F3307" s="13">
        <v>-39.562196</v>
      </c>
      <c r="G3307" s="13">
        <v>-41.880010000000013</v>
      </c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</row>
    <row r="3308" spans="1:19" x14ac:dyDescent="0.2">
      <c r="A3308" s="12" t="s">
        <v>576</v>
      </c>
      <c r="B3308" s="12" t="s">
        <v>571</v>
      </c>
      <c r="C3308" s="12" t="s">
        <v>560</v>
      </c>
      <c r="D3308" s="13">
        <v>0</v>
      </c>
      <c r="E3308" s="13">
        <v>0</v>
      </c>
      <c r="F3308" s="13">
        <v>0</v>
      </c>
      <c r="G3308" s="13">
        <v>0</v>
      </c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</row>
    <row r="3309" spans="1:19" x14ac:dyDescent="0.2">
      <c r="A3309" s="12" t="s">
        <v>576</v>
      </c>
      <c r="B3309" s="12" t="s">
        <v>571</v>
      </c>
      <c r="C3309" s="12" t="s">
        <v>561</v>
      </c>
      <c r="D3309" s="13">
        <v>55</v>
      </c>
      <c r="E3309" s="13">
        <v>60.051870999999998</v>
      </c>
      <c r="F3309" s="13">
        <v>56.501933000000001</v>
      </c>
      <c r="G3309" s="13">
        <v>48.011885999999997</v>
      </c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</row>
    <row r="3310" spans="1:19" x14ac:dyDescent="0.2">
      <c r="A3310" s="12" t="s">
        <v>576</v>
      </c>
      <c r="B3310" s="12" t="s">
        <v>571</v>
      </c>
      <c r="C3310" s="12" t="s">
        <v>562</v>
      </c>
      <c r="D3310" s="13">
        <v>21</v>
      </c>
      <c r="E3310" s="13">
        <v>20.935001</v>
      </c>
      <c r="F3310" s="13">
        <v>21.474001000000001</v>
      </c>
      <c r="G3310" s="13">
        <v>19.554001</v>
      </c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</row>
    <row r="3311" spans="1:19" x14ac:dyDescent="0.2">
      <c r="A3311" s="12" t="s">
        <v>576</v>
      </c>
      <c r="B3311" s="12" t="s">
        <v>571</v>
      </c>
      <c r="C3311" s="12" t="s">
        <v>563</v>
      </c>
      <c r="D3311" s="13">
        <v>7</v>
      </c>
      <c r="E3311" s="13">
        <v>7.1049830000000007</v>
      </c>
      <c r="F3311" s="13">
        <v>7.4920479999999996</v>
      </c>
      <c r="G3311" s="13">
        <v>6.9109999999999996</v>
      </c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</row>
    <row r="3312" spans="1:19" x14ac:dyDescent="0.2">
      <c r="A3312" s="12" t="s">
        <v>576</v>
      </c>
      <c r="B3312" s="12" t="s">
        <v>571</v>
      </c>
      <c r="C3312" s="12" t="s">
        <v>564</v>
      </c>
      <c r="D3312" s="13">
        <v>25</v>
      </c>
      <c r="E3312" s="13">
        <v>29.034889</v>
      </c>
      <c r="F3312" s="13">
        <v>25.260885999999999</v>
      </c>
      <c r="G3312" s="13">
        <v>18.989892999999999</v>
      </c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</row>
    <row r="3313" spans="1:19" x14ac:dyDescent="0.2">
      <c r="A3313" s="12" t="s">
        <v>576</v>
      </c>
      <c r="B3313" s="12" t="s">
        <v>571</v>
      </c>
      <c r="C3313" s="12" t="s">
        <v>565</v>
      </c>
      <c r="D3313" s="13">
        <v>2</v>
      </c>
      <c r="E3313" s="13">
        <v>1.8360000000000001</v>
      </c>
      <c r="F3313" s="13">
        <v>1.3519969999999999</v>
      </c>
      <c r="G3313" s="13">
        <v>1.6929989999999999</v>
      </c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</row>
    <row r="3314" spans="1:19" x14ac:dyDescent="0.2">
      <c r="A3314" s="12" t="s">
        <v>576</v>
      </c>
      <c r="B3314" s="12" t="s">
        <v>571</v>
      </c>
      <c r="C3314" s="12" t="s">
        <v>566</v>
      </c>
      <c r="D3314" s="13">
        <v>1</v>
      </c>
      <c r="E3314" s="13">
        <v>1.1409990000000001</v>
      </c>
      <c r="F3314" s="13">
        <v>0.92300100000000007</v>
      </c>
      <c r="G3314" s="13">
        <v>0.86400100000000002</v>
      </c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</row>
    <row r="3315" spans="1:19" x14ac:dyDescent="0.2">
      <c r="A3315" s="12" t="s">
        <v>576</v>
      </c>
      <c r="B3315" s="12" t="s">
        <v>572</v>
      </c>
      <c r="C3315" s="12" t="s">
        <v>554</v>
      </c>
      <c r="D3315" s="13">
        <v>0</v>
      </c>
      <c r="E3315" s="13">
        <v>0</v>
      </c>
      <c r="F3315" s="13">
        <v>0</v>
      </c>
      <c r="G3315" s="13">
        <v>0</v>
      </c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</row>
    <row r="3316" spans="1:19" x14ac:dyDescent="0.2">
      <c r="A3316" s="12" t="s">
        <v>576</v>
      </c>
      <c r="B3316" s="12" t="s">
        <v>572</v>
      </c>
      <c r="C3316" s="12" t="s">
        <v>555</v>
      </c>
      <c r="D3316" s="13">
        <v>48</v>
      </c>
      <c r="E3316" s="13">
        <v>49.982399000000001</v>
      </c>
      <c r="F3316" s="13">
        <v>60.274800999999997</v>
      </c>
      <c r="G3316" s="13">
        <v>38.336401000000002</v>
      </c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</row>
    <row r="3317" spans="1:19" x14ac:dyDescent="0.2">
      <c r="A3317" s="12" t="s">
        <v>576</v>
      </c>
      <c r="B3317" s="12" t="s">
        <v>572</v>
      </c>
      <c r="C3317" s="12" t="s">
        <v>556</v>
      </c>
      <c r="D3317" s="13">
        <v>-47</v>
      </c>
      <c r="E3317" s="13">
        <v>-47.195999999999998</v>
      </c>
      <c r="F3317" s="13">
        <v>-55.191598999999997</v>
      </c>
      <c r="G3317" s="13">
        <v>-50.655599000000002</v>
      </c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</row>
    <row r="3318" spans="1:19" x14ac:dyDescent="0.2">
      <c r="A3318" s="12" t="s">
        <v>576</v>
      </c>
      <c r="B3318" s="12" t="s">
        <v>572</v>
      </c>
      <c r="C3318" s="12" t="s">
        <v>557</v>
      </c>
      <c r="D3318" s="13">
        <v>1</v>
      </c>
      <c r="E3318" s="13">
        <v>2.7863989999999998</v>
      </c>
      <c r="F3318" s="13">
        <v>5.0831980000000003</v>
      </c>
      <c r="G3318" s="13">
        <v>-12.319198</v>
      </c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</row>
    <row r="3319" spans="1:19" x14ac:dyDescent="0.2">
      <c r="A3319" s="12" t="s">
        <v>576</v>
      </c>
      <c r="B3319" s="12" t="s">
        <v>572</v>
      </c>
      <c r="C3319" s="12" t="s">
        <v>558</v>
      </c>
      <c r="D3319" s="13">
        <v>103</v>
      </c>
      <c r="E3319" s="13">
        <v>106.9992</v>
      </c>
      <c r="F3319" s="13">
        <v>95.590803000000008</v>
      </c>
      <c r="G3319" s="13">
        <v>106.419597</v>
      </c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</row>
    <row r="3320" spans="1:19" x14ac:dyDescent="0.2">
      <c r="A3320" s="12" t="s">
        <v>576</v>
      </c>
      <c r="B3320" s="12" t="s">
        <v>572</v>
      </c>
      <c r="C3320" s="12" t="s">
        <v>560</v>
      </c>
      <c r="D3320" s="13">
        <v>0</v>
      </c>
      <c r="E3320" s="13">
        <v>0</v>
      </c>
      <c r="F3320" s="13">
        <v>0</v>
      </c>
      <c r="G3320" s="13">
        <v>0</v>
      </c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</row>
    <row r="3321" spans="1:19" x14ac:dyDescent="0.2">
      <c r="A3321" s="12" t="s">
        <v>576</v>
      </c>
      <c r="B3321" s="12" t="s">
        <v>572</v>
      </c>
      <c r="C3321" s="12" t="s">
        <v>561</v>
      </c>
      <c r="D3321" s="13">
        <v>86</v>
      </c>
      <c r="E3321" s="13">
        <v>91.976400999999996</v>
      </c>
      <c r="F3321" s="13">
        <v>82.331998000000013</v>
      </c>
      <c r="G3321" s="13">
        <v>76.582802000000001</v>
      </c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</row>
    <row r="3322" spans="1:19" x14ac:dyDescent="0.2">
      <c r="A3322" s="12" t="s">
        <v>576</v>
      </c>
      <c r="B3322" s="12" t="s">
        <v>572</v>
      </c>
      <c r="C3322" s="12" t="s">
        <v>562</v>
      </c>
      <c r="D3322" s="13">
        <v>38</v>
      </c>
      <c r="E3322" s="13">
        <v>41.788798</v>
      </c>
      <c r="F3322" s="13">
        <v>35.729999999999997</v>
      </c>
      <c r="G3322" s="13">
        <v>31.870801</v>
      </c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</row>
    <row r="3323" spans="1:19" x14ac:dyDescent="0.2">
      <c r="A3323" s="12" t="s">
        <v>576</v>
      </c>
      <c r="B3323" s="12" t="s">
        <v>572</v>
      </c>
      <c r="C3323" s="12" t="s">
        <v>563</v>
      </c>
      <c r="D3323" s="13">
        <v>2</v>
      </c>
      <c r="E3323" s="13">
        <v>2.1095989999999998</v>
      </c>
      <c r="F3323" s="13">
        <v>2.4012009999999999</v>
      </c>
      <c r="G3323" s="13">
        <v>2.541601</v>
      </c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</row>
    <row r="3324" spans="1:19" x14ac:dyDescent="0.2">
      <c r="A3324" s="12" t="s">
        <v>576</v>
      </c>
      <c r="B3324" s="12" t="s">
        <v>572</v>
      </c>
      <c r="C3324" s="12" t="s">
        <v>564</v>
      </c>
      <c r="D3324" s="13">
        <v>21</v>
      </c>
      <c r="E3324" s="13">
        <v>21.484798999999999</v>
      </c>
      <c r="F3324" s="13">
        <v>21.207598999999998</v>
      </c>
      <c r="G3324" s="13">
        <v>21.052800000000001</v>
      </c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</row>
    <row r="3325" spans="1:19" x14ac:dyDescent="0.2">
      <c r="A3325" s="12" t="s">
        <v>576</v>
      </c>
      <c r="B3325" s="12" t="s">
        <v>572</v>
      </c>
      <c r="C3325" s="12" t="s">
        <v>565</v>
      </c>
      <c r="D3325" s="13">
        <v>24</v>
      </c>
      <c r="E3325" s="13">
        <v>25.783201999999999</v>
      </c>
      <c r="F3325" s="13">
        <v>22.287600999999999</v>
      </c>
      <c r="G3325" s="13">
        <v>20.390398000000001</v>
      </c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</row>
    <row r="3326" spans="1:19" x14ac:dyDescent="0.2">
      <c r="A3326" s="12" t="s">
        <v>576</v>
      </c>
      <c r="B3326" s="12" t="s">
        <v>572</v>
      </c>
      <c r="C3326" s="12" t="s">
        <v>566</v>
      </c>
      <c r="D3326" s="13">
        <v>1</v>
      </c>
      <c r="E3326" s="13">
        <v>0.80999900000000002</v>
      </c>
      <c r="F3326" s="13">
        <v>0.70560100000000003</v>
      </c>
      <c r="G3326" s="13">
        <v>0.72720099999999999</v>
      </c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</row>
    <row r="3327" spans="1:19" x14ac:dyDescent="0.2">
      <c r="A3327" s="12" t="s">
        <v>576</v>
      </c>
      <c r="B3327" s="12" t="s">
        <v>573</v>
      </c>
      <c r="C3327" s="12" t="s">
        <v>554</v>
      </c>
      <c r="D3327" s="13">
        <v>0</v>
      </c>
      <c r="E3327" s="13">
        <v>1.2799E-2</v>
      </c>
      <c r="F3327" s="13">
        <v>3.2000000000000001E-2</v>
      </c>
      <c r="G3327" s="13">
        <v>3.3000000000000002E-2</v>
      </c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</row>
    <row r="3328" spans="1:19" x14ac:dyDescent="0.2">
      <c r="A3328" s="12" t="s">
        <v>576</v>
      </c>
      <c r="B3328" s="12" t="s">
        <v>573</v>
      </c>
      <c r="C3328" s="12" t="s">
        <v>555</v>
      </c>
      <c r="D3328" s="13">
        <v>0</v>
      </c>
      <c r="E3328" s="13">
        <v>7.4001999999999998E-2</v>
      </c>
      <c r="F3328" s="13">
        <v>6.5000000000000002E-2</v>
      </c>
      <c r="G3328" s="13">
        <v>6.1002000000000001E-2</v>
      </c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</row>
    <row r="3329" spans="1:19" x14ac:dyDescent="0.2">
      <c r="A3329" s="12" t="s">
        <v>576</v>
      </c>
      <c r="B3329" s="12" t="s">
        <v>573</v>
      </c>
      <c r="C3329" s="12" t="s">
        <v>556</v>
      </c>
      <c r="D3329" s="13">
        <v>0</v>
      </c>
      <c r="E3329" s="13">
        <v>0</v>
      </c>
      <c r="F3329" s="13">
        <v>0</v>
      </c>
      <c r="G3329" s="13">
        <v>0</v>
      </c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</row>
    <row r="3330" spans="1:19" x14ac:dyDescent="0.2">
      <c r="A3330" s="12" t="s">
        <v>576</v>
      </c>
      <c r="B3330" s="12" t="s">
        <v>573</v>
      </c>
      <c r="C3330" s="12" t="s">
        <v>557</v>
      </c>
      <c r="D3330" s="13">
        <v>0</v>
      </c>
      <c r="E3330" s="13">
        <v>8.6801000000000003E-2</v>
      </c>
      <c r="F3330" s="13">
        <v>9.7000000000000003E-2</v>
      </c>
      <c r="G3330" s="13">
        <v>9.4002000000000002E-2</v>
      </c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</row>
    <row r="3331" spans="1:19" x14ac:dyDescent="0.2">
      <c r="A3331" s="12" t="s">
        <v>576</v>
      </c>
      <c r="B3331" s="12" t="s">
        <v>573</v>
      </c>
      <c r="C3331" s="12" t="s">
        <v>558</v>
      </c>
      <c r="D3331" s="13">
        <v>31</v>
      </c>
      <c r="E3331" s="13">
        <v>32.397998999999999</v>
      </c>
      <c r="F3331" s="13">
        <v>28.551998999999999</v>
      </c>
      <c r="G3331" s="13">
        <v>26.451001000000002</v>
      </c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</row>
    <row r="3332" spans="1:19" x14ac:dyDescent="0.2">
      <c r="A3332" s="12" t="s">
        <v>576</v>
      </c>
      <c r="B3332" s="12" t="s">
        <v>573</v>
      </c>
      <c r="C3332" s="12" t="s">
        <v>560</v>
      </c>
      <c r="D3332" s="13">
        <v>0</v>
      </c>
      <c r="E3332" s="13">
        <v>0</v>
      </c>
      <c r="F3332" s="13">
        <v>0</v>
      </c>
      <c r="G3332" s="13">
        <v>0</v>
      </c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</row>
    <row r="3333" spans="1:19" x14ac:dyDescent="0.2">
      <c r="A3333" s="12" t="s">
        <v>576</v>
      </c>
      <c r="B3333" s="12" t="s">
        <v>573</v>
      </c>
      <c r="C3333" s="12" t="s">
        <v>561</v>
      </c>
      <c r="D3333" s="13">
        <v>23</v>
      </c>
      <c r="E3333" s="13">
        <v>24.629002</v>
      </c>
      <c r="F3333" s="13">
        <v>22.425999999999998</v>
      </c>
      <c r="G3333" s="13">
        <v>19.868998999999999</v>
      </c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</row>
    <row r="3334" spans="1:19" x14ac:dyDescent="0.2">
      <c r="A3334" s="12" t="s">
        <v>576</v>
      </c>
      <c r="B3334" s="12" t="s">
        <v>573</v>
      </c>
      <c r="C3334" s="12" t="s">
        <v>562</v>
      </c>
      <c r="D3334" s="13">
        <v>3</v>
      </c>
      <c r="E3334" s="13">
        <v>2.8339989999999999</v>
      </c>
      <c r="F3334" s="13">
        <v>2.6349999999999998</v>
      </c>
      <c r="G3334" s="13">
        <v>2.1490010000000002</v>
      </c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</row>
    <row r="3335" spans="1:19" x14ac:dyDescent="0.2">
      <c r="A3335" s="12" t="s">
        <v>576</v>
      </c>
      <c r="B3335" s="12" t="s">
        <v>573</v>
      </c>
      <c r="C3335" s="12" t="s">
        <v>563</v>
      </c>
      <c r="D3335" s="13">
        <v>0</v>
      </c>
      <c r="E3335" s="13">
        <v>0</v>
      </c>
      <c r="F3335" s="13">
        <v>0</v>
      </c>
      <c r="G3335" s="13">
        <v>0</v>
      </c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</row>
    <row r="3336" spans="1:19" x14ac:dyDescent="0.2">
      <c r="A3336" s="12" t="s">
        <v>576</v>
      </c>
      <c r="B3336" s="12" t="s">
        <v>573</v>
      </c>
      <c r="C3336" s="12" t="s">
        <v>564</v>
      </c>
      <c r="D3336" s="13">
        <v>17</v>
      </c>
      <c r="E3336" s="13">
        <v>17.395999</v>
      </c>
      <c r="F3336" s="13">
        <v>14.189999</v>
      </c>
      <c r="G3336" s="13">
        <v>12.344001</v>
      </c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</row>
    <row r="3337" spans="1:19" x14ac:dyDescent="0.2">
      <c r="A3337" s="12" t="s">
        <v>576</v>
      </c>
      <c r="B3337" s="12" t="s">
        <v>573</v>
      </c>
      <c r="C3337" s="12" t="s">
        <v>565</v>
      </c>
      <c r="D3337" s="13">
        <v>3</v>
      </c>
      <c r="E3337" s="13">
        <v>4.367</v>
      </c>
      <c r="F3337" s="13">
        <v>5.5329990000000002</v>
      </c>
      <c r="G3337" s="13">
        <v>5.3079999999999998</v>
      </c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</row>
    <row r="3338" spans="1:19" x14ac:dyDescent="0.2">
      <c r="A3338" s="12" t="s">
        <v>576</v>
      </c>
      <c r="B3338" s="12" t="s">
        <v>573</v>
      </c>
      <c r="C3338" s="12" t="s">
        <v>566</v>
      </c>
      <c r="D3338" s="13">
        <v>0</v>
      </c>
      <c r="E3338" s="13">
        <v>3.2000000000000001E-2</v>
      </c>
      <c r="F3338" s="13">
        <v>6.8001999999999993E-2</v>
      </c>
      <c r="G3338" s="13">
        <v>6.8001999999999993E-2</v>
      </c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</row>
    <row r="3339" spans="1:19" x14ac:dyDescent="0.2">
      <c r="A3339" s="12" t="s">
        <v>576</v>
      </c>
      <c r="B3339" s="12" t="s">
        <v>574</v>
      </c>
      <c r="C3339" s="12" t="s">
        <v>554</v>
      </c>
      <c r="D3339" s="13">
        <v>289</v>
      </c>
      <c r="E3339" s="13">
        <v>301.14128399999998</v>
      </c>
      <c r="F3339" s="13">
        <v>291.26915700000001</v>
      </c>
      <c r="G3339" s="13">
        <v>309.88766399999997</v>
      </c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</row>
    <row r="3340" spans="1:19" x14ac:dyDescent="0.2">
      <c r="A3340" s="12" t="s">
        <v>576</v>
      </c>
      <c r="B3340" s="12" t="s">
        <v>574</v>
      </c>
      <c r="C3340" s="12" t="s">
        <v>555</v>
      </c>
      <c r="D3340" s="13">
        <v>594</v>
      </c>
      <c r="E3340" s="13">
        <v>638.80213600000002</v>
      </c>
      <c r="F3340" s="13">
        <v>684.17739300000005</v>
      </c>
      <c r="G3340" s="13">
        <v>616.05801899999994</v>
      </c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</row>
    <row r="3341" spans="1:19" x14ac:dyDescent="0.2">
      <c r="A3341" s="12" t="s">
        <v>576</v>
      </c>
      <c r="B3341" s="12" t="s">
        <v>574</v>
      </c>
      <c r="C3341" s="12" t="s">
        <v>556</v>
      </c>
      <c r="D3341" s="13">
        <v>-206</v>
      </c>
      <c r="E3341" s="13">
        <v>-247.191586</v>
      </c>
      <c r="F3341" s="13">
        <v>-200.22855200000001</v>
      </c>
      <c r="G3341" s="13">
        <v>-214.29187899999999</v>
      </c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</row>
    <row r="3342" spans="1:19" x14ac:dyDescent="0.2">
      <c r="A3342" s="12" t="s">
        <v>576</v>
      </c>
      <c r="B3342" s="12" t="s">
        <v>574</v>
      </c>
      <c r="C3342" s="12" t="s">
        <v>557</v>
      </c>
      <c r="D3342" s="13">
        <v>693</v>
      </c>
      <c r="E3342" s="13">
        <v>753.96177800000009</v>
      </c>
      <c r="F3342" s="13">
        <v>702.52347800000007</v>
      </c>
      <c r="G3342" s="13">
        <v>694.05490899999995</v>
      </c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</row>
    <row r="3343" spans="1:19" x14ac:dyDescent="0.2">
      <c r="A3343" s="12" t="s">
        <v>576</v>
      </c>
      <c r="B3343" s="12" t="s">
        <v>574</v>
      </c>
      <c r="C3343" s="12" t="s">
        <v>558</v>
      </c>
      <c r="D3343" s="13">
        <v>-150</v>
      </c>
      <c r="E3343" s="13">
        <v>-151.68353999999999</v>
      </c>
      <c r="F3343" s="13">
        <v>-148.35308699999999</v>
      </c>
      <c r="G3343" s="13">
        <v>-163.38208299999999</v>
      </c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</row>
    <row r="3344" spans="1:19" x14ac:dyDescent="0.2">
      <c r="A3344" s="12" t="s">
        <v>576</v>
      </c>
      <c r="B3344" s="12" t="s">
        <v>574</v>
      </c>
      <c r="C3344" s="12" t="s">
        <v>560</v>
      </c>
      <c r="D3344" s="13">
        <v>5</v>
      </c>
      <c r="E3344" s="13">
        <v>5.9444900000000001</v>
      </c>
      <c r="F3344" s="13">
        <v>5.9422830000000006</v>
      </c>
      <c r="G3344" s="13">
        <v>6.2852330000000007</v>
      </c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</row>
    <row r="3345" spans="1:19" x14ac:dyDescent="0.2">
      <c r="A3345" s="12" t="s">
        <v>576</v>
      </c>
      <c r="B3345" s="12" t="s">
        <v>574</v>
      </c>
      <c r="C3345" s="12" t="s">
        <v>561</v>
      </c>
      <c r="D3345" s="13">
        <v>455</v>
      </c>
      <c r="E3345" s="13">
        <v>492.69671599999998</v>
      </c>
      <c r="F3345" s="13">
        <v>462.15299299999998</v>
      </c>
      <c r="G3345" s="13">
        <v>427.71527800000001</v>
      </c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</row>
    <row r="3346" spans="1:19" x14ac:dyDescent="0.2">
      <c r="A3346" s="12" t="s">
        <v>576</v>
      </c>
      <c r="B3346" s="12" t="s">
        <v>574</v>
      </c>
      <c r="C3346" s="12" t="s">
        <v>562</v>
      </c>
      <c r="D3346" s="13">
        <v>134</v>
      </c>
      <c r="E3346" s="13">
        <v>144.17709300000001</v>
      </c>
      <c r="F3346" s="13">
        <v>134.964868</v>
      </c>
      <c r="G3346" s="13">
        <v>122.69028</v>
      </c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</row>
    <row r="3347" spans="1:19" x14ac:dyDescent="0.2">
      <c r="A3347" s="12" t="s">
        <v>576</v>
      </c>
      <c r="B3347" s="12" t="s">
        <v>574</v>
      </c>
      <c r="C3347" s="12" t="s">
        <v>563</v>
      </c>
      <c r="D3347" s="13">
        <v>105</v>
      </c>
      <c r="E3347" s="13">
        <v>109.34357799999999</v>
      </c>
      <c r="F3347" s="13">
        <v>112.61925100000001</v>
      </c>
      <c r="G3347" s="13">
        <v>110.846204</v>
      </c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</row>
    <row r="3348" spans="1:19" x14ac:dyDescent="0.2">
      <c r="A3348" s="12" t="s">
        <v>576</v>
      </c>
      <c r="B3348" s="12" t="s">
        <v>574</v>
      </c>
      <c r="C3348" s="12" t="s">
        <v>564</v>
      </c>
      <c r="D3348" s="13">
        <v>113</v>
      </c>
      <c r="E3348" s="13">
        <v>122.04694499999999</v>
      </c>
      <c r="F3348" s="13">
        <v>109.473838</v>
      </c>
      <c r="G3348" s="13">
        <v>97.909197000000006</v>
      </c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</row>
    <row r="3349" spans="1:19" x14ac:dyDescent="0.2">
      <c r="A3349" s="12" t="s">
        <v>576</v>
      </c>
      <c r="B3349" s="12" t="s">
        <v>574</v>
      </c>
      <c r="C3349" s="12" t="s">
        <v>565</v>
      </c>
      <c r="D3349" s="13">
        <v>46</v>
      </c>
      <c r="E3349" s="13">
        <v>58.303818999999997</v>
      </c>
      <c r="F3349" s="13">
        <v>52.971900000000012</v>
      </c>
      <c r="G3349" s="13">
        <v>47.031765</v>
      </c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</row>
    <row r="3350" spans="1:19" x14ac:dyDescent="0.2">
      <c r="A3350" s="12" t="s">
        <v>576</v>
      </c>
      <c r="B3350" s="12" t="s">
        <v>574</v>
      </c>
      <c r="C3350" s="12" t="s">
        <v>566</v>
      </c>
      <c r="D3350" s="13">
        <v>56</v>
      </c>
      <c r="E3350" s="13">
        <v>58.825268999999999</v>
      </c>
      <c r="F3350" s="13">
        <v>52.123139999999999</v>
      </c>
      <c r="G3350" s="13">
        <v>49.237851999999997</v>
      </c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</row>
    <row r="3351" spans="1:19" x14ac:dyDescent="0.2">
      <c r="A3351" s="12" t="s">
        <v>477</v>
      </c>
      <c r="B3351" s="12" t="s">
        <v>553</v>
      </c>
      <c r="C3351" s="12" t="s">
        <v>554</v>
      </c>
      <c r="D3351" s="13">
        <v>36</v>
      </c>
      <c r="E3351" s="13">
        <v>29.980754000000001</v>
      </c>
      <c r="F3351" s="13">
        <v>27.380793000000001</v>
      </c>
      <c r="G3351" s="13">
        <v>29.348216000000001</v>
      </c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</row>
    <row r="3352" spans="1:19" x14ac:dyDescent="0.2">
      <c r="A3352" s="12" t="s">
        <v>477</v>
      </c>
      <c r="B3352" s="12" t="s">
        <v>553</v>
      </c>
      <c r="C3352" s="12" t="s">
        <v>555</v>
      </c>
      <c r="D3352" s="13">
        <v>8</v>
      </c>
      <c r="E3352" s="13">
        <v>4.2971809999999993</v>
      </c>
      <c r="F3352" s="13">
        <v>8.8105640000000012</v>
      </c>
      <c r="G3352" s="13">
        <v>8.1879740000000005</v>
      </c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</row>
    <row r="3353" spans="1:19" x14ac:dyDescent="0.2">
      <c r="A3353" s="12" t="s">
        <v>477</v>
      </c>
      <c r="B3353" s="12" t="s">
        <v>553</v>
      </c>
      <c r="C3353" s="12" t="s">
        <v>556</v>
      </c>
      <c r="D3353" s="13">
        <v>0</v>
      </c>
      <c r="E3353" s="13">
        <v>0</v>
      </c>
      <c r="F3353" s="13">
        <v>0</v>
      </c>
      <c r="G3353" s="13">
        <v>0</v>
      </c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</row>
    <row r="3354" spans="1:19" x14ac:dyDescent="0.2">
      <c r="A3354" s="12" t="s">
        <v>477</v>
      </c>
      <c r="B3354" s="12" t="s">
        <v>553</v>
      </c>
      <c r="C3354" s="12" t="s">
        <v>557</v>
      </c>
      <c r="D3354" s="13">
        <v>43</v>
      </c>
      <c r="E3354" s="13">
        <v>39.253363999999998</v>
      </c>
      <c r="F3354" s="13">
        <v>31.309187999999999</v>
      </c>
      <c r="G3354" s="13">
        <v>30.138106000000001</v>
      </c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</row>
    <row r="3355" spans="1:19" x14ac:dyDescent="0.2">
      <c r="A3355" s="12" t="s">
        <v>477</v>
      </c>
      <c r="B3355" s="12" t="s">
        <v>553</v>
      </c>
      <c r="C3355" s="12" t="s">
        <v>558</v>
      </c>
      <c r="D3355" s="13">
        <v>-41</v>
      </c>
      <c r="E3355" s="13">
        <v>-37.636422000000003</v>
      </c>
      <c r="F3355" s="13">
        <v>-29.959104</v>
      </c>
      <c r="G3355" s="13">
        <v>-28.999573999999999</v>
      </c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</row>
    <row r="3356" spans="1:19" x14ac:dyDescent="0.2">
      <c r="A3356" s="12" t="s">
        <v>477</v>
      </c>
      <c r="B3356" s="12" t="s">
        <v>553</v>
      </c>
      <c r="C3356" s="12" t="s">
        <v>560</v>
      </c>
      <c r="D3356" s="13">
        <v>0</v>
      </c>
      <c r="E3356" s="13">
        <v>0</v>
      </c>
      <c r="F3356" s="13">
        <v>0</v>
      </c>
      <c r="G3356" s="13">
        <v>0</v>
      </c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</row>
    <row r="3357" spans="1:19" x14ac:dyDescent="0.2">
      <c r="A3357" s="12" t="s">
        <v>477</v>
      </c>
      <c r="B3357" s="12" t="s">
        <v>553</v>
      </c>
      <c r="C3357" s="12" t="s">
        <v>561</v>
      </c>
      <c r="D3357" s="13">
        <v>1</v>
      </c>
      <c r="E3357" s="13">
        <v>1.164366</v>
      </c>
      <c r="F3357" s="13">
        <v>1.3948659999999999</v>
      </c>
      <c r="G3357" s="13">
        <v>1.0013780000000001</v>
      </c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</row>
    <row r="3358" spans="1:19" x14ac:dyDescent="0.2">
      <c r="A3358" s="12" t="s">
        <v>477</v>
      </c>
      <c r="B3358" s="12" t="s">
        <v>553</v>
      </c>
      <c r="C3358" s="12" t="s">
        <v>562</v>
      </c>
      <c r="D3358" s="13">
        <v>1</v>
      </c>
      <c r="E3358" s="13">
        <v>0.88162300000000005</v>
      </c>
      <c r="F3358" s="13">
        <v>1.154091</v>
      </c>
      <c r="G3358" s="13">
        <v>0.805871</v>
      </c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</row>
    <row r="3359" spans="1:19" x14ac:dyDescent="0.2">
      <c r="A3359" s="12" t="s">
        <v>477</v>
      </c>
      <c r="B3359" s="12" t="s">
        <v>553</v>
      </c>
      <c r="C3359" s="12" t="s">
        <v>563</v>
      </c>
      <c r="D3359" s="13">
        <v>0</v>
      </c>
      <c r="E3359" s="13">
        <v>0</v>
      </c>
      <c r="F3359" s="13">
        <v>0</v>
      </c>
      <c r="G3359" s="13">
        <v>0</v>
      </c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</row>
    <row r="3360" spans="1:19" x14ac:dyDescent="0.2">
      <c r="A3360" s="12" t="s">
        <v>477</v>
      </c>
      <c r="B3360" s="12" t="s">
        <v>553</v>
      </c>
      <c r="C3360" s="12" t="s">
        <v>564</v>
      </c>
      <c r="D3360" s="13">
        <v>0</v>
      </c>
      <c r="E3360" s="13">
        <v>1.2769999999999999E-3</v>
      </c>
      <c r="F3360" s="13">
        <v>3.6000000000000002E-4</v>
      </c>
      <c r="G3360" s="13">
        <v>8.4000000000000009E-5</v>
      </c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</row>
    <row r="3361" spans="1:19" x14ac:dyDescent="0.2">
      <c r="A3361" s="12" t="s">
        <v>477</v>
      </c>
      <c r="B3361" s="12" t="s">
        <v>553</v>
      </c>
      <c r="C3361" s="12" t="s">
        <v>565</v>
      </c>
      <c r="D3361" s="13">
        <v>0</v>
      </c>
      <c r="E3361" s="13">
        <v>0</v>
      </c>
      <c r="F3361" s="13">
        <v>0</v>
      </c>
      <c r="G3361" s="13">
        <v>0</v>
      </c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</row>
    <row r="3362" spans="1:19" x14ac:dyDescent="0.2">
      <c r="A3362" s="12" t="s">
        <v>477</v>
      </c>
      <c r="B3362" s="12" t="s">
        <v>553</v>
      </c>
      <c r="C3362" s="12" t="s">
        <v>566</v>
      </c>
      <c r="D3362" s="13">
        <v>0</v>
      </c>
      <c r="E3362" s="13">
        <v>0.28146599999999999</v>
      </c>
      <c r="F3362" s="13">
        <v>0.24041899999999999</v>
      </c>
      <c r="G3362" s="13">
        <v>0.19541900000000001</v>
      </c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</row>
    <row r="3363" spans="1:19" x14ac:dyDescent="0.2">
      <c r="A3363" s="12" t="s">
        <v>477</v>
      </c>
      <c r="B3363" s="12" t="s">
        <v>567</v>
      </c>
      <c r="C3363" s="12" t="s">
        <v>554</v>
      </c>
      <c r="D3363" s="13">
        <v>0</v>
      </c>
      <c r="E3363" s="13">
        <v>1.3150999999999999E-2</v>
      </c>
      <c r="F3363" s="13">
        <v>6.5650000000000014E-3</v>
      </c>
      <c r="G3363" s="13">
        <v>6.8079999999999998E-3</v>
      </c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</row>
    <row r="3364" spans="1:19" x14ac:dyDescent="0.2">
      <c r="A3364" s="12" t="s">
        <v>477</v>
      </c>
      <c r="B3364" s="12" t="s">
        <v>567</v>
      </c>
      <c r="C3364" s="12" t="s">
        <v>555</v>
      </c>
      <c r="D3364" s="13">
        <v>0</v>
      </c>
      <c r="E3364" s="13">
        <v>0</v>
      </c>
      <c r="F3364" s="13">
        <v>0</v>
      </c>
      <c r="G3364" s="13">
        <v>0</v>
      </c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</row>
    <row r="3365" spans="1:19" x14ac:dyDescent="0.2">
      <c r="A3365" s="12" t="s">
        <v>477</v>
      </c>
      <c r="B3365" s="12" t="s">
        <v>567</v>
      </c>
      <c r="C3365" s="12" t="s">
        <v>556</v>
      </c>
      <c r="D3365" s="13">
        <v>0</v>
      </c>
      <c r="E3365" s="13">
        <v>-1.4763E-2</v>
      </c>
      <c r="F3365" s="13">
        <v>-5.3970000000000008E-3</v>
      </c>
      <c r="G3365" s="13">
        <v>-5.4469999999999996E-3</v>
      </c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</row>
    <row r="3366" spans="1:19" x14ac:dyDescent="0.2">
      <c r="A3366" s="12" t="s">
        <v>477</v>
      </c>
      <c r="B3366" s="12" t="s">
        <v>567</v>
      </c>
      <c r="C3366" s="12" t="s">
        <v>557</v>
      </c>
      <c r="D3366" s="13">
        <v>0</v>
      </c>
      <c r="E3366" s="13">
        <v>0</v>
      </c>
      <c r="F3366" s="13">
        <v>0</v>
      </c>
      <c r="G3366" s="13">
        <v>0</v>
      </c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</row>
    <row r="3367" spans="1:19" x14ac:dyDescent="0.2">
      <c r="A3367" s="12" t="s">
        <v>477</v>
      </c>
      <c r="B3367" s="12" t="s">
        <v>567</v>
      </c>
      <c r="C3367" s="12" t="s">
        <v>558</v>
      </c>
      <c r="D3367" s="13">
        <v>0</v>
      </c>
      <c r="E3367" s="13">
        <v>0</v>
      </c>
      <c r="F3367" s="13">
        <v>0</v>
      </c>
      <c r="G3367" s="13">
        <v>0</v>
      </c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</row>
    <row r="3368" spans="1:19" x14ac:dyDescent="0.2">
      <c r="A3368" s="12" t="s">
        <v>477</v>
      </c>
      <c r="B3368" s="12" t="s">
        <v>567</v>
      </c>
      <c r="C3368" s="12" t="s">
        <v>560</v>
      </c>
      <c r="D3368" s="13">
        <v>0</v>
      </c>
      <c r="E3368" s="13">
        <v>0</v>
      </c>
      <c r="F3368" s="13">
        <v>0</v>
      </c>
      <c r="G3368" s="13">
        <v>0</v>
      </c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</row>
    <row r="3369" spans="1:19" x14ac:dyDescent="0.2">
      <c r="A3369" s="12" t="s">
        <v>477</v>
      </c>
      <c r="B3369" s="12" t="s">
        <v>567</v>
      </c>
      <c r="C3369" s="12" t="s">
        <v>561</v>
      </c>
      <c r="D3369" s="13">
        <v>0</v>
      </c>
      <c r="E3369" s="13">
        <v>0</v>
      </c>
      <c r="F3369" s="13">
        <v>0</v>
      </c>
      <c r="G3369" s="13">
        <v>0</v>
      </c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</row>
    <row r="3370" spans="1:19" x14ac:dyDescent="0.2">
      <c r="A3370" s="12" t="s">
        <v>477</v>
      </c>
      <c r="B3370" s="12" t="s">
        <v>567</v>
      </c>
      <c r="C3370" s="12" t="s">
        <v>562</v>
      </c>
      <c r="D3370" s="13">
        <v>0</v>
      </c>
      <c r="E3370" s="13">
        <v>0</v>
      </c>
      <c r="F3370" s="13">
        <v>0</v>
      </c>
      <c r="G3370" s="13">
        <v>0</v>
      </c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</row>
    <row r="3371" spans="1:19" x14ac:dyDescent="0.2">
      <c r="A3371" s="12" t="s">
        <v>477</v>
      </c>
      <c r="B3371" s="12" t="s">
        <v>567</v>
      </c>
      <c r="C3371" s="12" t="s">
        <v>563</v>
      </c>
      <c r="D3371" s="13">
        <v>0</v>
      </c>
      <c r="E3371" s="13">
        <v>0</v>
      </c>
      <c r="F3371" s="13">
        <v>0</v>
      </c>
      <c r="G3371" s="13">
        <v>0</v>
      </c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</row>
    <row r="3372" spans="1:19" x14ac:dyDescent="0.2">
      <c r="A3372" s="12" t="s">
        <v>477</v>
      </c>
      <c r="B3372" s="12" t="s">
        <v>567</v>
      </c>
      <c r="C3372" s="12" t="s">
        <v>564</v>
      </c>
      <c r="D3372" s="13">
        <v>0</v>
      </c>
      <c r="E3372" s="13">
        <v>0</v>
      </c>
      <c r="F3372" s="13">
        <v>0</v>
      </c>
      <c r="G3372" s="13">
        <v>0</v>
      </c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</row>
    <row r="3373" spans="1:19" x14ac:dyDescent="0.2">
      <c r="A3373" s="12" t="s">
        <v>477</v>
      </c>
      <c r="B3373" s="12" t="s">
        <v>567</v>
      </c>
      <c r="C3373" s="12" t="s">
        <v>565</v>
      </c>
      <c r="D3373" s="13">
        <v>0</v>
      </c>
      <c r="E3373" s="13">
        <v>0</v>
      </c>
      <c r="F3373" s="13">
        <v>0</v>
      </c>
      <c r="G3373" s="13">
        <v>0</v>
      </c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</row>
    <row r="3374" spans="1:19" x14ac:dyDescent="0.2">
      <c r="A3374" s="12" t="s">
        <v>477</v>
      </c>
      <c r="B3374" s="12" t="s">
        <v>567</v>
      </c>
      <c r="C3374" s="12" t="s">
        <v>566</v>
      </c>
      <c r="D3374" s="13">
        <v>0</v>
      </c>
      <c r="E3374" s="13">
        <v>0</v>
      </c>
      <c r="F3374" s="13">
        <v>0</v>
      </c>
      <c r="G3374" s="13">
        <v>0</v>
      </c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</row>
    <row r="3375" spans="1:19" x14ac:dyDescent="0.2">
      <c r="A3375" s="12" t="s">
        <v>477</v>
      </c>
      <c r="B3375" s="12" t="s">
        <v>568</v>
      </c>
      <c r="C3375" s="12" t="s">
        <v>554</v>
      </c>
      <c r="D3375" s="13">
        <v>0</v>
      </c>
      <c r="E3375" s="13">
        <v>0</v>
      </c>
      <c r="F3375" s="13">
        <v>0</v>
      </c>
      <c r="G3375" s="13">
        <v>0</v>
      </c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</row>
    <row r="3376" spans="1:19" x14ac:dyDescent="0.2">
      <c r="A3376" s="12" t="s">
        <v>477</v>
      </c>
      <c r="B3376" s="12" t="s">
        <v>568</v>
      </c>
      <c r="C3376" s="12" t="s">
        <v>555</v>
      </c>
      <c r="D3376" s="13">
        <v>170</v>
      </c>
      <c r="E3376" s="13">
        <v>163.15288899999999</v>
      </c>
      <c r="F3376" s="13">
        <v>196.61706799999999</v>
      </c>
      <c r="G3376" s="13">
        <v>191.62974399999999</v>
      </c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</row>
    <row r="3377" spans="1:19" x14ac:dyDescent="0.2">
      <c r="A3377" s="12" t="s">
        <v>477</v>
      </c>
      <c r="B3377" s="12" t="s">
        <v>568</v>
      </c>
      <c r="C3377" s="12" t="s">
        <v>556</v>
      </c>
      <c r="D3377" s="13">
        <v>-81</v>
      </c>
      <c r="E3377" s="13">
        <v>-67.944160999999994</v>
      </c>
      <c r="F3377" s="13">
        <v>-98.237342000000012</v>
      </c>
      <c r="G3377" s="13">
        <v>-100.126166</v>
      </c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</row>
    <row r="3378" spans="1:19" x14ac:dyDescent="0.2">
      <c r="A3378" s="12" t="s">
        <v>477</v>
      </c>
      <c r="B3378" s="12" t="s">
        <v>568</v>
      </c>
      <c r="C3378" s="12" t="s">
        <v>557</v>
      </c>
      <c r="D3378" s="13">
        <v>84</v>
      </c>
      <c r="E3378" s="13">
        <v>91.593079000000003</v>
      </c>
      <c r="F3378" s="13">
        <v>99.024096</v>
      </c>
      <c r="G3378" s="13">
        <v>91.722797999999997</v>
      </c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</row>
    <row r="3379" spans="1:19" x14ac:dyDescent="0.2">
      <c r="A3379" s="12" t="s">
        <v>477</v>
      </c>
      <c r="B3379" s="12" t="s">
        <v>568</v>
      </c>
      <c r="C3379" s="12" t="s">
        <v>558</v>
      </c>
      <c r="D3379" s="13">
        <v>0</v>
      </c>
      <c r="E3379" s="13">
        <v>-0.78308200000000017</v>
      </c>
      <c r="F3379" s="13">
        <v>-1.1053729999999999</v>
      </c>
      <c r="G3379" s="13">
        <v>-0.17779300000000001</v>
      </c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</row>
    <row r="3380" spans="1:19" x14ac:dyDescent="0.2">
      <c r="A3380" s="12" t="s">
        <v>477</v>
      </c>
      <c r="B3380" s="12" t="s">
        <v>568</v>
      </c>
      <c r="C3380" s="12" t="s">
        <v>560</v>
      </c>
      <c r="D3380" s="13">
        <v>0</v>
      </c>
      <c r="E3380" s="13">
        <v>0</v>
      </c>
      <c r="F3380" s="13">
        <v>0</v>
      </c>
      <c r="G3380" s="13">
        <v>0</v>
      </c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</row>
    <row r="3381" spans="1:19" x14ac:dyDescent="0.2">
      <c r="A3381" s="12" t="s">
        <v>477</v>
      </c>
      <c r="B3381" s="12" t="s">
        <v>568</v>
      </c>
      <c r="C3381" s="12" t="s">
        <v>561</v>
      </c>
      <c r="D3381" s="13">
        <v>84</v>
      </c>
      <c r="E3381" s="13">
        <v>90.780488000000005</v>
      </c>
      <c r="F3381" s="13">
        <v>97.891772000000003</v>
      </c>
      <c r="G3381" s="13">
        <v>91.517674</v>
      </c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</row>
    <row r="3382" spans="1:19" x14ac:dyDescent="0.2">
      <c r="A3382" s="12" t="s">
        <v>477</v>
      </c>
      <c r="B3382" s="12" t="s">
        <v>568</v>
      </c>
      <c r="C3382" s="12" t="s">
        <v>562</v>
      </c>
      <c r="D3382" s="13">
        <v>4</v>
      </c>
      <c r="E3382" s="13">
        <v>4.1266270000000009</v>
      </c>
      <c r="F3382" s="13">
        <v>4.6035789999999999</v>
      </c>
      <c r="G3382" s="13">
        <v>4.4200799999999996</v>
      </c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</row>
    <row r="3383" spans="1:19" x14ac:dyDescent="0.2">
      <c r="A3383" s="12" t="s">
        <v>477</v>
      </c>
      <c r="B3383" s="12" t="s">
        <v>568</v>
      </c>
      <c r="C3383" s="12" t="s">
        <v>563</v>
      </c>
      <c r="D3383" s="13">
        <v>62</v>
      </c>
      <c r="E3383" s="13">
        <v>70.031720000000007</v>
      </c>
      <c r="F3383" s="13">
        <v>77.397005000000007</v>
      </c>
      <c r="G3383" s="13">
        <v>71.676018999999997</v>
      </c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</row>
    <row r="3384" spans="1:19" x14ac:dyDescent="0.2">
      <c r="A3384" s="12" t="s">
        <v>477</v>
      </c>
      <c r="B3384" s="12" t="s">
        <v>568</v>
      </c>
      <c r="C3384" s="12" t="s">
        <v>564</v>
      </c>
      <c r="D3384" s="13">
        <v>6</v>
      </c>
      <c r="E3384" s="13">
        <v>4.8912040000000001</v>
      </c>
      <c r="F3384" s="13">
        <v>5.2073990000000014</v>
      </c>
      <c r="G3384" s="13">
        <v>5.0937910000000004</v>
      </c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</row>
    <row r="3385" spans="1:19" x14ac:dyDescent="0.2">
      <c r="A3385" s="12" t="s">
        <v>477</v>
      </c>
      <c r="B3385" s="12" t="s">
        <v>568</v>
      </c>
      <c r="C3385" s="12" t="s">
        <v>565</v>
      </c>
      <c r="D3385" s="13">
        <v>3</v>
      </c>
      <c r="E3385" s="13">
        <v>2.0085039999999998</v>
      </c>
      <c r="F3385" s="13">
        <v>2.370466</v>
      </c>
      <c r="G3385" s="13">
        <v>2.290448</v>
      </c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</row>
    <row r="3386" spans="1:19" x14ac:dyDescent="0.2">
      <c r="A3386" s="12" t="s">
        <v>477</v>
      </c>
      <c r="B3386" s="12" t="s">
        <v>568</v>
      </c>
      <c r="C3386" s="12" t="s">
        <v>566</v>
      </c>
      <c r="D3386" s="13">
        <v>10</v>
      </c>
      <c r="E3386" s="13">
        <v>9.7224280000000007</v>
      </c>
      <c r="F3386" s="13">
        <v>8.3133219999999994</v>
      </c>
      <c r="G3386" s="13">
        <v>8.0373399999999986</v>
      </c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</row>
    <row r="3387" spans="1:19" x14ac:dyDescent="0.2">
      <c r="A3387" s="12" t="s">
        <v>477</v>
      </c>
      <c r="B3387" s="12" t="s">
        <v>569</v>
      </c>
      <c r="C3387" s="12" t="s">
        <v>554</v>
      </c>
      <c r="D3387" s="13">
        <v>0</v>
      </c>
      <c r="E3387" s="13">
        <v>0.181808</v>
      </c>
      <c r="F3387" s="13">
        <v>0.15481900000000001</v>
      </c>
      <c r="G3387" s="13">
        <v>0.160275</v>
      </c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</row>
    <row r="3388" spans="1:19" x14ac:dyDescent="0.2">
      <c r="A3388" s="12" t="s">
        <v>477</v>
      </c>
      <c r="B3388" s="12" t="s">
        <v>569</v>
      </c>
      <c r="C3388" s="12" t="s">
        <v>555</v>
      </c>
      <c r="D3388" s="13">
        <v>31</v>
      </c>
      <c r="E3388" s="13">
        <v>32.27319</v>
      </c>
      <c r="F3388" s="13">
        <v>28.463515999999998</v>
      </c>
      <c r="G3388" s="13">
        <v>27.448058</v>
      </c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</row>
    <row r="3389" spans="1:19" x14ac:dyDescent="0.2">
      <c r="A3389" s="12" t="s">
        <v>477</v>
      </c>
      <c r="B3389" s="12" t="s">
        <v>569</v>
      </c>
      <c r="C3389" s="12" t="s">
        <v>556</v>
      </c>
      <c r="D3389" s="13">
        <v>0</v>
      </c>
      <c r="E3389" s="13">
        <v>0</v>
      </c>
      <c r="F3389" s="13">
        <v>0</v>
      </c>
      <c r="G3389" s="13">
        <v>0</v>
      </c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</row>
    <row r="3390" spans="1:19" x14ac:dyDescent="0.2">
      <c r="A3390" s="12" t="s">
        <v>477</v>
      </c>
      <c r="B3390" s="12" t="s">
        <v>569</v>
      </c>
      <c r="C3390" s="12" t="s">
        <v>557</v>
      </c>
      <c r="D3390" s="13">
        <v>31</v>
      </c>
      <c r="E3390" s="13">
        <v>32.454998000000003</v>
      </c>
      <c r="F3390" s="13">
        <v>28.618334999999998</v>
      </c>
      <c r="G3390" s="13">
        <v>27.608332999999998</v>
      </c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</row>
    <row r="3391" spans="1:19" x14ac:dyDescent="0.2">
      <c r="A3391" s="12" t="s">
        <v>477</v>
      </c>
      <c r="B3391" s="12" t="s">
        <v>569</v>
      </c>
      <c r="C3391" s="12" t="s">
        <v>558</v>
      </c>
      <c r="D3391" s="13">
        <v>-6</v>
      </c>
      <c r="E3391" s="13">
        <v>-6.3704810000000007</v>
      </c>
      <c r="F3391" s="13">
        <v>-5.3666139999999993</v>
      </c>
      <c r="G3391" s="13">
        <v>-6.0950550000000003</v>
      </c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</row>
    <row r="3392" spans="1:19" x14ac:dyDescent="0.2">
      <c r="A3392" s="12" t="s">
        <v>477</v>
      </c>
      <c r="B3392" s="12" t="s">
        <v>569</v>
      </c>
      <c r="C3392" s="12" t="s">
        <v>560</v>
      </c>
      <c r="D3392" s="13">
        <v>0</v>
      </c>
      <c r="E3392" s="13">
        <v>0</v>
      </c>
      <c r="F3392" s="13">
        <v>0</v>
      </c>
      <c r="G3392" s="13">
        <v>0</v>
      </c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</row>
    <row r="3393" spans="1:19" x14ac:dyDescent="0.2">
      <c r="A3393" s="12" t="s">
        <v>477</v>
      </c>
      <c r="B3393" s="12" t="s">
        <v>569</v>
      </c>
      <c r="C3393" s="12" t="s">
        <v>561</v>
      </c>
      <c r="D3393" s="13">
        <v>24</v>
      </c>
      <c r="E3393" s="13">
        <v>26.060652999999999</v>
      </c>
      <c r="F3393" s="13">
        <v>23.458120999999998</v>
      </c>
      <c r="G3393" s="13">
        <v>22.078081000000001</v>
      </c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</row>
    <row r="3394" spans="1:19" x14ac:dyDescent="0.2">
      <c r="A3394" s="12" t="s">
        <v>477</v>
      </c>
      <c r="B3394" s="12" t="s">
        <v>569</v>
      </c>
      <c r="C3394" s="12" t="s">
        <v>562</v>
      </c>
      <c r="D3394" s="13">
        <v>19</v>
      </c>
      <c r="E3394" s="13">
        <v>19.986201000000001</v>
      </c>
      <c r="F3394" s="13">
        <v>16.825296000000002</v>
      </c>
      <c r="G3394" s="13">
        <v>15.958012999999999</v>
      </c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</row>
    <row r="3395" spans="1:19" x14ac:dyDescent="0.2">
      <c r="A3395" s="12" t="s">
        <v>477</v>
      </c>
      <c r="B3395" s="12" t="s">
        <v>569</v>
      </c>
      <c r="C3395" s="12" t="s">
        <v>563</v>
      </c>
      <c r="D3395" s="13">
        <v>0</v>
      </c>
      <c r="E3395" s="13">
        <v>0.19101399999999999</v>
      </c>
      <c r="F3395" s="13">
        <v>0.202126</v>
      </c>
      <c r="G3395" s="13">
        <v>0.20522899999999999</v>
      </c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</row>
    <row r="3396" spans="1:19" x14ac:dyDescent="0.2">
      <c r="A3396" s="12" t="s">
        <v>477</v>
      </c>
      <c r="B3396" s="12" t="s">
        <v>569</v>
      </c>
      <c r="C3396" s="12" t="s">
        <v>564</v>
      </c>
      <c r="D3396" s="13">
        <v>4</v>
      </c>
      <c r="E3396" s="13">
        <v>4.7080860000000007</v>
      </c>
      <c r="F3396" s="13">
        <v>4.1974090000000004</v>
      </c>
      <c r="G3396" s="13">
        <v>3.5206550000000001</v>
      </c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</row>
    <row r="3397" spans="1:19" x14ac:dyDescent="0.2">
      <c r="A3397" s="12" t="s">
        <v>477</v>
      </c>
      <c r="B3397" s="12" t="s">
        <v>569</v>
      </c>
      <c r="C3397" s="12" t="s">
        <v>565</v>
      </c>
      <c r="D3397" s="13">
        <v>1</v>
      </c>
      <c r="E3397" s="13">
        <v>0.93119500000000011</v>
      </c>
      <c r="F3397" s="13">
        <v>2.0127250000000001</v>
      </c>
      <c r="G3397" s="13">
        <v>2.2103619999999999</v>
      </c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</row>
    <row r="3398" spans="1:19" x14ac:dyDescent="0.2">
      <c r="A3398" s="12" t="s">
        <v>477</v>
      </c>
      <c r="B3398" s="12" t="s">
        <v>569</v>
      </c>
      <c r="C3398" s="12" t="s">
        <v>566</v>
      </c>
      <c r="D3398" s="13">
        <v>0</v>
      </c>
      <c r="E3398" s="13">
        <v>0.24415300000000001</v>
      </c>
      <c r="F3398" s="13">
        <v>0.22056500000000001</v>
      </c>
      <c r="G3398" s="13">
        <v>0.18382599999999999</v>
      </c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</row>
    <row r="3399" spans="1:19" x14ac:dyDescent="0.2">
      <c r="A3399" s="12" t="s">
        <v>477</v>
      </c>
      <c r="B3399" s="12" t="s">
        <v>570</v>
      </c>
      <c r="C3399" s="12" t="s">
        <v>554</v>
      </c>
      <c r="D3399" s="13">
        <v>69</v>
      </c>
      <c r="E3399" s="13">
        <v>62.246738000000001</v>
      </c>
      <c r="F3399" s="13">
        <v>61.150998000000001</v>
      </c>
      <c r="G3399" s="13">
        <v>61.123699999999999</v>
      </c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</row>
    <row r="3400" spans="1:19" x14ac:dyDescent="0.2">
      <c r="A3400" s="12" t="s">
        <v>477</v>
      </c>
      <c r="B3400" s="12" t="s">
        <v>570</v>
      </c>
      <c r="C3400" s="12" t="s">
        <v>555</v>
      </c>
      <c r="D3400" s="13">
        <v>0</v>
      </c>
      <c r="E3400" s="13">
        <v>0</v>
      </c>
      <c r="F3400" s="13">
        <v>0</v>
      </c>
      <c r="G3400" s="13">
        <v>0</v>
      </c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</row>
    <row r="3401" spans="1:19" x14ac:dyDescent="0.2">
      <c r="A3401" s="12" t="s">
        <v>477</v>
      </c>
      <c r="B3401" s="12" t="s">
        <v>570</v>
      </c>
      <c r="C3401" s="12" t="s">
        <v>556</v>
      </c>
      <c r="D3401" s="13">
        <v>0</v>
      </c>
      <c r="E3401" s="13">
        <v>0</v>
      </c>
      <c r="F3401" s="13">
        <v>0</v>
      </c>
      <c r="G3401" s="13">
        <v>0</v>
      </c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</row>
    <row r="3402" spans="1:19" x14ac:dyDescent="0.2">
      <c r="A3402" s="12" t="s">
        <v>477</v>
      </c>
      <c r="B3402" s="12" t="s">
        <v>570</v>
      </c>
      <c r="C3402" s="12" t="s">
        <v>557</v>
      </c>
      <c r="D3402" s="13">
        <v>69</v>
      </c>
      <c r="E3402" s="13">
        <v>62.246738000000001</v>
      </c>
      <c r="F3402" s="13">
        <v>61.150998000000001</v>
      </c>
      <c r="G3402" s="13">
        <v>61.123699999999999</v>
      </c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</row>
    <row r="3403" spans="1:19" x14ac:dyDescent="0.2">
      <c r="A3403" s="12" t="s">
        <v>477</v>
      </c>
      <c r="B3403" s="12" t="s">
        <v>570</v>
      </c>
      <c r="C3403" s="12" t="s">
        <v>558</v>
      </c>
      <c r="D3403" s="13">
        <v>-69</v>
      </c>
      <c r="E3403" s="13">
        <v>-62.246738000000001</v>
      </c>
      <c r="F3403" s="13">
        <v>-61.150998000000001</v>
      </c>
      <c r="G3403" s="13">
        <v>-61.123699999999999</v>
      </c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</row>
    <row r="3404" spans="1:19" x14ac:dyDescent="0.2">
      <c r="A3404" s="12" t="s">
        <v>477</v>
      </c>
      <c r="B3404" s="12" t="s">
        <v>570</v>
      </c>
      <c r="C3404" s="12" t="s">
        <v>560</v>
      </c>
      <c r="D3404" s="13">
        <v>0</v>
      </c>
      <c r="E3404" s="13">
        <v>0</v>
      </c>
      <c r="F3404" s="13">
        <v>0</v>
      </c>
      <c r="G3404" s="13">
        <v>0</v>
      </c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</row>
    <row r="3405" spans="1:19" x14ac:dyDescent="0.2">
      <c r="A3405" s="12" t="s">
        <v>477</v>
      </c>
      <c r="B3405" s="12" t="s">
        <v>570</v>
      </c>
      <c r="C3405" s="12" t="s">
        <v>561</v>
      </c>
      <c r="D3405" s="13">
        <v>0</v>
      </c>
      <c r="E3405" s="13">
        <v>0</v>
      </c>
      <c r="F3405" s="13">
        <v>0</v>
      </c>
      <c r="G3405" s="13">
        <v>0</v>
      </c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</row>
    <row r="3406" spans="1:19" x14ac:dyDescent="0.2">
      <c r="A3406" s="12" t="s">
        <v>477</v>
      </c>
      <c r="B3406" s="12" t="s">
        <v>570</v>
      </c>
      <c r="C3406" s="12" t="s">
        <v>562</v>
      </c>
      <c r="D3406" s="13">
        <v>0</v>
      </c>
      <c r="E3406" s="13">
        <v>0</v>
      </c>
      <c r="F3406" s="13">
        <v>0</v>
      </c>
      <c r="G3406" s="13">
        <v>0</v>
      </c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</row>
    <row r="3407" spans="1:19" x14ac:dyDescent="0.2">
      <c r="A3407" s="12" t="s">
        <v>477</v>
      </c>
      <c r="B3407" s="12" t="s">
        <v>570</v>
      </c>
      <c r="C3407" s="12" t="s">
        <v>563</v>
      </c>
      <c r="D3407" s="13">
        <v>0</v>
      </c>
      <c r="E3407" s="13">
        <v>0</v>
      </c>
      <c r="F3407" s="13">
        <v>0</v>
      </c>
      <c r="G3407" s="13">
        <v>0</v>
      </c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</row>
    <row r="3408" spans="1:19" x14ac:dyDescent="0.2">
      <c r="A3408" s="12" t="s">
        <v>477</v>
      </c>
      <c r="B3408" s="12" t="s">
        <v>570</v>
      </c>
      <c r="C3408" s="12" t="s">
        <v>564</v>
      </c>
      <c r="D3408" s="13">
        <v>0</v>
      </c>
      <c r="E3408" s="13">
        <v>0</v>
      </c>
      <c r="F3408" s="13">
        <v>0</v>
      </c>
      <c r="G3408" s="13">
        <v>0</v>
      </c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</row>
    <row r="3409" spans="1:19" x14ac:dyDescent="0.2">
      <c r="A3409" s="12" t="s">
        <v>477</v>
      </c>
      <c r="B3409" s="12" t="s">
        <v>570</v>
      </c>
      <c r="C3409" s="12" t="s">
        <v>565</v>
      </c>
      <c r="D3409" s="13">
        <v>0</v>
      </c>
      <c r="E3409" s="13">
        <v>0</v>
      </c>
      <c r="F3409" s="13">
        <v>0</v>
      </c>
      <c r="G3409" s="13">
        <v>0</v>
      </c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</row>
    <row r="3410" spans="1:19" x14ac:dyDescent="0.2">
      <c r="A3410" s="12" t="s">
        <v>477</v>
      </c>
      <c r="B3410" s="12" t="s">
        <v>570</v>
      </c>
      <c r="C3410" s="12" t="s">
        <v>566</v>
      </c>
      <c r="D3410" s="13">
        <v>0</v>
      </c>
      <c r="E3410" s="13">
        <v>0</v>
      </c>
      <c r="F3410" s="13">
        <v>0</v>
      </c>
      <c r="G3410" s="13">
        <v>0</v>
      </c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</row>
    <row r="3411" spans="1:19" x14ac:dyDescent="0.2">
      <c r="A3411" s="12" t="s">
        <v>477</v>
      </c>
      <c r="B3411" s="12" t="s">
        <v>571</v>
      </c>
      <c r="C3411" s="12" t="s">
        <v>554</v>
      </c>
      <c r="D3411" s="13">
        <v>47</v>
      </c>
      <c r="E3411" s="13">
        <v>48.568480000000001</v>
      </c>
      <c r="F3411" s="13">
        <v>40.680045000000007</v>
      </c>
      <c r="G3411" s="13">
        <v>47.897021000000002</v>
      </c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</row>
    <row r="3412" spans="1:19" x14ac:dyDescent="0.2">
      <c r="A3412" s="12" t="s">
        <v>477</v>
      </c>
      <c r="B3412" s="12" t="s">
        <v>571</v>
      </c>
      <c r="C3412" s="12" t="s">
        <v>555</v>
      </c>
      <c r="D3412" s="13">
        <v>4</v>
      </c>
      <c r="E3412" s="13">
        <v>4.409726</v>
      </c>
      <c r="F3412" s="13">
        <v>3.3800409999999999</v>
      </c>
      <c r="G3412" s="13">
        <v>4.0155180000000001</v>
      </c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</row>
    <row r="3413" spans="1:19" x14ac:dyDescent="0.2">
      <c r="A3413" s="12" t="s">
        <v>477</v>
      </c>
      <c r="B3413" s="12" t="s">
        <v>571</v>
      </c>
      <c r="C3413" s="12" t="s">
        <v>556</v>
      </c>
      <c r="D3413" s="13">
        <v>0</v>
      </c>
      <c r="E3413" s="13">
        <v>-1.2167000000000001E-2</v>
      </c>
      <c r="F3413" s="13">
        <v>-5.7149999999999996E-3</v>
      </c>
      <c r="G3413" s="13">
        <v>-1.05E-4</v>
      </c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</row>
    <row r="3414" spans="1:19" x14ac:dyDescent="0.2">
      <c r="A3414" s="12" t="s">
        <v>477</v>
      </c>
      <c r="B3414" s="12" t="s">
        <v>571</v>
      </c>
      <c r="C3414" s="12" t="s">
        <v>557</v>
      </c>
      <c r="D3414" s="13">
        <v>51</v>
      </c>
      <c r="E3414" s="13">
        <v>52.926414999999999</v>
      </c>
      <c r="F3414" s="13">
        <v>44.040793000000008</v>
      </c>
      <c r="G3414" s="13">
        <v>51.929113999999998</v>
      </c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</row>
    <row r="3415" spans="1:19" x14ac:dyDescent="0.2">
      <c r="A3415" s="12" t="s">
        <v>477</v>
      </c>
      <c r="B3415" s="12" t="s">
        <v>571</v>
      </c>
      <c r="C3415" s="12" t="s">
        <v>558</v>
      </c>
      <c r="D3415" s="13">
        <v>-23</v>
      </c>
      <c r="E3415" s="13">
        <v>-23.018125999999999</v>
      </c>
      <c r="F3415" s="13">
        <v>-18.209066</v>
      </c>
      <c r="G3415" s="13">
        <v>-26.063341000000001</v>
      </c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</row>
    <row r="3416" spans="1:19" x14ac:dyDescent="0.2">
      <c r="A3416" s="12" t="s">
        <v>477</v>
      </c>
      <c r="B3416" s="12" t="s">
        <v>571</v>
      </c>
      <c r="C3416" s="12" t="s">
        <v>560</v>
      </c>
      <c r="D3416" s="13">
        <v>0</v>
      </c>
      <c r="E3416" s="13">
        <v>0</v>
      </c>
      <c r="F3416" s="13">
        <v>0</v>
      </c>
      <c r="G3416" s="13">
        <v>0</v>
      </c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</row>
    <row r="3417" spans="1:19" x14ac:dyDescent="0.2">
      <c r="A3417" s="12" t="s">
        <v>477</v>
      </c>
      <c r="B3417" s="12" t="s">
        <v>571</v>
      </c>
      <c r="C3417" s="12" t="s">
        <v>561</v>
      </c>
      <c r="D3417" s="13">
        <v>27</v>
      </c>
      <c r="E3417" s="13">
        <v>29.908284999999999</v>
      </c>
      <c r="F3417" s="13">
        <v>25.831734999999998</v>
      </c>
      <c r="G3417" s="13">
        <v>25.865770000000001</v>
      </c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</row>
    <row r="3418" spans="1:19" x14ac:dyDescent="0.2">
      <c r="A3418" s="12" t="s">
        <v>477</v>
      </c>
      <c r="B3418" s="12" t="s">
        <v>571</v>
      </c>
      <c r="C3418" s="12" t="s">
        <v>562</v>
      </c>
      <c r="D3418" s="13">
        <v>5</v>
      </c>
      <c r="E3418" s="13">
        <v>5.2432470000000002</v>
      </c>
      <c r="F3418" s="13">
        <v>5.059869</v>
      </c>
      <c r="G3418" s="13">
        <v>5.2900090000000004</v>
      </c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</row>
    <row r="3419" spans="1:19" x14ac:dyDescent="0.2">
      <c r="A3419" s="12" t="s">
        <v>477</v>
      </c>
      <c r="B3419" s="12" t="s">
        <v>571</v>
      </c>
      <c r="C3419" s="12" t="s">
        <v>563</v>
      </c>
      <c r="D3419" s="13">
        <v>4</v>
      </c>
      <c r="E3419" s="13">
        <v>4.3063670000000007</v>
      </c>
      <c r="F3419" s="13">
        <v>3.3008519999999999</v>
      </c>
      <c r="G3419" s="13">
        <v>3.972118</v>
      </c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</row>
    <row r="3420" spans="1:19" x14ac:dyDescent="0.2">
      <c r="A3420" s="12" t="s">
        <v>477</v>
      </c>
      <c r="B3420" s="12" t="s">
        <v>571</v>
      </c>
      <c r="C3420" s="12" t="s">
        <v>564</v>
      </c>
      <c r="D3420" s="13">
        <v>18</v>
      </c>
      <c r="E3420" s="13">
        <v>19.816347</v>
      </c>
      <c r="F3420" s="13">
        <v>16.100905000000001</v>
      </c>
      <c r="G3420" s="13">
        <v>15.020953</v>
      </c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</row>
    <row r="3421" spans="1:19" x14ac:dyDescent="0.2">
      <c r="A3421" s="12" t="s">
        <v>477</v>
      </c>
      <c r="B3421" s="12" t="s">
        <v>571</v>
      </c>
      <c r="C3421" s="12" t="s">
        <v>565</v>
      </c>
      <c r="D3421" s="13">
        <v>0</v>
      </c>
      <c r="E3421" s="13">
        <v>0.42343199999999998</v>
      </c>
      <c r="F3421" s="13">
        <v>1.2476290000000001</v>
      </c>
      <c r="G3421" s="13">
        <v>1.4741599999999999</v>
      </c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</row>
    <row r="3422" spans="1:19" x14ac:dyDescent="0.2">
      <c r="A3422" s="12" t="s">
        <v>477</v>
      </c>
      <c r="B3422" s="12" t="s">
        <v>571</v>
      </c>
      <c r="C3422" s="12" t="s">
        <v>566</v>
      </c>
      <c r="D3422" s="13">
        <v>0</v>
      </c>
      <c r="E3422" s="13">
        <v>0.11890100000000001</v>
      </c>
      <c r="F3422" s="13">
        <v>0.12248100000000001</v>
      </c>
      <c r="G3422" s="13">
        <v>0.10853</v>
      </c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</row>
    <row r="3423" spans="1:19" x14ac:dyDescent="0.2">
      <c r="A3423" s="12" t="s">
        <v>477</v>
      </c>
      <c r="B3423" s="12" t="s">
        <v>572</v>
      </c>
      <c r="C3423" s="12" t="s">
        <v>554</v>
      </c>
      <c r="D3423" s="13">
        <v>0</v>
      </c>
      <c r="E3423" s="13">
        <v>0</v>
      </c>
      <c r="F3423" s="13">
        <v>0</v>
      </c>
      <c r="G3423" s="13">
        <v>0</v>
      </c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</row>
    <row r="3424" spans="1:19" x14ac:dyDescent="0.2">
      <c r="A3424" s="12" t="s">
        <v>477</v>
      </c>
      <c r="B3424" s="12" t="s">
        <v>572</v>
      </c>
      <c r="C3424" s="12" t="s">
        <v>555</v>
      </c>
      <c r="D3424" s="13">
        <v>26</v>
      </c>
      <c r="E3424" s="13">
        <v>30.193749</v>
      </c>
      <c r="F3424" s="13">
        <v>36.713672000000003</v>
      </c>
      <c r="G3424" s="13">
        <v>32.810583000000001</v>
      </c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</row>
    <row r="3425" spans="1:19" x14ac:dyDescent="0.2">
      <c r="A3425" s="12" t="s">
        <v>477</v>
      </c>
      <c r="B3425" s="12" t="s">
        <v>572</v>
      </c>
      <c r="C3425" s="12" t="s">
        <v>556</v>
      </c>
      <c r="D3425" s="13">
        <v>-33</v>
      </c>
      <c r="E3425" s="13">
        <v>-31.167259000000001</v>
      </c>
      <c r="F3425" s="13">
        <v>-31.508375000000001</v>
      </c>
      <c r="G3425" s="13">
        <v>-38.231417</v>
      </c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</row>
    <row r="3426" spans="1:19" x14ac:dyDescent="0.2">
      <c r="A3426" s="12" t="s">
        <v>477</v>
      </c>
      <c r="B3426" s="12" t="s">
        <v>572</v>
      </c>
      <c r="C3426" s="12" t="s">
        <v>557</v>
      </c>
      <c r="D3426" s="13">
        <v>-7</v>
      </c>
      <c r="E3426" s="13">
        <v>-0.97350599999999998</v>
      </c>
      <c r="F3426" s="13">
        <v>5.205298</v>
      </c>
      <c r="G3426" s="13">
        <v>-5.4208340000000002</v>
      </c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</row>
    <row r="3427" spans="1:19" x14ac:dyDescent="0.2">
      <c r="A3427" s="12" t="s">
        <v>477</v>
      </c>
      <c r="B3427" s="12" t="s">
        <v>572</v>
      </c>
      <c r="C3427" s="12" t="s">
        <v>558</v>
      </c>
      <c r="D3427" s="13">
        <v>61</v>
      </c>
      <c r="E3427" s="13">
        <v>56.132516000000003</v>
      </c>
      <c r="F3427" s="13">
        <v>48.111595000000001</v>
      </c>
      <c r="G3427" s="13">
        <v>56.078350999999998</v>
      </c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</row>
    <row r="3428" spans="1:19" x14ac:dyDescent="0.2">
      <c r="A3428" s="12" t="s">
        <v>477</v>
      </c>
      <c r="B3428" s="12" t="s">
        <v>572</v>
      </c>
      <c r="C3428" s="12" t="s">
        <v>560</v>
      </c>
      <c r="D3428" s="13">
        <v>0</v>
      </c>
      <c r="E3428" s="13">
        <v>0</v>
      </c>
      <c r="F3428" s="13">
        <v>0</v>
      </c>
      <c r="G3428" s="13">
        <v>0</v>
      </c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</row>
    <row r="3429" spans="1:19" x14ac:dyDescent="0.2">
      <c r="A3429" s="12" t="s">
        <v>477</v>
      </c>
      <c r="B3429" s="12" t="s">
        <v>572</v>
      </c>
      <c r="C3429" s="12" t="s">
        <v>561</v>
      </c>
      <c r="D3429" s="13">
        <v>47</v>
      </c>
      <c r="E3429" s="13">
        <v>48.451009999999997</v>
      </c>
      <c r="F3429" s="13">
        <v>46.950824999999988</v>
      </c>
      <c r="G3429" s="13">
        <v>44.527940999999998</v>
      </c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</row>
    <row r="3430" spans="1:19" x14ac:dyDescent="0.2">
      <c r="A3430" s="12" t="s">
        <v>477</v>
      </c>
      <c r="B3430" s="12" t="s">
        <v>572</v>
      </c>
      <c r="C3430" s="12" t="s">
        <v>562</v>
      </c>
      <c r="D3430" s="13">
        <v>21</v>
      </c>
      <c r="E3430" s="13">
        <v>21.82282</v>
      </c>
      <c r="F3430" s="13">
        <v>19.814948000000001</v>
      </c>
      <c r="G3430" s="13">
        <v>16.920303000000001</v>
      </c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</row>
    <row r="3431" spans="1:19" x14ac:dyDescent="0.2">
      <c r="A3431" s="12" t="s">
        <v>477</v>
      </c>
      <c r="B3431" s="12" t="s">
        <v>572</v>
      </c>
      <c r="C3431" s="12" t="s">
        <v>563</v>
      </c>
      <c r="D3431" s="13">
        <v>1</v>
      </c>
      <c r="E3431" s="13">
        <v>0.85085400000000011</v>
      </c>
      <c r="F3431" s="13">
        <v>0.988788</v>
      </c>
      <c r="G3431" s="13">
        <v>1.0125519999999999</v>
      </c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</row>
    <row r="3432" spans="1:19" x14ac:dyDescent="0.2">
      <c r="A3432" s="12" t="s">
        <v>477</v>
      </c>
      <c r="B3432" s="12" t="s">
        <v>572</v>
      </c>
      <c r="C3432" s="12" t="s">
        <v>564</v>
      </c>
      <c r="D3432" s="13">
        <v>13</v>
      </c>
      <c r="E3432" s="13">
        <v>13.689258000000001</v>
      </c>
      <c r="F3432" s="13">
        <v>13.431711</v>
      </c>
      <c r="G3432" s="13">
        <v>14.683337999999999</v>
      </c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</row>
    <row r="3433" spans="1:19" x14ac:dyDescent="0.2">
      <c r="A3433" s="12" t="s">
        <v>477</v>
      </c>
      <c r="B3433" s="12" t="s">
        <v>572</v>
      </c>
      <c r="C3433" s="12" t="s">
        <v>565</v>
      </c>
      <c r="D3433" s="13">
        <v>11</v>
      </c>
      <c r="E3433" s="13">
        <v>11.980415000000001</v>
      </c>
      <c r="F3433" s="13">
        <v>10.598139</v>
      </c>
      <c r="G3433" s="13">
        <v>10.342860999999999</v>
      </c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</row>
    <row r="3434" spans="1:19" x14ac:dyDescent="0.2">
      <c r="A3434" s="12" t="s">
        <v>477</v>
      </c>
      <c r="B3434" s="12" t="s">
        <v>572</v>
      </c>
      <c r="C3434" s="12" t="s">
        <v>566</v>
      </c>
      <c r="D3434" s="13">
        <v>0</v>
      </c>
      <c r="E3434" s="13">
        <v>0.10766299999999999</v>
      </c>
      <c r="F3434" s="13">
        <v>2.1172409999999999</v>
      </c>
      <c r="G3434" s="13">
        <v>1.5688899999999999</v>
      </c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</row>
    <row r="3435" spans="1:19" x14ac:dyDescent="0.2">
      <c r="A3435" s="12" t="s">
        <v>477</v>
      </c>
      <c r="B3435" s="12" t="s">
        <v>573</v>
      </c>
      <c r="C3435" s="12" t="s">
        <v>554</v>
      </c>
      <c r="D3435" s="13">
        <v>0</v>
      </c>
      <c r="E3435" s="13">
        <v>0</v>
      </c>
      <c r="F3435" s="13">
        <v>0</v>
      </c>
      <c r="G3435" s="13">
        <v>0</v>
      </c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</row>
    <row r="3436" spans="1:19" x14ac:dyDescent="0.2">
      <c r="A3436" s="12" t="s">
        <v>477</v>
      </c>
      <c r="B3436" s="12" t="s">
        <v>573</v>
      </c>
      <c r="C3436" s="12" t="s">
        <v>555</v>
      </c>
      <c r="D3436" s="13">
        <v>0</v>
      </c>
      <c r="E3436" s="13">
        <v>0</v>
      </c>
      <c r="F3436" s="13">
        <v>0</v>
      </c>
      <c r="G3436" s="13">
        <v>0</v>
      </c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</row>
    <row r="3437" spans="1:19" x14ac:dyDescent="0.2">
      <c r="A3437" s="12" t="s">
        <v>477</v>
      </c>
      <c r="B3437" s="12" t="s">
        <v>573</v>
      </c>
      <c r="C3437" s="12" t="s">
        <v>556</v>
      </c>
      <c r="D3437" s="13">
        <v>0</v>
      </c>
      <c r="E3437" s="13">
        <v>0</v>
      </c>
      <c r="F3437" s="13">
        <v>0</v>
      </c>
      <c r="G3437" s="13">
        <v>0</v>
      </c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</row>
    <row r="3438" spans="1:19" x14ac:dyDescent="0.2">
      <c r="A3438" s="12" t="s">
        <v>477</v>
      </c>
      <c r="B3438" s="12" t="s">
        <v>573</v>
      </c>
      <c r="C3438" s="12" t="s">
        <v>557</v>
      </c>
      <c r="D3438" s="13">
        <v>0</v>
      </c>
      <c r="E3438" s="13">
        <v>0</v>
      </c>
      <c r="F3438" s="13">
        <v>0</v>
      </c>
      <c r="G3438" s="13">
        <v>0</v>
      </c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</row>
    <row r="3439" spans="1:19" x14ac:dyDescent="0.2">
      <c r="A3439" s="12" t="s">
        <v>477</v>
      </c>
      <c r="B3439" s="12" t="s">
        <v>573</v>
      </c>
      <c r="C3439" s="12" t="s">
        <v>558</v>
      </c>
      <c r="D3439" s="13">
        <v>9</v>
      </c>
      <c r="E3439" s="13">
        <v>10.085343999999999</v>
      </c>
      <c r="F3439" s="13">
        <v>8.9422680000000003</v>
      </c>
      <c r="G3439" s="13">
        <v>8.1927599999999998</v>
      </c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</row>
    <row r="3440" spans="1:19" x14ac:dyDescent="0.2">
      <c r="A3440" s="12" t="s">
        <v>477</v>
      </c>
      <c r="B3440" s="12" t="s">
        <v>573</v>
      </c>
      <c r="C3440" s="12" t="s">
        <v>560</v>
      </c>
      <c r="D3440" s="13">
        <v>0</v>
      </c>
      <c r="E3440" s="13">
        <v>0</v>
      </c>
      <c r="F3440" s="13">
        <v>0</v>
      </c>
      <c r="G3440" s="13">
        <v>0</v>
      </c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</row>
    <row r="3441" spans="1:19" x14ac:dyDescent="0.2">
      <c r="A3441" s="12" t="s">
        <v>477</v>
      </c>
      <c r="B3441" s="12" t="s">
        <v>573</v>
      </c>
      <c r="C3441" s="12" t="s">
        <v>561</v>
      </c>
      <c r="D3441" s="13">
        <v>7</v>
      </c>
      <c r="E3441" s="13">
        <v>7.7989990000000002</v>
      </c>
      <c r="F3441" s="13">
        <v>6.7507039999999998</v>
      </c>
      <c r="G3441" s="13">
        <v>6.1030100000000003</v>
      </c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</row>
    <row r="3442" spans="1:19" x14ac:dyDescent="0.2">
      <c r="A3442" s="12" t="s">
        <v>477</v>
      </c>
      <c r="B3442" s="12" t="s">
        <v>573</v>
      </c>
      <c r="C3442" s="12" t="s">
        <v>562</v>
      </c>
      <c r="D3442" s="13">
        <v>2</v>
      </c>
      <c r="E3442" s="13">
        <v>2.085445</v>
      </c>
      <c r="F3442" s="13">
        <v>2.0112549999999998</v>
      </c>
      <c r="G3442" s="13">
        <v>1.564683</v>
      </c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</row>
    <row r="3443" spans="1:19" x14ac:dyDescent="0.2">
      <c r="A3443" s="12" t="s">
        <v>477</v>
      </c>
      <c r="B3443" s="12" t="s">
        <v>573</v>
      </c>
      <c r="C3443" s="12" t="s">
        <v>563</v>
      </c>
      <c r="D3443" s="13">
        <v>0</v>
      </c>
      <c r="E3443" s="13">
        <v>0</v>
      </c>
      <c r="F3443" s="13">
        <v>0</v>
      </c>
      <c r="G3443" s="13">
        <v>0</v>
      </c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</row>
    <row r="3444" spans="1:19" x14ac:dyDescent="0.2">
      <c r="A3444" s="12" t="s">
        <v>477</v>
      </c>
      <c r="B3444" s="12" t="s">
        <v>573</v>
      </c>
      <c r="C3444" s="12" t="s">
        <v>564</v>
      </c>
      <c r="D3444" s="13">
        <v>3</v>
      </c>
      <c r="E3444" s="13">
        <v>3.4265270000000001</v>
      </c>
      <c r="F3444" s="13">
        <v>2.9421270000000002</v>
      </c>
      <c r="G3444" s="13">
        <v>2.8244660000000001</v>
      </c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</row>
    <row r="3445" spans="1:19" x14ac:dyDescent="0.2">
      <c r="A3445" s="12" t="s">
        <v>477</v>
      </c>
      <c r="B3445" s="12" t="s">
        <v>573</v>
      </c>
      <c r="C3445" s="12" t="s">
        <v>565</v>
      </c>
      <c r="D3445" s="13">
        <v>2</v>
      </c>
      <c r="E3445" s="13">
        <v>2.2870270000000001</v>
      </c>
      <c r="F3445" s="13">
        <v>1.7694840000000001</v>
      </c>
      <c r="G3445" s="13">
        <v>1.696429</v>
      </c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</row>
    <row r="3446" spans="1:19" x14ac:dyDescent="0.2">
      <c r="A3446" s="12" t="s">
        <v>477</v>
      </c>
      <c r="B3446" s="12" t="s">
        <v>573</v>
      </c>
      <c r="C3446" s="12" t="s">
        <v>566</v>
      </c>
      <c r="D3446" s="13">
        <v>0</v>
      </c>
      <c r="E3446" s="13">
        <v>0</v>
      </c>
      <c r="F3446" s="13">
        <v>2.7838000000000002E-2</v>
      </c>
      <c r="G3446" s="13">
        <v>1.7437999999999999E-2</v>
      </c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</row>
    <row r="3447" spans="1:19" x14ac:dyDescent="0.2">
      <c r="A3447" s="12" t="s">
        <v>477</v>
      </c>
      <c r="B3447" s="12" t="s">
        <v>574</v>
      </c>
      <c r="C3447" s="12" t="s">
        <v>554</v>
      </c>
      <c r="D3447" s="13">
        <v>152</v>
      </c>
      <c r="E3447" s="13">
        <v>140.99092999999999</v>
      </c>
      <c r="F3447" s="13">
        <v>129.373221</v>
      </c>
      <c r="G3447" s="13">
        <v>138.53602000000001</v>
      </c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</row>
    <row r="3448" spans="1:19" x14ac:dyDescent="0.2">
      <c r="A3448" s="12" t="s">
        <v>477</v>
      </c>
      <c r="B3448" s="12" t="s">
        <v>574</v>
      </c>
      <c r="C3448" s="12" t="s">
        <v>555</v>
      </c>
      <c r="D3448" s="13">
        <v>238</v>
      </c>
      <c r="E3448" s="13">
        <v>234.32674299999999</v>
      </c>
      <c r="F3448" s="13">
        <v>273.984849</v>
      </c>
      <c r="G3448" s="13">
        <v>264.09187600000001</v>
      </c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</row>
    <row r="3449" spans="1:19" x14ac:dyDescent="0.2">
      <c r="A3449" s="12" t="s">
        <v>477</v>
      </c>
      <c r="B3449" s="12" t="s">
        <v>574</v>
      </c>
      <c r="C3449" s="12" t="s">
        <v>556</v>
      </c>
      <c r="D3449" s="13">
        <v>-114</v>
      </c>
      <c r="E3449" s="13">
        <v>-99.138354000000007</v>
      </c>
      <c r="F3449" s="13">
        <v>-129.75682800000001</v>
      </c>
      <c r="G3449" s="13">
        <v>-138.36313899999999</v>
      </c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</row>
    <row r="3450" spans="1:19" x14ac:dyDescent="0.2">
      <c r="A3450" s="12" t="s">
        <v>477</v>
      </c>
      <c r="B3450" s="12" t="s">
        <v>574</v>
      </c>
      <c r="C3450" s="12" t="s">
        <v>557</v>
      </c>
      <c r="D3450" s="13">
        <v>270</v>
      </c>
      <c r="E3450" s="13">
        <v>277.50108699999998</v>
      </c>
      <c r="F3450" s="13">
        <v>269.348705</v>
      </c>
      <c r="G3450" s="13">
        <v>257.10121800000002</v>
      </c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</row>
    <row r="3451" spans="1:19" x14ac:dyDescent="0.2">
      <c r="A3451" s="12" t="s">
        <v>477</v>
      </c>
      <c r="B3451" s="12" t="s">
        <v>574</v>
      </c>
      <c r="C3451" s="12" t="s">
        <v>558</v>
      </c>
      <c r="D3451" s="13">
        <v>-70</v>
      </c>
      <c r="E3451" s="13">
        <v>-63.836988000000012</v>
      </c>
      <c r="F3451" s="13">
        <v>-58.737295000000003</v>
      </c>
      <c r="G3451" s="13">
        <v>-58.188344000000008</v>
      </c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</row>
    <row r="3452" spans="1:19" x14ac:dyDescent="0.2">
      <c r="A3452" s="12" t="s">
        <v>477</v>
      </c>
      <c r="B3452" s="12" t="s">
        <v>574</v>
      </c>
      <c r="C3452" s="12" t="s">
        <v>560</v>
      </c>
      <c r="D3452" s="13">
        <v>0</v>
      </c>
      <c r="E3452" s="13">
        <v>0</v>
      </c>
      <c r="F3452" s="13">
        <v>0</v>
      </c>
      <c r="G3452" s="13">
        <v>0</v>
      </c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</row>
    <row r="3453" spans="1:19" x14ac:dyDescent="0.2">
      <c r="A3453" s="12" t="s">
        <v>477</v>
      </c>
      <c r="B3453" s="12" t="s">
        <v>574</v>
      </c>
      <c r="C3453" s="12" t="s">
        <v>561</v>
      </c>
      <c r="D3453" s="13">
        <v>191</v>
      </c>
      <c r="E3453" s="13">
        <v>204.16379599999999</v>
      </c>
      <c r="F3453" s="13">
        <v>202.27802</v>
      </c>
      <c r="G3453" s="13">
        <v>191.09385399999999</v>
      </c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</row>
    <row r="3454" spans="1:19" x14ac:dyDescent="0.2">
      <c r="A3454" s="12" t="s">
        <v>477</v>
      </c>
      <c r="B3454" s="12" t="s">
        <v>574</v>
      </c>
      <c r="C3454" s="12" t="s">
        <v>562</v>
      </c>
      <c r="D3454" s="13">
        <v>53</v>
      </c>
      <c r="E3454" s="13">
        <v>54.145963000000002</v>
      </c>
      <c r="F3454" s="13">
        <v>49.469039000000002</v>
      </c>
      <c r="G3454" s="13">
        <v>44.958959999999998</v>
      </c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</row>
    <row r="3455" spans="1:19" x14ac:dyDescent="0.2">
      <c r="A3455" s="12" t="s">
        <v>477</v>
      </c>
      <c r="B3455" s="12" t="s">
        <v>574</v>
      </c>
      <c r="C3455" s="12" t="s">
        <v>563</v>
      </c>
      <c r="D3455" s="13">
        <v>66</v>
      </c>
      <c r="E3455" s="13">
        <v>75.37995500000001</v>
      </c>
      <c r="F3455" s="13">
        <v>81.888770999999991</v>
      </c>
      <c r="G3455" s="13">
        <v>76.865918000000008</v>
      </c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</row>
    <row r="3456" spans="1:19" x14ac:dyDescent="0.2">
      <c r="A3456" s="12" t="s">
        <v>477</v>
      </c>
      <c r="B3456" s="12" t="s">
        <v>574</v>
      </c>
      <c r="C3456" s="12" t="s">
        <v>564</v>
      </c>
      <c r="D3456" s="13">
        <v>44</v>
      </c>
      <c r="E3456" s="13">
        <v>46.532698000000003</v>
      </c>
      <c r="F3456" s="13">
        <v>41.879907000000003</v>
      </c>
      <c r="G3456" s="13">
        <v>41.143286000000003</v>
      </c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</row>
    <row r="3457" spans="1:19" x14ac:dyDescent="0.2">
      <c r="A3457" s="12" t="s">
        <v>477</v>
      </c>
      <c r="B3457" s="12" t="s">
        <v>574</v>
      </c>
      <c r="C3457" s="12" t="s">
        <v>565</v>
      </c>
      <c r="D3457" s="13">
        <v>18</v>
      </c>
      <c r="E3457" s="13">
        <v>17.630572999999998</v>
      </c>
      <c r="F3457" s="13">
        <v>17.998438</v>
      </c>
      <c r="G3457" s="13">
        <v>18.014254999999999</v>
      </c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</row>
    <row r="3458" spans="1:19" x14ac:dyDescent="0.2">
      <c r="A3458" s="12" t="s">
        <v>477</v>
      </c>
      <c r="B3458" s="12" t="s">
        <v>574</v>
      </c>
      <c r="C3458" s="12" t="s">
        <v>566</v>
      </c>
      <c r="D3458" s="13">
        <v>10</v>
      </c>
      <c r="E3458" s="13">
        <v>10.474607000000001</v>
      </c>
      <c r="F3458" s="13">
        <v>11.041861000000001</v>
      </c>
      <c r="G3458" s="13">
        <v>10.111444000000001</v>
      </c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</row>
    <row r="3459" spans="1:19" x14ac:dyDescent="0.2">
      <c r="A3459" s="12" t="s">
        <v>219</v>
      </c>
      <c r="B3459" s="12" t="s">
        <v>553</v>
      </c>
      <c r="C3459" s="12" t="s">
        <v>554</v>
      </c>
      <c r="D3459" s="13">
        <v>0</v>
      </c>
      <c r="E3459" s="13">
        <v>0</v>
      </c>
      <c r="F3459" s="13">
        <v>0</v>
      </c>
      <c r="G3459" s="13">
        <v>0</v>
      </c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</row>
    <row r="3460" spans="1:19" x14ac:dyDescent="0.2">
      <c r="A3460" s="12" t="s">
        <v>219</v>
      </c>
      <c r="B3460" s="12" t="s">
        <v>553</v>
      </c>
      <c r="C3460" s="12" t="s">
        <v>555</v>
      </c>
      <c r="D3460" s="13">
        <v>124</v>
      </c>
      <c r="E3460" s="13">
        <v>155.02588299999999</v>
      </c>
      <c r="F3460" s="13">
        <v>255.95638</v>
      </c>
      <c r="G3460" s="13">
        <v>176.025138</v>
      </c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</row>
    <row r="3461" spans="1:19" x14ac:dyDescent="0.2">
      <c r="A3461" s="12" t="s">
        <v>219</v>
      </c>
      <c r="B3461" s="12" t="s">
        <v>553</v>
      </c>
      <c r="C3461" s="12" t="s">
        <v>556</v>
      </c>
      <c r="D3461" s="13">
        <v>-52</v>
      </c>
      <c r="E3461" s="13">
        <v>-18.027564999999999</v>
      </c>
      <c r="F3461" s="13">
        <v>-38.182518999999999</v>
      </c>
      <c r="G3461" s="13">
        <v>-92.854020999999989</v>
      </c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</row>
    <row r="3462" spans="1:19" x14ac:dyDescent="0.2">
      <c r="A3462" s="12" t="s">
        <v>219</v>
      </c>
      <c r="B3462" s="12" t="s">
        <v>553</v>
      </c>
      <c r="C3462" s="12" t="s">
        <v>557</v>
      </c>
      <c r="D3462" s="13">
        <v>123</v>
      </c>
      <c r="E3462" s="13">
        <v>134.090304</v>
      </c>
      <c r="F3462" s="13">
        <v>158.40494000000001</v>
      </c>
      <c r="G3462" s="13">
        <v>111.04133400000001</v>
      </c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</row>
    <row r="3463" spans="1:19" x14ac:dyDescent="0.2">
      <c r="A3463" s="12" t="s">
        <v>219</v>
      </c>
      <c r="B3463" s="12" t="s">
        <v>553</v>
      </c>
      <c r="C3463" s="12" t="s">
        <v>558</v>
      </c>
      <c r="D3463" s="13">
        <v>-60</v>
      </c>
      <c r="E3463" s="13">
        <v>-56.996594999999999</v>
      </c>
      <c r="F3463" s="13">
        <v>-81.690560000000005</v>
      </c>
      <c r="G3463" s="13">
        <v>-43.484670000000001</v>
      </c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</row>
    <row r="3464" spans="1:19" x14ac:dyDescent="0.2">
      <c r="A3464" s="12" t="s">
        <v>219</v>
      </c>
      <c r="B3464" s="12" t="s">
        <v>553</v>
      </c>
      <c r="C3464" s="12" t="s">
        <v>560</v>
      </c>
      <c r="D3464" s="13">
        <v>0</v>
      </c>
      <c r="E3464" s="13">
        <v>0</v>
      </c>
      <c r="F3464" s="13">
        <v>0</v>
      </c>
      <c r="G3464" s="13">
        <v>0</v>
      </c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</row>
    <row r="3465" spans="1:19" x14ac:dyDescent="0.2">
      <c r="A3465" s="12" t="s">
        <v>219</v>
      </c>
      <c r="B3465" s="12" t="s">
        <v>553</v>
      </c>
      <c r="C3465" s="12" t="s">
        <v>561</v>
      </c>
      <c r="D3465" s="13">
        <v>27</v>
      </c>
      <c r="E3465" s="13">
        <v>34.530372999999997</v>
      </c>
      <c r="F3465" s="13">
        <v>33.290607999999999</v>
      </c>
      <c r="G3465" s="13">
        <v>28.377317999999999</v>
      </c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</row>
    <row r="3466" spans="1:19" x14ac:dyDescent="0.2">
      <c r="A3466" s="12" t="s">
        <v>219</v>
      </c>
      <c r="B3466" s="12" t="s">
        <v>553</v>
      </c>
      <c r="C3466" s="12" t="s">
        <v>562</v>
      </c>
      <c r="D3466" s="13">
        <v>21</v>
      </c>
      <c r="E3466" s="13">
        <v>30.110389999999999</v>
      </c>
      <c r="F3466" s="13">
        <v>28.401835999999999</v>
      </c>
      <c r="G3466" s="13">
        <v>23.612258000000001</v>
      </c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</row>
    <row r="3467" spans="1:19" x14ac:dyDescent="0.2">
      <c r="A3467" s="12" t="s">
        <v>219</v>
      </c>
      <c r="B3467" s="12" t="s">
        <v>553</v>
      </c>
      <c r="C3467" s="12" t="s">
        <v>563</v>
      </c>
      <c r="D3467" s="13">
        <v>0</v>
      </c>
      <c r="E3467" s="13">
        <v>0</v>
      </c>
      <c r="F3467" s="13">
        <v>0</v>
      </c>
      <c r="G3467" s="13">
        <v>0</v>
      </c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</row>
    <row r="3468" spans="1:19" x14ac:dyDescent="0.2">
      <c r="A3468" s="12" t="s">
        <v>219</v>
      </c>
      <c r="B3468" s="12" t="s">
        <v>553</v>
      </c>
      <c r="C3468" s="12" t="s">
        <v>564</v>
      </c>
      <c r="D3468" s="13">
        <v>2</v>
      </c>
      <c r="E3468" s="13">
        <v>5.3398000000000001E-2</v>
      </c>
      <c r="F3468" s="13">
        <v>5.3398000000000001E-2</v>
      </c>
      <c r="G3468" s="13">
        <v>0</v>
      </c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</row>
    <row r="3469" spans="1:19" x14ac:dyDescent="0.2">
      <c r="A3469" s="12" t="s">
        <v>219</v>
      </c>
      <c r="B3469" s="12" t="s">
        <v>553</v>
      </c>
      <c r="C3469" s="12" t="s">
        <v>565</v>
      </c>
      <c r="D3469" s="13">
        <v>0</v>
      </c>
      <c r="E3469" s="13">
        <v>0</v>
      </c>
      <c r="F3469" s="13">
        <v>0</v>
      </c>
      <c r="G3469" s="13">
        <v>0</v>
      </c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</row>
    <row r="3470" spans="1:19" x14ac:dyDescent="0.2">
      <c r="A3470" s="12" t="s">
        <v>219</v>
      </c>
      <c r="B3470" s="12" t="s">
        <v>553</v>
      </c>
      <c r="C3470" s="12" t="s">
        <v>566</v>
      </c>
      <c r="D3470" s="13">
        <v>4</v>
      </c>
      <c r="E3470" s="13">
        <v>4.366581</v>
      </c>
      <c r="F3470" s="13">
        <v>4.835369</v>
      </c>
      <c r="G3470" s="13">
        <v>4.7650600000000001</v>
      </c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</row>
    <row r="3471" spans="1:19" x14ac:dyDescent="0.2">
      <c r="A3471" s="12" t="s">
        <v>219</v>
      </c>
      <c r="B3471" s="12" t="s">
        <v>567</v>
      </c>
      <c r="C3471" s="12" t="s">
        <v>554</v>
      </c>
      <c r="D3471" s="13">
        <v>1</v>
      </c>
      <c r="E3471" s="13">
        <v>0.24601600000000001</v>
      </c>
      <c r="F3471" s="13">
        <v>3.8577E-2</v>
      </c>
      <c r="G3471" s="13">
        <v>2.8424000000000001E-2</v>
      </c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</row>
    <row r="3472" spans="1:19" x14ac:dyDescent="0.2">
      <c r="A3472" s="12" t="s">
        <v>219</v>
      </c>
      <c r="B3472" s="12" t="s">
        <v>567</v>
      </c>
      <c r="C3472" s="12" t="s">
        <v>555</v>
      </c>
      <c r="D3472" s="13">
        <v>2477</v>
      </c>
      <c r="E3472" s="13">
        <v>2578.2949870000002</v>
      </c>
      <c r="F3472" s="13">
        <v>2792.1619190000001</v>
      </c>
      <c r="G3472" s="13">
        <v>2730.5633849999999</v>
      </c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</row>
    <row r="3473" spans="1:19" x14ac:dyDescent="0.2">
      <c r="A3473" s="12" t="s">
        <v>219</v>
      </c>
      <c r="B3473" s="12" t="s">
        <v>567</v>
      </c>
      <c r="C3473" s="12" t="s">
        <v>556</v>
      </c>
      <c r="D3473" s="13">
        <v>-133</v>
      </c>
      <c r="E3473" s="13">
        <v>-126.39545200000001</v>
      </c>
      <c r="F3473" s="13">
        <v>-118.220331</v>
      </c>
      <c r="G3473" s="13">
        <v>-141.35525699999999</v>
      </c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</row>
    <row r="3474" spans="1:19" x14ac:dyDescent="0.2">
      <c r="A3474" s="12" t="s">
        <v>219</v>
      </c>
      <c r="B3474" s="12" t="s">
        <v>567</v>
      </c>
      <c r="C3474" s="12" t="s">
        <v>557</v>
      </c>
      <c r="D3474" s="13">
        <v>2373</v>
      </c>
      <c r="E3474" s="13">
        <v>2486.6086639999999</v>
      </c>
      <c r="F3474" s="13">
        <v>2659.2777729999998</v>
      </c>
      <c r="G3474" s="13">
        <v>2604.1409870000002</v>
      </c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</row>
    <row r="3475" spans="1:19" x14ac:dyDescent="0.2">
      <c r="A3475" s="12" t="s">
        <v>219</v>
      </c>
      <c r="B3475" s="12" t="s">
        <v>567</v>
      </c>
      <c r="C3475" s="12" t="s">
        <v>558</v>
      </c>
      <c r="D3475" s="13">
        <v>0</v>
      </c>
      <c r="E3475" s="13">
        <v>0</v>
      </c>
      <c r="F3475" s="13">
        <v>0</v>
      </c>
      <c r="G3475" s="13">
        <v>0</v>
      </c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</row>
    <row r="3476" spans="1:19" x14ac:dyDescent="0.2">
      <c r="A3476" s="12" t="s">
        <v>219</v>
      </c>
      <c r="B3476" s="12" t="s">
        <v>567</v>
      </c>
      <c r="C3476" s="12" t="s">
        <v>560</v>
      </c>
      <c r="D3476" s="13">
        <v>-2395</v>
      </c>
      <c r="E3476" s="13">
        <v>-2498.126166</v>
      </c>
      <c r="F3476" s="13">
        <v>-2702.5519140000001</v>
      </c>
      <c r="G3476" s="13">
        <v>-2642.3858479999999</v>
      </c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</row>
    <row r="3477" spans="1:19" x14ac:dyDescent="0.2">
      <c r="A3477" s="12" t="s">
        <v>219</v>
      </c>
      <c r="B3477" s="12" t="s">
        <v>567</v>
      </c>
      <c r="C3477" s="12" t="s">
        <v>561</v>
      </c>
      <c r="D3477" s="13">
        <v>0</v>
      </c>
      <c r="E3477" s="13">
        <v>0</v>
      </c>
      <c r="F3477" s="13">
        <v>0</v>
      </c>
      <c r="G3477" s="13">
        <v>0</v>
      </c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</row>
    <row r="3478" spans="1:19" x14ac:dyDescent="0.2">
      <c r="A3478" s="12" t="s">
        <v>219</v>
      </c>
      <c r="B3478" s="12" t="s">
        <v>567</v>
      </c>
      <c r="C3478" s="12" t="s">
        <v>562</v>
      </c>
      <c r="D3478" s="13">
        <v>0</v>
      </c>
      <c r="E3478" s="13">
        <v>0</v>
      </c>
      <c r="F3478" s="13">
        <v>0</v>
      </c>
      <c r="G3478" s="13">
        <v>0</v>
      </c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</row>
    <row r="3479" spans="1:19" x14ac:dyDescent="0.2">
      <c r="A3479" s="12" t="s">
        <v>219</v>
      </c>
      <c r="B3479" s="12" t="s">
        <v>567</v>
      </c>
      <c r="C3479" s="12" t="s">
        <v>563</v>
      </c>
      <c r="D3479" s="13">
        <v>0</v>
      </c>
      <c r="E3479" s="13">
        <v>0</v>
      </c>
      <c r="F3479" s="13">
        <v>0</v>
      </c>
      <c r="G3479" s="13">
        <v>0</v>
      </c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</row>
    <row r="3480" spans="1:19" x14ac:dyDescent="0.2">
      <c r="A3480" s="12" t="s">
        <v>219</v>
      </c>
      <c r="B3480" s="12" t="s">
        <v>567</v>
      </c>
      <c r="C3480" s="12" t="s">
        <v>564</v>
      </c>
      <c r="D3480" s="13">
        <v>0</v>
      </c>
      <c r="E3480" s="13">
        <v>0</v>
      </c>
      <c r="F3480" s="13">
        <v>0</v>
      </c>
      <c r="G3480" s="13">
        <v>0</v>
      </c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</row>
    <row r="3481" spans="1:19" x14ac:dyDescent="0.2">
      <c r="A3481" s="12" t="s">
        <v>219</v>
      </c>
      <c r="B3481" s="12" t="s">
        <v>567</v>
      </c>
      <c r="C3481" s="12" t="s">
        <v>565</v>
      </c>
      <c r="D3481" s="13">
        <v>0</v>
      </c>
      <c r="E3481" s="13">
        <v>0</v>
      </c>
      <c r="F3481" s="13">
        <v>0</v>
      </c>
      <c r="G3481" s="13">
        <v>0</v>
      </c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</row>
    <row r="3482" spans="1:19" x14ac:dyDescent="0.2">
      <c r="A3482" s="12" t="s">
        <v>219</v>
      </c>
      <c r="B3482" s="12" t="s">
        <v>567</v>
      </c>
      <c r="C3482" s="12" t="s">
        <v>566</v>
      </c>
      <c r="D3482" s="13">
        <v>0</v>
      </c>
      <c r="E3482" s="13">
        <v>0</v>
      </c>
      <c r="F3482" s="13">
        <v>0</v>
      </c>
      <c r="G3482" s="13">
        <v>0</v>
      </c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</row>
    <row r="3483" spans="1:19" x14ac:dyDescent="0.2">
      <c r="A3483" s="12" t="s">
        <v>219</v>
      </c>
      <c r="B3483" s="12" t="s">
        <v>568</v>
      </c>
      <c r="C3483" s="12" t="s">
        <v>554</v>
      </c>
      <c r="D3483" s="13">
        <v>0</v>
      </c>
      <c r="E3483" s="13">
        <v>0</v>
      </c>
      <c r="F3483" s="13">
        <v>0</v>
      </c>
      <c r="G3483" s="13">
        <v>0</v>
      </c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</row>
    <row r="3484" spans="1:19" x14ac:dyDescent="0.2">
      <c r="A3484" s="12" t="s">
        <v>219</v>
      </c>
      <c r="B3484" s="12" t="s">
        <v>568</v>
      </c>
      <c r="C3484" s="12" t="s">
        <v>555</v>
      </c>
      <c r="D3484" s="13">
        <v>636</v>
      </c>
      <c r="E3484" s="13">
        <v>641.080467</v>
      </c>
      <c r="F3484" s="13">
        <v>700.44950899999992</v>
      </c>
      <c r="G3484" s="13">
        <v>676.06346299999996</v>
      </c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</row>
    <row r="3485" spans="1:19" x14ac:dyDescent="0.2">
      <c r="A3485" s="12" t="s">
        <v>219</v>
      </c>
      <c r="B3485" s="12" t="s">
        <v>568</v>
      </c>
      <c r="C3485" s="12" t="s">
        <v>556</v>
      </c>
      <c r="D3485" s="13">
        <v>-818</v>
      </c>
      <c r="E3485" s="13">
        <v>-802.74107200000003</v>
      </c>
      <c r="F3485" s="13">
        <v>-727.46362600000009</v>
      </c>
      <c r="G3485" s="13">
        <v>-771.17748600000004</v>
      </c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</row>
    <row r="3486" spans="1:19" x14ac:dyDescent="0.2">
      <c r="A3486" s="12" t="s">
        <v>219</v>
      </c>
      <c r="B3486" s="12" t="s">
        <v>568</v>
      </c>
      <c r="C3486" s="12" t="s">
        <v>557</v>
      </c>
      <c r="D3486" s="13">
        <v>-527</v>
      </c>
      <c r="E3486" s="13">
        <v>-467.33616799999999</v>
      </c>
      <c r="F3486" s="13">
        <v>-544.37639000000001</v>
      </c>
      <c r="G3486" s="13">
        <v>-602.63919999999996</v>
      </c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</row>
    <row r="3487" spans="1:19" x14ac:dyDescent="0.2">
      <c r="A3487" s="12" t="s">
        <v>219</v>
      </c>
      <c r="B3487" s="12" t="s">
        <v>568</v>
      </c>
      <c r="C3487" s="12" t="s">
        <v>558</v>
      </c>
      <c r="D3487" s="13">
        <v>-90</v>
      </c>
      <c r="E3487" s="13">
        <v>-84.462037000000009</v>
      </c>
      <c r="F3487" s="13">
        <v>-90.365145000000012</v>
      </c>
      <c r="G3487" s="13">
        <v>-84.175259000000011</v>
      </c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</row>
    <row r="3488" spans="1:19" x14ac:dyDescent="0.2">
      <c r="A3488" s="12" t="s">
        <v>219</v>
      </c>
      <c r="B3488" s="12" t="s">
        <v>568</v>
      </c>
      <c r="C3488" s="12" t="s">
        <v>560</v>
      </c>
      <c r="D3488" s="13">
        <v>2345</v>
      </c>
      <c r="E3488" s="13">
        <v>2457.517476</v>
      </c>
      <c r="F3488" s="13">
        <v>2626.9280690000001</v>
      </c>
      <c r="G3488" s="13">
        <v>2593.2322129999998</v>
      </c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</row>
    <row r="3489" spans="1:19" x14ac:dyDescent="0.2">
      <c r="A3489" s="12" t="s">
        <v>219</v>
      </c>
      <c r="B3489" s="12" t="s">
        <v>568</v>
      </c>
      <c r="C3489" s="12" t="s">
        <v>561</v>
      </c>
      <c r="D3489" s="13">
        <v>1570</v>
      </c>
      <c r="E3489" s="13">
        <v>1730.2565500000001</v>
      </c>
      <c r="F3489" s="13">
        <v>1777.370891</v>
      </c>
      <c r="G3489" s="13">
        <v>1723.573684</v>
      </c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</row>
    <row r="3490" spans="1:19" x14ac:dyDescent="0.2">
      <c r="A3490" s="12" t="s">
        <v>219</v>
      </c>
      <c r="B3490" s="12" t="s">
        <v>568</v>
      </c>
      <c r="C3490" s="12" t="s">
        <v>562</v>
      </c>
      <c r="D3490" s="13">
        <v>102</v>
      </c>
      <c r="E3490" s="13">
        <v>96.380612999999997</v>
      </c>
      <c r="F3490" s="13">
        <v>86.416808000000003</v>
      </c>
      <c r="G3490" s="13">
        <v>84.748221999999998</v>
      </c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</row>
    <row r="3491" spans="1:19" x14ac:dyDescent="0.2">
      <c r="A3491" s="12" t="s">
        <v>219</v>
      </c>
      <c r="B3491" s="12" t="s">
        <v>568</v>
      </c>
      <c r="C3491" s="12" t="s">
        <v>563</v>
      </c>
      <c r="D3491" s="13">
        <v>1002</v>
      </c>
      <c r="E3491" s="13">
        <v>1175.374331</v>
      </c>
      <c r="F3491" s="13">
        <v>1260.3729109999999</v>
      </c>
      <c r="G3491" s="13">
        <v>1225.2412079999999</v>
      </c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</row>
    <row r="3492" spans="1:19" x14ac:dyDescent="0.2">
      <c r="A3492" s="12" t="s">
        <v>219</v>
      </c>
      <c r="B3492" s="12" t="s">
        <v>568</v>
      </c>
      <c r="C3492" s="12" t="s">
        <v>564</v>
      </c>
      <c r="D3492" s="13">
        <v>101</v>
      </c>
      <c r="E3492" s="13">
        <v>101.51972600000001</v>
      </c>
      <c r="F3492" s="13">
        <v>101.76074800000001</v>
      </c>
      <c r="G3492" s="13">
        <v>93.489564999999999</v>
      </c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</row>
    <row r="3493" spans="1:19" x14ac:dyDescent="0.2">
      <c r="A3493" s="12" t="s">
        <v>219</v>
      </c>
      <c r="B3493" s="12" t="s">
        <v>568</v>
      </c>
      <c r="C3493" s="12" t="s">
        <v>565</v>
      </c>
      <c r="D3493" s="13">
        <v>45</v>
      </c>
      <c r="E3493" s="13">
        <v>50.438099000000001</v>
      </c>
      <c r="F3493" s="13">
        <v>50.227314999999997</v>
      </c>
      <c r="G3493" s="13">
        <v>45.521850000000001</v>
      </c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</row>
    <row r="3494" spans="1:19" x14ac:dyDescent="0.2">
      <c r="A3494" s="12" t="s">
        <v>219</v>
      </c>
      <c r="B3494" s="12" t="s">
        <v>568</v>
      </c>
      <c r="C3494" s="12" t="s">
        <v>566</v>
      </c>
      <c r="D3494" s="13">
        <v>320</v>
      </c>
      <c r="E3494" s="13">
        <v>306.54377599999998</v>
      </c>
      <c r="F3494" s="13">
        <v>278.59310900000003</v>
      </c>
      <c r="G3494" s="13">
        <v>274.57283899999999</v>
      </c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</row>
    <row r="3495" spans="1:19" x14ac:dyDescent="0.2">
      <c r="A3495" s="12" t="s">
        <v>219</v>
      </c>
      <c r="B3495" s="12" t="s">
        <v>569</v>
      </c>
      <c r="C3495" s="12" t="s">
        <v>554</v>
      </c>
      <c r="D3495" s="13">
        <v>2</v>
      </c>
      <c r="E3495" s="13">
        <v>1.4254340000000001</v>
      </c>
      <c r="F3495" s="13">
        <v>1.2341930000000001</v>
      </c>
      <c r="G3495" s="13">
        <v>0.982437</v>
      </c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</row>
    <row r="3496" spans="1:19" x14ac:dyDescent="0.2">
      <c r="A3496" s="12" t="s">
        <v>219</v>
      </c>
      <c r="B3496" s="12" t="s">
        <v>569</v>
      </c>
      <c r="C3496" s="12" t="s">
        <v>555</v>
      </c>
      <c r="D3496" s="13">
        <v>1183</v>
      </c>
      <c r="E3496" s="13">
        <v>1346.6247470000001</v>
      </c>
      <c r="F3496" s="13">
        <v>1445.8529739999999</v>
      </c>
      <c r="G3496" s="13">
        <v>1284.4468429999999</v>
      </c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</row>
    <row r="3497" spans="1:19" x14ac:dyDescent="0.2">
      <c r="A3497" s="12" t="s">
        <v>219</v>
      </c>
      <c r="B3497" s="12" t="s">
        <v>569</v>
      </c>
      <c r="C3497" s="12" t="s">
        <v>556</v>
      </c>
      <c r="D3497" s="13">
        <v>-43</v>
      </c>
      <c r="E3497" s="13">
        <v>-110.03494000000001</v>
      </c>
      <c r="F3497" s="13">
        <v>-220.54621299999999</v>
      </c>
      <c r="G3497" s="13">
        <v>-239.09359000000001</v>
      </c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</row>
    <row r="3498" spans="1:19" x14ac:dyDescent="0.2">
      <c r="A3498" s="12" t="s">
        <v>219</v>
      </c>
      <c r="B3498" s="12" t="s">
        <v>569</v>
      </c>
      <c r="C3498" s="12" t="s">
        <v>557</v>
      </c>
      <c r="D3498" s="13">
        <v>1169</v>
      </c>
      <c r="E3498" s="13">
        <v>1231.62113</v>
      </c>
      <c r="F3498" s="13">
        <v>1186.4247949999999</v>
      </c>
      <c r="G3498" s="13">
        <v>1056.2798419999999</v>
      </c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</row>
    <row r="3499" spans="1:19" x14ac:dyDescent="0.2">
      <c r="A3499" s="12" t="s">
        <v>219</v>
      </c>
      <c r="B3499" s="12" t="s">
        <v>569</v>
      </c>
      <c r="C3499" s="12" t="s">
        <v>558</v>
      </c>
      <c r="D3499" s="13">
        <v>-446</v>
      </c>
      <c r="E3499" s="13">
        <v>-458.8218030000001</v>
      </c>
      <c r="F3499" s="13">
        <v>-570.23549800000001</v>
      </c>
      <c r="G3499" s="13">
        <v>-430.93169899999998</v>
      </c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</row>
    <row r="3500" spans="1:19" x14ac:dyDescent="0.2">
      <c r="A3500" s="12" t="s">
        <v>219</v>
      </c>
      <c r="B3500" s="12" t="s">
        <v>569</v>
      </c>
      <c r="C3500" s="12" t="s">
        <v>560</v>
      </c>
      <c r="D3500" s="13">
        <v>0</v>
      </c>
      <c r="E3500" s="13">
        <v>0</v>
      </c>
      <c r="F3500" s="13">
        <v>0</v>
      </c>
      <c r="G3500" s="13">
        <v>0</v>
      </c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</row>
    <row r="3501" spans="1:19" x14ac:dyDescent="0.2">
      <c r="A3501" s="12" t="s">
        <v>219</v>
      </c>
      <c r="B3501" s="12" t="s">
        <v>569</v>
      </c>
      <c r="C3501" s="12" t="s">
        <v>561</v>
      </c>
      <c r="D3501" s="13">
        <v>631</v>
      </c>
      <c r="E3501" s="13">
        <v>674.66621099999998</v>
      </c>
      <c r="F3501" s="13">
        <v>571.52096400000005</v>
      </c>
      <c r="G3501" s="13">
        <v>556.80750999999998</v>
      </c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</row>
    <row r="3502" spans="1:19" x14ac:dyDescent="0.2">
      <c r="A3502" s="12" t="s">
        <v>219</v>
      </c>
      <c r="B3502" s="12" t="s">
        <v>569</v>
      </c>
      <c r="C3502" s="12" t="s">
        <v>562</v>
      </c>
      <c r="D3502" s="13">
        <v>370</v>
      </c>
      <c r="E3502" s="13">
        <v>392.25059900000002</v>
      </c>
      <c r="F3502" s="13">
        <v>326.37509799999998</v>
      </c>
      <c r="G3502" s="13">
        <v>318.99330099999997</v>
      </c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</row>
    <row r="3503" spans="1:19" x14ac:dyDescent="0.2">
      <c r="A3503" s="12" t="s">
        <v>219</v>
      </c>
      <c r="B3503" s="12" t="s">
        <v>569</v>
      </c>
      <c r="C3503" s="12" t="s">
        <v>563</v>
      </c>
      <c r="D3503" s="13">
        <v>9</v>
      </c>
      <c r="E3503" s="13">
        <v>11.8188</v>
      </c>
      <c r="F3503" s="13">
        <v>14.603399</v>
      </c>
      <c r="G3503" s="13">
        <v>15.082202000000001</v>
      </c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</row>
    <row r="3504" spans="1:19" x14ac:dyDescent="0.2">
      <c r="A3504" s="12" t="s">
        <v>219</v>
      </c>
      <c r="B3504" s="12" t="s">
        <v>569</v>
      </c>
      <c r="C3504" s="12" t="s">
        <v>564</v>
      </c>
      <c r="D3504" s="13">
        <v>145</v>
      </c>
      <c r="E3504" s="13">
        <v>152.17200099999999</v>
      </c>
      <c r="F3504" s="13">
        <v>130.56750199999999</v>
      </c>
      <c r="G3504" s="13">
        <v>122.42070099999999</v>
      </c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</row>
    <row r="3505" spans="1:19" x14ac:dyDescent="0.2">
      <c r="A3505" s="12" t="s">
        <v>219</v>
      </c>
      <c r="B3505" s="12" t="s">
        <v>569</v>
      </c>
      <c r="C3505" s="12" t="s">
        <v>565</v>
      </c>
      <c r="D3505" s="13">
        <v>80</v>
      </c>
      <c r="E3505" s="13">
        <v>86.272199999999998</v>
      </c>
      <c r="F3505" s="13">
        <v>77.543098999999998</v>
      </c>
      <c r="G3505" s="13">
        <v>76.822198999999998</v>
      </c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</row>
    <row r="3506" spans="1:19" x14ac:dyDescent="0.2">
      <c r="A3506" s="12" t="s">
        <v>219</v>
      </c>
      <c r="B3506" s="12" t="s">
        <v>569</v>
      </c>
      <c r="C3506" s="12" t="s">
        <v>566</v>
      </c>
      <c r="D3506" s="13">
        <v>26</v>
      </c>
      <c r="E3506" s="13">
        <v>32.152610000000003</v>
      </c>
      <c r="F3506" s="13">
        <v>22.431865999999999</v>
      </c>
      <c r="G3506" s="13">
        <v>23.489108000000002</v>
      </c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</row>
    <row r="3507" spans="1:19" x14ac:dyDescent="0.2">
      <c r="A3507" s="12" t="s">
        <v>219</v>
      </c>
      <c r="B3507" s="12" t="s">
        <v>570</v>
      </c>
      <c r="C3507" s="12" t="s">
        <v>554</v>
      </c>
      <c r="D3507" s="13">
        <v>636</v>
      </c>
      <c r="E3507" s="13">
        <v>617.06181700000002</v>
      </c>
      <c r="F3507" s="13">
        <v>639.16363699999999</v>
      </c>
      <c r="G3507" s="13">
        <v>620.432727</v>
      </c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</row>
    <row r="3508" spans="1:19" x14ac:dyDescent="0.2">
      <c r="A3508" s="12" t="s">
        <v>219</v>
      </c>
      <c r="B3508" s="12" t="s">
        <v>570</v>
      </c>
      <c r="C3508" s="12" t="s">
        <v>555</v>
      </c>
      <c r="D3508" s="13">
        <v>0</v>
      </c>
      <c r="E3508" s="13">
        <v>0</v>
      </c>
      <c r="F3508" s="13">
        <v>0</v>
      </c>
      <c r="G3508" s="13">
        <v>0</v>
      </c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</row>
    <row r="3509" spans="1:19" x14ac:dyDescent="0.2">
      <c r="A3509" s="12" t="s">
        <v>219</v>
      </c>
      <c r="B3509" s="12" t="s">
        <v>570</v>
      </c>
      <c r="C3509" s="12" t="s">
        <v>556</v>
      </c>
      <c r="D3509" s="13">
        <v>0</v>
      </c>
      <c r="E3509" s="13">
        <v>0</v>
      </c>
      <c r="F3509" s="13">
        <v>0</v>
      </c>
      <c r="G3509" s="13">
        <v>0</v>
      </c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</row>
    <row r="3510" spans="1:19" x14ac:dyDescent="0.2">
      <c r="A3510" s="12" t="s">
        <v>219</v>
      </c>
      <c r="B3510" s="12" t="s">
        <v>570</v>
      </c>
      <c r="C3510" s="12" t="s">
        <v>557</v>
      </c>
      <c r="D3510" s="13">
        <v>636</v>
      </c>
      <c r="E3510" s="13">
        <v>617.06181700000002</v>
      </c>
      <c r="F3510" s="13">
        <v>639.16363699999999</v>
      </c>
      <c r="G3510" s="13">
        <v>620.432727</v>
      </c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</row>
    <row r="3511" spans="1:19" x14ac:dyDescent="0.2">
      <c r="A3511" s="12" t="s">
        <v>219</v>
      </c>
      <c r="B3511" s="12" t="s">
        <v>570</v>
      </c>
      <c r="C3511" s="12" t="s">
        <v>558</v>
      </c>
      <c r="D3511" s="13">
        <v>-636</v>
      </c>
      <c r="E3511" s="13">
        <v>-617.06181700000002</v>
      </c>
      <c r="F3511" s="13">
        <v>-639.16363699999999</v>
      </c>
      <c r="G3511" s="13">
        <v>-620.432727</v>
      </c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</row>
    <row r="3512" spans="1:19" x14ac:dyDescent="0.2">
      <c r="A3512" s="12" t="s">
        <v>219</v>
      </c>
      <c r="B3512" s="12" t="s">
        <v>570</v>
      </c>
      <c r="C3512" s="12" t="s">
        <v>560</v>
      </c>
      <c r="D3512" s="13">
        <v>0</v>
      </c>
      <c r="E3512" s="13">
        <v>0</v>
      </c>
      <c r="F3512" s="13">
        <v>0</v>
      </c>
      <c r="G3512" s="13">
        <v>0</v>
      </c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</row>
    <row r="3513" spans="1:19" x14ac:dyDescent="0.2">
      <c r="A3513" s="12" t="s">
        <v>219</v>
      </c>
      <c r="B3513" s="12" t="s">
        <v>570</v>
      </c>
      <c r="C3513" s="12" t="s">
        <v>561</v>
      </c>
      <c r="D3513" s="13">
        <v>0</v>
      </c>
      <c r="E3513" s="13">
        <v>0</v>
      </c>
      <c r="F3513" s="13">
        <v>0</v>
      </c>
      <c r="G3513" s="13">
        <v>0</v>
      </c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</row>
    <row r="3514" spans="1:19" x14ac:dyDescent="0.2">
      <c r="A3514" s="12" t="s">
        <v>219</v>
      </c>
      <c r="B3514" s="12" t="s">
        <v>570</v>
      </c>
      <c r="C3514" s="12" t="s">
        <v>562</v>
      </c>
      <c r="D3514" s="13">
        <v>0</v>
      </c>
      <c r="E3514" s="13">
        <v>0</v>
      </c>
      <c r="F3514" s="13">
        <v>0</v>
      </c>
      <c r="G3514" s="13">
        <v>0</v>
      </c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</row>
    <row r="3515" spans="1:19" x14ac:dyDescent="0.2">
      <c r="A3515" s="12" t="s">
        <v>219</v>
      </c>
      <c r="B3515" s="12" t="s">
        <v>570</v>
      </c>
      <c r="C3515" s="12" t="s">
        <v>563</v>
      </c>
      <c r="D3515" s="13">
        <v>0</v>
      </c>
      <c r="E3515" s="13">
        <v>0</v>
      </c>
      <c r="F3515" s="13">
        <v>0</v>
      </c>
      <c r="G3515" s="13">
        <v>0</v>
      </c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</row>
    <row r="3516" spans="1:19" x14ac:dyDescent="0.2">
      <c r="A3516" s="12" t="s">
        <v>219</v>
      </c>
      <c r="B3516" s="12" t="s">
        <v>570</v>
      </c>
      <c r="C3516" s="12" t="s">
        <v>564</v>
      </c>
      <c r="D3516" s="13">
        <v>0</v>
      </c>
      <c r="E3516" s="13">
        <v>0</v>
      </c>
      <c r="F3516" s="13">
        <v>0</v>
      </c>
      <c r="G3516" s="13">
        <v>0</v>
      </c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</row>
    <row r="3517" spans="1:19" x14ac:dyDescent="0.2">
      <c r="A3517" s="12" t="s">
        <v>219</v>
      </c>
      <c r="B3517" s="12" t="s">
        <v>570</v>
      </c>
      <c r="C3517" s="12" t="s">
        <v>565</v>
      </c>
      <c r="D3517" s="13">
        <v>0</v>
      </c>
      <c r="E3517" s="13">
        <v>0</v>
      </c>
      <c r="F3517" s="13">
        <v>0</v>
      </c>
      <c r="G3517" s="13">
        <v>0</v>
      </c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</row>
    <row r="3518" spans="1:19" x14ac:dyDescent="0.2">
      <c r="A3518" s="12" t="s">
        <v>219</v>
      </c>
      <c r="B3518" s="12" t="s">
        <v>570</v>
      </c>
      <c r="C3518" s="12" t="s">
        <v>566</v>
      </c>
      <c r="D3518" s="13">
        <v>0</v>
      </c>
      <c r="E3518" s="13">
        <v>0</v>
      </c>
      <c r="F3518" s="13">
        <v>0</v>
      </c>
      <c r="G3518" s="13">
        <v>0</v>
      </c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</row>
    <row r="3519" spans="1:19" x14ac:dyDescent="0.2">
      <c r="A3519" s="12" t="s">
        <v>219</v>
      </c>
      <c r="B3519" s="12" t="s">
        <v>571</v>
      </c>
      <c r="C3519" s="12" t="s">
        <v>554</v>
      </c>
      <c r="D3519" s="13">
        <v>804</v>
      </c>
      <c r="E3519" s="13">
        <v>826.92369400000007</v>
      </c>
      <c r="F3519" s="13">
        <v>813.15178400000002</v>
      </c>
      <c r="G3519" s="13">
        <v>891.22403599999996</v>
      </c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</row>
    <row r="3520" spans="1:19" x14ac:dyDescent="0.2">
      <c r="A3520" s="12" t="s">
        <v>219</v>
      </c>
      <c r="B3520" s="12" t="s">
        <v>571</v>
      </c>
      <c r="C3520" s="12" t="s">
        <v>555</v>
      </c>
      <c r="D3520" s="13">
        <v>54</v>
      </c>
      <c r="E3520" s="13">
        <v>69.688800000000001</v>
      </c>
      <c r="F3520" s="13">
        <v>67.82401200000001</v>
      </c>
      <c r="G3520" s="13">
        <v>77.003973000000002</v>
      </c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</row>
    <row r="3521" spans="1:19" x14ac:dyDescent="0.2">
      <c r="A3521" s="12" t="s">
        <v>219</v>
      </c>
      <c r="B3521" s="12" t="s">
        <v>571</v>
      </c>
      <c r="C3521" s="12" t="s">
        <v>556</v>
      </c>
      <c r="D3521" s="13">
        <v>-83</v>
      </c>
      <c r="E3521" s="13">
        <v>-104.982913</v>
      </c>
      <c r="F3521" s="13">
        <v>-92.695533999999995</v>
      </c>
      <c r="G3521" s="13">
        <v>-74.643592999999996</v>
      </c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</row>
    <row r="3522" spans="1:19" x14ac:dyDescent="0.2">
      <c r="A3522" s="12" t="s">
        <v>219</v>
      </c>
      <c r="B3522" s="12" t="s">
        <v>571</v>
      </c>
      <c r="C3522" s="12" t="s">
        <v>557</v>
      </c>
      <c r="D3522" s="13">
        <v>782</v>
      </c>
      <c r="E3522" s="13">
        <v>806.82104100000004</v>
      </c>
      <c r="F3522" s="13">
        <v>791.95477799999992</v>
      </c>
      <c r="G3522" s="13">
        <v>904.42644399999995</v>
      </c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</row>
    <row r="3523" spans="1:19" x14ac:dyDescent="0.2">
      <c r="A3523" s="12" t="s">
        <v>219</v>
      </c>
      <c r="B3523" s="12" t="s">
        <v>571</v>
      </c>
      <c r="C3523" s="12" t="s">
        <v>558</v>
      </c>
      <c r="D3523" s="13">
        <v>-541</v>
      </c>
      <c r="E3523" s="13">
        <v>-562.51255700000002</v>
      </c>
      <c r="F3523" s="13">
        <v>-544.51310999999998</v>
      </c>
      <c r="G3523" s="13">
        <v>-620.49115399999994</v>
      </c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</row>
    <row r="3524" spans="1:19" x14ac:dyDescent="0.2">
      <c r="A3524" s="12" t="s">
        <v>219</v>
      </c>
      <c r="B3524" s="12" t="s">
        <v>571</v>
      </c>
      <c r="C3524" s="12" t="s">
        <v>560</v>
      </c>
      <c r="D3524" s="13">
        <v>0</v>
      </c>
      <c r="E3524" s="13">
        <v>0</v>
      </c>
      <c r="F3524" s="13">
        <v>0</v>
      </c>
      <c r="G3524" s="13">
        <v>0</v>
      </c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</row>
    <row r="3525" spans="1:19" x14ac:dyDescent="0.2">
      <c r="A3525" s="12" t="s">
        <v>219</v>
      </c>
      <c r="B3525" s="12" t="s">
        <v>571</v>
      </c>
      <c r="C3525" s="12" t="s">
        <v>561</v>
      </c>
      <c r="D3525" s="13">
        <v>239</v>
      </c>
      <c r="E3525" s="13">
        <v>242.143306</v>
      </c>
      <c r="F3525" s="13">
        <v>245.79363900000001</v>
      </c>
      <c r="G3525" s="13">
        <v>281.44703299999998</v>
      </c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</row>
    <row r="3526" spans="1:19" x14ac:dyDescent="0.2">
      <c r="A3526" s="12" t="s">
        <v>219</v>
      </c>
      <c r="B3526" s="12" t="s">
        <v>571</v>
      </c>
      <c r="C3526" s="12" t="s">
        <v>562</v>
      </c>
      <c r="D3526" s="13">
        <v>79</v>
      </c>
      <c r="E3526" s="13">
        <v>81.44447199999999</v>
      </c>
      <c r="F3526" s="13">
        <v>85.640617000000006</v>
      </c>
      <c r="G3526" s="13">
        <v>98.364030999999997</v>
      </c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</row>
    <row r="3527" spans="1:19" x14ac:dyDescent="0.2">
      <c r="A3527" s="12" t="s">
        <v>219</v>
      </c>
      <c r="B3527" s="12" t="s">
        <v>571</v>
      </c>
      <c r="C3527" s="12" t="s">
        <v>563</v>
      </c>
      <c r="D3527" s="13">
        <v>59</v>
      </c>
      <c r="E3527" s="13">
        <v>58.669637000000002</v>
      </c>
      <c r="F3527" s="13">
        <v>57.499521999999999</v>
      </c>
      <c r="G3527" s="13">
        <v>79.698999999999998</v>
      </c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</row>
    <row r="3528" spans="1:19" x14ac:dyDescent="0.2">
      <c r="A3528" s="12" t="s">
        <v>219</v>
      </c>
      <c r="B3528" s="12" t="s">
        <v>571</v>
      </c>
      <c r="C3528" s="12" t="s">
        <v>564</v>
      </c>
      <c r="D3528" s="13">
        <v>88</v>
      </c>
      <c r="E3528" s="13">
        <v>88.809146000000013</v>
      </c>
      <c r="F3528" s="13">
        <v>89.262978000000004</v>
      </c>
      <c r="G3528" s="13">
        <v>89.888671000000002</v>
      </c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</row>
    <row r="3529" spans="1:19" x14ac:dyDescent="0.2">
      <c r="A3529" s="12" t="s">
        <v>219</v>
      </c>
      <c r="B3529" s="12" t="s">
        <v>571</v>
      </c>
      <c r="C3529" s="12" t="s">
        <v>565</v>
      </c>
      <c r="D3529" s="13">
        <v>9</v>
      </c>
      <c r="E3529" s="13">
        <v>9.9671710000000004</v>
      </c>
      <c r="F3529" s="13">
        <v>10.037082</v>
      </c>
      <c r="G3529" s="13">
        <v>10.223558000000001</v>
      </c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</row>
    <row r="3530" spans="1:19" x14ac:dyDescent="0.2">
      <c r="A3530" s="12" t="s">
        <v>219</v>
      </c>
      <c r="B3530" s="12" t="s">
        <v>571</v>
      </c>
      <c r="C3530" s="12" t="s">
        <v>566</v>
      </c>
      <c r="D3530" s="13">
        <v>3</v>
      </c>
      <c r="E3530" s="13">
        <v>3.2528769999999998</v>
      </c>
      <c r="F3530" s="13">
        <v>3.353434</v>
      </c>
      <c r="G3530" s="13">
        <v>3.2717869999999998</v>
      </c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</row>
    <row r="3531" spans="1:19" x14ac:dyDescent="0.2">
      <c r="A3531" s="12" t="s">
        <v>219</v>
      </c>
      <c r="B3531" s="12" t="s">
        <v>572</v>
      </c>
      <c r="C3531" s="12" t="s">
        <v>554</v>
      </c>
      <c r="D3531" s="13">
        <v>0</v>
      </c>
      <c r="E3531" s="13">
        <v>0</v>
      </c>
      <c r="F3531" s="13">
        <v>0</v>
      </c>
      <c r="G3531" s="13">
        <v>0</v>
      </c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</row>
    <row r="3532" spans="1:19" x14ac:dyDescent="0.2">
      <c r="A3532" s="12" t="s">
        <v>219</v>
      </c>
      <c r="B3532" s="12" t="s">
        <v>572</v>
      </c>
      <c r="C3532" s="12" t="s">
        <v>555</v>
      </c>
      <c r="D3532" s="13">
        <v>65</v>
      </c>
      <c r="E3532" s="13">
        <v>62.680402999999998</v>
      </c>
      <c r="F3532" s="13">
        <v>28.913471000000001</v>
      </c>
      <c r="G3532" s="13">
        <v>40.738376000000002</v>
      </c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</row>
    <row r="3533" spans="1:19" x14ac:dyDescent="0.2">
      <c r="A3533" s="12" t="s">
        <v>219</v>
      </c>
      <c r="B3533" s="12" t="s">
        <v>572</v>
      </c>
      <c r="C3533" s="12" t="s">
        <v>556</v>
      </c>
      <c r="D3533" s="13">
        <v>-53</v>
      </c>
      <c r="E3533" s="13">
        <v>-59.611621</v>
      </c>
      <c r="F3533" s="13">
        <v>-100.199557</v>
      </c>
      <c r="G3533" s="13">
        <v>-90.982692999999998</v>
      </c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</row>
    <row r="3534" spans="1:19" x14ac:dyDescent="0.2">
      <c r="A3534" s="12" t="s">
        <v>219</v>
      </c>
      <c r="B3534" s="12" t="s">
        <v>572</v>
      </c>
      <c r="C3534" s="12" t="s">
        <v>557</v>
      </c>
      <c r="D3534" s="13">
        <v>12</v>
      </c>
      <c r="E3534" s="13">
        <v>3.0687820000000001</v>
      </c>
      <c r="F3534" s="13">
        <v>-71.286085000000014</v>
      </c>
      <c r="G3534" s="13">
        <v>-50.244313000000012</v>
      </c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</row>
    <row r="3535" spans="1:19" x14ac:dyDescent="0.2">
      <c r="A3535" s="12" t="s">
        <v>219</v>
      </c>
      <c r="B3535" s="12" t="s">
        <v>572</v>
      </c>
      <c r="C3535" s="12" t="s">
        <v>558</v>
      </c>
      <c r="D3535" s="13">
        <v>936</v>
      </c>
      <c r="E3535" s="13">
        <v>975.92759599999999</v>
      </c>
      <c r="F3535" s="13">
        <v>1036.5911980000001</v>
      </c>
      <c r="G3535" s="13">
        <v>1007.178307</v>
      </c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</row>
    <row r="3536" spans="1:19" x14ac:dyDescent="0.2">
      <c r="A3536" s="12" t="s">
        <v>219</v>
      </c>
      <c r="B3536" s="12" t="s">
        <v>572</v>
      </c>
      <c r="C3536" s="12" t="s">
        <v>560</v>
      </c>
      <c r="D3536" s="13">
        <v>0</v>
      </c>
      <c r="E3536" s="13">
        <v>0</v>
      </c>
      <c r="F3536" s="13">
        <v>0</v>
      </c>
      <c r="G3536" s="13">
        <v>0</v>
      </c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</row>
    <row r="3537" spans="1:19" x14ac:dyDescent="0.2">
      <c r="A3537" s="12" t="s">
        <v>219</v>
      </c>
      <c r="B3537" s="12" t="s">
        <v>572</v>
      </c>
      <c r="C3537" s="12" t="s">
        <v>561</v>
      </c>
      <c r="D3537" s="13">
        <v>791</v>
      </c>
      <c r="E3537" s="13">
        <v>820.36800200000005</v>
      </c>
      <c r="F3537" s="13">
        <v>807.71759800000007</v>
      </c>
      <c r="G3537" s="13">
        <v>801.62265600000001</v>
      </c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</row>
    <row r="3538" spans="1:19" x14ac:dyDescent="0.2">
      <c r="A3538" s="12" t="s">
        <v>219</v>
      </c>
      <c r="B3538" s="12" t="s">
        <v>572</v>
      </c>
      <c r="C3538" s="12" t="s">
        <v>562</v>
      </c>
      <c r="D3538" s="13">
        <v>248</v>
      </c>
      <c r="E3538" s="13">
        <v>273.03839799999997</v>
      </c>
      <c r="F3538" s="13">
        <v>255.66839899999999</v>
      </c>
      <c r="G3538" s="13">
        <v>241.783919</v>
      </c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</row>
    <row r="3539" spans="1:19" x14ac:dyDescent="0.2">
      <c r="A3539" s="12" t="s">
        <v>219</v>
      </c>
      <c r="B3539" s="12" t="s">
        <v>572</v>
      </c>
      <c r="C3539" s="12" t="s">
        <v>563</v>
      </c>
      <c r="D3539" s="13">
        <v>12</v>
      </c>
      <c r="E3539" s="13">
        <v>13.183199</v>
      </c>
      <c r="F3539" s="13">
        <v>14.327999999999999</v>
      </c>
      <c r="G3539" s="13">
        <v>15.532776999999999</v>
      </c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</row>
    <row r="3540" spans="1:19" x14ac:dyDescent="0.2">
      <c r="A3540" s="12" t="s">
        <v>219</v>
      </c>
      <c r="B3540" s="12" t="s">
        <v>572</v>
      </c>
      <c r="C3540" s="12" t="s">
        <v>564</v>
      </c>
      <c r="D3540" s="13">
        <v>264</v>
      </c>
      <c r="E3540" s="13">
        <v>263.33640200000002</v>
      </c>
      <c r="F3540" s="13">
        <v>262.65240000000011</v>
      </c>
      <c r="G3540" s="13">
        <v>263.34575899999999</v>
      </c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</row>
    <row r="3541" spans="1:19" x14ac:dyDescent="0.2">
      <c r="A3541" s="12" t="s">
        <v>219</v>
      </c>
      <c r="B3541" s="12" t="s">
        <v>572</v>
      </c>
      <c r="C3541" s="12" t="s">
        <v>565</v>
      </c>
      <c r="D3541" s="13">
        <v>242</v>
      </c>
      <c r="E3541" s="13">
        <v>248.893202</v>
      </c>
      <c r="F3541" s="13">
        <v>254.04119900000001</v>
      </c>
      <c r="G3541" s="13">
        <v>261.54576200000002</v>
      </c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</row>
    <row r="3542" spans="1:19" x14ac:dyDescent="0.2">
      <c r="A3542" s="12" t="s">
        <v>219</v>
      </c>
      <c r="B3542" s="12" t="s">
        <v>572</v>
      </c>
      <c r="C3542" s="12" t="s">
        <v>566</v>
      </c>
      <c r="D3542" s="13">
        <v>25</v>
      </c>
      <c r="E3542" s="13">
        <v>21.916801</v>
      </c>
      <c r="F3542" s="13">
        <v>21.027605000000001</v>
      </c>
      <c r="G3542" s="13">
        <v>19.414438000000001</v>
      </c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</row>
    <row r="3543" spans="1:19" x14ac:dyDescent="0.2">
      <c r="A3543" s="12" t="s">
        <v>219</v>
      </c>
      <c r="B3543" s="12" t="s">
        <v>573</v>
      </c>
      <c r="C3543" s="12" t="s">
        <v>554</v>
      </c>
      <c r="D3543" s="13">
        <v>0</v>
      </c>
      <c r="E3543" s="13">
        <v>0</v>
      </c>
      <c r="F3543" s="13">
        <v>0</v>
      </c>
      <c r="G3543" s="13">
        <v>0</v>
      </c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</row>
    <row r="3544" spans="1:19" x14ac:dyDescent="0.2">
      <c r="A3544" s="12" t="s">
        <v>219</v>
      </c>
      <c r="B3544" s="12" t="s">
        <v>573</v>
      </c>
      <c r="C3544" s="12" t="s">
        <v>555</v>
      </c>
      <c r="D3544" s="13">
        <v>0</v>
      </c>
      <c r="E3544" s="13">
        <v>0</v>
      </c>
      <c r="F3544" s="13">
        <v>0</v>
      </c>
      <c r="G3544" s="13">
        <v>0</v>
      </c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</row>
    <row r="3545" spans="1:19" x14ac:dyDescent="0.2">
      <c r="A3545" s="12" t="s">
        <v>219</v>
      </c>
      <c r="B3545" s="12" t="s">
        <v>573</v>
      </c>
      <c r="C3545" s="12" t="s">
        <v>556</v>
      </c>
      <c r="D3545" s="13">
        <v>0</v>
      </c>
      <c r="E3545" s="13">
        <v>0</v>
      </c>
      <c r="F3545" s="13">
        <v>0</v>
      </c>
      <c r="G3545" s="13">
        <v>0</v>
      </c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</row>
    <row r="3546" spans="1:19" x14ac:dyDescent="0.2">
      <c r="A3546" s="12" t="s">
        <v>219</v>
      </c>
      <c r="B3546" s="12" t="s">
        <v>573</v>
      </c>
      <c r="C3546" s="12" t="s">
        <v>557</v>
      </c>
      <c r="D3546" s="13">
        <v>0</v>
      </c>
      <c r="E3546" s="13">
        <v>0</v>
      </c>
      <c r="F3546" s="13">
        <v>0</v>
      </c>
      <c r="G3546" s="13">
        <v>0</v>
      </c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</row>
    <row r="3547" spans="1:19" x14ac:dyDescent="0.2">
      <c r="A3547" s="12" t="s">
        <v>219</v>
      </c>
      <c r="B3547" s="12" t="s">
        <v>573</v>
      </c>
      <c r="C3547" s="12" t="s">
        <v>558</v>
      </c>
      <c r="D3547" s="13">
        <v>0</v>
      </c>
      <c r="E3547" s="13">
        <v>0</v>
      </c>
      <c r="F3547" s="13">
        <v>0</v>
      </c>
      <c r="G3547" s="13">
        <v>0</v>
      </c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</row>
    <row r="3548" spans="1:19" x14ac:dyDescent="0.2">
      <c r="A3548" s="12" t="s">
        <v>219</v>
      </c>
      <c r="B3548" s="12" t="s">
        <v>573</v>
      </c>
      <c r="C3548" s="12" t="s">
        <v>560</v>
      </c>
      <c r="D3548" s="13">
        <v>0</v>
      </c>
      <c r="E3548" s="13">
        <v>0</v>
      </c>
      <c r="F3548" s="13">
        <v>0</v>
      </c>
      <c r="G3548" s="13">
        <v>0</v>
      </c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</row>
    <row r="3549" spans="1:19" x14ac:dyDescent="0.2">
      <c r="A3549" s="12" t="s">
        <v>219</v>
      </c>
      <c r="B3549" s="12" t="s">
        <v>573</v>
      </c>
      <c r="C3549" s="12" t="s">
        <v>561</v>
      </c>
      <c r="D3549" s="13">
        <v>0</v>
      </c>
      <c r="E3549" s="13">
        <v>0</v>
      </c>
      <c r="F3549" s="13">
        <v>0</v>
      </c>
      <c r="G3549" s="13">
        <v>0</v>
      </c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</row>
    <row r="3550" spans="1:19" x14ac:dyDescent="0.2">
      <c r="A3550" s="12" t="s">
        <v>219</v>
      </c>
      <c r="B3550" s="12" t="s">
        <v>573</v>
      </c>
      <c r="C3550" s="12" t="s">
        <v>562</v>
      </c>
      <c r="D3550" s="13">
        <v>0</v>
      </c>
      <c r="E3550" s="13">
        <v>0</v>
      </c>
      <c r="F3550" s="13">
        <v>0</v>
      </c>
      <c r="G3550" s="13">
        <v>0</v>
      </c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</row>
    <row r="3551" spans="1:19" x14ac:dyDescent="0.2">
      <c r="A3551" s="12" t="s">
        <v>219</v>
      </c>
      <c r="B3551" s="12" t="s">
        <v>573</v>
      </c>
      <c r="C3551" s="12" t="s">
        <v>563</v>
      </c>
      <c r="D3551" s="13">
        <v>0</v>
      </c>
      <c r="E3551" s="13">
        <v>0</v>
      </c>
      <c r="F3551" s="13">
        <v>0</v>
      </c>
      <c r="G3551" s="13">
        <v>0</v>
      </c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</row>
    <row r="3552" spans="1:19" x14ac:dyDescent="0.2">
      <c r="A3552" s="12" t="s">
        <v>219</v>
      </c>
      <c r="B3552" s="12" t="s">
        <v>573</v>
      </c>
      <c r="C3552" s="12" t="s">
        <v>564</v>
      </c>
      <c r="D3552" s="13">
        <v>0</v>
      </c>
      <c r="E3552" s="13">
        <v>0</v>
      </c>
      <c r="F3552" s="13">
        <v>0</v>
      </c>
      <c r="G3552" s="13">
        <v>0</v>
      </c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</row>
    <row r="3553" spans="1:19" x14ac:dyDescent="0.2">
      <c r="A3553" s="12" t="s">
        <v>219</v>
      </c>
      <c r="B3553" s="12" t="s">
        <v>573</v>
      </c>
      <c r="C3553" s="12" t="s">
        <v>565</v>
      </c>
      <c r="D3553" s="13">
        <v>0</v>
      </c>
      <c r="E3553" s="13">
        <v>0</v>
      </c>
      <c r="F3553" s="13">
        <v>0</v>
      </c>
      <c r="G3553" s="13">
        <v>0</v>
      </c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</row>
    <row r="3554" spans="1:19" x14ac:dyDescent="0.2">
      <c r="A3554" s="12" t="s">
        <v>219</v>
      </c>
      <c r="B3554" s="12" t="s">
        <v>573</v>
      </c>
      <c r="C3554" s="12" t="s">
        <v>566</v>
      </c>
      <c r="D3554" s="13">
        <v>0</v>
      </c>
      <c r="E3554" s="13">
        <v>0</v>
      </c>
      <c r="F3554" s="13">
        <v>0</v>
      </c>
      <c r="G3554" s="13">
        <v>0</v>
      </c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</row>
    <row r="3555" spans="1:19" x14ac:dyDescent="0.2">
      <c r="A3555" s="12" t="s">
        <v>219</v>
      </c>
      <c r="B3555" s="12" t="s">
        <v>574</v>
      </c>
      <c r="C3555" s="12" t="s">
        <v>554</v>
      </c>
      <c r="D3555" s="13">
        <v>1443</v>
      </c>
      <c r="E3555" s="13">
        <v>1445.6569609999999</v>
      </c>
      <c r="F3555" s="13">
        <v>1453.5881919999999</v>
      </c>
      <c r="G3555" s="13">
        <v>1512.6676239999999</v>
      </c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</row>
    <row r="3556" spans="1:19" x14ac:dyDescent="0.2">
      <c r="A3556" s="12" t="s">
        <v>219</v>
      </c>
      <c r="B3556" s="12" t="s">
        <v>574</v>
      </c>
      <c r="C3556" s="12" t="s">
        <v>555</v>
      </c>
      <c r="D3556" s="13">
        <v>4538</v>
      </c>
      <c r="E3556" s="13">
        <v>4853.3952790000003</v>
      </c>
      <c r="F3556" s="13">
        <v>5291.158273</v>
      </c>
      <c r="G3556" s="13">
        <v>4984.841179</v>
      </c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</row>
    <row r="3557" spans="1:19" x14ac:dyDescent="0.2">
      <c r="A3557" s="12" t="s">
        <v>219</v>
      </c>
      <c r="B3557" s="12" t="s">
        <v>574</v>
      </c>
      <c r="C3557" s="12" t="s">
        <v>556</v>
      </c>
      <c r="D3557" s="13">
        <v>-1182</v>
      </c>
      <c r="E3557" s="13">
        <v>-1221.7935629999999</v>
      </c>
      <c r="F3557" s="13">
        <v>-1297.307785</v>
      </c>
      <c r="G3557" s="13">
        <v>-1410.1066330000001</v>
      </c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</row>
    <row r="3558" spans="1:19" x14ac:dyDescent="0.2">
      <c r="A3558" s="12" t="s">
        <v>219</v>
      </c>
      <c r="B3558" s="12" t="s">
        <v>574</v>
      </c>
      <c r="C3558" s="12" t="s">
        <v>557</v>
      </c>
      <c r="D3558" s="13">
        <v>4568</v>
      </c>
      <c r="E3558" s="13">
        <v>4811.9355750000004</v>
      </c>
      <c r="F3558" s="13">
        <v>4819.563443</v>
      </c>
      <c r="G3558" s="13">
        <v>4643.4378219999999</v>
      </c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</row>
    <row r="3559" spans="1:19" x14ac:dyDescent="0.2">
      <c r="A3559" s="12" t="s">
        <v>219</v>
      </c>
      <c r="B3559" s="12" t="s">
        <v>574</v>
      </c>
      <c r="C3559" s="12" t="s">
        <v>558</v>
      </c>
      <c r="D3559" s="13">
        <v>-837</v>
      </c>
      <c r="E3559" s="13">
        <v>-803.92720900000006</v>
      </c>
      <c r="F3559" s="13">
        <v>-889.37675299999989</v>
      </c>
      <c r="G3559" s="13">
        <v>-792.33719999999994</v>
      </c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</row>
    <row r="3560" spans="1:19" x14ac:dyDescent="0.2">
      <c r="A3560" s="12" t="s">
        <v>219</v>
      </c>
      <c r="B3560" s="12" t="s">
        <v>574</v>
      </c>
      <c r="C3560" s="12" t="s">
        <v>560</v>
      </c>
      <c r="D3560" s="13">
        <v>-50</v>
      </c>
      <c r="E3560" s="13">
        <v>-40.608690000000003</v>
      </c>
      <c r="F3560" s="13">
        <v>-75.623835999999997</v>
      </c>
      <c r="G3560" s="13">
        <v>-49.153635000000001</v>
      </c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</row>
    <row r="3561" spans="1:19" x14ac:dyDescent="0.2">
      <c r="A3561" s="12" t="s">
        <v>219</v>
      </c>
      <c r="B3561" s="12" t="s">
        <v>574</v>
      </c>
      <c r="C3561" s="12" t="s">
        <v>561</v>
      </c>
      <c r="D3561" s="13">
        <v>3257</v>
      </c>
      <c r="E3561" s="13">
        <v>3501.9644370000001</v>
      </c>
      <c r="F3561" s="13">
        <v>3435.6936900000001</v>
      </c>
      <c r="G3561" s="13">
        <v>3391.8281969999998</v>
      </c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</row>
    <row r="3562" spans="1:19" x14ac:dyDescent="0.2">
      <c r="A3562" s="12" t="s">
        <v>219</v>
      </c>
      <c r="B3562" s="12" t="s">
        <v>574</v>
      </c>
      <c r="C3562" s="12" t="s">
        <v>562</v>
      </c>
      <c r="D3562" s="13">
        <v>821</v>
      </c>
      <c r="E3562" s="13">
        <v>873.2244760000001</v>
      </c>
      <c r="F3562" s="13">
        <v>782.50275399999998</v>
      </c>
      <c r="G3562" s="13">
        <v>767.50173100000006</v>
      </c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</row>
    <row r="3563" spans="1:19" x14ac:dyDescent="0.2">
      <c r="A3563" s="12" t="s">
        <v>219</v>
      </c>
      <c r="B3563" s="12" t="s">
        <v>574</v>
      </c>
      <c r="C3563" s="12" t="s">
        <v>563</v>
      </c>
      <c r="D3563" s="13">
        <v>1081</v>
      </c>
      <c r="E3563" s="13">
        <v>1259.045967</v>
      </c>
      <c r="F3563" s="13">
        <v>1346.8038329999999</v>
      </c>
      <c r="G3563" s="13">
        <v>1335.5551909999999</v>
      </c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</row>
    <row r="3564" spans="1:19" x14ac:dyDescent="0.2">
      <c r="A3564" s="12" t="s">
        <v>219</v>
      </c>
      <c r="B3564" s="12" t="s">
        <v>574</v>
      </c>
      <c r="C3564" s="12" t="s">
        <v>564</v>
      </c>
      <c r="D3564" s="13">
        <v>600</v>
      </c>
      <c r="E3564" s="13">
        <v>605.89067699999998</v>
      </c>
      <c r="F3564" s="13">
        <v>584.29702599999996</v>
      </c>
      <c r="G3564" s="13">
        <v>569.14469499999996</v>
      </c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</row>
    <row r="3565" spans="1:19" x14ac:dyDescent="0.2">
      <c r="A3565" s="12" t="s">
        <v>219</v>
      </c>
      <c r="B3565" s="12" t="s">
        <v>574</v>
      </c>
      <c r="C3565" s="12" t="s">
        <v>565</v>
      </c>
      <c r="D3565" s="13">
        <v>377</v>
      </c>
      <c r="E3565" s="13">
        <v>395.57067699999999</v>
      </c>
      <c r="F3565" s="13">
        <v>391.84869500000002</v>
      </c>
      <c r="G3565" s="13">
        <v>394.11337300000002</v>
      </c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</row>
    <row r="3566" spans="1:19" x14ac:dyDescent="0.2">
      <c r="A3566" s="12" t="s">
        <v>219</v>
      </c>
      <c r="B3566" s="12" t="s">
        <v>574</v>
      </c>
      <c r="C3566" s="12" t="s">
        <v>566</v>
      </c>
      <c r="D3566" s="13">
        <v>378</v>
      </c>
      <c r="E3566" s="13">
        <v>368.23264</v>
      </c>
      <c r="F3566" s="13">
        <v>330.24138199999999</v>
      </c>
      <c r="G3566" s="13">
        <v>325.51322900000002</v>
      </c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</row>
    <row r="3567" spans="1:19" x14ac:dyDescent="0.2">
      <c r="A3567" s="12" t="s">
        <v>479</v>
      </c>
      <c r="B3567" s="12" t="s">
        <v>553</v>
      </c>
      <c r="C3567" s="12" t="s">
        <v>554</v>
      </c>
      <c r="D3567" s="13">
        <v>2</v>
      </c>
      <c r="E3567" s="13">
        <v>2.5374979999999998</v>
      </c>
      <c r="F3567" s="13">
        <v>1.275002</v>
      </c>
      <c r="G3567" s="13">
        <v>1.1875020000000001</v>
      </c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</row>
    <row r="3568" spans="1:19" x14ac:dyDescent="0.2">
      <c r="A3568" s="12" t="s">
        <v>479</v>
      </c>
      <c r="B3568" s="12" t="s">
        <v>553</v>
      </c>
      <c r="C3568" s="12" t="s">
        <v>555</v>
      </c>
      <c r="D3568" s="13">
        <v>63</v>
      </c>
      <c r="E3568" s="13">
        <v>66.177820999999994</v>
      </c>
      <c r="F3568" s="13">
        <v>66.007020999999995</v>
      </c>
      <c r="G3568" s="13">
        <v>59.513239000000013</v>
      </c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</row>
    <row r="3569" spans="1:19" x14ac:dyDescent="0.2">
      <c r="A3569" s="12" t="s">
        <v>479</v>
      </c>
      <c r="B3569" s="12" t="s">
        <v>553</v>
      </c>
      <c r="C3569" s="12" t="s">
        <v>556</v>
      </c>
      <c r="D3569" s="13">
        <v>-1</v>
      </c>
      <c r="E3569" s="13">
        <v>-0.67391999999999996</v>
      </c>
      <c r="F3569" s="13">
        <v>-0.95472000000000001</v>
      </c>
      <c r="G3569" s="13">
        <v>-0.83764099999999997</v>
      </c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</row>
    <row r="3570" spans="1:19" x14ac:dyDescent="0.2">
      <c r="A3570" s="12" t="s">
        <v>479</v>
      </c>
      <c r="B3570" s="12" t="s">
        <v>553</v>
      </c>
      <c r="C3570" s="12" t="s">
        <v>557</v>
      </c>
      <c r="D3570" s="13">
        <v>66</v>
      </c>
      <c r="E3570" s="13">
        <v>72.070960000000014</v>
      </c>
      <c r="F3570" s="13">
        <v>63.395499999999998</v>
      </c>
      <c r="G3570" s="13">
        <v>62.065860000000001</v>
      </c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</row>
    <row r="3571" spans="1:19" x14ac:dyDescent="0.2">
      <c r="A3571" s="12" t="s">
        <v>479</v>
      </c>
      <c r="B3571" s="12" t="s">
        <v>553</v>
      </c>
      <c r="C3571" s="12" t="s">
        <v>558</v>
      </c>
      <c r="D3571" s="13">
        <v>-11</v>
      </c>
      <c r="E3571" s="13">
        <v>-10.819616999999999</v>
      </c>
      <c r="F3571" s="13">
        <v>-8.6294000000000022</v>
      </c>
      <c r="G3571" s="13">
        <v>-9.1370300000000011</v>
      </c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</row>
    <row r="3572" spans="1:19" x14ac:dyDescent="0.2">
      <c r="A3572" s="12" t="s">
        <v>479</v>
      </c>
      <c r="B3572" s="12" t="s">
        <v>553</v>
      </c>
      <c r="C3572" s="12" t="s">
        <v>560</v>
      </c>
      <c r="D3572" s="13">
        <v>0</v>
      </c>
      <c r="E3572" s="13">
        <v>0</v>
      </c>
      <c r="F3572" s="13">
        <v>0</v>
      </c>
      <c r="G3572" s="13">
        <v>0</v>
      </c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</row>
    <row r="3573" spans="1:19" x14ac:dyDescent="0.2">
      <c r="A3573" s="12" t="s">
        <v>479</v>
      </c>
      <c r="B3573" s="12" t="s">
        <v>553</v>
      </c>
      <c r="C3573" s="12" t="s">
        <v>561</v>
      </c>
      <c r="D3573" s="13">
        <v>26</v>
      </c>
      <c r="E3573" s="13">
        <v>28.022297999999999</v>
      </c>
      <c r="F3573" s="13">
        <v>29.180320999999999</v>
      </c>
      <c r="G3573" s="13">
        <v>28.948117</v>
      </c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</row>
    <row r="3574" spans="1:19" x14ac:dyDescent="0.2">
      <c r="A3574" s="12" t="s">
        <v>479</v>
      </c>
      <c r="B3574" s="12" t="s">
        <v>553</v>
      </c>
      <c r="C3574" s="12" t="s">
        <v>562</v>
      </c>
      <c r="D3574" s="13">
        <v>25</v>
      </c>
      <c r="E3574" s="13">
        <v>27.376459000000001</v>
      </c>
      <c r="F3574" s="13">
        <v>28.450240000000001</v>
      </c>
      <c r="G3574" s="13">
        <v>28.077639999999999</v>
      </c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</row>
    <row r="3575" spans="1:19" x14ac:dyDescent="0.2">
      <c r="A3575" s="12" t="s">
        <v>479</v>
      </c>
      <c r="B3575" s="12" t="s">
        <v>553</v>
      </c>
      <c r="C3575" s="12" t="s">
        <v>563</v>
      </c>
      <c r="D3575" s="13">
        <v>0</v>
      </c>
      <c r="E3575" s="13">
        <v>0</v>
      </c>
      <c r="F3575" s="13">
        <v>0</v>
      </c>
      <c r="G3575" s="13">
        <v>0</v>
      </c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</row>
    <row r="3576" spans="1:19" x14ac:dyDescent="0.2">
      <c r="A3576" s="12" t="s">
        <v>479</v>
      </c>
      <c r="B3576" s="12" t="s">
        <v>553</v>
      </c>
      <c r="C3576" s="12" t="s">
        <v>564</v>
      </c>
      <c r="D3576" s="13">
        <v>0</v>
      </c>
      <c r="E3576" s="13">
        <v>0</v>
      </c>
      <c r="F3576" s="13">
        <v>0</v>
      </c>
      <c r="G3576" s="13">
        <v>0</v>
      </c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</row>
    <row r="3577" spans="1:19" x14ac:dyDescent="0.2">
      <c r="A3577" s="12" t="s">
        <v>479</v>
      </c>
      <c r="B3577" s="12" t="s">
        <v>553</v>
      </c>
      <c r="C3577" s="12" t="s">
        <v>565</v>
      </c>
      <c r="D3577" s="13">
        <v>0</v>
      </c>
      <c r="E3577" s="13">
        <v>0</v>
      </c>
      <c r="F3577" s="13">
        <v>0</v>
      </c>
      <c r="G3577" s="13">
        <v>0</v>
      </c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</row>
    <row r="3578" spans="1:19" x14ac:dyDescent="0.2">
      <c r="A3578" s="12" t="s">
        <v>479</v>
      </c>
      <c r="B3578" s="12" t="s">
        <v>553</v>
      </c>
      <c r="C3578" s="12" t="s">
        <v>566</v>
      </c>
      <c r="D3578" s="13">
        <v>1</v>
      </c>
      <c r="E3578" s="13">
        <v>0.64583900000000005</v>
      </c>
      <c r="F3578" s="13">
        <v>0.73008200000000001</v>
      </c>
      <c r="G3578" s="13">
        <v>0.87048199999999998</v>
      </c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</row>
    <row r="3579" spans="1:19" x14ac:dyDescent="0.2">
      <c r="A3579" s="12" t="s">
        <v>479</v>
      </c>
      <c r="B3579" s="12" t="s">
        <v>567</v>
      </c>
      <c r="C3579" s="12" t="s">
        <v>554</v>
      </c>
      <c r="D3579" s="13">
        <v>0</v>
      </c>
      <c r="E3579" s="13">
        <v>0</v>
      </c>
      <c r="F3579" s="13">
        <v>0</v>
      </c>
      <c r="G3579" s="13">
        <v>0</v>
      </c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</row>
    <row r="3580" spans="1:19" x14ac:dyDescent="0.2">
      <c r="A3580" s="12" t="s">
        <v>479</v>
      </c>
      <c r="B3580" s="12" t="s">
        <v>567</v>
      </c>
      <c r="C3580" s="12" t="s">
        <v>555</v>
      </c>
      <c r="D3580" s="13">
        <v>791</v>
      </c>
      <c r="E3580" s="13">
        <v>806.36645099999998</v>
      </c>
      <c r="F3580" s="13">
        <v>819.46393000000012</v>
      </c>
      <c r="G3580" s="13">
        <v>757.33334200000002</v>
      </c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</row>
    <row r="3581" spans="1:19" x14ac:dyDescent="0.2">
      <c r="A3581" s="12" t="s">
        <v>479</v>
      </c>
      <c r="B3581" s="12" t="s">
        <v>567</v>
      </c>
      <c r="C3581" s="12" t="s">
        <v>556</v>
      </c>
      <c r="D3581" s="13">
        <v>-79</v>
      </c>
      <c r="E3581" s="13">
        <v>-63.163663999999997</v>
      </c>
      <c r="F3581" s="13">
        <v>-28.416414</v>
      </c>
      <c r="G3581" s="13">
        <v>-31.055128</v>
      </c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</row>
    <row r="3582" spans="1:19" x14ac:dyDescent="0.2">
      <c r="A3582" s="12" t="s">
        <v>479</v>
      </c>
      <c r="B3582" s="12" t="s">
        <v>567</v>
      </c>
      <c r="C3582" s="12" t="s">
        <v>557</v>
      </c>
      <c r="D3582" s="13">
        <v>704</v>
      </c>
      <c r="E3582" s="13">
        <v>797.267291</v>
      </c>
      <c r="F3582" s="13">
        <v>767.83924100000002</v>
      </c>
      <c r="G3582" s="13">
        <v>742.479333</v>
      </c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</row>
    <row r="3583" spans="1:19" x14ac:dyDescent="0.2">
      <c r="A3583" s="12" t="s">
        <v>479</v>
      </c>
      <c r="B3583" s="12" t="s">
        <v>567</v>
      </c>
      <c r="C3583" s="12" t="s">
        <v>558</v>
      </c>
      <c r="D3583" s="13">
        <v>0</v>
      </c>
      <c r="E3583" s="13">
        <v>0</v>
      </c>
      <c r="F3583" s="13">
        <v>0</v>
      </c>
      <c r="G3583" s="13">
        <v>0</v>
      </c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</row>
    <row r="3584" spans="1:19" x14ac:dyDescent="0.2">
      <c r="A3584" s="12" t="s">
        <v>479</v>
      </c>
      <c r="B3584" s="12" t="s">
        <v>567</v>
      </c>
      <c r="C3584" s="12" t="s">
        <v>560</v>
      </c>
      <c r="D3584" s="13">
        <v>-846</v>
      </c>
      <c r="E3584" s="13">
        <v>-914.62344200000007</v>
      </c>
      <c r="F3584" s="13">
        <v>-904.56849</v>
      </c>
      <c r="G3584" s="13">
        <v>-862.39263900000003</v>
      </c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</row>
    <row r="3585" spans="1:19" x14ac:dyDescent="0.2">
      <c r="A3585" s="12" t="s">
        <v>479</v>
      </c>
      <c r="B3585" s="12" t="s">
        <v>567</v>
      </c>
      <c r="C3585" s="12" t="s">
        <v>561</v>
      </c>
      <c r="D3585" s="13">
        <v>0</v>
      </c>
      <c r="E3585" s="13">
        <v>0</v>
      </c>
      <c r="F3585" s="13">
        <v>0</v>
      </c>
      <c r="G3585" s="13">
        <v>0</v>
      </c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</row>
    <row r="3586" spans="1:19" x14ac:dyDescent="0.2">
      <c r="A3586" s="12" t="s">
        <v>479</v>
      </c>
      <c r="B3586" s="12" t="s">
        <v>567</v>
      </c>
      <c r="C3586" s="12" t="s">
        <v>562</v>
      </c>
      <c r="D3586" s="13">
        <v>0</v>
      </c>
      <c r="E3586" s="13">
        <v>0</v>
      </c>
      <c r="F3586" s="13">
        <v>0</v>
      </c>
      <c r="G3586" s="13">
        <v>0</v>
      </c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</row>
    <row r="3587" spans="1:19" x14ac:dyDescent="0.2">
      <c r="A3587" s="12" t="s">
        <v>479</v>
      </c>
      <c r="B3587" s="12" t="s">
        <v>567</v>
      </c>
      <c r="C3587" s="12" t="s">
        <v>563</v>
      </c>
      <c r="D3587" s="13">
        <v>0</v>
      </c>
      <c r="E3587" s="13">
        <v>0</v>
      </c>
      <c r="F3587" s="13">
        <v>0</v>
      </c>
      <c r="G3587" s="13">
        <v>0</v>
      </c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</row>
    <row r="3588" spans="1:19" x14ac:dyDescent="0.2">
      <c r="A3588" s="12" t="s">
        <v>479</v>
      </c>
      <c r="B3588" s="12" t="s">
        <v>567</v>
      </c>
      <c r="C3588" s="12" t="s">
        <v>564</v>
      </c>
      <c r="D3588" s="13">
        <v>0</v>
      </c>
      <c r="E3588" s="13">
        <v>0</v>
      </c>
      <c r="F3588" s="13">
        <v>0</v>
      </c>
      <c r="G3588" s="13">
        <v>0</v>
      </c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</row>
    <row r="3589" spans="1:19" x14ac:dyDescent="0.2">
      <c r="A3589" s="12" t="s">
        <v>479</v>
      </c>
      <c r="B3589" s="12" t="s">
        <v>567</v>
      </c>
      <c r="C3589" s="12" t="s">
        <v>565</v>
      </c>
      <c r="D3589" s="13">
        <v>0</v>
      </c>
      <c r="E3589" s="13">
        <v>0</v>
      </c>
      <c r="F3589" s="13">
        <v>0</v>
      </c>
      <c r="G3589" s="13">
        <v>0</v>
      </c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</row>
    <row r="3590" spans="1:19" x14ac:dyDescent="0.2">
      <c r="A3590" s="12" t="s">
        <v>479</v>
      </c>
      <c r="B3590" s="12" t="s">
        <v>567</v>
      </c>
      <c r="C3590" s="12" t="s">
        <v>566</v>
      </c>
      <c r="D3590" s="13">
        <v>0</v>
      </c>
      <c r="E3590" s="13">
        <v>0</v>
      </c>
      <c r="F3590" s="13">
        <v>0</v>
      </c>
      <c r="G3590" s="13">
        <v>0</v>
      </c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</row>
    <row r="3591" spans="1:19" x14ac:dyDescent="0.2">
      <c r="A3591" s="12" t="s">
        <v>479</v>
      </c>
      <c r="B3591" s="12" t="s">
        <v>568</v>
      </c>
      <c r="C3591" s="12" t="s">
        <v>554</v>
      </c>
      <c r="D3591" s="13">
        <v>0</v>
      </c>
      <c r="E3591" s="13">
        <v>0</v>
      </c>
      <c r="F3591" s="13">
        <v>0</v>
      </c>
      <c r="G3591" s="13">
        <v>0</v>
      </c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</row>
    <row r="3592" spans="1:19" x14ac:dyDescent="0.2">
      <c r="A3592" s="12" t="s">
        <v>479</v>
      </c>
      <c r="B3592" s="12" t="s">
        <v>568</v>
      </c>
      <c r="C3592" s="12" t="s">
        <v>555</v>
      </c>
      <c r="D3592" s="13">
        <v>319</v>
      </c>
      <c r="E3592" s="13">
        <v>268.24272000000002</v>
      </c>
      <c r="F3592" s="13">
        <v>318.853047</v>
      </c>
      <c r="G3592" s="13">
        <v>339.82215400000001</v>
      </c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</row>
    <row r="3593" spans="1:19" x14ac:dyDescent="0.2">
      <c r="A3593" s="12" t="s">
        <v>479</v>
      </c>
      <c r="B3593" s="12" t="s">
        <v>568</v>
      </c>
      <c r="C3593" s="12" t="s">
        <v>556</v>
      </c>
      <c r="D3593" s="13">
        <v>-479</v>
      </c>
      <c r="E3593" s="13">
        <v>-644.52208800000005</v>
      </c>
      <c r="F3593" s="13">
        <v>-604.5492680000001</v>
      </c>
      <c r="G3593" s="13">
        <v>-595.53606300000001</v>
      </c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</row>
    <row r="3594" spans="1:19" x14ac:dyDescent="0.2">
      <c r="A3594" s="12" t="s">
        <v>479</v>
      </c>
      <c r="B3594" s="12" t="s">
        <v>568</v>
      </c>
      <c r="C3594" s="12" t="s">
        <v>557</v>
      </c>
      <c r="D3594" s="13">
        <v>-354</v>
      </c>
      <c r="E3594" s="13">
        <v>-411.92567000000003</v>
      </c>
      <c r="F3594" s="13">
        <v>-397.20540499999998</v>
      </c>
      <c r="G3594" s="13">
        <v>-368.93809900000002</v>
      </c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</row>
    <row r="3595" spans="1:19" x14ac:dyDescent="0.2">
      <c r="A3595" s="12" t="s">
        <v>479</v>
      </c>
      <c r="B3595" s="12" t="s">
        <v>568</v>
      </c>
      <c r="C3595" s="12" t="s">
        <v>558</v>
      </c>
      <c r="D3595" s="13">
        <v>-3</v>
      </c>
      <c r="E3595" s="13">
        <v>-5.8408000000000007</v>
      </c>
      <c r="F3595" s="13">
        <v>-6.4078009999999992</v>
      </c>
      <c r="G3595" s="13">
        <v>-4.3600000000000003</v>
      </c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</row>
    <row r="3596" spans="1:19" x14ac:dyDescent="0.2">
      <c r="A3596" s="12" t="s">
        <v>479</v>
      </c>
      <c r="B3596" s="12" t="s">
        <v>568</v>
      </c>
      <c r="C3596" s="12" t="s">
        <v>560</v>
      </c>
      <c r="D3596" s="13">
        <v>827</v>
      </c>
      <c r="E3596" s="13">
        <v>904.89142600000002</v>
      </c>
      <c r="F3596" s="13">
        <v>889.22060600000009</v>
      </c>
      <c r="G3596" s="13">
        <v>848.64889400000004</v>
      </c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</row>
    <row r="3597" spans="1:19" x14ac:dyDescent="0.2">
      <c r="A3597" s="12" t="s">
        <v>479</v>
      </c>
      <c r="B3597" s="12" t="s">
        <v>568</v>
      </c>
      <c r="C3597" s="12" t="s">
        <v>561</v>
      </c>
      <c r="D3597" s="13">
        <v>329</v>
      </c>
      <c r="E3597" s="13">
        <v>350.20685400000002</v>
      </c>
      <c r="F3597" s="13">
        <v>306.72102000000001</v>
      </c>
      <c r="G3597" s="13">
        <v>321.07180899999997</v>
      </c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</row>
    <row r="3598" spans="1:19" x14ac:dyDescent="0.2">
      <c r="A3598" s="12" t="s">
        <v>479</v>
      </c>
      <c r="B3598" s="12" t="s">
        <v>568</v>
      </c>
      <c r="C3598" s="12" t="s">
        <v>562</v>
      </c>
      <c r="D3598" s="13">
        <v>35</v>
      </c>
      <c r="E3598" s="13">
        <v>36.458257000000003</v>
      </c>
      <c r="F3598" s="13">
        <v>36.504663000000001</v>
      </c>
      <c r="G3598" s="13">
        <v>38.986418</v>
      </c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</row>
    <row r="3599" spans="1:19" x14ac:dyDescent="0.2">
      <c r="A3599" s="12" t="s">
        <v>479</v>
      </c>
      <c r="B3599" s="12" t="s">
        <v>568</v>
      </c>
      <c r="C3599" s="12" t="s">
        <v>563</v>
      </c>
      <c r="D3599" s="13">
        <v>210</v>
      </c>
      <c r="E3599" s="13">
        <v>213.305059</v>
      </c>
      <c r="F3599" s="13">
        <v>191.00980000000001</v>
      </c>
      <c r="G3599" s="13">
        <v>189.91543799999999</v>
      </c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</row>
    <row r="3600" spans="1:19" x14ac:dyDescent="0.2">
      <c r="A3600" s="12" t="s">
        <v>479</v>
      </c>
      <c r="B3600" s="12" t="s">
        <v>568</v>
      </c>
      <c r="C3600" s="12" t="s">
        <v>564</v>
      </c>
      <c r="D3600" s="13">
        <v>8</v>
      </c>
      <c r="E3600" s="13">
        <v>8.4707630000000016</v>
      </c>
      <c r="F3600" s="13">
        <v>6.2191650000000003</v>
      </c>
      <c r="G3600" s="13">
        <v>5.549976</v>
      </c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</row>
    <row r="3601" spans="1:19" x14ac:dyDescent="0.2">
      <c r="A3601" s="12" t="s">
        <v>479</v>
      </c>
      <c r="B3601" s="12" t="s">
        <v>568</v>
      </c>
      <c r="C3601" s="12" t="s">
        <v>565</v>
      </c>
      <c r="D3601" s="13">
        <v>9</v>
      </c>
      <c r="E3601" s="13">
        <v>7.9203960000000002</v>
      </c>
      <c r="F3601" s="13">
        <v>6.9235939999999996</v>
      </c>
      <c r="G3601" s="13">
        <v>5.8979410000000003</v>
      </c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</row>
    <row r="3602" spans="1:19" x14ac:dyDescent="0.2">
      <c r="A3602" s="12" t="s">
        <v>479</v>
      </c>
      <c r="B3602" s="12" t="s">
        <v>568</v>
      </c>
      <c r="C3602" s="12" t="s">
        <v>566</v>
      </c>
      <c r="D3602" s="13">
        <v>67</v>
      </c>
      <c r="E3602" s="13">
        <v>84.052379000000002</v>
      </c>
      <c r="F3602" s="13">
        <v>66.063797000000008</v>
      </c>
      <c r="G3602" s="13">
        <v>80.722032000000013</v>
      </c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</row>
    <row r="3603" spans="1:19" x14ac:dyDescent="0.2">
      <c r="A3603" s="12" t="s">
        <v>479</v>
      </c>
      <c r="B3603" s="12" t="s">
        <v>569</v>
      </c>
      <c r="C3603" s="12" t="s">
        <v>554</v>
      </c>
      <c r="D3603" s="13">
        <v>0</v>
      </c>
      <c r="E3603" s="13">
        <v>0</v>
      </c>
      <c r="F3603" s="13">
        <v>0</v>
      </c>
      <c r="G3603" s="13">
        <v>0</v>
      </c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</row>
    <row r="3604" spans="1:19" x14ac:dyDescent="0.2">
      <c r="A3604" s="12" t="s">
        <v>479</v>
      </c>
      <c r="B3604" s="12" t="s">
        <v>569</v>
      </c>
      <c r="C3604" s="12" t="s">
        <v>555</v>
      </c>
      <c r="D3604" s="13">
        <v>54</v>
      </c>
      <c r="E3604" s="13">
        <v>44.913282000000002</v>
      </c>
      <c r="F3604" s="13">
        <v>27.382957000000001</v>
      </c>
      <c r="G3604" s="13">
        <v>32.641134000000001</v>
      </c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</row>
    <row r="3605" spans="1:19" x14ac:dyDescent="0.2">
      <c r="A3605" s="12" t="s">
        <v>479</v>
      </c>
      <c r="B3605" s="12" t="s">
        <v>569</v>
      </c>
      <c r="C3605" s="12" t="s">
        <v>556</v>
      </c>
      <c r="D3605" s="13">
        <v>-1</v>
      </c>
      <c r="E3605" s="13">
        <v>-2.0367570000000002</v>
      </c>
      <c r="F3605" s="13">
        <v>-0.36419299999999999</v>
      </c>
      <c r="G3605" s="13">
        <v>-0.318498</v>
      </c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</row>
    <row r="3606" spans="1:19" x14ac:dyDescent="0.2">
      <c r="A3606" s="12" t="s">
        <v>479</v>
      </c>
      <c r="B3606" s="12" t="s">
        <v>569</v>
      </c>
      <c r="C3606" s="12" t="s">
        <v>557</v>
      </c>
      <c r="D3606" s="13">
        <v>52</v>
      </c>
      <c r="E3606" s="13">
        <v>42.145401</v>
      </c>
      <c r="F3606" s="13">
        <v>26.347954999999999</v>
      </c>
      <c r="G3606" s="13">
        <v>30.088949</v>
      </c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</row>
    <row r="3607" spans="1:19" x14ac:dyDescent="0.2">
      <c r="A3607" s="12" t="s">
        <v>479</v>
      </c>
      <c r="B3607" s="12" t="s">
        <v>569</v>
      </c>
      <c r="C3607" s="12" t="s">
        <v>558</v>
      </c>
      <c r="D3607" s="13">
        <v>-2</v>
      </c>
      <c r="E3607" s="13">
        <v>-5.1129039999999986</v>
      </c>
      <c r="F3607" s="13">
        <v>-2.6820020000000002</v>
      </c>
      <c r="G3607" s="13">
        <v>-3.9221979999999999</v>
      </c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</row>
    <row r="3608" spans="1:19" x14ac:dyDescent="0.2">
      <c r="A3608" s="12" t="s">
        <v>479</v>
      </c>
      <c r="B3608" s="12" t="s">
        <v>569</v>
      </c>
      <c r="C3608" s="12" t="s">
        <v>560</v>
      </c>
      <c r="D3608" s="13">
        <v>0</v>
      </c>
      <c r="E3608" s="13">
        <v>0</v>
      </c>
      <c r="F3608" s="13">
        <v>0</v>
      </c>
      <c r="G3608" s="13">
        <v>0</v>
      </c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</row>
    <row r="3609" spans="1:19" x14ac:dyDescent="0.2">
      <c r="A3609" s="12" t="s">
        <v>479</v>
      </c>
      <c r="B3609" s="12" t="s">
        <v>569</v>
      </c>
      <c r="C3609" s="12" t="s">
        <v>561</v>
      </c>
      <c r="D3609" s="13">
        <v>35</v>
      </c>
      <c r="E3609" s="13">
        <v>34.189472000000002</v>
      </c>
      <c r="F3609" s="13">
        <v>23.125354000000002</v>
      </c>
      <c r="G3609" s="13">
        <v>20.369171000000001</v>
      </c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</row>
    <row r="3610" spans="1:19" x14ac:dyDescent="0.2">
      <c r="A3610" s="12" t="s">
        <v>479</v>
      </c>
      <c r="B3610" s="12" t="s">
        <v>569</v>
      </c>
      <c r="C3610" s="12" t="s">
        <v>562</v>
      </c>
      <c r="D3610" s="13">
        <v>14</v>
      </c>
      <c r="E3610" s="13">
        <v>13.498870999999999</v>
      </c>
      <c r="F3610" s="13">
        <v>11.022689</v>
      </c>
      <c r="G3610" s="13">
        <v>8.2933979999999998</v>
      </c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</row>
    <row r="3611" spans="1:19" x14ac:dyDescent="0.2">
      <c r="A3611" s="12" t="s">
        <v>479</v>
      </c>
      <c r="B3611" s="12" t="s">
        <v>569</v>
      </c>
      <c r="C3611" s="12" t="s">
        <v>563</v>
      </c>
      <c r="D3611" s="13">
        <v>0</v>
      </c>
      <c r="E3611" s="13">
        <v>0.40254800000000002</v>
      </c>
      <c r="F3611" s="13">
        <v>0.27226299999999998</v>
      </c>
      <c r="G3611" s="13">
        <v>0.60031600000000007</v>
      </c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</row>
    <row r="3612" spans="1:19" x14ac:dyDescent="0.2">
      <c r="A3612" s="12" t="s">
        <v>479</v>
      </c>
      <c r="B3612" s="12" t="s">
        <v>569</v>
      </c>
      <c r="C3612" s="12" t="s">
        <v>564</v>
      </c>
      <c r="D3612" s="13">
        <v>1</v>
      </c>
      <c r="E3612" s="13">
        <v>1.2494000000000001</v>
      </c>
      <c r="F3612" s="13">
        <v>1.0617179999999999</v>
      </c>
      <c r="G3612" s="13">
        <v>0.97233800000000004</v>
      </c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</row>
    <row r="3613" spans="1:19" x14ac:dyDescent="0.2">
      <c r="A3613" s="12" t="s">
        <v>479</v>
      </c>
      <c r="B3613" s="12" t="s">
        <v>569</v>
      </c>
      <c r="C3613" s="12" t="s">
        <v>565</v>
      </c>
      <c r="D3613" s="13">
        <v>4</v>
      </c>
      <c r="E3613" s="13">
        <v>3.9070459999999998</v>
      </c>
      <c r="F3613" s="13">
        <v>3.6274769999999998</v>
      </c>
      <c r="G3613" s="13">
        <v>3.1578140000000001</v>
      </c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</row>
    <row r="3614" spans="1:19" x14ac:dyDescent="0.2">
      <c r="A3614" s="12" t="s">
        <v>479</v>
      </c>
      <c r="B3614" s="12" t="s">
        <v>569</v>
      </c>
      <c r="C3614" s="12" t="s">
        <v>566</v>
      </c>
      <c r="D3614" s="13">
        <v>16</v>
      </c>
      <c r="E3614" s="13">
        <v>15.131606</v>
      </c>
      <c r="F3614" s="13">
        <v>7.1412070000000014</v>
      </c>
      <c r="G3614" s="13">
        <v>7.3453050000000006</v>
      </c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</row>
    <row r="3615" spans="1:19" x14ac:dyDescent="0.2">
      <c r="A3615" s="12" t="s">
        <v>479</v>
      </c>
      <c r="B3615" s="12" t="s">
        <v>570</v>
      </c>
      <c r="C3615" s="12" t="s">
        <v>554</v>
      </c>
      <c r="D3615" s="13">
        <v>537</v>
      </c>
      <c r="E3615" s="13">
        <v>577.80000000000007</v>
      </c>
      <c r="F3615" s="13">
        <v>566.66181799999993</v>
      </c>
      <c r="G3615" s="13">
        <v>528.76363700000002</v>
      </c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</row>
    <row r="3616" spans="1:19" x14ac:dyDescent="0.2">
      <c r="A3616" s="12" t="s">
        <v>479</v>
      </c>
      <c r="B3616" s="12" t="s">
        <v>570</v>
      </c>
      <c r="C3616" s="12" t="s">
        <v>555</v>
      </c>
      <c r="D3616" s="13">
        <v>0</v>
      </c>
      <c r="E3616" s="13">
        <v>0</v>
      </c>
      <c r="F3616" s="13">
        <v>0</v>
      </c>
      <c r="G3616" s="13">
        <v>0</v>
      </c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</row>
    <row r="3617" spans="1:19" x14ac:dyDescent="0.2">
      <c r="A3617" s="12" t="s">
        <v>479</v>
      </c>
      <c r="B3617" s="12" t="s">
        <v>570</v>
      </c>
      <c r="C3617" s="12" t="s">
        <v>556</v>
      </c>
      <c r="D3617" s="13">
        <v>0</v>
      </c>
      <c r="E3617" s="13">
        <v>0</v>
      </c>
      <c r="F3617" s="13">
        <v>0</v>
      </c>
      <c r="G3617" s="13">
        <v>0</v>
      </c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</row>
    <row r="3618" spans="1:19" x14ac:dyDescent="0.2">
      <c r="A3618" s="12" t="s">
        <v>479</v>
      </c>
      <c r="B3618" s="12" t="s">
        <v>570</v>
      </c>
      <c r="C3618" s="12" t="s">
        <v>557</v>
      </c>
      <c r="D3618" s="13">
        <v>537</v>
      </c>
      <c r="E3618" s="13">
        <v>577.80000000000007</v>
      </c>
      <c r="F3618" s="13">
        <v>566.66181799999993</v>
      </c>
      <c r="G3618" s="13">
        <v>528.76363700000002</v>
      </c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</row>
    <row r="3619" spans="1:19" x14ac:dyDescent="0.2">
      <c r="A3619" s="12" t="s">
        <v>479</v>
      </c>
      <c r="B3619" s="12" t="s">
        <v>570</v>
      </c>
      <c r="C3619" s="12" t="s">
        <v>558</v>
      </c>
      <c r="D3619" s="13">
        <v>-537</v>
      </c>
      <c r="E3619" s="13">
        <v>-577.80000000000007</v>
      </c>
      <c r="F3619" s="13">
        <v>-566.66181799999993</v>
      </c>
      <c r="G3619" s="13">
        <v>-528.76363700000002</v>
      </c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</row>
    <row r="3620" spans="1:19" x14ac:dyDescent="0.2">
      <c r="A3620" s="12" t="s">
        <v>479</v>
      </c>
      <c r="B3620" s="12" t="s">
        <v>570</v>
      </c>
      <c r="C3620" s="12" t="s">
        <v>560</v>
      </c>
      <c r="D3620" s="13">
        <v>0</v>
      </c>
      <c r="E3620" s="13">
        <v>0</v>
      </c>
      <c r="F3620" s="13">
        <v>0</v>
      </c>
      <c r="G3620" s="13">
        <v>0</v>
      </c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</row>
    <row r="3621" spans="1:19" x14ac:dyDescent="0.2">
      <c r="A3621" s="12" t="s">
        <v>479</v>
      </c>
      <c r="B3621" s="12" t="s">
        <v>570</v>
      </c>
      <c r="C3621" s="12" t="s">
        <v>561</v>
      </c>
      <c r="D3621" s="13">
        <v>0</v>
      </c>
      <c r="E3621" s="13">
        <v>0</v>
      </c>
      <c r="F3621" s="13">
        <v>0</v>
      </c>
      <c r="G3621" s="13">
        <v>0</v>
      </c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</row>
    <row r="3622" spans="1:19" x14ac:dyDescent="0.2">
      <c r="A3622" s="12" t="s">
        <v>479</v>
      </c>
      <c r="B3622" s="12" t="s">
        <v>570</v>
      </c>
      <c r="C3622" s="12" t="s">
        <v>562</v>
      </c>
      <c r="D3622" s="13">
        <v>0</v>
      </c>
      <c r="E3622" s="13">
        <v>0</v>
      </c>
      <c r="F3622" s="13">
        <v>0</v>
      </c>
      <c r="G3622" s="13">
        <v>0</v>
      </c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</row>
    <row r="3623" spans="1:19" x14ac:dyDescent="0.2">
      <c r="A3623" s="12" t="s">
        <v>479</v>
      </c>
      <c r="B3623" s="12" t="s">
        <v>570</v>
      </c>
      <c r="C3623" s="12" t="s">
        <v>563</v>
      </c>
      <c r="D3623" s="13">
        <v>0</v>
      </c>
      <c r="E3623" s="13">
        <v>0</v>
      </c>
      <c r="F3623" s="13">
        <v>0</v>
      </c>
      <c r="G3623" s="13">
        <v>0</v>
      </c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</row>
    <row r="3624" spans="1:19" x14ac:dyDescent="0.2">
      <c r="A3624" s="12" t="s">
        <v>479</v>
      </c>
      <c r="B3624" s="12" t="s">
        <v>570</v>
      </c>
      <c r="C3624" s="12" t="s">
        <v>564</v>
      </c>
      <c r="D3624" s="13">
        <v>0</v>
      </c>
      <c r="E3624" s="13">
        <v>0</v>
      </c>
      <c r="F3624" s="13">
        <v>0</v>
      </c>
      <c r="G3624" s="13">
        <v>0</v>
      </c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</row>
    <row r="3625" spans="1:19" x14ac:dyDescent="0.2">
      <c r="A3625" s="12" t="s">
        <v>479</v>
      </c>
      <c r="B3625" s="12" t="s">
        <v>570</v>
      </c>
      <c r="C3625" s="12" t="s">
        <v>565</v>
      </c>
      <c r="D3625" s="13">
        <v>0</v>
      </c>
      <c r="E3625" s="13">
        <v>0</v>
      </c>
      <c r="F3625" s="13">
        <v>0</v>
      </c>
      <c r="G3625" s="13">
        <v>0</v>
      </c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</row>
    <row r="3626" spans="1:19" x14ac:dyDescent="0.2">
      <c r="A3626" s="12" t="s">
        <v>479</v>
      </c>
      <c r="B3626" s="12" t="s">
        <v>570</v>
      </c>
      <c r="C3626" s="12" t="s">
        <v>566</v>
      </c>
      <c r="D3626" s="13">
        <v>0</v>
      </c>
      <c r="E3626" s="13">
        <v>0</v>
      </c>
      <c r="F3626" s="13">
        <v>0</v>
      </c>
      <c r="G3626" s="13">
        <v>0</v>
      </c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</row>
    <row r="3627" spans="1:19" x14ac:dyDescent="0.2">
      <c r="A3627" s="12" t="s">
        <v>479</v>
      </c>
      <c r="B3627" s="12" t="s">
        <v>571</v>
      </c>
      <c r="C3627" s="12" t="s">
        <v>554</v>
      </c>
      <c r="D3627" s="13">
        <v>883</v>
      </c>
      <c r="E3627" s="13">
        <v>923.45384200000001</v>
      </c>
      <c r="F3627" s="13">
        <v>919.22287100000005</v>
      </c>
      <c r="G3627" s="13">
        <v>914.82940299999996</v>
      </c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</row>
    <row r="3628" spans="1:19" x14ac:dyDescent="0.2">
      <c r="A3628" s="12" t="s">
        <v>479</v>
      </c>
      <c r="B3628" s="12" t="s">
        <v>571</v>
      </c>
      <c r="C3628" s="12" t="s">
        <v>555</v>
      </c>
      <c r="D3628" s="13">
        <v>78</v>
      </c>
      <c r="E3628" s="13">
        <v>87.259112999999999</v>
      </c>
      <c r="F3628" s="13">
        <v>93.916505999999998</v>
      </c>
      <c r="G3628" s="13">
        <v>85.511336999999997</v>
      </c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</row>
    <row r="3629" spans="1:19" x14ac:dyDescent="0.2">
      <c r="A3629" s="12" t="s">
        <v>479</v>
      </c>
      <c r="B3629" s="12" t="s">
        <v>571</v>
      </c>
      <c r="C3629" s="12" t="s">
        <v>556</v>
      </c>
      <c r="D3629" s="13">
        <v>-17</v>
      </c>
      <c r="E3629" s="13">
        <v>-22.223727</v>
      </c>
      <c r="F3629" s="13">
        <v>-26.917586</v>
      </c>
      <c r="G3629" s="13">
        <v>-19.424628999999999</v>
      </c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</row>
    <row r="3630" spans="1:19" x14ac:dyDescent="0.2">
      <c r="A3630" s="12" t="s">
        <v>479</v>
      </c>
      <c r="B3630" s="12" t="s">
        <v>571</v>
      </c>
      <c r="C3630" s="12" t="s">
        <v>557</v>
      </c>
      <c r="D3630" s="13">
        <v>933</v>
      </c>
      <c r="E3630" s="13">
        <v>992.94534799999997</v>
      </c>
      <c r="F3630" s="13">
        <v>981.91447300000004</v>
      </c>
      <c r="G3630" s="13">
        <v>988.9241780000001</v>
      </c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</row>
    <row r="3631" spans="1:19" x14ac:dyDescent="0.2">
      <c r="A3631" s="12" t="s">
        <v>479</v>
      </c>
      <c r="B3631" s="12" t="s">
        <v>571</v>
      </c>
      <c r="C3631" s="12" t="s">
        <v>558</v>
      </c>
      <c r="D3631" s="13">
        <v>-628</v>
      </c>
      <c r="E3631" s="13">
        <v>-672.79889800000001</v>
      </c>
      <c r="F3631" s="13">
        <v>-668.15230299999996</v>
      </c>
      <c r="G3631" s="13">
        <v>-653.11772000000008</v>
      </c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</row>
    <row r="3632" spans="1:19" x14ac:dyDescent="0.2">
      <c r="A3632" s="12" t="s">
        <v>479</v>
      </c>
      <c r="B3632" s="12" t="s">
        <v>571</v>
      </c>
      <c r="C3632" s="12" t="s">
        <v>560</v>
      </c>
      <c r="D3632" s="13">
        <v>0</v>
      </c>
      <c r="E3632" s="13">
        <v>0</v>
      </c>
      <c r="F3632" s="13">
        <v>0</v>
      </c>
      <c r="G3632" s="13">
        <v>0</v>
      </c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</row>
    <row r="3633" spans="1:19" x14ac:dyDescent="0.2">
      <c r="A3633" s="12" t="s">
        <v>479</v>
      </c>
      <c r="B3633" s="12" t="s">
        <v>571</v>
      </c>
      <c r="C3633" s="12" t="s">
        <v>561</v>
      </c>
      <c r="D3633" s="13">
        <v>312</v>
      </c>
      <c r="E3633" s="13">
        <v>311.80359800000002</v>
      </c>
      <c r="F3633" s="13">
        <v>324.03420799999998</v>
      </c>
      <c r="G3633" s="13">
        <v>332.70493299999998</v>
      </c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</row>
    <row r="3634" spans="1:19" x14ac:dyDescent="0.2">
      <c r="A3634" s="12" t="s">
        <v>479</v>
      </c>
      <c r="B3634" s="12" t="s">
        <v>571</v>
      </c>
      <c r="C3634" s="12" t="s">
        <v>562</v>
      </c>
      <c r="D3634" s="13">
        <v>202</v>
      </c>
      <c r="E3634" s="13">
        <v>199.789884</v>
      </c>
      <c r="F3634" s="13">
        <v>203.85162399999999</v>
      </c>
      <c r="G3634" s="13">
        <v>219.98532399999999</v>
      </c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</row>
    <row r="3635" spans="1:19" x14ac:dyDescent="0.2">
      <c r="A3635" s="12" t="s">
        <v>479</v>
      </c>
      <c r="B3635" s="12" t="s">
        <v>571</v>
      </c>
      <c r="C3635" s="12" t="s">
        <v>563</v>
      </c>
      <c r="D3635" s="13">
        <v>59</v>
      </c>
      <c r="E3635" s="13">
        <v>60.769074000000003</v>
      </c>
      <c r="F3635" s="13">
        <v>70.165077999999994</v>
      </c>
      <c r="G3635" s="13">
        <v>65.925801000000007</v>
      </c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</row>
    <row r="3636" spans="1:19" x14ac:dyDescent="0.2">
      <c r="A3636" s="12" t="s">
        <v>479</v>
      </c>
      <c r="B3636" s="12" t="s">
        <v>571</v>
      </c>
      <c r="C3636" s="12" t="s">
        <v>564</v>
      </c>
      <c r="D3636" s="13">
        <v>37</v>
      </c>
      <c r="E3636" s="13">
        <v>38.889941999999998</v>
      </c>
      <c r="F3636" s="13">
        <v>35.437750000000001</v>
      </c>
      <c r="G3636" s="13">
        <v>34.155810000000002</v>
      </c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</row>
    <row r="3637" spans="1:19" x14ac:dyDescent="0.2">
      <c r="A3637" s="12" t="s">
        <v>479</v>
      </c>
      <c r="B3637" s="12" t="s">
        <v>571</v>
      </c>
      <c r="C3637" s="12" t="s">
        <v>565</v>
      </c>
      <c r="D3637" s="13">
        <v>4</v>
      </c>
      <c r="E3637" s="13">
        <v>4.0038539999999996</v>
      </c>
      <c r="F3637" s="13">
        <v>3.9536579999999999</v>
      </c>
      <c r="G3637" s="13">
        <v>3.4728249999999998</v>
      </c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</row>
    <row r="3638" spans="1:19" x14ac:dyDescent="0.2">
      <c r="A3638" s="12" t="s">
        <v>479</v>
      </c>
      <c r="B3638" s="12" t="s">
        <v>571</v>
      </c>
      <c r="C3638" s="12" t="s">
        <v>566</v>
      </c>
      <c r="D3638" s="13">
        <v>9</v>
      </c>
      <c r="E3638" s="13">
        <v>8.3508449999999996</v>
      </c>
      <c r="F3638" s="13">
        <v>10.626094</v>
      </c>
      <c r="G3638" s="13">
        <v>9.1651690000000006</v>
      </c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</row>
    <row r="3639" spans="1:19" x14ac:dyDescent="0.2">
      <c r="A3639" s="12" t="s">
        <v>479</v>
      </c>
      <c r="B3639" s="12" t="s">
        <v>572</v>
      </c>
      <c r="C3639" s="12" t="s">
        <v>554</v>
      </c>
      <c r="D3639" s="13">
        <v>0</v>
      </c>
      <c r="E3639" s="13">
        <v>0</v>
      </c>
      <c r="F3639" s="13">
        <v>0</v>
      </c>
      <c r="G3639" s="13">
        <v>0</v>
      </c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</row>
    <row r="3640" spans="1:19" x14ac:dyDescent="0.2">
      <c r="A3640" s="12" t="s">
        <v>479</v>
      </c>
      <c r="B3640" s="12" t="s">
        <v>572</v>
      </c>
      <c r="C3640" s="12" t="s">
        <v>555</v>
      </c>
      <c r="D3640" s="13">
        <v>43</v>
      </c>
      <c r="E3640" s="13">
        <v>30.0276</v>
      </c>
      <c r="F3640" s="13">
        <v>22.251598999999999</v>
      </c>
      <c r="G3640" s="13">
        <v>26.388002</v>
      </c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</row>
    <row r="3641" spans="1:19" x14ac:dyDescent="0.2">
      <c r="A3641" s="12" t="s">
        <v>479</v>
      </c>
      <c r="B3641" s="12" t="s">
        <v>572</v>
      </c>
      <c r="C3641" s="12" t="s">
        <v>556</v>
      </c>
      <c r="D3641" s="13">
        <v>-133</v>
      </c>
      <c r="E3641" s="13">
        <v>-122.072401</v>
      </c>
      <c r="F3641" s="13">
        <v>-141.84</v>
      </c>
      <c r="G3641" s="13">
        <v>-128.95920100000001</v>
      </c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</row>
    <row r="3642" spans="1:19" x14ac:dyDescent="0.2">
      <c r="A3642" s="12" t="s">
        <v>479</v>
      </c>
      <c r="B3642" s="12" t="s">
        <v>572</v>
      </c>
      <c r="C3642" s="12" t="s">
        <v>557</v>
      </c>
      <c r="D3642" s="13">
        <v>-90</v>
      </c>
      <c r="E3642" s="13">
        <v>-92.044801000000007</v>
      </c>
      <c r="F3642" s="13">
        <v>-119.588402</v>
      </c>
      <c r="G3642" s="13">
        <v>-102.57119899999999</v>
      </c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</row>
    <row r="3643" spans="1:19" x14ac:dyDescent="0.2">
      <c r="A3643" s="12" t="s">
        <v>479</v>
      </c>
      <c r="B3643" s="12" t="s">
        <v>572</v>
      </c>
      <c r="C3643" s="12" t="s">
        <v>558</v>
      </c>
      <c r="D3643" s="13">
        <v>590</v>
      </c>
      <c r="E3643" s="13">
        <v>618.32520099999999</v>
      </c>
      <c r="F3643" s="13">
        <v>623.02680099999998</v>
      </c>
      <c r="G3643" s="13">
        <v>597.74399600000004</v>
      </c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</row>
    <row r="3644" spans="1:19" x14ac:dyDescent="0.2">
      <c r="A3644" s="12" t="s">
        <v>479</v>
      </c>
      <c r="B3644" s="12" t="s">
        <v>572</v>
      </c>
      <c r="C3644" s="12" t="s">
        <v>560</v>
      </c>
      <c r="D3644" s="13">
        <v>0</v>
      </c>
      <c r="E3644" s="13">
        <v>0</v>
      </c>
      <c r="F3644" s="13">
        <v>0</v>
      </c>
      <c r="G3644" s="13">
        <v>0</v>
      </c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</row>
    <row r="3645" spans="1:19" x14ac:dyDescent="0.2">
      <c r="A3645" s="12" t="s">
        <v>479</v>
      </c>
      <c r="B3645" s="12" t="s">
        <v>572</v>
      </c>
      <c r="C3645" s="12" t="s">
        <v>561</v>
      </c>
      <c r="D3645" s="13">
        <v>443</v>
      </c>
      <c r="E3645" s="13">
        <v>459.11160100000001</v>
      </c>
      <c r="F3645" s="13">
        <v>440.17200000000003</v>
      </c>
      <c r="G3645" s="13">
        <v>433.14119899999997</v>
      </c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</row>
    <row r="3646" spans="1:19" x14ac:dyDescent="0.2">
      <c r="A3646" s="12" t="s">
        <v>479</v>
      </c>
      <c r="B3646" s="12" t="s">
        <v>572</v>
      </c>
      <c r="C3646" s="12" t="s">
        <v>562</v>
      </c>
      <c r="D3646" s="13">
        <v>171</v>
      </c>
      <c r="E3646" s="13">
        <v>168.8904</v>
      </c>
      <c r="F3646" s="13">
        <v>162.489599</v>
      </c>
      <c r="G3646" s="13">
        <v>160.64999900000001</v>
      </c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</row>
    <row r="3647" spans="1:19" x14ac:dyDescent="0.2">
      <c r="A3647" s="12" t="s">
        <v>479</v>
      </c>
      <c r="B3647" s="12" t="s">
        <v>572</v>
      </c>
      <c r="C3647" s="12" t="s">
        <v>563</v>
      </c>
      <c r="D3647" s="13">
        <v>10</v>
      </c>
      <c r="E3647" s="13">
        <v>11.732402</v>
      </c>
      <c r="F3647" s="13">
        <v>14.277599</v>
      </c>
      <c r="G3647" s="13">
        <v>15.883198999999999</v>
      </c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</row>
    <row r="3648" spans="1:19" x14ac:dyDescent="0.2">
      <c r="A3648" s="12" t="s">
        <v>479</v>
      </c>
      <c r="B3648" s="12" t="s">
        <v>572</v>
      </c>
      <c r="C3648" s="12" t="s">
        <v>564</v>
      </c>
      <c r="D3648" s="13">
        <v>153</v>
      </c>
      <c r="E3648" s="13">
        <v>166.32000199999999</v>
      </c>
      <c r="F3648" s="13">
        <v>146.289601</v>
      </c>
      <c r="G3648" s="13">
        <v>142.38000099999999</v>
      </c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</row>
    <row r="3649" spans="1:19" x14ac:dyDescent="0.2">
      <c r="A3649" s="12" t="s">
        <v>479</v>
      </c>
      <c r="B3649" s="12" t="s">
        <v>572</v>
      </c>
      <c r="C3649" s="12" t="s">
        <v>565</v>
      </c>
      <c r="D3649" s="13">
        <v>105</v>
      </c>
      <c r="E3649" s="13">
        <v>107.8776</v>
      </c>
      <c r="F3649" s="13">
        <v>111.383999</v>
      </c>
      <c r="G3649" s="13">
        <v>108.77040100000001</v>
      </c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</row>
    <row r="3650" spans="1:19" x14ac:dyDescent="0.2">
      <c r="A3650" s="12" t="s">
        <v>479</v>
      </c>
      <c r="B3650" s="12" t="s">
        <v>572</v>
      </c>
      <c r="C3650" s="12" t="s">
        <v>566</v>
      </c>
      <c r="D3650" s="13">
        <v>4</v>
      </c>
      <c r="E3650" s="13">
        <v>4.2912020000000002</v>
      </c>
      <c r="F3650" s="13">
        <v>5.7312020000000006</v>
      </c>
      <c r="G3650" s="13">
        <v>5.4575979999999999</v>
      </c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</row>
    <row r="3651" spans="1:19" x14ac:dyDescent="0.2">
      <c r="A3651" s="12" t="s">
        <v>479</v>
      </c>
      <c r="B3651" s="12" t="s">
        <v>573</v>
      </c>
      <c r="C3651" s="12" t="s">
        <v>554</v>
      </c>
      <c r="D3651" s="13">
        <v>10</v>
      </c>
      <c r="E3651" s="13">
        <v>9.7607660000000003</v>
      </c>
      <c r="F3651" s="13">
        <v>9.0154779999999999</v>
      </c>
      <c r="G3651" s="13">
        <v>11.196826</v>
      </c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</row>
    <row r="3652" spans="1:19" x14ac:dyDescent="0.2">
      <c r="A3652" s="12" t="s">
        <v>479</v>
      </c>
      <c r="B3652" s="12" t="s">
        <v>573</v>
      </c>
      <c r="C3652" s="12" t="s">
        <v>555</v>
      </c>
      <c r="D3652" s="13">
        <v>0</v>
      </c>
      <c r="E3652" s="13">
        <v>0</v>
      </c>
      <c r="F3652" s="13">
        <v>0</v>
      </c>
      <c r="G3652" s="13">
        <v>0</v>
      </c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</row>
    <row r="3653" spans="1:19" x14ac:dyDescent="0.2">
      <c r="A3653" s="12" t="s">
        <v>479</v>
      </c>
      <c r="B3653" s="12" t="s">
        <v>573</v>
      </c>
      <c r="C3653" s="12" t="s">
        <v>556</v>
      </c>
      <c r="D3653" s="13">
        <v>0</v>
      </c>
      <c r="E3653" s="13">
        <v>0</v>
      </c>
      <c r="F3653" s="13">
        <v>0</v>
      </c>
      <c r="G3653" s="13">
        <v>0</v>
      </c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</row>
    <row r="3654" spans="1:19" x14ac:dyDescent="0.2">
      <c r="A3654" s="12" t="s">
        <v>479</v>
      </c>
      <c r="B3654" s="12" t="s">
        <v>573</v>
      </c>
      <c r="C3654" s="12" t="s">
        <v>557</v>
      </c>
      <c r="D3654" s="13">
        <v>10</v>
      </c>
      <c r="E3654" s="13">
        <v>9.7607660000000003</v>
      </c>
      <c r="F3654" s="13">
        <v>9.0154779999999999</v>
      </c>
      <c r="G3654" s="13">
        <v>11.196826</v>
      </c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</row>
    <row r="3655" spans="1:19" x14ac:dyDescent="0.2">
      <c r="A3655" s="12" t="s">
        <v>479</v>
      </c>
      <c r="B3655" s="12" t="s">
        <v>573</v>
      </c>
      <c r="C3655" s="12" t="s">
        <v>558</v>
      </c>
      <c r="D3655" s="13">
        <v>175</v>
      </c>
      <c r="E3655" s="13">
        <v>207.35399899999999</v>
      </c>
      <c r="F3655" s="13">
        <v>193.229997</v>
      </c>
      <c r="G3655" s="13">
        <v>197.738001</v>
      </c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</row>
    <row r="3656" spans="1:19" x14ac:dyDescent="0.2">
      <c r="A3656" s="12" t="s">
        <v>479</v>
      </c>
      <c r="B3656" s="12" t="s">
        <v>573</v>
      </c>
      <c r="C3656" s="12" t="s">
        <v>560</v>
      </c>
      <c r="D3656" s="13">
        <v>0</v>
      </c>
      <c r="E3656" s="13">
        <v>0</v>
      </c>
      <c r="F3656" s="13">
        <v>0</v>
      </c>
      <c r="G3656" s="13">
        <v>0</v>
      </c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</row>
    <row r="3657" spans="1:19" x14ac:dyDescent="0.2">
      <c r="A3657" s="12" t="s">
        <v>479</v>
      </c>
      <c r="B3657" s="12" t="s">
        <v>573</v>
      </c>
      <c r="C3657" s="12" t="s">
        <v>561</v>
      </c>
      <c r="D3657" s="13">
        <v>171</v>
      </c>
      <c r="E3657" s="13">
        <v>196.41399999999999</v>
      </c>
      <c r="F3657" s="13">
        <v>184.845001</v>
      </c>
      <c r="G3657" s="13">
        <v>192.61200099999999</v>
      </c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</row>
    <row r="3658" spans="1:19" x14ac:dyDescent="0.2">
      <c r="A3658" s="12" t="s">
        <v>479</v>
      </c>
      <c r="B3658" s="12" t="s">
        <v>573</v>
      </c>
      <c r="C3658" s="12" t="s">
        <v>562</v>
      </c>
      <c r="D3658" s="13">
        <v>24</v>
      </c>
      <c r="E3658" s="13">
        <v>26.323001999999999</v>
      </c>
      <c r="F3658" s="13">
        <v>27.315000999999999</v>
      </c>
      <c r="G3658" s="13">
        <v>27.061001000000001</v>
      </c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</row>
    <row r="3659" spans="1:19" x14ac:dyDescent="0.2">
      <c r="A3659" s="12" t="s">
        <v>479</v>
      </c>
      <c r="B3659" s="12" t="s">
        <v>573</v>
      </c>
      <c r="C3659" s="12" t="s">
        <v>563</v>
      </c>
      <c r="D3659" s="13">
        <v>0</v>
      </c>
      <c r="E3659" s="13">
        <v>0</v>
      </c>
      <c r="F3659" s="13">
        <v>0</v>
      </c>
      <c r="G3659" s="13">
        <v>0</v>
      </c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</row>
    <row r="3660" spans="1:19" x14ac:dyDescent="0.2">
      <c r="A3660" s="12" t="s">
        <v>479</v>
      </c>
      <c r="B3660" s="12" t="s">
        <v>573</v>
      </c>
      <c r="C3660" s="12" t="s">
        <v>564</v>
      </c>
      <c r="D3660" s="13">
        <v>101</v>
      </c>
      <c r="E3660" s="13">
        <v>114.95200199999999</v>
      </c>
      <c r="F3660" s="13">
        <v>106.65700099999999</v>
      </c>
      <c r="G3660" s="13">
        <v>112.108001</v>
      </c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</row>
    <row r="3661" spans="1:19" x14ac:dyDescent="0.2">
      <c r="A3661" s="12" t="s">
        <v>479</v>
      </c>
      <c r="B3661" s="12" t="s">
        <v>573</v>
      </c>
      <c r="C3661" s="12" t="s">
        <v>565</v>
      </c>
      <c r="D3661" s="13">
        <v>46</v>
      </c>
      <c r="E3661" s="13">
        <v>54.838999000000001</v>
      </c>
      <c r="F3661" s="13">
        <v>50.573002000000002</v>
      </c>
      <c r="G3661" s="13">
        <v>53.142997999999999</v>
      </c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</row>
    <row r="3662" spans="1:19" x14ac:dyDescent="0.2">
      <c r="A3662" s="12" t="s">
        <v>479</v>
      </c>
      <c r="B3662" s="12" t="s">
        <v>573</v>
      </c>
      <c r="C3662" s="12" t="s">
        <v>566</v>
      </c>
      <c r="D3662" s="13">
        <v>0</v>
      </c>
      <c r="E3662" s="13">
        <v>0.30000100000000002</v>
      </c>
      <c r="F3662" s="13">
        <v>0.30000100000000002</v>
      </c>
      <c r="G3662" s="13">
        <v>0.30000100000000002</v>
      </c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</row>
    <row r="3663" spans="1:19" x14ac:dyDescent="0.2">
      <c r="A3663" s="12" t="s">
        <v>479</v>
      </c>
      <c r="B3663" s="12" t="s">
        <v>574</v>
      </c>
      <c r="C3663" s="12" t="s">
        <v>554</v>
      </c>
      <c r="D3663" s="13">
        <v>1432</v>
      </c>
      <c r="E3663" s="13">
        <v>1513.552107</v>
      </c>
      <c r="F3663" s="13">
        <v>1496.17517</v>
      </c>
      <c r="G3663" s="13">
        <v>1455.9773680000001</v>
      </c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</row>
    <row r="3664" spans="1:19" x14ac:dyDescent="0.2">
      <c r="A3664" s="12" t="s">
        <v>479</v>
      </c>
      <c r="B3664" s="12" t="s">
        <v>574</v>
      </c>
      <c r="C3664" s="12" t="s">
        <v>555</v>
      </c>
      <c r="D3664" s="13">
        <v>1348</v>
      </c>
      <c r="E3664" s="13">
        <v>1302.9869859999999</v>
      </c>
      <c r="F3664" s="13">
        <v>1347.875072</v>
      </c>
      <c r="G3664" s="13">
        <v>1301.209204</v>
      </c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</row>
    <row r="3665" spans="1:19" x14ac:dyDescent="0.2">
      <c r="A3665" s="12" t="s">
        <v>479</v>
      </c>
      <c r="B3665" s="12" t="s">
        <v>574</v>
      </c>
      <c r="C3665" s="12" t="s">
        <v>556</v>
      </c>
      <c r="D3665" s="13">
        <v>-708</v>
      </c>
      <c r="E3665" s="13">
        <v>-854.69255700000008</v>
      </c>
      <c r="F3665" s="13">
        <v>-803.04218200000003</v>
      </c>
      <c r="G3665" s="13">
        <v>-776.13116100000002</v>
      </c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</row>
    <row r="3666" spans="1:19" x14ac:dyDescent="0.2">
      <c r="A3666" s="12" t="s">
        <v>479</v>
      </c>
      <c r="B3666" s="12" t="s">
        <v>574</v>
      </c>
      <c r="C3666" s="12" t="s">
        <v>557</v>
      </c>
      <c r="D3666" s="13">
        <v>1857</v>
      </c>
      <c r="E3666" s="13">
        <v>1988.0192950000001</v>
      </c>
      <c r="F3666" s="13">
        <v>1898.3806609999999</v>
      </c>
      <c r="G3666" s="13">
        <v>1892.0094770000001</v>
      </c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</row>
    <row r="3667" spans="1:19" x14ac:dyDescent="0.2">
      <c r="A3667" s="12" t="s">
        <v>479</v>
      </c>
      <c r="B3667" s="12" t="s">
        <v>574</v>
      </c>
      <c r="C3667" s="12" t="s">
        <v>558</v>
      </c>
      <c r="D3667" s="13">
        <v>-415</v>
      </c>
      <c r="E3667" s="13">
        <v>-446.693016</v>
      </c>
      <c r="F3667" s="13">
        <v>-436.27653099999998</v>
      </c>
      <c r="G3667" s="13">
        <v>-403.81859400000008</v>
      </c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</row>
    <row r="3668" spans="1:19" x14ac:dyDescent="0.2">
      <c r="A3668" s="12" t="s">
        <v>479</v>
      </c>
      <c r="B3668" s="12" t="s">
        <v>574</v>
      </c>
      <c r="C3668" s="12" t="s">
        <v>560</v>
      </c>
      <c r="D3668" s="13">
        <v>-18</v>
      </c>
      <c r="E3668" s="13">
        <v>-9.7320069999999994</v>
      </c>
      <c r="F3668" s="13">
        <v>-15.347884000000001</v>
      </c>
      <c r="G3668" s="13">
        <v>-13.743740000000001</v>
      </c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</row>
    <row r="3669" spans="1:19" x14ac:dyDescent="0.2">
      <c r="A3669" s="12" t="s">
        <v>479</v>
      </c>
      <c r="B3669" s="12" t="s">
        <v>574</v>
      </c>
      <c r="C3669" s="12" t="s">
        <v>561</v>
      </c>
      <c r="D3669" s="13">
        <v>1316</v>
      </c>
      <c r="E3669" s="13">
        <v>1379.7478229999999</v>
      </c>
      <c r="F3669" s="13">
        <v>1308.0779050000001</v>
      </c>
      <c r="G3669" s="13">
        <v>1328.847225</v>
      </c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</row>
    <row r="3670" spans="1:19" x14ac:dyDescent="0.2">
      <c r="A3670" s="12" t="s">
        <v>479</v>
      </c>
      <c r="B3670" s="12" t="s">
        <v>574</v>
      </c>
      <c r="C3670" s="12" t="s">
        <v>562</v>
      </c>
      <c r="D3670" s="13">
        <v>473</v>
      </c>
      <c r="E3670" s="13">
        <v>472.33687300000003</v>
      </c>
      <c r="F3670" s="13">
        <v>469.63381700000002</v>
      </c>
      <c r="G3670" s="13">
        <v>483.05377900000002</v>
      </c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</row>
    <row r="3671" spans="1:19" x14ac:dyDescent="0.2">
      <c r="A3671" s="12" t="s">
        <v>479</v>
      </c>
      <c r="B3671" s="12" t="s">
        <v>574</v>
      </c>
      <c r="C3671" s="12" t="s">
        <v>563</v>
      </c>
      <c r="D3671" s="13">
        <v>279</v>
      </c>
      <c r="E3671" s="13">
        <v>286.20908300000002</v>
      </c>
      <c r="F3671" s="13">
        <v>275.72474099999999</v>
      </c>
      <c r="G3671" s="13">
        <v>272.32475799999997</v>
      </c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</row>
    <row r="3672" spans="1:19" x14ac:dyDescent="0.2">
      <c r="A3672" s="12" t="s">
        <v>479</v>
      </c>
      <c r="B3672" s="12" t="s">
        <v>574</v>
      </c>
      <c r="C3672" s="12" t="s">
        <v>564</v>
      </c>
      <c r="D3672" s="13">
        <v>301</v>
      </c>
      <c r="E3672" s="13">
        <v>329.88210900000001</v>
      </c>
      <c r="F3672" s="13">
        <v>295.665234</v>
      </c>
      <c r="G3672" s="13">
        <v>295.16612600000002</v>
      </c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</row>
    <row r="3673" spans="1:19" x14ac:dyDescent="0.2">
      <c r="A3673" s="12" t="s">
        <v>479</v>
      </c>
      <c r="B3673" s="12" t="s">
        <v>574</v>
      </c>
      <c r="C3673" s="12" t="s">
        <v>565</v>
      </c>
      <c r="D3673" s="13">
        <v>168</v>
      </c>
      <c r="E3673" s="13">
        <v>178.54789500000001</v>
      </c>
      <c r="F3673" s="13">
        <v>176.46172899999999</v>
      </c>
      <c r="G3673" s="13">
        <v>174.441979</v>
      </c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</row>
    <row r="3674" spans="1:19" x14ac:dyDescent="0.2">
      <c r="A3674" s="12" t="s">
        <v>479</v>
      </c>
      <c r="B3674" s="12" t="s">
        <v>574</v>
      </c>
      <c r="C3674" s="12" t="s">
        <v>566</v>
      </c>
      <c r="D3674" s="13">
        <v>96</v>
      </c>
      <c r="E3674" s="13">
        <v>112.771873</v>
      </c>
      <c r="F3674" s="13">
        <v>90.592379000000008</v>
      </c>
      <c r="G3674" s="13">
        <v>103.860579</v>
      </c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</row>
    <row r="3675" spans="1:19" x14ac:dyDescent="0.2">
      <c r="A3675" s="12" t="s">
        <v>165</v>
      </c>
      <c r="B3675" s="12" t="s">
        <v>553</v>
      </c>
      <c r="C3675" s="12" t="s">
        <v>554</v>
      </c>
      <c r="D3675" s="13">
        <v>0</v>
      </c>
      <c r="E3675" s="13">
        <v>0</v>
      </c>
      <c r="F3675" s="13">
        <v>0</v>
      </c>
      <c r="G3675" s="13">
        <v>0</v>
      </c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</row>
    <row r="3676" spans="1:19" x14ac:dyDescent="0.2">
      <c r="A3676" s="12" t="s">
        <v>165</v>
      </c>
      <c r="B3676" s="12" t="s">
        <v>553</v>
      </c>
      <c r="C3676" s="12" t="s">
        <v>555</v>
      </c>
      <c r="D3676" s="13">
        <v>3</v>
      </c>
      <c r="E3676" s="13">
        <v>3.7153999999999998</v>
      </c>
      <c r="F3676" s="13">
        <v>3.8735900000000001</v>
      </c>
      <c r="G3676" s="13">
        <v>3.1434540000000002</v>
      </c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</row>
    <row r="3677" spans="1:19" x14ac:dyDescent="0.2">
      <c r="A3677" s="12" t="s">
        <v>165</v>
      </c>
      <c r="B3677" s="12" t="s">
        <v>553</v>
      </c>
      <c r="C3677" s="12" t="s">
        <v>556</v>
      </c>
      <c r="D3677" s="13">
        <v>0</v>
      </c>
      <c r="E3677" s="13">
        <v>-2.5500000000000002E-4</v>
      </c>
      <c r="F3677" s="13">
        <v>-7.4999999999999993E-5</v>
      </c>
      <c r="G3677" s="13">
        <v>-6.6319999999999999E-3</v>
      </c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</row>
    <row r="3678" spans="1:19" x14ac:dyDescent="0.2">
      <c r="A3678" s="12" t="s">
        <v>165</v>
      </c>
      <c r="B3678" s="12" t="s">
        <v>553</v>
      </c>
      <c r="C3678" s="12" t="s">
        <v>557</v>
      </c>
      <c r="D3678" s="13">
        <v>4</v>
      </c>
      <c r="E3678" s="13">
        <v>3.7256529999999999</v>
      </c>
      <c r="F3678" s="13">
        <v>3.8803429999999999</v>
      </c>
      <c r="G3678" s="13">
        <v>3.0649220000000001</v>
      </c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</row>
    <row r="3679" spans="1:19" x14ac:dyDescent="0.2">
      <c r="A3679" s="12" t="s">
        <v>165</v>
      </c>
      <c r="B3679" s="12" t="s">
        <v>553</v>
      </c>
      <c r="C3679" s="12" t="s">
        <v>558</v>
      </c>
      <c r="D3679" s="13">
        <v>0</v>
      </c>
      <c r="E3679" s="13">
        <v>0</v>
      </c>
      <c r="F3679" s="13">
        <v>0</v>
      </c>
      <c r="G3679" s="13">
        <v>0</v>
      </c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</row>
    <row r="3680" spans="1:19" x14ac:dyDescent="0.2">
      <c r="A3680" s="12" t="s">
        <v>165</v>
      </c>
      <c r="B3680" s="12" t="s">
        <v>553</v>
      </c>
      <c r="C3680" s="12" t="s">
        <v>560</v>
      </c>
      <c r="D3680" s="13">
        <v>0</v>
      </c>
      <c r="E3680" s="13">
        <v>0</v>
      </c>
      <c r="F3680" s="13">
        <v>0</v>
      </c>
      <c r="G3680" s="13">
        <v>0</v>
      </c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</row>
    <row r="3681" spans="1:19" x14ac:dyDescent="0.2">
      <c r="A3681" s="12" t="s">
        <v>165</v>
      </c>
      <c r="B3681" s="12" t="s">
        <v>553</v>
      </c>
      <c r="C3681" s="12" t="s">
        <v>561</v>
      </c>
      <c r="D3681" s="13">
        <v>4</v>
      </c>
      <c r="E3681" s="13">
        <v>3.7256529999999999</v>
      </c>
      <c r="F3681" s="13">
        <v>3.8803679999999998</v>
      </c>
      <c r="G3681" s="13">
        <v>3.0648970000000002</v>
      </c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</row>
    <row r="3682" spans="1:19" x14ac:dyDescent="0.2">
      <c r="A3682" s="12" t="s">
        <v>165</v>
      </c>
      <c r="B3682" s="12" t="s">
        <v>553</v>
      </c>
      <c r="C3682" s="12" t="s">
        <v>562</v>
      </c>
      <c r="D3682" s="13">
        <v>4</v>
      </c>
      <c r="E3682" s="13">
        <v>3.6256390000000001</v>
      </c>
      <c r="F3682" s="13">
        <v>3.8303609999999999</v>
      </c>
      <c r="G3682" s="13">
        <v>3.0148899999999998</v>
      </c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</row>
    <row r="3683" spans="1:19" x14ac:dyDescent="0.2">
      <c r="A3683" s="12" t="s">
        <v>165</v>
      </c>
      <c r="B3683" s="12" t="s">
        <v>553</v>
      </c>
      <c r="C3683" s="12" t="s">
        <v>563</v>
      </c>
      <c r="D3683" s="13">
        <v>0</v>
      </c>
      <c r="E3683" s="13">
        <v>0</v>
      </c>
      <c r="F3683" s="13">
        <v>0</v>
      </c>
      <c r="G3683" s="13">
        <v>0</v>
      </c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</row>
    <row r="3684" spans="1:19" x14ac:dyDescent="0.2">
      <c r="A3684" s="12" t="s">
        <v>165</v>
      </c>
      <c r="B3684" s="12" t="s">
        <v>553</v>
      </c>
      <c r="C3684" s="12" t="s">
        <v>564</v>
      </c>
      <c r="D3684" s="13">
        <v>0</v>
      </c>
      <c r="E3684" s="13">
        <v>0.10001</v>
      </c>
      <c r="F3684" s="13">
        <v>5.0007000000000003E-2</v>
      </c>
      <c r="G3684" s="13">
        <v>5.0007000000000003E-2</v>
      </c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</row>
    <row r="3685" spans="1:19" x14ac:dyDescent="0.2">
      <c r="A3685" s="12" t="s">
        <v>165</v>
      </c>
      <c r="B3685" s="12" t="s">
        <v>553</v>
      </c>
      <c r="C3685" s="12" t="s">
        <v>565</v>
      </c>
      <c r="D3685" s="13">
        <v>0</v>
      </c>
      <c r="E3685" s="13">
        <v>0</v>
      </c>
      <c r="F3685" s="13">
        <v>0</v>
      </c>
      <c r="G3685" s="13">
        <v>0</v>
      </c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</row>
    <row r="3686" spans="1:19" x14ac:dyDescent="0.2">
      <c r="A3686" s="12" t="s">
        <v>165</v>
      </c>
      <c r="B3686" s="12" t="s">
        <v>553</v>
      </c>
      <c r="C3686" s="12" t="s">
        <v>566</v>
      </c>
      <c r="D3686" s="13">
        <v>0</v>
      </c>
      <c r="E3686" s="13">
        <v>0</v>
      </c>
      <c r="F3686" s="13">
        <v>0</v>
      </c>
      <c r="G3686" s="13">
        <v>0</v>
      </c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</row>
    <row r="3687" spans="1:19" x14ac:dyDescent="0.2">
      <c r="A3687" s="12" t="s">
        <v>165</v>
      </c>
      <c r="B3687" s="12" t="s">
        <v>567</v>
      </c>
      <c r="C3687" s="12" t="s">
        <v>554</v>
      </c>
      <c r="D3687" s="13">
        <v>0</v>
      </c>
      <c r="E3687" s="13">
        <v>0</v>
      </c>
      <c r="F3687" s="13">
        <v>0</v>
      </c>
      <c r="G3687" s="13">
        <v>0</v>
      </c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</row>
    <row r="3688" spans="1:19" x14ac:dyDescent="0.2">
      <c r="A3688" s="12" t="s">
        <v>165</v>
      </c>
      <c r="B3688" s="12" t="s">
        <v>567</v>
      </c>
      <c r="C3688" s="12" t="s">
        <v>555</v>
      </c>
      <c r="D3688" s="13">
        <v>123</v>
      </c>
      <c r="E3688" s="13">
        <v>101.07873499999999</v>
      </c>
      <c r="F3688" s="13">
        <v>134.04214400000001</v>
      </c>
      <c r="G3688" s="13">
        <v>123.89913900000001</v>
      </c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</row>
    <row r="3689" spans="1:19" x14ac:dyDescent="0.2">
      <c r="A3689" s="12" t="s">
        <v>165</v>
      </c>
      <c r="B3689" s="12" t="s">
        <v>567</v>
      </c>
      <c r="C3689" s="12" t="s">
        <v>556</v>
      </c>
      <c r="D3689" s="13">
        <v>0</v>
      </c>
      <c r="E3689" s="13">
        <v>0</v>
      </c>
      <c r="F3689" s="13">
        <v>0</v>
      </c>
      <c r="G3689" s="13">
        <v>0</v>
      </c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</row>
    <row r="3690" spans="1:19" x14ac:dyDescent="0.2">
      <c r="A3690" s="12" t="s">
        <v>165</v>
      </c>
      <c r="B3690" s="12" t="s">
        <v>567</v>
      </c>
      <c r="C3690" s="12" t="s">
        <v>557</v>
      </c>
      <c r="D3690" s="13">
        <v>124</v>
      </c>
      <c r="E3690" s="13">
        <v>101.527191</v>
      </c>
      <c r="F3690" s="13">
        <v>133.432299</v>
      </c>
      <c r="G3690" s="13">
        <v>124.322529</v>
      </c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</row>
    <row r="3691" spans="1:19" x14ac:dyDescent="0.2">
      <c r="A3691" s="12" t="s">
        <v>165</v>
      </c>
      <c r="B3691" s="12" t="s">
        <v>567</v>
      </c>
      <c r="C3691" s="12" t="s">
        <v>558</v>
      </c>
      <c r="D3691" s="13">
        <v>0</v>
      </c>
      <c r="E3691" s="13">
        <v>0</v>
      </c>
      <c r="F3691" s="13">
        <v>0</v>
      </c>
      <c r="G3691" s="13">
        <v>0</v>
      </c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</row>
    <row r="3692" spans="1:19" x14ac:dyDescent="0.2">
      <c r="A3692" s="12" t="s">
        <v>165</v>
      </c>
      <c r="B3692" s="12" t="s">
        <v>567</v>
      </c>
      <c r="C3692" s="12" t="s">
        <v>560</v>
      </c>
      <c r="D3692" s="13">
        <v>-124</v>
      </c>
      <c r="E3692" s="13">
        <v>-101.669174</v>
      </c>
      <c r="F3692" s="13">
        <v>-133.432299</v>
      </c>
      <c r="G3692" s="13">
        <v>-124.322529</v>
      </c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</row>
    <row r="3693" spans="1:19" x14ac:dyDescent="0.2">
      <c r="A3693" s="12" t="s">
        <v>165</v>
      </c>
      <c r="B3693" s="12" t="s">
        <v>567</v>
      </c>
      <c r="C3693" s="12" t="s">
        <v>561</v>
      </c>
      <c r="D3693" s="13">
        <v>0</v>
      </c>
      <c r="E3693" s="13">
        <v>0</v>
      </c>
      <c r="F3693" s="13">
        <v>0</v>
      </c>
      <c r="G3693" s="13">
        <v>0</v>
      </c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</row>
    <row r="3694" spans="1:19" x14ac:dyDescent="0.2">
      <c r="A3694" s="12" t="s">
        <v>165</v>
      </c>
      <c r="B3694" s="12" t="s">
        <v>567</v>
      </c>
      <c r="C3694" s="12" t="s">
        <v>562</v>
      </c>
      <c r="D3694" s="13">
        <v>0</v>
      </c>
      <c r="E3694" s="13">
        <v>0</v>
      </c>
      <c r="F3694" s="13">
        <v>0</v>
      </c>
      <c r="G3694" s="13">
        <v>0</v>
      </c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</row>
    <row r="3695" spans="1:19" x14ac:dyDescent="0.2">
      <c r="A3695" s="12" t="s">
        <v>165</v>
      </c>
      <c r="B3695" s="12" t="s">
        <v>567</v>
      </c>
      <c r="C3695" s="12" t="s">
        <v>563</v>
      </c>
      <c r="D3695" s="13">
        <v>0</v>
      </c>
      <c r="E3695" s="13">
        <v>0</v>
      </c>
      <c r="F3695" s="13">
        <v>0</v>
      </c>
      <c r="G3695" s="13">
        <v>0</v>
      </c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</row>
    <row r="3696" spans="1:19" x14ac:dyDescent="0.2">
      <c r="A3696" s="12" t="s">
        <v>165</v>
      </c>
      <c r="B3696" s="12" t="s">
        <v>567</v>
      </c>
      <c r="C3696" s="12" t="s">
        <v>564</v>
      </c>
      <c r="D3696" s="13">
        <v>0</v>
      </c>
      <c r="E3696" s="13">
        <v>0</v>
      </c>
      <c r="F3696" s="13">
        <v>0</v>
      </c>
      <c r="G3696" s="13">
        <v>0</v>
      </c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</row>
    <row r="3697" spans="1:19" x14ac:dyDescent="0.2">
      <c r="A3697" s="12" t="s">
        <v>165</v>
      </c>
      <c r="B3697" s="12" t="s">
        <v>567</v>
      </c>
      <c r="C3697" s="12" t="s">
        <v>565</v>
      </c>
      <c r="D3697" s="13">
        <v>0</v>
      </c>
      <c r="E3697" s="13">
        <v>0</v>
      </c>
      <c r="F3697" s="13">
        <v>0</v>
      </c>
      <c r="G3697" s="13">
        <v>0</v>
      </c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</row>
    <row r="3698" spans="1:19" x14ac:dyDescent="0.2">
      <c r="A3698" s="12" t="s">
        <v>165</v>
      </c>
      <c r="B3698" s="12" t="s">
        <v>567</v>
      </c>
      <c r="C3698" s="12" t="s">
        <v>566</v>
      </c>
      <c r="D3698" s="13">
        <v>0</v>
      </c>
      <c r="E3698" s="13">
        <v>0</v>
      </c>
      <c r="F3698" s="13">
        <v>0</v>
      </c>
      <c r="G3698" s="13">
        <v>0</v>
      </c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</row>
    <row r="3699" spans="1:19" x14ac:dyDescent="0.2">
      <c r="A3699" s="12" t="s">
        <v>165</v>
      </c>
      <c r="B3699" s="12" t="s">
        <v>568</v>
      </c>
      <c r="C3699" s="12" t="s">
        <v>554</v>
      </c>
      <c r="D3699" s="13">
        <v>0</v>
      </c>
      <c r="E3699" s="13">
        <v>0</v>
      </c>
      <c r="F3699" s="13">
        <v>0</v>
      </c>
      <c r="G3699" s="13">
        <v>0</v>
      </c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</row>
    <row r="3700" spans="1:19" x14ac:dyDescent="0.2">
      <c r="A3700" s="12" t="s">
        <v>165</v>
      </c>
      <c r="B3700" s="12" t="s">
        <v>568</v>
      </c>
      <c r="C3700" s="12" t="s">
        <v>555</v>
      </c>
      <c r="D3700" s="13">
        <v>270</v>
      </c>
      <c r="E3700" s="13">
        <v>261.33505700000001</v>
      </c>
      <c r="F3700" s="13">
        <v>247.909471</v>
      </c>
      <c r="G3700" s="13">
        <v>287.17960799999997</v>
      </c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</row>
    <row r="3701" spans="1:19" x14ac:dyDescent="0.2">
      <c r="A3701" s="12" t="s">
        <v>165</v>
      </c>
      <c r="B3701" s="12" t="s">
        <v>568</v>
      </c>
      <c r="C3701" s="12" t="s">
        <v>556</v>
      </c>
      <c r="D3701" s="13">
        <v>-19</v>
      </c>
      <c r="E3701" s="13">
        <v>-16.122391</v>
      </c>
      <c r="F3701" s="13">
        <v>-24.845765</v>
      </c>
      <c r="G3701" s="13">
        <v>-19.103845</v>
      </c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</row>
    <row r="3702" spans="1:19" x14ac:dyDescent="0.2">
      <c r="A3702" s="12" t="s">
        <v>165</v>
      </c>
      <c r="B3702" s="12" t="s">
        <v>568</v>
      </c>
      <c r="C3702" s="12" t="s">
        <v>557</v>
      </c>
      <c r="D3702" s="13">
        <v>214</v>
      </c>
      <c r="E3702" s="13">
        <v>225.78306699999999</v>
      </c>
      <c r="F3702" s="13">
        <v>187.75290899999999</v>
      </c>
      <c r="G3702" s="13">
        <v>187.82199199999999</v>
      </c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</row>
    <row r="3703" spans="1:19" x14ac:dyDescent="0.2">
      <c r="A3703" s="12" t="s">
        <v>165</v>
      </c>
      <c r="B3703" s="12" t="s">
        <v>568</v>
      </c>
      <c r="C3703" s="12" t="s">
        <v>558</v>
      </c>
      <c r="D3703" s="13">
        <v>0</v>
      </c>
      <c r="E3703" s="13">
        <v>-0.493118</v>
      </c>
      <c r="F3703" s="13">
        <v>-0.59587000000000001</v>
      </c>
      <c r="G3703" s="13">
        <v>-0.583368</v>
      </c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</row>
    <row r="3704" spans="1:19" x14ac:dyDescent="0.2">
      <c r="A3704" s="12" t="s">
        <v>165</v>
      </c>
      <c r="B3704" s="12" t="s">
        <v>568</v>
      </c>
      <c r="C3704" s="12" t="s">
        <v>560</v>
      </c>
      <c r="D3704" s="13">
        <v>124</v>
      </c>
      <c r="E3704" s="13">
        <v>101.88550600000001</v>
      </c>
      <c r="F3704" s="13">
        <v>133.188782</v>
      </c>
      <c r="G3704" s="13">
        <v>123.301838</v>
      </c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</row>
    <row r="3705" spans="1:19" x14ac:dyDescent="0.2">
      <c r="A3705" s="12" t="s">
        <v>165</v>
      </c>
      <c r="B3705" s="12" t="s">
        <v>568</v>
      </c>
      <c r="C3705" s="12" t="s">
        <v>561</v>
      </c>
      <c r="D3705" s="13">
        <v>319</v>
      </c>
      <c r="E3705" s="13">
        <v>331.68423700000011</v>
      </c>
      <c r="F3705" s="13">
        <v>308.02887600000003</v>
      </c>
      <c r="G3705" s="13">
        <v>304.02582999999998</v>
      </c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</row>
    <row r="3706" spans="1:19" x14ac:dyDescent="0.2">
      <c r="A3706" s="12" t="s">
        <v>165</v>
      </c>
      <c r="B3706" s="12" t="s">
        <v>568</v>
      </c>
      <c r="C3706" s="12" t="s">
        <v>562</v>
      </c>
      <c r="D3706" s="13">
        <v>10</v>
      </c>
      <c r="E3706" s="13">
        <v>9.7468660000000007</v>
      </c>
      <c r="F3706" s="13">
        <v>9.5111910000000002</v>
      </c>
      <c r="G3706" s="13">
        <v>8.5437600000000007</v>
      </c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</row>
    <row r="3707" spans="1:19" x14ac:dyDescent="0.2">
      <c r="A3707" s="12" t="s">
        <v>165</v>
      </c>
      <c r="B3707" s="12" t="s">
        <v>568</v>
      </c>
      <c r="C3707" s="12" t="s">
        <v>563</v>
      </c>
      <c r="D3707" s="13">
        <v>200</v>
      </c>
      <c r="E3707" s="13">
        <v>202.79480899999999</v>
      </c>
      <c r="F3707" s="13">
        <v>200.249653</v>
      </c>
      <c r="G3707" s="13">
        <v>200.98391799999999</v>
      </c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</row>
    <row r="3708" spans="1:19" x14ac:dyDescent="0.2">
      <c r="A3708" s="12" t="s">
        <v>165</v>
      </c>
      <c r="B3708" s="12" t="s">
        <v>568</v>
      </c>
      <c r="C3708" s="12" t="s">
        <v>564</v>
      </c>
      <c r="D3708" s="13">
        <v>59</v>
      </c>
      <c r="E3708" s="13">
        <v>65.665683000000001</v>
      </c>
      <c r="F3708" s="13">
        <v>50.956161000000002</v>
      </c>
      <c r="G3708" s="13">
        <v>49.529784999999997</v>
      </c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</row>
    <row r="3709" spans="1:19" x14ac:dyDescent="0.2">
      <c r="A3709" s="12" t="s">
        <v>165</v>
      </c>
      <c r="B3709" s="12" t="s">
        <v>568</v>
      </c>
      <c r="C3709" s="12" t="s">
        <v>565</v>
      </c>
      <c r="D3709" s="13">
        <v>26</v>
      </c>
      <c r="E3709" s="13">
        <v>29.821404000000001</v>
      </c>
      <c r="F3709" s="13">
        <v>24.512383</v>
      </c>
      <c r="G3709" s="13">
        <v>24.415123000000001</v>
      </c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</row>
    <row r="3710" spans="1:19" x14ac:dyDescent="0.2">
      <c r="A3710" s="12" t="s">
        <v>165</v>
      </c>
      <c r="B3710" s="12" t="s">
        <v>568</v>
      </c>
      <c r="C3710" s="12" t="s">
        <v>566</v>
      </c>
      <c r="D3710" s="13">
        <v>24</v>
      </c>
      <c r="E3710" s="13">
        <v>23.655470000000001</v>
      </c>
      <c r="F3710" s="13">
        <v>22.799486999999999</v>
      </c>
      <c r="G3710" s="13">
        <v>20.553243999999999</v>
      </c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</row>
    <row r="3711" spans="1:19" x14ac:dyDescent="0.2">
      <c r="A3711" s="12" t="s">
        <v>165</v>
      </c>
      <c r="B3711" s="12" t="s">
        <v>569</v>
      </c>
      <c r="C3711" s="12" t="s">
        <v>554</v>
      </c>
      <c r="D3711" s="13">
        <v>0</v>
      </c>
      <c r="E3711" s="13">
        <v>0</v>
      </c>
      <c r="F3711" s="13">
        <v>0</v>
      </c>
      <c r="G3711" s="13">
        <v>0</v>
      </c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</row>
    <row r="3712" spans="1:19" x14ac:dyDescent="0.2">
      <c r="A3712" s="12" t="s">
        <v>165</v>
      </c>
      <c r="B3712" s="12" t="s">
        <v>569</v>
      </c>
      <c r="C3712" s="12" t="s">
        <v>555</v>
      </c>
      <c r="D3712" s="13">
        <v>119</v>
      </c>
      <c r="E3712" s="13">
        <v>129.84721300000001</v>
      </c>
      <c r="F3712" s="13">
        <v>106.866035</v>
      </c>
      <c r="G3712" s="13">
        <v>98.937019000000006</v>
      </c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</row>
    <row r="3713" spans="1:19" x14ac:dyDescent="0.2">
      <c r="A3713" s="12" t="s">
        <v>165</v>
      </c>
      <c r="B3713" s="12" t="s">
        <v>569</v>
      </c>
      <c r="C3713" s="12" t="s">
        <v>556</v>
      </c>
      <c r="D3713" s="13">
        <v>0</v>
      </c>
      <c r="E3713" s="13">
        <v>0</v>
      </c>
      <c r="F3713" s="13">
        <v>0</v>
      </c>
      <c r="G3713" s="13">
        <v>0</v>
      </c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</row>
    <row r="3714" spans="1:19" x14ac:dyDescent="0.2">
      <c r="A3714" s="12" t="s">
        <v>165</v>
      </c>
      <c r="B3714" s="12" t="s">
        <v>569</v>
      </c>
      <c r="C3714" s="12" t="s">
        <v>557</v>
      </c>
      <c r="D3714" s="13">
        <v>119</v>
      </c>
      <c r="E3714" s="13">
        <v>129.84721300000001</v>
      </c>
      <c r="F3714" s="13">
        <v>106.866035</v>
      </c>
      <c r="G3714" s="13">
        <v>98.937019000000006</v>
      </c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</row>
    <row r="3715" spans="1:19" x14ac:dyDescent="0.2">
      <c r="A3715" s="12" t="s">
        <v>165</v>
      </c>
      <c r="B3715" s="12" t="s">
        <v>569</v>
      </c>
      <c r="C3715" s="12" t="s">
        <v>558</v>
      </c>
      <c r="D3715" s="13">
        <v>-7</v>
      </c>
      <c r="E3715" s="13">
        <v>-6.4064189999999996</v>
      </c>
      <c r="F3715" s="13">
        <v>-5.1803899999999992</v>
      </c>
      <c r="G3715" s="13">
        <v>-6.0039550000000004</v>
      </c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</row>
    <row r="3716" spans="1:19" x14ac:dyDescent="0.2">
      <c r="A3716" s="12" t="s">
        <v>165</v>
      </c>
      <c r="B3716" s="12" t="s">
        <v>569</v>
      </c>
      <c r="C3716" s="12" t="s">
        <v>560</v>
      </c>
      <c r="D3716" s="13">
        <v>0</v>
      </c>
      <c r="E3716" s="13">
        <v>0</v>
      </c>
      <c r="F3716" s="13">
        <v>0</v>
      </c>
      <c r="G3716" s="13">
        <v>0</v>
      </c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</row>
    <row r="3717" spans="1:19" x14ac:dyDescent="0.2">
      <c r="A3717" s="12" t="s">
        <v>165</v>
      </c>
      <c r="B3717" s="12" t="s">
        <v>569</v>
      </c>
      <c r="C3717" s="12" t="s">
        <v>561</v>
      </c>
      <c r="D3717" s="13">
        <v>113</v>
      </c>
      <c r="E3717" s="13">
        <v>124.614429</v>
      </c>
      <c r="F3717" s="13">
        <v>103.071848</v>
      </c>
      <c r="G3717" s="13">
        <v>94.383032000000014</v>
      </c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</row>
    <row r="3718" spans="1:19" x14ac:dyDescent="0.2">
      <c r="A3718" s="12" t="s">
        <v>165</v>
      </c>
      <c r="B3718" s="12" t="s">
        <v>569</v>
      </c>
      <c r="C3718" s="12" t="s">
        <v>562</v>
      </c>
      <c r="D3718" s="13">
        <v>38</v>
      </c>
      <c r="E3718" s="13">
        <v>40.352307000000003</v>
      </c>
      <c r="F3718" s="13">
        <v>33.537084</v>
      </c>
      <c r="G3718" s="13">
        <v>29.762122999999999</v>
      </c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</row>
    <row r="3719" spans="1:19" x14ac:dyDescent="0.2">
      <c r="A3719" s="12" t="s">
        <v>165</v>
      </c>
      <c r="B3719" s="12" t="s">
        <v>569</v>
      </c>
      <c r="C3719" s="12" t="s">
        <v>563</v>
      </c>
      <c r="D3719" s="13">
        <v>1</v>
      </c>
      <c r="E3719" s="13">
        <v>0.75215900000000002</v>
      </c>
      <c r="F3719" s="13">
        <v>1.012594</v>
      </c>
      <c r="G3719" s="13">
        <v>0.67822400000000005</v>
      </c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</row>
    <row r="3720" spans="1:19" x14ac:dyDescent="0.2">
      <c r="A3720" s="12" t="s">
        <v>165</v>
      </c>
      <c r="B3720" s="12" t="s">
        <v>569</v>
      </c>
      <c r="C3720" s="12" t="s">
        <v>564</v>
      </c>
      <c r="D3720" s="13">
        <v>48</v>
      </c>
      <c r="E3720" s="13">
        <v>54.226588000000007</v>
      </c>
      <c r="F3720" s="13">
        <v>46.153993999999997</v>
      </c>
      <c r="G3720" s="13">
        <v>43.047359</v>
      </c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</row>
    <row r="3721" spans="1:19" x14ac:dyDescent="0.2">
      <c r="A3721" s="12" t="s">
        <v>165</v>
      </c>
      <c r="B3721" s="12" t="s">
        <v>569</v>
      </c>
      <c r="C3721" s="12" t="s">
        <v>565</v>
      </c>
      <c r="D3721" s="13">
        <v>25</v>
      </c>
      <c r="E3721" s="13">
        <v>26.762623999999999</v>
      </c>
      <c r="F3721" s="13">
        <v>20.515135999999998</v>
      </c>
      <c r="G3721" s="13">
        <v>18.671143000000001</v>
      </c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</row>
    <row r="3722" spans="1:19" x14ac:dyDescent="0.2">
      <c r="A3722" s="12" t="s">
        <v>165</v>
      </c>
      <c r="B3722" s="12" t="s">
        <v>569</v>
      </c>
      <c r="C3722" s="12" t="s">
        <v>566</v>
      </c>
      <c r="D3722" s="13">
        <v>1</v>
      </c>
      <c r="E3722" s="13">
        <v>2.5207510000000002</v>
      </c>
      <c r="F3722" s="13">
        <v>1.8530439999999999</v>
      </c>
      <c r="G3722" s="13">
        <v>2.2241789999999999</v>
      </c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</row>
    <row r="3723" spans="1:19" x14ac:dyDescent="0.2">
      <c r="A3723" s="12" t="s">
        <v>165</v>
      </c>
      <c r="B3723" s="12" t="s">
        <v>570</v>
      </c>
      <c r="C3723" s="12" t="s">
        <v>554</v>
      </c>
      <c r="D3723" s="13">
        <v>264</v>
      </c>
      <c r="E3723" s="13">
        <v>212.762001</v>
      </c>
      <c r="F3723" s="13">
        <v>264.87819900000011</v>
      </c>
      <c r="G3723" s="13">
        <v>267.43759799999998</v>
      </c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</row>
    <row r="3724" spans="1:19" x14ac:dyDescent="0.2">
      <c r="A3724" s="12" t="s">
        <v>165</v>
      </c>
      <c r="B3724" s="12" t="s">
        <v>570</v>
      </c>
      <c r="C3724" s="12" t="s">
        <v>555</v>
      </c>
      <c r="D3724" s="13">
        <v>0</v>
      </c>
      <c r="E3724" s="13">
        <v>0</v>
      </c>
      <c r="F3724" s="13">
        <v>0</v>
      </c>
      <c r="G3724" s="13">
        <v>0</v>
      </c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</row>
    <row r="3725" spans="1:19" x14ac:dyDescent="0.2">
      <c r="A3725" s="12" t="s">
        <v>165</v>
      </c>
      <c r="B3725" s="12" t="s">
        <v>570</v>
      </c>
      <c r="C3725" s="12" t="s">
        <v>556</v>
      </c>
      <c r="D3725" s="13">
        <v>0</v>
      </c>
      <c r="E3725" s="13">
        <v>0</v>
      </c>
      <c r="F3725" s="13">
        <v>0</v>
      </c>
      <c r="G3725" s="13">
        <v>0</v>
      </c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</row>
    <row r="3726" spans="1:19" x14ac:dyDescent="0.2">
      <c r="A3726" s="12" t="s">
        <v>165</v>
      </c>
      <c r="B3726" s="12" t="s">
        <v>570</v>
      </c>
      <c r="C3726" s="12" t="s">
        <v>557</v>
      </c>
      <c r="D3726" s="13">
        <v>264</v>
      </c>
      <c r="E3726" s="13">
        <v>212.762001</v>
      </c>
      <c r="F3726" s="13">
        <v>264.87819900000011</v>
      </c>
      <c r="G3726" s="13">
        <v>267.43759799999998</v>
      </c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</row>
    <row r="3727" spans="1:19" x14ac:dyDescent="0.2">
      <c r="A3727" s="12" t="s">
        <v>165</v>
      </c>
      <c r="B3727" s="12" t="s">
        <v>570</v>
      </c>
      <c r="C3727" s="12" t="s">
        <v>558</v>
      </c>
      <c r="D3727" s="13">
        <v>-264</v>
      </c>
      <c r="E3727" s="13">
        <v>-212.762001</v>
      </c>
      <c r="F3727" s="13">
        <v>-264.878199</v>
      </c>
      <c r="G3727" s="13">
        <v>-267.43760300000002</v>
      </c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</row>
    <row r="3728" spans="1:19" x14ac:dyDescent="0.2">
      <c r="A3728" s="12" t="s">
        <v>165</v>
      </c>
      <c r="B3728" s="12" t="s">
        <v>570</v>
      </c>
      <c r="C3728" s="12" t="s">
        <v>560</v>
      </c>
      <c r="D3728" s="13">
        <v>0</v>
      </c>
      <c r="E3728" s="13">
        <v>0</v>
      </c>
      <c r="F3728" s="13">
        <v>0</v>
      </c>
      <c r="G3728" s="13">
        <v>0</v>
      </c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</row>
    <row r="3729" spans="1:19" x14ac:dyDescent="0.2">
      <c r="A3729" s="12" t="s">
        <v>165</v>
      </c>
      <c r="B3729" s="12" t="s">
        <v>570</v>
      </c>
      <c r="C3729" s="12" t="s">
        <v>561</v>
      </c>
      <c r="D3729" s="13">
        <v>0</v>
      </c>
      <c r="E3729" s="13">
        <v>0</v>
      </c>
      <c r="F3729" s="13">
        <v>0</v>
      </c>
      <c r="G3729" s="13">
        <v>0</v>
      </c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</row>
    <row r="3730" spans="1:19" x14ac:dyDescent="0.2">
      <c r="A3730" s="12" t="s">
        <v>165</v>
      </c>
      <c r="B3730" s="12" t="s">
        <v>570</v>
      </c>
      <c r="C3730" s="12" t="s">
        <v>562</v>
      </c>
      <c r="D3730" s="13">
        <v>0</v>
      </c>
      <c r="E3730" s="13">
        <v>0</v>
      </c>
      <c r="F3730" s="13">
        <v>0</v>
      </c>
      <c r="G3730" s="13">
        <v>0</v>
      </c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</row>
    <row r="3731" spans="1:19" x14ac:dyDescent="0.2">
      <c r="A3731" s="12" t="s">
        <v>165</v>
      </c>
      <c r="B3731" s="12" t="s">
        <v>570</v>
      </c>
      <c r="C3731" s="12" t="s">
        <v>563</v>
      </c>
      <c r="D3731" s="13">
        <v>0</v>
      </c>
      <c r="E3731" s="13">
        <v>0</v>
      </c>
      <c r="F3731" s="13">
        <v>0</v>
      </c>
      <c r="G3731" s="13">
        <v>0</v>
      </c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</row>
    <row r="3732" spans="1:19" x14ac:dyDescent="0.2">
      <c r="A3732" s="12" t="s">
        <v>165</v>
      </c>
      <c r="B3732" s="12" t="s">
        <v>570</v>
      </c>
      <c r="C3732" s="12" t="s">
        <v>564</v>
      </c>
      <c r="D3732" s="13">
        <v>0</v>
      </c>
      <c r="E3732" s="13">
        <v>0</v>
      </c>
      <c r="F3732" s="13">
        <v>0</v>
      </c>
      <c r="G3732" s="13">
        <v>0</v>
      </c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</row>
    <row r="3733" spans="1:19" x14ac:dyDescent="0.2">
      <c r="A3733" s="12" t="s">
        <v>165</v>
      </c>
      <c r="B3733" s="12" t="s">
        <v>570</v>
      </c>
      <c r="C3733" s="12" t="s">
        <v>565</v>
      </c>
      <c r="D3733" s="13">
        <v>0</v>
      </c>
      <c r="E3733" s="13">
        <v>0</v>
      </c>
      <c r="F3733" s="13">
        <v>0</v>
      </c>
      <c r="G3733" s="13">
        <v>0</v>
      </c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</row>
    <row r="3734" spans="1:19" x14ac:dyDescent="0.2">
      <c r="A3734" s="12" t="s">
        <v>165</v>
      </c>
      <c r="B3734" s="12" t="s">
        <v>570</v>
      </c>
      <c r="C3734" s="12" t="s">
        <v>566</v>
      </c>
      <c r="D3734" s="13">
        <v>0</v>
      </c>
      <c r="E3734" s="13">
        <v>0</v>
      </c>
      <c r="F3734" s="13">
        <v>0</v>
      </c>
      <c r="G3734" s="13">
        <v>0</v>
      </c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</row>
    <row r="3735" spans="1:19" x14ac:dyDescent="0.2">
      <c r="A3735" s="12" t="s">
        <v>165</v>
      </c>
      <c r="B3735" s="12" t="s">
        <v>571</v>
      </c>
      <c r="C3735" s="12" t="s">
        <v>554</v>
      </c>
      <c r="D3735" s="13">
        <v>254</v>
      </c>
      <c r="E3735" s="13">
        <v>260.19136099999997</v>
      </c>
      <c r="F3735" s="13">
        <v>231.142132</v>
      </c>
      <c r="G3735" s="13">
        <v>263.31062800000001</v>
      </c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</row>
    <row r="3736" spans="1:19" x14ac:dyDescent="0.2">
      <c r="A3736" s="12" t="s">
        <v>165</v>
      </c>
      <c r="B3736" s="12" t="s">
        <v>571</v>
      </c>
      <c r="C3736" s="12" t="s">
        <v>555</v>
      </c>
      <c r="D3736" s="13">
        <v>14</v>
      </c>
      <c r="E3736" s="13">
        <v>12.216015000000001</v>
      </c>
      <c r="F3736" s="13">
        <v>12.839065</v>
      </c>
      <c r="G3736" s="13">
        <v>12.674440000000001</v>
      </c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</row>
    <row r="3737" spans="1:19" x14ac:dyDescent="0.2">
      <c r="A3737" s="12" t="s">
        <v>165</v>
      </c>
      <c r="B3737" s="12" t="s">
        <v>571</v>
      </c>
      <c r="C3737" s="12" t="s">
        <v>556</v>
      </c>
      <c r="D3737" s="13">
        <v>0</v>
      </c>
      <c r="E3737" s="13">
        <v>-9.0397000000000005E-2</v>
      </c>
      <c r="F3737" s="13">
        <v>-0.110611</v>
      </c>
      <c r="G3737" s="13">
        <v>-0.140262</v>
      </c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</row>
    <row r="3738" spans="1:19" x14ac:dyDescent="0.2">
      <c r="A3738" s="12" t="s">
        <v>165</v>
      </c>
      <c r="B3738" s="12" t="s">
        <v>571</v>
      </c>
      <c r="C3738" s="12" t="s">
        <v>557</v>
      </c>
      <c r="D3738" s="13">
        <v>269</v>
      </c>
      <c r="E3738" s="13">
        <v>272.43562400000002</v>
      </c>
      <c r="F3738" s="13">
        <v>243.48889299999999</v>
      </c>
      <c r="G3738" s="13">
        <v>276.05970600000001</v>
      </c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</row>
    <row r="3739" spans="1:19" x14ac:dyDescent="0.2">
      <c r="A3739" s="12" t="s">
        <v>165</v>
      </c>
      <c r="B3739" s="12" t="s">
        <v>571</v>
      </c>
      <c r="C3739" s="12" t="s">
        <v>558</v>
      </c>
      <c r="D3739" s="13">
        <v>-205</v>
      </c>
      <c r="E3739" s="13">
        <v>-203.75320500000001</v>
      </c>
      <c r="F3739" s="13">
        <v>-180.72603899999999</v>
      </c>
      <c r="G3739" s="13">
        <v>-211.23227900000001</v>
      </c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</row>
    <row r="3740" spans="1:19" x14ac:dyDescent="0.2">
      <c r="A3740" s="12" t="s">
        <v>165</v>
      </c>
      <c r="B3740" s="12" t="s">
        <v>571</v>
      </c>
      <c r="C3740" s="12" t="s">
        <v>560</v>
      </c>
      <c r="D3740" s="13">
        <v>0</v>
      </c>
      <c r="E3740" s="13">
        <v>0</v>
      </c>
      <c r="F3740" s="13">
        <v>0</v>
      </c>
      <c r="G3740" s="13">
        <v>0</v>
      </c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</row>
    <row r="3741" spans="1:19" x14ac:dyDescent="0.2">
      <c r="A3741" s="12" t="s">
        <v>165</v>
      </c>
      <c r="B3741" s="12" t="s">
        <v>571</v>
      </c>
      <c r="C3741" s="12" t="s">
        <v>561</v>
      </c>
      <c r="D3741" s="13">
        <v>63</v>
      </c>
      <c r="E3741" s="13">
        <v>67.491072999999986</v>
      </c>
      <c r="F3741" s="13">
        <v>61.425735999999993</v>
      </c>
      <c r="G3741" s="13">
        <v>63.241912000000013</v>
      </c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</row>
    <row r="3742" spans="1:19" x14ac:dyDescent="0.2">
      <c r="A3742" s="12" t="s">
        <v>165</v>
      </c>
      <c r="B3742" s="12" t="s">
        <v>571</v>
      </c>
      <c r="C3742" s="12" t="s">
        <v>562</v>
      </c>
      <c r="D3742" s="13">
        <v>21</v>
      </c>
      <c r="E3742" s="13">
        <v>23.406296999999999</v>
      </c>
      <c r="F3742" s="13">
        <v>21.818428000000001</v>
      </c>
      <c r="G3742" s="13">
        <v>21.861293</v>
      </c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</row>
    <row r="3743" spans="1:19" x14ac:dyDescent="0.2">
      <c r="A3743" s="12" t="s">
        <v>165</v>
      </c>
      <c r="B3743" s="12" t="s">
        <v>571</v>
      </c>
      <c r="C3743" s="12" t="s">
        <v>563</v>
      </c>
      <c r="D3743" s="13">
        <v>8</v>
      </c>
      <c r="E3743" s="13">
        <v>6.7629460000000003</v>
      </c>
      <c r="F3743" s="13">
        <v>6.7633479999999997</v>
      </c>
      <c r="G3743" s="13">
        <v>7.4214549999999999</v>
      </c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</row>
    <row r="3744" spans="1:19" x14ac:dyDescent="0.2">
      <c r="A3744" s="12" t="s">
        <v>165</v>
      </c>
      <c r="B3744" s="12" t="s">
        <v>571</v>
      </c>
      <c r="C3744" s="12" t="s">
        <v>564</v>
      </c>
      <c r="D3744" s="13">
        <v>18</v>
      </c>
      <c r="E3744" s="13">
        <v>20.455064</v>
      </c>
      <c r="F3744" s="13">
        <v>17.837007</v>
      </c>
      <c r="G3744" s="13">
        <v>18.383507000000002</v>
      </c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</row>
    <row r="3745" spans="1:19" x14ac:dyDescent="0.2">
      <c r="A3745" s="12" t="s">
        <v>165</v>
      </c>
      <c r="B3745" s="12" t="s">
        <v>571</v>
      </c>
      <c r="C3745" s="12" t="s">
        <v>565</v>
      </c>
      <c r="D3745" s="13">
        <v>14</v>
      </c>
      <c r="E3745" s="13">
        <v>15.366013000000001</v>
      </c>
      <c r="F3745" s="13">
        <v>13.661001000000001</v>
      </c>
      <c r="G3745" s="13">
        <v>14.128171999999999</v>
      </c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</row>
    <row r="3746" spans="1:19" x14ac:dyDescent="0.2">
      <c r="A3746" s="12" t="s">
        <v>165</v>
      </c>
      <c r="B3746" s="12" t="s">
        <v>571</v>
      </c>
      <c r="C3746" s="12" t="s">
        <v>566</v>
      </c>
      <c r="D3746" s="13">
        <v>1</v>
      </c>
      <c r="E3746" s="13">
        <v>1.50075</v>
      </c>
      <c r="F3746" s="13">
        <v>1.3459509999999999</v>
      </c>
      <c r="G3746" s="13">
        <v>1.447481</v>
      </c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</row>
    <row r="3747" spans="1:19" x14ac:dyDescent="0.2">
      <c r="A3747" s="12" t="s">
        <v>165</v>
      </c>
      <c r="B3747" s="12" t="s">
        <v>572</v>
      </c>
      <c r="C3747" s="12" t="s">
        <v>554</v>
      </c>
      <c r="D3747" s="13">
        <v>0</v>
      </c>
      <c r="E3747" s="13">
        <v>0</v>
      </c>
      <c r="F3747" s="13">
        <v>0</v>
      </c>
      <c r="G3747" s="13">
        <v>0</v>
      </c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</row>
    <row r="3748" spans="1:19" x14ac:dyDescent="0.2">
      <c r="A3748" s="12" t="s">
        <v>165</v>
      </c>
      <c r="B3748" s="12" t="s">
        <v>572</v>
      </c>
      <c r="C3748" s="12" t="s">
        <v>555</v>
      </c>
      <c r="D3748" s="13">
        <v>97</v>
      </c>
      <c r="E3748" s="13">
        <v>113.515201</v>
      </c>
      <c r="F3748" s="13">
        <v>119.221198</v>
      </c>
      <c r="G3748" s="13">
        <v>98.863201000000004</v>
      </c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</row>
    <row r="3749" spans="1:19" x14ac:dyDescent="0.2">
      <c r="A3749" s="12" t="s">
        <v>165</v>
      </c>
      <c r="B3749" s="12" t="s">
        <v>572</v>
      </c>
      <c r="C3749" s="12" t="s">
        <v>556</v>
      </c>
      <c r="D3749" s="13">
        <v>-117</v>
      </c>
      <c r="E3749" s="13">
        <v>-104.828399</v>
      </c>
      <c r="F3749" s="13">
        <v>-107.0424</v>
      </c>
      <c r="G3749" s="13">
        <v>-121.88160000000001</v>
      </c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</row>
    <row r="3750" spans="1:19" x14ac:dyDescent="0.2">
      <c r="A3750" s="12" t="s">
        <v>165</v>
      </c>
      <c r="B3750" s="12" t="s">
        <v>572</v>
      </c>
      <c r="C3750" s="12" t="s">
        <v>557</v>
      </c>
      <c r="D3750" s="13">
        <v>-20</v>
      </c>
      <c r="E3750" s="13">
        <v>8.6868020000000001</v>
      </c>
      <c r="F3750" s="13">
        <v>12.178798</v>
      </c>
      <c r="G3750" s="13">
        <v>-23.018398000000001</v>
      </c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</row>
    <row r="3751" spans="1:19" x14ac:dyDescent="0.2">
      <c r="A3751" s="12" t="s">
        <v>165</v>
      </c>
      <c r="B3751" s="12" t="s">
        <v>572</v>
      </c>
      <c r="C3751" s="12" t="s">
        <v>558</v>
      </c>
      <c r="D3751" s="13">
        <v>247</v>
      </c>
      <c r="E3751" s="13">
        <v>227.18506199999999</v>
      </c>
      <c r="F3751" s="13">
        <v>222.21232000000001</v>
      </c>
      <c r="G3751" s="13">
        <v>252.279594</v>
      </c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</row>
    <row r="3752" spans="1:19" x14ac:dyDescent="0.2">
      <c r="A3752" s="12" t="s">
        <v>165</v>
      </c>
      <c r="B3752" s="12" t="s">
        <v>572</v>
      </c>
      <c r="C3752" s="12" t="s">
        <v>560</v>
      </c>
      <c r="D3752" s="13">
        <v>0</v>
      </c>
      <c r="E3752" s="13">
        <v>0</v>
      </c>
      <c r="F3752" s="13">
        <v>0</v>
      </c>
      <c r="G3752" s="13">
        <v>0</v>
      </c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</row>
    <row r="3753" spans="1:19" x14ac:dyDescent="0.2">
      <c r="A3753" s="12" t="s">
        <v>165</v>
      </c>
      <c r="B3753" s="12" t="s">
        <v>572</v>
      </c>
      <c r="C3753" s="12" t="s">
        <v>561</v>
      </c>
      <c r="D3753" s="13">
        <v>201</v>
      </c>
      <c r="E3753" s="13">
        <v>209.21999400000001</v>
      </c>
      <c r="F3753" s="13">
        <v>205.31000399999999</v>
      </c>
      <c r="G3753" s="13">
        <v>201.849999</v>
      </c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</row>
    <row r="3754" spans="1:19" x14ac:dyDescent="0.2">
      <c r="A3754" s="12" t="s">
        <v>165</v>
      </c>
      <c r="B3754" s="12" t="s">
        <v>572</v>
      </c>
      <c r="C3754" s="12" t="s">
        <v>562</v>
      </c>
      <c r="D3754" s="13">
        <v>60</v>
      </c>
      <c r="E3754" s="13">
        <v>63.139995999999996</v>
      </c>
      <c r="F3754" s="13">
        <v>62.300002999999997</v>
      </c>
      <c r="G3754" s="13">
        <v>58.510002</v>
      </c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</row>
    <row r="3755" spans="1:19" x14ac:dyDescent="0.2">
      <c r="A3755" s="12" t="s">
        <v>165</v>
      </c>
      <c r="B3755" s="12" t="s">
        <v>572</v>
      </c>
      <c r="C3755" s="12" t="s">
        <v>563</v>
      </c>
      <c r="D3755" s="13">
        <v>11</v>
      </c>
      <c r="E3755" s="13">
        <v>12.209998000000001</v>
      </c>
      <c r="F3755" s="13">
        <v>13.080003</v>
      </c>
      <c r="G3755" s="13">
        <v>13.699997</v>
      </c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</row>
    <row r="3756" spans="1:19" x14ac:dyDescent="0.2">
      <c r="A3756" s="12" t="s">
        <v>165</v>
      </c>
      <c r="B3756" s="12" t="s">
        <v>572</v>
      </c>
      <c r="C3756" s="12" t="s">
        <v>564</v>
      </c>
      <c r="D3756" s="13">
        <v>69</v>
      </c>
      <c r="E3756" s="13">
        <v>72.609998000000004</v>
      </c>
      <c r="F3756" s="13">
        <v>69.540001000000004</v>
      </c>
      <c r="G3756" s="13">
        <v>69.179998999999995</v>
      </c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</row>
    <row r="3757" spans="1:19" x14ac:dyDescent="0.2">
      <c r="A3757" s="12" t="s">
        <v>165</v>
      </c>
      <c r="B3757" s="12" t="s">
        <v>572</v>
      </c>
      <c r="C3757" s="12" t="s">
        <v>565</v>
      </c>
      <c r="D3757" s="13">
        <v>57</v>
      </c>
      <c r="E3757" s="13">
        <v>57.790002999999999</v>
      </c>
      <c r="F3757" s="13">
        <v>56.949997000000003</v>
      </c>
      <c r="G3757" s="13">
        <v>57.139997999999999</v>
      </c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</row>
    <row r="3758" spans="1:19" x14ac:dyDescent="0.2">
      <c r="A3758" s="12" t="s">
        <v>165</v>
      </c>
      <c r="B3758" s="12" t="s">
        <v>572</v>
      </c>
      <c r="C3758" s="12" t="s">
        <v>566</v>
      </c>
      <c r="D3758" s="13">
        <v>3</v>
      </c>
      <c r="E3758" s="13">
        <v>3.4699990000000001</v>
      </c>
      <c r="F3758" s="13">
        <v>3.44</v>
      </c>
      <c r="G3758" s="13">
        <v>3.319998</v>
      </c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</row>
    <row r="3759" spans="1:19" x14ac:dyDescent="0.2">
      <c r="A3759" s="12" t="s">
        <v>165</v>
      </c>
      <c r="B3759" s="12" t="s">
        <v>573</v>
      </c>
      <c r="C3759" s="12" t="s">
        <v>554</v>
      </c>
      <c r="D3759" s="13">
        <v>0</v>
      </c>
      <c r="E3759" s="13">
        <v>0</v>
      </c>
      <c r="F3759" s="13">
        <v>0</v>
      </c>
      <c r="G3759" s="13">
        <v>0</v>
      </c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</row>
    <row r="3760" spans="1:19" x14ac:dyDescent="0.2">
      <c r="A3760" s="12" t="s">
        <v>165</v>
      </c>
      <c r="B3760" s="12" t="s">
        <v>573</v>
      </c>
      <c r="C3760" s="12" t="s">
        <v>555</v>
      </c>
      <c r="D3760" s="13">
        <v>0</v>
      </c>
      <c r="E3760" s="13">
        <v>0</v>
      </c>
      <c r="F3760" s="13">
        <v>0</v>
      </c>
      <c r="G3760" s="13">
        <v>0</v>
      </c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</row>
    <row r="3761" spans="1:19" x14ac:dyDescent="0.2">
      <c r="A3761" s="12" t="s">
        <v>165</v>
      </c>
      <c r="B3761" s="12" t="s">
        <v>573</v>
      </c>
      <c r="C3761" s="12" t="s">
        <v>556</v>
      </c>
      <c r="D3761" s="13">
        <v>0</v>
      </c>
      <c r="E3761" s="13">
        <v>0</v>
      </c>
      <c r="F3761" s="13">
        <v>0</v>
      </c>
      <c r="G3761" s="13">
        <v>0</v>
      </c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</row>
    <row r="3762" spans="1:19" x14ac:dyDescent="0.2">
      <c r="A3762" s="12" t="s">
        <v>165</v>
      </c>
      <c r="B3762" s="12" t="s">
        <v>573</v>
      </c>
      <c r="C3762" s="12" t="s">
        <v>557</v>
      </c>
      <c r="D3762" s="13">
        <v>0</v>
      </c>
      <c r="E3762" s="13">
        <v>0</v>
      </c>
      <c r="F3762" s="13">
        <v>0</v>
      </c>
      <c r="G3762" s="13">
        <v>0</v>
      </c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</row>
    <row r="3763" spans="1:19" x14ac:dyDescent="0.2">
      <c r="A3763" s="12" t="s">
        <v>165</v>
      </c>
      <c r="B3763" s="12" t="s">
        <v>573</v>
      </c>
      <c r="C3763" s="12" t="s">
        <v>558</v>
      </c>
      <c r="D3763" s="13">
        <v>24</v>
      </c>
      <c r="E3763" s="13">
        <v>25.830924</v>
      </c>
      <c r="F3763" s="13">
        <v>23.998456999999998</v>
      </c>
      <c r="G3763" s="13">
        <v>25.943138000000001</v>
      </c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</row>
    <row r="3764" spans="1:19" x14ac:dyDescent="0.2">
      <c r="A3764" s="12" t="s">
        <v>165</v>
      </c>
      <c r="B3764" s="12" t="s">
        <v>573</v>
      </c>
      <c r="C3764" s="12" t="s">
        <v>560</v>
      </c>
      <c r="D3764" s="13">
        <v>0</v>
      </c>
      <c r="E3764" s="13">
        <v>0</v>
      </c>
      <c r="F3764" s="13">
        <v>0</v>
      </c>
      <c r="G3764" s="13">
        <v>0</v>
      </c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</row>
    <row r="3765" spans="1:19" x14ac:dyDescent="0.2">
      <c r="A3765" s="12" t="s">
        <v>165</v>
      </c>
      <c r="B3765" s="12" t="s">
        <v>573</v>
      </c>
      <c r="C3765" s="12" t="s">
        <v>561</v>
      </c>
      <c r="D3765" s="13">
        <v>22</v>
      </c>
      <c r="E3765" s="13">
        <v>23.100919999999999</v>
      </c>
      <c r="F3765" s="13">
        <v>21.648455999999999</v>
      </c>
      <c r="G3765" s="13">
        <v>23.693138999999999</v>
      </c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</row>
    <row r="3766" spans="1:19" x14ac:dyDescent="0.2">
      <c r="A3766" s="12" t="s">
        <v>165</v>
      </c>
      <c r="B3766" s="12" t="s">
        <v>573</v>
      </c>
      <c r="C3766" s="12" t="s">
        <v>562</v>
      </c>
      <c r="D3766" s="13">
        <v>7</v>
      </c>
      <c r="E3766" s="13">
        <v>7.8637190000000006</v>
      </c>
      <c r="F3766" s="13">
        <v>7.8749310000000001</v>
      </c>
      <c r="G3766" s="13">
        <v>8.8358100000000004</v>
      </c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</row>
    <row r="3767" spans="1:19" x14ac:dyDescent="0.2">
      <c r="A3767" s="12" t="s">
        <v>165</v>
      </c>
      <c r="B3767" s="12" t="s">
        <v>573</v>
      </c>
      <c r="C3767" s="12" t="s">
        <v>563</v>
      </c>
      <c r="D3767" s="13">
        <v>0</v>
      </c>
      <c r="E3767" s="13">
        <v>0</v>
      </c>
      <c r="F3767" s="13">
        <v>0</v>
      </c>
      <c r="G3767" s="13">
        <v>0</v>
      </c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</row>
    <row r="3768" spans="1:19" x14ac:dyDescent="0.2">
      <c r="A3768" s="12" t="s">
        <v>165</v>
      </c>
      <c r="B3768" s="12" t="s">
        <v>573</v>
      </c>
      <c r="C3768" s="12" t="s">
        <v>564</v>
      </c>
      <c r="D3768" s="13">
        <v>9</v>
      </c>
      <c r="E3768" s="13">
        <v>9.6045400000000019</v>
      </c>
      <c r="F3768" s="13">
        <v>8.6350570000000015</v>
      </c>
      <c r="G3768" s="13">
        <v>9.9615229999999997</v>
      </c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</row>
    <row r="3769" spans="1:19" x14ac:dyDescent="0.2">
      <c r="A3769" s="12" t="s">
        <v>165</v>
      </c>
      <c r="B3769" s="12" t="s">
        <v>573</v>
      </c>
      <c r="C3769" s="12" t="s">
        <v>565</v>
      </c>
      <c r="D3769" s="13">
        <v>6</v>
      </c>
      <c r="E3769" s="13">
        <v>5.6326610000000006</v>
      </c>
      <c r="F3769" s="13">
        <v>5.1384679999999996</v>
      </c>
      <c r="G3769" s="13">
        <v>4.8958010000000014</v>
      </c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</row>
    <row r="3770" spans="1:19" x14ac:dyDescent="0.2">
      <c r="A3770" s="12" t="s">
        <v>165</v>
      </c>
      <c r="B3770" s="12" t="s">
        <v>573</v>
      </c>
      <c r="C3770" s="12" t="s">
        <v>566</v>
      </c>
      <c r="D3770" s="13">
        <v>0</v>
      </c>
      <c r="E3770" s="13">
        <v>0</v>
      </c>
      <c r="F3770" s="13">
        <v>0</v>
      </c>
      <c r="G3770" s="13">
        <v>0</v>
      </c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</row>
    <row r="3771" spans="1:19" x14ac:dyDescent="0.2">
      <c r="A3771" s="12" t="s">
        <v>165</v>
      </c>
      <c r="B3771" s="12" t="s">
        <v>574</v>
      </c>
      <c r="C3771" s="12" t="s">
        <v>554</v>
      </c>
      <c r="D3771" s="13">
        <v>518</v>
      </c>
      <c r="E3771" s="13">
        <v>472.95336300000002</v>
      </c>
      <c r="F3771" s="13">
        <v>496.020332</v>
      </c>
      <c r="G3771" s="13">
        <v>530.74822600000005</v>
      </c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</row>
    <row r="3772" spans="1:19" x14ac:dyDescent="0.2">
      <c r="A3772" s="12" t="s">
        <v>165</v>
      </c>
      <c r="B3772" s="12" t="s">
        <v>574</v>
      </c>
      <c r="C3772" s="12" t="s">
        <v>555</v>
      </c>
      <c r="D3772" s="13">
        <v>628</v>
      </c>
      <c r="E3772" s="13">
        <v>621.70761199999993</v>
      </c>
      <c r="F3772" s="13">
        <v>624.75150300000007</v>
      </c>
      <c r="G3772" s="13">
        <v>624.69685700000002</v>
      </c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</row>
    <row r="3773" spans="1:19" x14ac:dyDescent="0.2">
      <c r="A3773" s="12" t="s">
        <v>165</v>
      </c>
      <c r="B3773" s="12" t="s">
        <v>574</v>
      </c>
      <c r="C3773" s="12" t="s">
        <v>556</v>
      </c>
      <c r="D3773" s="13">
        <v>-136</v>
      </c>
      <c r="E3773" s="13">
        <v>-121.041443</v>
      </c>
      <c r="F3773" s="13">
        <v>-131.99884700000001</v>
      </c>
      <c r="G3773" s="13">
        <v>-141.13234299999999</v>
      </c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</row>
    <row r="3774" spans="1:19" x14ac:dyDescent="0.2">
      <c r="A3774" s="12" t="s">
        <v>165</v>
      </c>
      <c r="B3774" s="12" t="s">
        <v>574</v>
      </c>
      <c r="C3774" s="12" t="s">
        <v>557</v>
      </c>
      <c r="D3774" s="13">
        <v>973</v>
      </c>
      <c r="E3774" s="13">
        <v>954.76755600000001</v>
      </c>
      <c r="F3774" s="13">
        <v>952.47748100000001</v>
      </c>
      <c r="G3774" s="13">
        <v>934.62536399999999</v>
      </c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</row>
    <row r="3775" spans="1:19" x14ac:dyDescent="0.2">
      <c r="A3775" s="12" t="s">
        <v>165</v>
      </c>
      <c r="B3775" s="12" t="s">
        <v>574</v>
      </c>
      <c r="C3775" s="12" t="s">
        <v>558</v>
      </c>
      <c r="D3775" s="13">
        <v>-205</v>
      </c>
      <c r="E3775" s="13">
        <v>-170.39875799999999</v>
      </c>
      <c r="F3775" s="13">
        <v>-205.16972100000001</v>
      </c>
      <c r="G3775" s="13">
        <v>-207.034471</v>
      </c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</row>
    <row r="3776" spans="1:19" x14ac:dyDescent="0.2">
      <c r="A3776" s="12" t="s">
        <v>165</v>
      </c>
      <c r="B3776" s="12" t="s">
        <v>574</v>
      </c>
      <c r="C3776" s="12" t="s">
        <v>560</v>
      </c>
      <c r="D3776" s="13">
        <v>0</v>
      </c>
      <c r="E3776" s="13">
        <v>0.216332</v>
      </c>
      <c r="F3776" s="13">
        <v>-0.24351700000000001</v>
      </c>
      <c r="G3776" s="13">
        <v>-1.020683</v>
      </c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</row>
    <row r="3777" spans="1:19" x14ac:dyDescent="0.2">
      <c r="A3777" s="12" t="s">
        <v>165</v>
      </c>
      <c r="B3777" s="12" t="s">
        <v>574</v>
      </c>
      <c r="C3777" s="12" t="s">
        <v>561</v>
      </c>
      <c r="D3777" s="13">
        <v>721</v>
      </c>
      <c r="E3777" s="13">
        <v>759.83631100000002</v>
      </c>
      <c r="F3777" s="13">
        <v>703.36529299999995</v>
      </c>
      <c r="G3777" s="13">
        <v>690.25880799999993</v>
      </c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</row>
    <row r="3778" spans="1:19" x14ac:dyDescent="0.2">
      <c r="A3778" s="12" t="s">
        <v>165</v>
      </c>
      <c r="B3778" s="12" t="s">
        <v>574</v>
      </c>
      <c r="C3778" s="12" t="s">
        <v>562</v>
      </c>
      <c r="D3778" s="13">
        <v>140</v>
      </c>
      <c r="E3778" s="13">
        <v>148.13482500000001</v>
      </c>
      <c r="F3778" s="13">
        <v>138.87200300000001</v>
      </c>
      <c r="G3778" s="13">
        <v>130.52787799999999</v>
      </c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</row>
    <row r="3779" spans="1:19" x14ac:dyDescent="0.2">
      <c r="A3779" s="12" t="s">
        <v>165</v>
      </c>
      <c r="B3779" s="12" t="s">
        <v>574</v>
      </c>
      <c r="C3779" s="12" t="s">
        <v>563</v>
      </c>
      <c r="D3779" s="13">
        <v>220</v>
      </c>
      <c r="E3779" s="13">
        <v>222.51991699999999</v>
      </c>
      <c r="F3779" s="13">
        <v>221.105603</v>
      </c>
      <c r="G3779" s="13">
        <v>222.783593</v>
      </c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</row>
    <row r="3780" spans="1:19" x14ac:dyDescent="0.2">
      <c r="A3780" s="12" t="s">
        <v>165</v>
      </c>
      <c r="B3780" s="12" t="s">
        <v>574</v>
      </c>
      <c r="C3780" s="12" t="s">
        <v>564</v>
      </c>
      <c r="D3780" s="13">
        <v>203</v>
      </c>
      <c r="E3780" s="13">
        <v>222.66188299999999</v>
      </c>
      <c r="F3780" s="13">
        <v>193.17222799999999</v>
      </c>
      <c r="G3780" s="13">
        <v>190.15217999999999</v>
      </c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</row>
    <row r="3781" spans="1:19" x14ac:dyDescent="0.2">
      <c r="A3781" s="12" t="s">
        <v>165</v>
      </c>
      <c r="B3781" s="12" t="s">
        <v>574</v>
      </c>
      <c r="C3781" s="12" t="s">
        <v>565</v>
      </c>
      <c r="D3781" s="13">
        <v>128</v>
      </c>
      <c r="E3781" s="13">
        <v>135.372705</v>
      </c>
      <c r="F3781" s="13">
        <v>120.776984</v>
      </c>
      <c r="G3781" s="13">
        <v>119.250238</v>
      </c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</row>
    <row r="3782" spans="1:19" x14ac:dyDescent="0.2">
      <c r="A3782" s="12" t="s">
        <v>165</v>
      </c>
      <c r="B3782" s="12" t="s">
        <v>574</v>
      </c>
      <c r="C3782" s="12" t="s">
        <v>566</v>
      </c>
      <c r="D3782" s="13">
        <v>30</v>
      </c>
      <c r="E3782" s="13">
        <v>31.14697</v>
      </c>
      <c r="F3782" s="13">
        <v>29.438486999999999</v>
      </c>
      <c r="G3782" s="13">
        <v>27.544898</v>
      </c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</row>
    <row r="3783" spans="1:19" x14ac:dyDescent="0.2">
      <c r="A3783" s="12" t="s">
        <v>577</v>
      </c>
      <c r="B3783" s="12" t="s">
        <v>553</v>
      </c>
      <c r="C3783" s="12" t="s">
        <v>554</v>
      </c>
      <c r="D3783" s="13">
        <v>628</v>
      </c>
      <c r="E3783" s="13">
        <v>718.08338100000003</v>
      </c>
      <c r="F3783" s="13">
        <v>788.59547400000008</v>
      </c>
      <c r="G3783" s="13">
        <v>614.70689700000003</v>
      </c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</row>
    <row r="3784" spans="1:19" x14ac:dyDescent="0.2">
      <c r="A3784" s="12" t="s">
        <v>577</v>
      </c>
      <c r="B3784" s="12" t="s">
        <v>553</v>
      </c>
      <c r="C3784" s="12" t="s">
        <v>555</v>
      </c>
      <c r="D3784" s="13">
        <v>1067</v>
      </c>
      <c r="E3784" s="13">
        <v>1003.493003</v>
      </c>
      <c r="F3784" s="13">
        <v>1016.73848</v>
      </c>
      <c r="G3784" s="13">
        <v>1070.5075220000001</v>
      </c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</row>
    <row r="3785" spans="1:19" x14ac:dyDescent="0.2">
      <c r="A3785" s="12" t="s">
        <v>577</v>
      </c>
      <c r="B3785" s="12" t="s">
        <v>553</v>
      </c>
      <c r="C3785" s="12" t="s">
        <v>556</v>
      </c>
      <c r="D3785" s="13">
        <v>-9</v>
      </c>
      <c r="E3785" s="13">
        <v>-12.940218</v>
      </c>
      <c r="F3785" s="13">
        <v>-23.333228999999999</v>
      </c>
      <c r="G3785" s="13">
        <v>-20.725552</v>
      </c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</row>
    <row r="3786" spans="1:19" x14ac:dyDescent="0.2">
      <c r="A3786" s="12" t="s">
        <v>577</v>
      </c>
      <c r="B3786" s="12" t="s">
        <v>553</v>
      </c>
      <c r="C3786" s="12" t="s">
        <v>557</v>
      </c>
      <c r="D3786" s="13">
        <v>1674</v>
      </c>
      <c r="E3786" s="13">
        <v>1721.196314</v>
      </c>
      <c r="F3786" s="13">
        <v>1748.6273779999999</v>
      </c>
      <c r="G3786" s="13">
        <v>1671.4534960000001</v>
      </c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</row>
    <row r="3787" spans="1:19" x14ac:dyDescent="0.2">
      <c r="A3787" s="12" t="s">
        <v>577</v>
      </c>
      <c r="B3787" s="12" t="s">
        <v>553</v>
      </c>
      <c r="C3787" s="12" t="s">
        <v>558</v>
      </c>
      <c r="D3787" s="13">
        <v>-1014</v>
      </c>
      <c r="E3787" s="13">
        <v>-1019.50943</v>
      </c>
      <c r="F3787" s="13">
        <v>-1108.8891530000001</v>
      </c>
      <c r="G3787" s="13">
        <v>-1119.4133650000001</v>
      </c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</row>
    <row r="3788" spans="1:19" x14ac:dyDescent="0.2">
      <c r="A3788" s="12" t="s">
        <v>577</v>
      </c>
      <c r="B3788" s="12" t="s">
        <v>553</v>
      </c>
      <c r="C3788" s="12" t="s">
        <v>560</v>
      </c>
      <c r="D3788" s="13">
        <v>0</v>
      </c>
      <c r="E3788" s="13">
        <v>0</v>
      </c>
      <c r="F3788" s="13">
        <v>0</v>
      </c>
      <c r="G3788" s="13">
        <v>0</v>
      </c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</row>
    <row r="3789" spans="1:19" x14ac:dyDescent="0.2">
      <c r="A3789" s="12" t="s">
        <v>577</v>
      </c>
      <c r="B3789" s="12" t="s">
        <v>553</v>
      </c>
      <c r="C3789" s="12" t="s">
        <v>561</v>
      </c>
      <c r="D3789" s="13">
        <v>513</v>
      </c>
      <c r="E3789" s="13">
        <v>538.22024899999997</v>
      </c>
      <c r="F3789" s="13">
        <v>451.07824099999999</v>
      </c>
      <c r="G3789" s="13">
        <v>461.70701500000001</v>
      </c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</row>
    <row r="3790" spans="1:19" x14ac:dyDescent="0.2">
      <c r="A3790" s="12" t="s">
        <v>577</v>
      </c>
      <c r="B3790" s="12" t="s">
        <v>553</v>
      </c>
      <c r="C3790" s="12" t="s">
        <v>562</v>
      </c>
      <c r="D3790" s="13">
        <v>304</v>
      </c>
      <c r="E3790" s="13">
        <v>356.31933099999998</v>
      </c>
      <c r="F3790" s="13">
        <v>313.674575</v>
      </c>
      <c r="G3790" s="13">
        <v>321.82772299999999</v>
      </c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</row>
    <row r="3791" spans="1:19" x14ac:dyDescent="0.2">
      <c r="A3791" s="12" t="s">
        <v>577</v>
      </c>
      <c r="B3791" s="12" t="s">
        <v>553</v>
      </c>
      <c r="C3791" s="12" t="s">
        <v>563</v>
      </c>
      <c r="D3791" s="13">
        <v>0</v>
      </c>
      <c r="E3791" s="13">
        <v>0</v>
      </c>
      <c r="F3791" s="13">
        <v>0</v>
      </c>
      <c r="G3791" s="13">
        <v>0</v>
      </c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</row>
    <row r="3792" spans="1:19" x14ac:dyDescent="0.2">
      <c r="A3792" s="12" t="s">
        <v>577</v>
      </c>
      <c r="B3792" s="12" t="s">
        <v>553</v>
      </c>
      <c r="C3792" s="12" t="s">
        <v>564</v>
      </c>
      <c r="D3792" s="13">
        <v>44</v>
      </c>
      <c r="E3792" s="13">
        <v>37.901426000000001</v>
      </c>
      <c r="F3792" s="13">
        <v>30.496496</v>
      </c>
      <c r="G3792" s="13">
        <v>41.978523000000003</v>
      </c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</row>
    <row r="3793" spans="1:19" x14ac:dyDescent="0.2">
      <c r="A3793" s="12" t="s">
        <v>577</v>
      </c>
      <c r="B3793" s="12" t="s">
        <v>553</v>
      </c>
      <c r="C3793" s="12" t="s">
        <v>565</v>
      </c>
      <c r="D3793" s="13">
        <v>165</v>
      </c>
      <c r="E3793" s="13">
        <v>143.99949699999999</v>
      </c>
      <c r="F3793" s="13">
        <v>106.907166</v>
      </c>
      <c r="G3793" s="13">
        <v>97.900773000000001</v>
      </c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</row>
    <row r="3794" spans="1:19" x14ac:dyDescent="0.2">
      <c r="A3794" s="12" t="s">
        <v>577</v>
      </c>
      <c r="B3794" s="12" t="s">
        <v>553</v>
      </c>
      <c r="C3794" s="12" t="s">
        <v>566</v>
      </c>
      <c r="D3794" s="13">
        <v>0</v>
      </c>
      <c r="E3794" s="13">
        <v>0</v>
      </c>
      <c r="F3794" s="13">
        <v>0</v>
      </c>
      <c r="G3794" s="13">
        <v>0</v>
      </c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</row>
    <row r="3795" spans="1:19" x14ac:dyDescent="0.2">
      <c r="A3795" s="12" t="s">
        <v>577</v>
      </c>
      <c r="B3795" s="12" t="s">
        <v>567</v>
      </c>
      <c r="C3795" s="12" t="s">
        <v>554</v>
      </c>
      <c r="D3795" s="13">
        <v>137</v>
      </c>
      <c r="E3795" s="13">
        <v>147.30305000000001</v>
      </c>
      <c r="F3795" s="13">
        <v>153.357238</v>
      </c>
      <c r="G3795" s="13">
        <v>175.26163399999999</v>
      </c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</row>
    <row r="3796" spans="1:19" x14ac:dyDescent="0.2">
      <c r="A3796" s="12" t="s">
        <v>577</v>
      </c>
      <c r="B3796" s="12" t="s">
        <v>567</v>
      </c>
      <c r="C3796" s="12" t="s">
        <v>555</v>
      </c>
      <c r="D3796" s="13">
        <v>1272</v>
      </c>
      <c r="E3796" s="13">
        <v>1361.060217</v>
      </c>
      <c r="F3796" s="13">
        <v>1450.6936599999999</v>
      </c>
      <c r="G3796" s="13">
        <v>1362.562944</v>
      </c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</row>
    <row r="3797" spans="1:19" x14ac:dyDescent="0.2">
      <c r="A3797" s="12" t="s">
        <v>577</v>
      </c>
      <c r="B3797" s="12" t="s">
        <v>567</v>
      </c>
      <c r="C3797" s="12" t="s">
        <v>556</v>
      </c>
      <c r="D3797" s="13">
        <v>-29</v>
      </c>
      <c r="E3797" s="13">
        <v>-24.958306</v>
      </c>
      <c r="F3797" s="13">
        <v>-20.411898000000001</v>
      </c>
      <c r="G3797" s="13">
        <v>-52.556179999999998</v>
      </c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</row>
    <row r="3798" spans="1:19" x14ac:dyDescent="0.2">
      <c r="A3798" s="12" t="s">
        <v>577</v>
      </c>
      <c r="B3798" s="12" t="s">
        <v>567</v>
      </c>
      <c r="C3798" s="12" t="s">
        <v>557</v>
      </c>
      <c r="D3798" s="13">
        <v>1390</v>
      </c>
      <c r="E3798" s="13">
        <v>1465.6434670000001</v>
      </c>
      <c r="F3798" s="13">
        <v>1573.827297</v>
      </c>
      <c r="G3798" s="13">
        <v>1507.353482</v>
      </c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</row>
    <row r="3799" spans="1:19" x14ac:dyDescent="0.2">
      <c r="A3799" s="12" t="s">
        <v>577</v>
      </c>
      <c r="B3799" s="12" t="s">
        <v>567</v>
      </c>
      <c r="C3799" s="12" t="s">
        <v>558</v>
      </c>
      <c r="D3799" s="13">
        <v>0</v>
      </c>
      <c r="E3799" s="13">
        <v>0</v>
      </c>
      <c r="F3799" s="13">
        <v>0</v>
      </c>
      <c r="G3799" s="13">
        <v>0</v>
      </c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</row>
    <row r="3800" spans="1:19" x14ac:dyDescent="0.2">
      <c r="A3800" s="12" t="s">
        <v>577</v>
      </c>
      <c r="B3800" s="12" t="s">
        <v>567</v>
      </c>
      <c r="C3800" s="12" t="s">
        <v>560</v>
      </c>
      <c r="D3800" s="13">
        <v>-1527</v>
      </c>
      <c r="E3800" s="13">
        <v>-1630.533275</v>
      </c>
      <c r="F3800" s="13">
        <v>-1761.0158349999999</v>
      </c>
      <c r="G3800" s="13">
        <v>-1736.259014</v>
      </c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</row>
    <row r="3801" spans="1:19" x14ac:dyDescent="0.2">
      <c r="A3801" s="12" t="s">
        <v>577</v>
      </c>
      <c r="B3801" s="12" t="s">
        <v>567</v>
      </c>
      <c r="C3801" s="12" t="s">
        <v>561</v>
      </c>
      <c r="D3801" s="13">
        <v>0</v>
      </c>
      <c r="E3801" s="13">
        <v>0</v>
      </c>
      <c r="F3801" s="13">
        <v>0</v>
      </c>
      <c r="G3801" s="13">
        <v>0</v>
      </c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</row>
    <row r="3802" spans="1:19" x14ac:dyDescent="0.2">
      <c r="A3802" s="12" t="s">
        <v>577</v>
      </c>
      <c r="B3802" s="12" t="s">
        <v>567</v>
      </c>
      <c r="C3802" s="12" t="s">
        <v>562</v>
      </c>
      <c r="D3802" s="13">
        <v>0</v>
      </c>
      <c r="E3802" s="13">
        <v>0</v>
      </c>
      <c r="F3802" s="13">
        <v>0</v>
      </c>
      <c r="G3802" s="13">
        <v>0</v>
      </c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</row>
    <row r="3803" spans="1:19" x14ac:dyDescent="0.2">
      <c r="A3803" s="12" t="s">
        <v>577</v>
      </c>
      <c r="B3803" s="12" t="s">
        <v>567</v>
      </c>
      <c r="C3803" s="12" t="s">
        <v>563</v>
      </c>
      <c r="D3803" s="13">
        <v>0</v>
      </c>
      <c r="E3803" s="13">
        <v>0</v>
      </c>
      <c r="F3803" s="13">
        <v>0</v>
      </c>
      <c r="G3803" s="13">
        <v>0</v>
      </c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</row>
    <row r="3804" spans="1:19" x14ac:dyDescent="0.2">
      <c r="A3804" s="12" t="s">
        <v>577</v>
      </c>
      <c r="B3804" s="12" t="s">
        <v>567</v>
      </c>
      <c r="C3804" s="12" t="s">
        <v>564</v>
      </c>
      <c r="D3804" s="13">
        <v>0</v>
      </c>
      <c r="E3804" s="13">
        <v>0</v>
      </c>
      <c r="F3804" s="13">
        <v>0</v>
      </c>
      <c r="G3804" s="13">
        <v>0</v>
      </c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</row>
    <row r="3805" spans="1:19" x14ac:dyDescent="0.2">
      <c r="A3805" s="12" t="s">
        <v>577</v>
      </c>
      <c r="B3805" s="12" t="s">
        <v>567</v>
      </c>
      <c r="C3805" s="12" t="s">
        <v>565</v>
      </c>
      <c r="D3805" s="13">
        <v>0</v>
      </c>
      <c r="E3805" s="13">
        <v>0</v>
      </c>
      <c r="F3805" s="13">
        <v>0</v>
      </c>
      <c r="G3805" s="13">
        <v>0</v>
      </c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</row>
    <row r="3806" spans="1:19" x14ac:dyDescent="0.2">
      <c r="A3806" s="12" t="s">
        <v>577</v>
      </c>
      <c r="B3806" s="12" t="s">
        <v>567</v>
      </c>
      <c r="C3806" s="12" t="s">
        <v>566</v>
      </c>
      <c r="D3806" s="13">
        <v>0</v>
      </c>
      <c r="E3806" s="13">
        <v>0</v>
      </c>
      <c r="F3806" s="13">
        <v>0</v>
      </c>
      <c r="G3806" s="13">
        <v>0</v>
      </c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</row>
    <row r="3807" spans="1:19" x14ac:dyDescent="0.2">
      <c r="A3807" s="12" t="s">
        <v>577</v>
      </c>
      <c r="B3807" s="12" t="s">
        <v>568</v>
      </c>
      <c r="C3807" s="12" t="s">
        <v>554</v>
      </c>
      <c r="D3807" s="13">
        <v>0</v>
      </c>
      <c r="E3807" s="13">
        <v>0</v>
      </c>
      <c r="F3807" s="13">
        <v>0</v>
      </c>
      <c r="G3807" s="13">
        <v>0</v>
      </c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</row>
    <row r="3808" spans="1:19" x14ac:dyDescent="0.2">
      <c r="A3808" s="12" t="s">
        <v>577</v>
      </c>
      <c r="B3808" s="12" t="s">
        <v>568</v>
      </c>
      <c r="C3808" s="12" t="s">
        <v>555</v>
      </c>
      <c r="D3808" s="13">
        <v>743</v>
      </c>
      <c r="E3808" s="13">
        <v>775.05872900000008</v>
      </c>
      <c r="F3808" s="13">
        <v>840.96459199999993</v>
      </c>
      <c r="G3808" s="13">
        <v>1052.7374950000001</v>
      </c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</row>
    <row r="3809" spans="1:19" x14ac:dyDescent="0.2">
      <c r="A3809" s="12" t="s">
        <v>577</v>
      </c>
      <c r="B3809" s="12" t="s">
        <v>568</v>
      </c>
      <c r="C3809" s="12" t="s">
        <v>556</v>
      </c>
      <c r="D3809" s="13">
        <v>-293</v>
      </c>
      <c r="E3809" s="13">
        <v>-291.30372299999999</v>
      </c>
      <c r="F3809" s="13">
        <v>-375.12544000000003</v>
      </c>
      <c r="G3809" s="13">
        <v>-379.644567</v>
      </c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</row>
    <row r="3810" spans="1:19" x14ac:dyDescent="0.2">
      <c r="A3810" s="12" t="s">
        <v>577</v>
      </c>
      <c r="B3810" s="12" t="s">
        <v>568</v>
      </c>
      <c r="C3810" s="12" t="s">
        <v>557</v>
      </c>
      <c r="D3810" s="13">
        <v>354</v>
      </c>
      <c r="E3810" s="13">
        <v>352.58400999999998</v>
      </c>
      <c r="F3810" s="13">
        <v>275.82625400000001</v>
      </c>
      <c r="G3810" s="13">
        <v>430.20533499999999</v>
      </c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</row>
    <row r="3811" spans="1:19" x14ac:dyDescent="0.2">
      <c r="A3811" s="12" t="s">
        <v>577</v>
      </c>
      <c r="B3811" s="12" t="s">
        <v>568</v>
      </c>
      <c r="C3811" s="12" t="s">
        <v>558</v>
      </c>
      <c r="D3811" s="13">
        <v>-4</v>
      </c>
      <c r="E3811" s="13">
        <v>-3.3229869999999999</v>
      </c>
      <c r="F3811" s="13">
        <v>-13.29067</v>
      </c>
      <c r="G3811" s="13">
        <v>-13.258512</v>
      </c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</row>
    <row r="3812" spans="1:19" x14ac:dyDescent="0.2">
      <c r="A3812" s="12" t="s">
        <v>577</v>
      </c>
      <c r="B3812" s="12" t="s">
        <v>568</v>
      </c>
      <c r="C3812" s="12" t="s">
        <v>560</v>
      </c>
      <c r="D3812" s="13">
        <v>1490</v>
      </c>
      <c r="E3812" s="13">
        <v>1594.2917560000001</v>
      </c>
      <c r="F3812" s="13">
        <v>1726.153971</v>
      </c>
      <c r="G3812" s="13">
        <v>1700.1187159999999</v>
      </c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</row>
    <row r="3813" spans="1:19" x14ac:dyDescent="0.2">
      <c r="A3813" s="12" t="s">
        <v>577</v>
      </c>
      <c r="B3813" s="12" t="s">
        <v>568</v>
      </c>
      <c r="C3813" s="12" t="s">
        <v>561</v>
      </c>
      <c r="D3813" s="13">
        <v>1671</v>
      </c>
      <c r="E3813" s="13">
        <v>1738.9336510000001</v>
      </c>
      <c r="F3813" s="13">
        <v>1734.8182400000001</v>
      </c>
      <c r="G3813" s="13">
        <v>1845.638205</v>
      </c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</row>
    <row r="3814" spans="1:19" x14ac:dyDescent="0.2">
      <c r="A3814" s="12" t="s">
        <v>577</v>
      </c>
      <c r="B3814" s="12" t="s">
        <v>568</v>
      </c>
      <c r="C3814" s="12" t="s">
        <v>562</v>
      </c>
      <c r="D3814" s="13">
        <v>170</v>
      </c>
      <c r="E3814" s="13">
        <v>139.43050099999999</v>
      </c>
      <c r="F3814" s="13">
        <v>150.23288400000001</v>
      </c>
      <c r="G3814" s="13">
        <v>145.532871</v>
      </c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</row>
    <row r="3815" spans="1:19" x14ac:dyDescent="0.2">
      <c r="A3815" s="12" t="s">
        <v>577</v>
      </c>
      <c r="B3815" s="12" t="s">
        <v>568</v>
      </c>
      <c r="C3815" s="12" t="s">
        <v>563</v>
      </c>
      <c r="D3815" s="13">
        <v>1086</v>
      </c>
      <c r="E3815" s="13">
        <v>1229.8451729999999</v>
      </c>
      <c r="F3815" s="13">
        <v>1239.5408930000001</v>
      </c>
      <c r="G3815" s="13">
        <v>1342.6987630000001</v>
      </c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</row>
    <row r="3816" spans="1:19" x14ac:dyDescent="0.2">
      <c r="A3816" s="12" t="s">
        <v>577</v>
      </c>
      <c r="B3816" s="12" t="s">
        <v>568</v>
      </c>
      <c r="C3816" s="12" t="s">
        <v>564</v>
      </c>
      <c r="D3816" s="13">
        <v>19</v>
      </c>
      <c r="E3816" s="13">
        <v>17.779250000000001</v>
      </c>
      <c r="F3816" s="13">
        <v>15.545672</v>
      </c>
      <c r="G3816" s="13">
        <v>15.765224</v>
      </c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</row>
    <row r="3817" spans="1:19" x14ac:dyDescent="0.2">
      <c r="A3817" s="12" t="s">
        <v>577</v>
      </c>
      <c r="B3817" s="12" t="s">
        <v>568</v>
      </c>
      <c r="C3817" s="12" t="s">
        <v>565</v>
      </c>
      <c r="D3817" s="13">
        <v>20</v>
      </c>
      <c r="E3817" s="13">
        <v>18.727255</v>
      </c>
      <c r="F3817" s="13">
        <v>15.432577999999999</v>
      </c>
      <c r="G3817" s="13">
        <v>16.150732000000001</v>
      </c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</row>
    <row r="3818" spans="1:19" x14ac:dyDescent="0.2">
      <c r="A3818" s="12" t="s">
        <v>577</v>
      </c>
      <c r="B3818" s="12" t="s">
        <v>568</v>
      </c>
      <c r="C3818" s="12" t="s">
        <v>566</v>
      </c>
      <c r="D3818" s="13">
        <v>377</v>
      </c>
      <c r="E3818" s="13">
        <v>333.15147599999989</v>
      </c>
      <c r="F3818" s="13">
        <v>314.06621200000001</v>
      </c>
      <c r="G3818" s="13">
        <v>325.49061499999999</v>
      </c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</row>
    <row r="3819" spans="1:19" x14ac:dyDescent="0.2">
      <c r="A3819" s="12" t="s">
        <v>577</v>
      </c>
      <c r="B3819" s="12" t="s">
        <v>569</v>
      </c>
      <c r="C3819" s="12" t="s">
        <v>554</v>
      </c>
      <c r="D3819" s="13">
        <v>15</v>
      </c>
      <c r="E3819" s="13">
        <v>13.597353</v>
      </c>
      <c r="F3819" s="13">
        <v>13.093417000000001</v>
      </c>
      <c r="G3819" s="13">
        <v>27.827030000000001</v>
      </c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</row>
    <row r="3820" spans="1:19" x14ac:dyDescent="0.2">
      <c r="A3820" s="12" t="s">
        <v>577</v>
      </c>
      <c r="B3820" s="12" t="s">
        <v>569</v>
      </c>
      <c r="C3820" s="12" t="s">
        <v>555</v>
      </c>
      <c r="D3820" s="13">
        <v>1659</v>
      </c>
      <c r="E3820" s="13">
        <v>2023.7256110000001</v>
      </c>
      <c r="F3820" s="13">
        <v>1884.3846570000001</v>
      </c>
      <c r="G3820" s="13">
        <v>1740.356522</v>
      </c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</row>
    <row r="3821" spans="1:19" x14ac:dyDescent="0.2">
      <c r="A3821" s="12" t="s">
        <v>577</v>
      </c>
      <c r="B3821" s="12" t="s">
        <v>569</v>
      </c>
      <c r="C3821" s="12" t="s">
        <v>556</v>
      </c>
      <c r="D3821" s="13">
        <v>-20</v>
      </c>
      <c r="E3821" s="13">
        <v>-13.198795</v>
      </c>
      <c r="F3821" s="13">
        <v>-20.044329999999999</v>
      </c>
      <c r="G3821" s="13">
        <v>-30.897829999999999</v>
      </c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</row>
    <row r="3822" spans="1:19" x14ac:dyDescent="0.2">
      <c r="A3822" s="12" t="s">
        <v>577</v>
      </c>
      <c r="B3822" s="12" t="s">
        <v>569</v>
      </c>
      <c r="C3822" s="12" t="s">
        <v>557</v>
      </c>
      <c r="D3822" s="13">
        <v>1663</v>
      </c>
      <c r="E3822" s="13">
        <v>2056.4546890000001</v>
      </c>
      <c r="F3822" s="13">
        <v>1759.524032</v>
      </c>
      <c r="G3822" s="13">
        <v>1733.5646409999999</v>
      </c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</row>
    <row r="3823" spans="1:19" x14ac:dyDescent="0.2">
      <c r="A3823" s="12" t="s">
        <v>577</v>
      </c>
      <c r="B3823" s="12" t="s">
        <v>569</v>
      </c>
      <c r="C3823" s="12" t="s">
        <v>558</v>
      </c>
      <c r="D3823" s="13">
        <v>-465</v>
      </c>
      <c r="E3823" s="13">
        <v>-706.24121400000001</v>
      </c>
      <c r="F3823" s="13">
        <v>-482.70598999999999</v>
      </c>
      <c r="G3823" s="13">
        <v>-445.12818299999998</v>
      </c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</row>
    <row r="3824" spans="1:19" x14ac:dyDescent="0.2">
      <c r="A3824" s="12" t="s">
        <v>577</v>
      </c>
      <c r="B3824" s="12" t="s">
        <v>569</v>
      </c>
      <c r="C3824" s="12" t="s">
        <v>560</v>
      </c>
      <c r="D3824" s="13">
        <v>0</v>
      </c>
      <c r="E3824" s="13">
        <v>0</v>
      </c>
      <c r="F3824" s="13">
        <v>0</v>
      </c>
      <c r="G3824" s="13">
        <v>0</v>
      </c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</row>
    <row r="3825" spans="1:19" x14ac:dyDescent="0.2">
      <c r="A3825" s="12" t="s">
        <v>577</v>
      </c>
      <c r="B3825" s="12" t="s">
        <v>569</v>
      </c>
      <c r="C3825" s="12" t="s">
        <v>561</v>
      </c>
      <c r="D3825" s="13">
        <v>1116</v>
      </c>
      <c r="E3825" s="13">
        <v>1250.2223489999999</v>
      </c>
      <c r="F3825" s="13">
        <v>1242.0663460000001</v>
      </c>
      <c r="G3825" s="13">
        <v>1185.550947</v>
      </c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</row>
    <row r="3826" spans="1:19" x14ac:dyDescent="0.2">
      <c r="A3826" s="12" t="s">
        <v>577</v>
      </c>
      <c r="B3826" s="12" t="s">
        <v>569</v>
      </c>
      <c r="C3826" s="12" t="s">
        <v>562</v>
      </c>
      <c r="D3826" s="13">
        <v>389</v>
      </c>
      <c r="E3826" s="13">
        <v>461.27562</v>
      </c>
      <c r="F3826" s="13">
        <v>378.97737499999999</v>
      </c>
      <c r="G3826" s="13">
        <v>367.31635899999998</v>
      </c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</row>
    <row r="3827" spans="1:19" x14ac:dyDescent="0.2">
      <c r="A3827" s="12" t="s">
        <v>577</v>
      </c>
      <c r="B3827" s="12" t="s">
        <v>569</v>
      </c>
      <c r="C3827" s="12" t="s">
        <v>563</v>
      </c>
      <c r="D3827" s="13">
        <v>9</v>
      </c>
      <c r="E3827" s="13">
        <v>10.804778000000001</v>
      </c>
      <c r="F3827" s="13">
        <v>10.786436</v>
      </c>
      <c r="G3827" s="13">
        <v>8.4074210000000011</v>
      </c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</row>
    <row r="3828" spans="1:19" x14ac:dyDescent="0.2">
      <c r="A3828" s="12" t="s">
        <v>577</v>
      </c>
      <c r="B3828" s="12" t="s">
        <v>569</v>
      </c>
      <c r="C3828" s="12" t="s">
        <v>564</v>
      </c>
      <c r="D3828" s="13">
        <v>538</v>
      </c>
      <c r="E3828" s="13">
        <v>574.96568300000001</v>
      </c>
      <c r="F3828" s="13">
        <v>620.77507800000001</v>
      </c>
      <c r="G3828" s="13">
        <v>584.89392099999998</v>
      </c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</row>
    <row r="3829" spans="1:19" x14ac:dyDescent="0.2">
      <c r="A3829" s="12" t="s">
        <v>577</v>
      </c>
      <c r="B3829" s="12" t="s">
        <v>569</v>
      </c>
      <c r="C3829" s="12" t="s">
        <v>565</v>
      </c>
      <c r="D3829" s="13">
        <v>148</v>
      </c>
      <c r="E3829" s="13">
        <v>164.55129700000001</v>
      </c>
      <c r="F3829" s="13">
        <v>202.34245000000001</v>
      </c>
      <c r="G3829" s="13">
        <v>183.57778200000001</v>
      </c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</row>
    <row r="3830" spans="1:19" x14ac:dyDescent="0.2">
      <c r="A3830" s="12" t="s">
        <v>577</v>
      </c>
      <c r="B3830" s="12" t="s">
        <v>569</v>
      </c>
      <c r="C3830" s="12" t="s">
        <v>566</v>
      </c>
      <c r="D3830" s="13">
        <v>33</v>
      </c>
      <c r="E3830" s="13">
        <v>38.624975999999997</v>
      </c>
      <c r="F3830" s="13">
        <v>29.185006000000001</v>
      </c>
      <c r="G3830" s="13">
        <v>41.355468000000002</v>
      </c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</row>
    <row r="3831" spans="1:19" x14ac:dyDescent="0.2">
      <c r="A3831" s="12" t="s">
        <v>577</v>
      </c>
      <c r="B3831" s="12" t="s">
        <v>570</v>
      </c>
      <c r="C3831" s="12" t="s">
        <v>554</v>
      </c>
      <c r="D3831" s="13">
        <v>0</v>
      </c>
      <c r="E3831" s="13">
        <v>0</v>
      </c>
      <c r="F3831" s="13">
        <v>0</v>
      </c>
      <c r="G3831" s="13">
        <v>0</v>
      </c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</row>
    <row r="3832" spans="1:19" x14ac:dyDescent="0.2">
      <c r="A3832" s="12" t="s">
        <v>577</v>
      </c>
      <c r="B3832" s="12" t="s">
        <v>570</v>
      </c>
      <c r="C3832" s="12" t="s">
        <v>555</v>
      </c>
      <c r="D3832" s="13">
        <v>0</v>
      </c>
      <c r="E3832" s="13">
        <v>0</v>
      </c>
      <c r="F3832" s="13">
        <v>0</v>
      </c>
      <c r="G3832" s="13">
        <v>0</v>
      </c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</row>
    <row r="3833" spans="1:19" x14ac:dyDescent="0.2">
      <c r="A3833" s="12" t="s">
        <v>577</v>
      </c>
      <c r="B3833" s="12" t="s">
        <v>570</v>
      </c>
      <c r="C3833" s="12" t="s">
        <v>556</v>
      </c>
      <c r="D3833" s="13">
        <v>0</v>
      </c>
      <c r="E3833" s="13">
        <v>0</v>
      </c>
      <c r="F3833" s="13">
        <v>0</v>
      </c>
      <c r="G3833" s="13">
        <v>0</v>
      </c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</row>
    <row r="3834" spans="1:19" x14ac:dyDescent="0.2">
      <c r="A3834" s="12" t="s">
        <v>577</v>
      </c>
      <c r="B3834" s="12" t="s">
        <v>570</v>
      </c>
      <c r="C3834" s="12" t="s">
        <v>557</v>
      </c>
      <c r="D3834" s="13">
        <v>0</v>
      </c>
      <c r="E3834" s="13">
        <v>0</v>
      </c>
      <c r="F3834" s="13">
        <v>0</v>
      </c>
      <c r="G3834" s="13">
        <v>0</v>
      </c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</row>
    <row r="3835" spans="1:19" x14ac:dyDescent="0.2">
      <c r="A3835" s="12" t="s">
        <v>577</v>
      </c>
      <c r="B3835" s="12" t="s">
        <v>570</v>
      </c>
      <c r="C3835" s="12" t="s">
        <v>558</v>
      </c>
      <c r="D3835" s="13">
        <v>0</v>
      </c>
      <c r="E3835" s="13">
        <v>0</v>
      </c>
      <c r="F3835" s="13">
        <v>0</v>
      </c>
      <c r="G3835" s="13">
        <v>0</v>
      </c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</row>
    <row r="3836" spans="1:19" x14ac:dyDescent="0.2">
      <c r="A3836" s="12" t="s">
        <v>577</v>
      </c>
      <c r="B3836" s="12" t="s">
        <v>570</v>
      </c>
      <c r="C3836" s="12" t="s">
        <v>560</v>
      </c>
      <c r="D3836" s="13">
        <v>0</v>
      </c>
      <c r="E3836" s="13">
        <v>0</v>
      </c>
      <c r="F3836" s="13">
        <v>0</v>
      </c>
      <c r="G3836" s="13">
        <v>0</v>
      </c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</row>
    <row r="3837" spans="1:19" x14ac:dyDescent="0.2">
      <c r="A3837" s="12" t="s">
        <v>577</v>
      </c>
      <c r="B3837" s="12" t="s">
        <v>570</v>
      </c>
      <c r="C3837" s="12" t="s">
        <v>561</v>
      </c>
      <c r="D3837" s="13">
        <v>0</v>
      </c>
      <c r="E3837" s="13">
        <v>0</v>
      </c>
      <c r="F3837" s="13">
        <v>0</v>
      </c>
      <c r="G3837" s="13">
        <v>0</v>
      </c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</row>
    <row r="3838" spans="1:19" x14ac:dyDescent="0.2">
      <c r="A3838" s="12" t="s">
        <v>577</v>
      </c>
      <c r="B3838" s="12" t="s">
        <v>570</v>
      </c>
      <c r="C3838" s="12" t="s">
        <v>562</v>
      </c>
      <c r="D3838" s="13">
        <v>0</v>
      </c>
      <c r="E3838" s="13">
        <v>0</v>
      </c>
      <c r="F3838" s="13">
        <v>0</v>
      </c>
      <c r="G3838" s="13">
        <v>0</v>
      </c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</row>
    <row r="3839" spans="1:19" x14ac:dyDescent="0.2">
      <c r="A3839" s="12" t="s">
        <v>577</v>
      </c>
      <c r="B3839" s="12" t="s">
        <v>570</v>
      </c>
      <c r="C3839" s="12" t="s">
        <v>563</v>
      </c>
      <c r="D3839" s="13">
        <v>0</v>
      </c>
      <c r="E3839" s="13">
        <v>0</v>
      </c>
      <c r="F3839" s="13">
        <v>0</v>
      </c>
      <c r="G3839" s="13">
        <v>0</v>
      </c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</row>
    <row r="3840" spans="1:19" x14ac:dyDescent="0.2">
      <c r="A3840" s="12" t="s">
        <v>577</v>
      </c>
      <c r="B3840" s="12" t="s">
        <v>570</v>
      </c>
      <c r="C3840" s="12" t="s">
        <v>564</v>
      </c>
      <c r="D3840" s="13">
        <v>0</v>
      </c>
      <c r="E3840" s="13">
        <v>0</v>
      </c>
      <c r="F3840" s="13">
        <v>0</v>
      </c>
      <c r="G3840" s="13">
        <v>0</v>
      </c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</row>
    <row r="3841" spans="1:19" x14ac:dyDescent="0.2">
      <c r="A3841" s="12" t="s">
        <v>577</v>
      </c>
      <c r="B3841" s="12" t="s">
        <v>570</v>
      </c>
      <c r="C3841" s="12" t="s">
        <v>565</v>
      </c>
      <c r="D3841" s="13">
        <v>0</v>
      </c>
      <c r="E3841" s="13">
        <v>0</v>
      </c>
      <c r="F3841" s="13">
        <v>0</v>
      </c>
      <c r="G3841" s="13">
        <v>0</v>
      </c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</row>
    <row r="3842" spans="1:19" x14ac:dyDescent="0.2">
      <c r="A3842" s="12" t="s">
        <v>577</v>
      </c>
      <c r="B3842" s="12" t="s">
        <v>570</v>
      </c>
      <c r="C3842" s="12" t="s">
        <v>566</v>
      </c>
      <c r="D3842" s="13">
        <v>0</v>
      </c>
      <c r="E3842" s="13">
        <v>0</v>
      </c>
      <c r="F3842" s="13">
        <v>0</v>
      </c>
      <c r="G3842" s="13">
        <v>0</v>
      </c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</row>
    <row r="3843" spans="1:19" x14ac:dyDescent="0.2">
      <c r="A3843" s="12" t="s">
        <v>577</v>
      </c>
      <c r="B3843" s="12" t="s">
        <v>571</v>
      </c>
      <c r="C3843" s="12" t="s">
        <v>554</v>
      </c>
      <c r="D3843" s="13">
        <v>1073</v>
      </c>
      <c r="E3843" s="13">
        <v>1085.711769</v>
      </c>
      <c r="F3843" s="13">
        <v>1184.5270860000001</v>
      </c>
      <c r="G3843" s="13">
        <v>1250.2897190000001</v>
      </c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</row>
    <row r="3844" spans="1:19" x14ac:dyDescent="0.2">
      <c r="A3844" s="12" t="s">
        <v>577</v>
      </c>
      <c r="B3844" s="12" t="s">
        <v>571</v>
      </c>
      <c r="C3844" s="12" t="s">
        <v>555</v>
      </c>
      <c r="D3844" s="13">
        <v>0</v>
      </c>
      <c r="E3844" s="13">
        <v>0</v>
      </c>
      <c r="F3844" s="13">
        <v>0</v>
      </c>
      <c r="G3844" s="13">
        <v>0</v>
      </c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</row>
    <row r="3845" spans="1:19" x14ac:dyDescent="0.2">
      <c r="A3845" s="12" t="s">
        <v>577</v>
      </c>
      <c r="B3845" s="12" t="s">
        <v>571</v>
      </c>
      <c r="C3845" s="12" t="s">
        <v>556</v>
      </c>
      <c r="D3845" s="13">
        <v>0</v>
      </c>
      <c r="E3845" s="13">
        <v>0</v>
      </c>
      <c r="F3845" s="13">
        <v>0</v>
      </c>
      <c r="G3845" s="13">
        <v>0</v>
      </c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</row>
    <row r="3846" spans="1:19" x14ac:dyDescent="0.2">
      <c r="A3846" s="12" t="s">
        <v>577</v>
      </c>
      <c r="B3846" s="12" t="s">
        <v>571</v>
      </c>
      <c r="C3846" s="12" t="s">
        <v>557</v>
      </c>
      <c r="D3846" s="13">
        <v>1073</v>
      </c>
      <c r="E3846" s="13">
        <v>1085.711769</v>
      </c>
      <c r="F3846" s="13">
        <v>1184.527124</v>
      </c>
      <c r="G3846" s="13">
        <v>1250.2898190000001</v>
      </c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</row>
    <row r="3847" spans="1:19" x14ac:dyDescent="0.2">
      <c r="A3847" s="12" t="s">
        <v>577</v>
      </c>
      <c r="B3847" s="12" t="s">
        <v>571</v>
      </c>
      <c r="C3847" s="12" t="s">
        <v>558</v>
      </c>
      <c r="D3847" s="13">
        <v>-847</v>
      </c>
      <c r="E3847" s="13">
        <v>-853.79107099999999</v>
      </c>
      <c r="F3847" s="13">
        <v>-944.24194399999999</v>
      </c>
      <c r="G3847" s="13">
        <v>-963.55065200000013</v>
      </c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</row>
    <row r="3848" spans="1:19" x14ac:dyDescent="0.2">
      <c r="A3848" s="12" t="s">
        <v>577</v>
      </c>
      <c r="B3848" s="12" t="s">
        <v>571</v>
      </c>
      <c r="C3848" s="12" t="s">
        <v>560</v>
      </c>
      <c r="D3848" s="13">
        <v>0</v>
      </c>
      <c r="E3848" s="13">
        <v>0</v>
      </c>
      <c r="F3848" s="13">
        <v>0</v>
      </c>
      <c r="G3848" s="13">
        <v>0</v>
      </c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</row>
    <row r="3849" spans="1:19" x14ac:dyDescent="0.2">
      <c r="A3849" s="12" t="s">
        <v>577</v>
      </c>
      <c r="B3849" s="12" t="s">
        <v>571</v>
      </c>
      <c r="C3849" s="12" t="s">
        <v>561</v>
      </c>
      <c r="D3849" s="13">
        <v>226</v>
      </c>
      <c r="E3849" s="13">
        <v>231.92069799999999</v>
      </c>
      <c r="F3849" s="13">
        <v>240.28518800000001</v>
      </c>
      <c r="G3849" s="13">
        <v>286.73916500000001</v>
      </c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</row>
    <row r="3850" spans="1:19" x14ac:dyDescent="0.2">
      <c r="A3850" s="12" t="s">
        <v>577</v>
      </c>
      <c r="B3850" s="12" t="s">
        <v>571</v>
      </c>
      <c r="C3850" s="12" t="s">
        <v>562</v>
      </c>
      <c r="D3850" s="13">
        <v>50</v>
      </c>
      <c r="E3850" s="13">
        <v>57.704818000000003</v>
      </c>
      <c r="F3850" s="13">
        <v>50.808878</v>
      </c>
      <c r="G3850" s="13">
        <v>50.121986999999997</v>
      </c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</row>
    <row r="3851" spans="1:19" x14ac:dyDescent="0.2">
      <c r="A3851" s="12" t="s">
        <v>577</v>
      </c>
      <c r="B3851" s="12" t="s">
        <v>571</v>
      </c>
      <c r="C3851" s="12" t="s">
        <v>563</v>
      </c>
      <c r="D3851" s="13">
        <v>5</v>
      </c>
      <c r="E3851" s="13">
        <v>5.0054239999999997</v>
      </c>
      <c r="F3851" s="13">
        <v>6.0627000000000004</v>
      </c>
      <c r="G3851" s="13">
        <v>6.1793649999999998</v>
      </c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</row>
    <row r="3852" spans="1:19" x14ac:dyDescent="0.2">
      <c r="A3852" s="12" t="s">
        <v>577</v>
      </c>
      <c r="B3852" s="12" t="s">
        <v>571</v>
      </c>
      <c r="C3852" s="12" t="s">
        <v>564</v>
      </c>
      <c r="D3852" s="13">
        <v>125</v>
      </c>
      <c r="E3852" s="13">
        <v>123.096203</v>
      </c>
      <c r="F3852" s="13">
        <v>137.29935599999999</v>
      </c>
      <c r="G3852" s="13">
        <v>165.39880600000001</v>
      </c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</row>
    <row r="3853" spans="1:19" x14ac:dyDescent="0.2">
      <c r="A3853" s="12" t="s">
        <v>577</v>
      </c>
      <c r="B3853" s="12" t="s">
        <v>571</v>
      </c>
      <c r="C3853" s="12" t="s">
        <v>565</v>
      </c>
      <c r="D3853" s="13">
        <v>20</v>
      </c>
      <c r="E3853" s="13">
        <v>19.871390000000002</v>
      </c>
      <c r="F3853" s="13">
        <v>19.871390000000002</v>
      </c>
      <c r="G3853" s="13">
        <v>19.871390000000002</v>
      </c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</row>
    <row r="3854" spans="1:19" x14ac:dyDescent="0.2">
      <c r="A3854" s="12" t="s">
        <v>577</v>
      </c>
      <c r="B3854" s="12" t="s">
        <v>571</v>
      </c>
      <c r="C3854" s="12" t="s">
        <v>566</v>
      </c>
      <c r="D3854" s="13">
        <v>26</v>
      </c>
      <c r="E3854" s="13">
        <v>26.242861999999999</v>
      </c>
      <c r="F3854" s="13">
        <v>26.242861999999999</v>
      </c>
      <c r="G3854" s="13">
        <v>45.167617</v>
      </c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</row>
    <row r="3855" spans="1:19" x14ac:dyDescent="0.2">
      <c r="A3855" s="12" t="s">
        <v>577</v>
      </c>
      <c r="B3855" s="12" t="s">
        <v>572</v>
      </c>
      <c r="C3855" s="12" t="s">
        <v>554</v>
      </c>
      <c r="D3855" s="13">
        <v>0</v>
      </c>
      <c r="E3855" s="13">
        <v>0</v>
      </c>
      <c r="F3855" s="13">
        <v>0</v>
      </c>
      <c r="G3855" s="13">
        <v>0</v>
      </c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</row>
    <row r="3856" spans="1:19" x14ac:dyDescent="0.2">
      <c r="A3856" s="12" t="s">
        <v>577</v>
      </c>
      <c r="B3856" s="12" t="s">
        <v>572</v>
      </c>
      <c r="C3856" s="12" t="s">
        <v>555</v>
      </c>
      <c r="D3856" s="13">
        <v>7</v>
      </c>
      <c r="E3856" s="13">
        <v>8.4040300000000006</v>
      </c>
      <c r="F3856" s="13">
        <v>23.179736999999999</v>
      </c>
      <c r="G3856" s="13">
        <v>21.939900000000002</v>
      </c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</row>
    <row r="3857" spans="1:19" x14ac:dyDescent="0.2">
      <c r="A3857" s="12" t="s">
        <v>577</v>
      </c>
      <c r="B3857" s="12" t="s">
        <v>572</v>
      </c>
      <c r="C3857" s="12" t="s">
        <v>556</v>
      </c>
      <c r="D3857" s="13">
        <v>-9</v>
      </c>
      <c r="E3857" s="13">
        <v>-15.070976999999999</v>
      </c>
      <c r="F3857" s="13">
        <v>-13.366669</v>
      </c>
      <c r="G3857" s="13">
        <v>-7.4728019999999997</v>
      </c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</row>
    <row r="3858" spans="1:19" x14ac:dyDescent="0.2">
      <c r="A3858" s="12" t="s">
        <v>577</v>
      </c>
      <c r="B3858" s="12" t="s">
        <v>572</v>
      </c>
      <c r="C3858" s="12" t="s">
        <v>557</v>
      </c>
      <c r="D3858" s="13">
        <v>-2</v>
      </c>
      <c r="E3858" s="13">
        <v>-6.6669470000000004</v>
      </c>
      <c r="F3858" s="13">
        <v>9.813072</v>
      </c>
      <c r="G3858" s="13">
        <v>14.467102000000001</v>
      </c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</row>
    <row r="3859" spans="1:19" x14ac:dyDescent="0.2">
      <c r="A3859" s="12" t="s">
        <v>577</v>
      </c>
      <c r="B3859" s="12" t="s">
        <v>572</v>
      </c>
      <c r="C3859" s="12" t="s">
        <v>558</v>
      </c>
      <c r="D3859" s="13">
        <v>1104</v>
      </c>
      <c r="E3859" s="13">
        <v>1205.003205</v>
      </c>
      <c r="F3859" s="13">
        <v>1182.16563</v>
      </c>
      <c r="G3859" s="13">
        <v>1192.136021</v>
      </c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</row>
    <row r="3860" spans="1:19" x14ac:dyDescent="0.2">
      <c r="A3860" s="12" t="s">
        <v>577</v>
      </c>
      <c r="B3860" s="12" t="s">
        <v>572</v>
      </c>
      <c r="C3860" s="12" t="s">
        <v>560</v>
      </c>
      <c r="D3860" s="13">
        <v>0</v>
      </c>
      <c r="E3860" s="13">
        <v>0</v>
      </c>
      <c r="F3860" s="13">
        <v>0</v>
      </c>
      <c r="G3860" s="13">
        <v>0</v>
      </c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</row>
    <row r="3861" spans="1:19" x14ac:dyDescent="0.2">
      <c r="A3861" s="12" t="s">
        <v>577</v>
      </c>
      <c r="B3861" s="12" t="s">
        <v>572</v>
      </c>
      <c r="C3861" s="12" t="s">
        <v>561</v>
      </c>
      <c r="D3861" s="13">
        <v>931</v>
      </c>
      <c r="E3861" s="13">
        <v>1017.314258</v>
      </c>
      <c r="F3861" s="13">
        <v>1016.207548</v>
      </c>
      <c r="G3861" s="13">
        <v>1027.394808</v>
      </c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</row>
    <row r="3862" spans="1:19" x14ac:dyDescent="0.2">
      <c r="A3862" s="12" t="s">
        <v>577</v>
      </c>
      <c r="B3862" s="12" t="s">
        <v>572</v>
      </c>
      <c r="C3862" s="12" t="s">
        <v>562</v>
      </c>
      <c r="D3862" s="13">
        <v>418</v>
      </c>
      <c r="E3862" s="13">
        <v>479.82540899999998</v>
      </c>
      <c r="F3862" s="13">
        <v>464.549961</v>
      </c>
      <c r="G3862" s="13">
        <v>454.63329900000002</v>
      </c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</row>
    <row r="3863" spans="1:19" x14ac:dyDescent="0.2">
      <c r="A3863" s="12" t="s">
        <v>577</v>
      </c>
      <c r="B3863" s="12" t="s">
        <v>572</v>
      </c>
      <c r="C3863" s="12" t="s">
        <v>563</v>
      </c>
      <c r="D3863" s="13">
        <v>5</v>
      </c>
      <c r="E3863" s="13">
        <v>5.6559560000000006</v>
      </c>
      <c r="F3863" s="13">
        <v>6.4424890000000001</v>
      </c>
      <c r="G3863" s="13">
        <v>6.2412879999999999</v>
      </c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</row>
    <row r="3864" spans="1:19" x14ac:dyDescent="0.2">
      <c r="A3864" s="12" t="s">
        <v>577</v>
      </c>
      <c r="B3864" s="12" t="s">
        <v>572</v>
      </c>
      <c r="C3864" s="12" t="s">
        <v>564</v>
      </c>
      <c r="D3864" s="13">
        <v>218</v>
      </c>
      <c r="E3864" s="13">
        <v>221.39649299999999</v>
      </c>
      <c r="F3864" s="13">
        <v>222.15761599999999</v>
      </c>
      <c r="G3864" s="13">
        <v>235.949354</v>
      </c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</row>
    <row r="3865" spans="1:19" x14ac:dyDescent="0.2">
      <c r="A3865" s="12" t="s">
        <v>577</v>
      </c>
      <c r="B3865" s="12" t="s">
        <v>572</v>
      </c>
      <c r="C3865" s="12" t="s">
        <v>565</v>
      </c>
      <c r="D3865" s="13">
        <v>248</v>
      </c>
      <c r="E3865" s="13">
        <v>260.85666099999997</v>
      </c>
      <c r="F3865" s="13">
        <v>274.71747199999999</v>
      </c>
      <c r="G3865" s="13">
        <v>282.68476399999997</v>
      </c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</row>
    <row r="3866" spans="1:19" x14ac:dyDescent="0.2">
      <c r="A3866" s="12" t="s">
        <v>577</v>
      </c>
      <c r="B3866" s="12" t="s">
        <v>572</v>
      </c>
      <c r="C3866" s="12" t="s">
        <v>566</v>
      </c>
      <c r="D3866" s="13">
        <v>42</v>
      </c>
      <c r="E3866" s="13">
        <v>49.579734000000002</v>
      </c>
      <c r="F3866" s="13">
        <v>48.340013999999996</v>
      </c>
      <c r="G3866" s="13">
        <v>47.886103000000013</v>
      </c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</row>
    <row r="3867" spans="1:19" x14ac:dyDescent="0.2">
      <c r="A3867" s="12" t="s">
        <v>577</v>
      </c>
      <c r="B3867" s="12" t="s">
        <v>573</v>
      </c>
      <c r="C3867" s="12" t="s">
        <v>554</v>
      </c>
      <c r="D3867" s="13">
        <v>0</v>
      </c>
      <c r="E3867" s="13">
        <v>0</v>
      </c>
      <c r="F3867" s="13">
        <v>0</v>
      </c>
      <c r="G3867" s="13">
        <v>0</v>
      </c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</row>
    <row r="3868" spans="1:19" x14ac:dyDescent="0.2">
      <c r="A3868" s="12" t="s">
        <v>577</v>
      </c>
      <c r="B3868" s="12" t="s">
        <v>573</v>
      </c>
      <c r="C3868" s="12" t="s">
        <v>555</v>
      </c>
      <c r="D3868" s="13">
        <v>0</v>
      </c>
      <c r="E3868" s="13">
        <v>0</v>
      </c>
      <c r="F3868" s="13">
        <v>0</v>
      </c>
      <c r="G3868" s="13">
        <v>0</v>
      </c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</row>
    <row r="3869" spans="1:19" x14ac:dyDescent="0.2">
      <c r="A3869" s="12" t="s">
        <v>577</v>
      </c>
      <c r="B3869" s="12" t="s">
        <v>573</v>
      </c>
      <c r="C3869" s="12" t="s">
        <v>556</v>
      </c>
      <c r="D3869" s="13">
        <v>0</v>
      </c>
      <c r="E3869" s="13">
        <v>0</v>
      </c>
      <c r="F3869" s="13">
        <v>0</v>
      </c>
      <c r="G3869" s="13">
        <v>0</v>
      </c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</row>
    <row r="3870" spans="1:19" x14ac:dyDescent="0.2">
      <c r="A3870" s="12" t="s">
        <v>577</v>
      </c>
      <c r="B3870" s="12" t="s">
        <v>573</v>
      </c>
      <c r="C3870" s="12" t="s">
        <v>557</v>
      </c>
      <c r="D3870" s="13">
        <v>0</v>
      </c>
      <c r="E3870" s="13">
        <v>0</v>
      </c>
      <c r="F3870" s="13">
        <v>0</v>
      </c>
      <c r="G3870" s="13">
        <v>0</v>
      </c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</row>
    <row r="3871" spans="1:19" x14ac:dyDescent="0.2">
      <c r="A3871" s="12" t="s">
        <v>577</v>
      </c>
      <c r="B3871" s="12" t="s">
        <v>573</v>
      </c>
      <c r="C3871" s="12" t="s">
        <v>558</v>
      </c>
      <c r="D3871" s="13">
        <v>67</v>
      </c>
      <c r="E3871" s="13">
        <v>64.782393999999996</v>
      </c>
      <c r="F3871" s="13">
        <v>60.289901999999998</v>
      </c>
      <c r="G3871" s="13">
        <v>52.045696000000007</v>
      </c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</row>
    <row r="3872" spans="1:19" x14ac:dyDescent="0.2">
      <c r="A3872" s="12" t="s">
        <v>577</v>
      </c>
      <c r="B3872" s="12" t="s">
        <v>573</v>
      </c>
      <c r="C3872" s="12" t="s">
        <v>560</v>
      </c>
      <c r="D3872" s="13">
        <v>0</v>
      </c>
      <c r="E3872" s="13">
        <v>0</v>
      </c>
      <c r="F3872" s="13">
        <v>0</v>
      </c>
      <c r="G3872" s="13">
        <v>0</v>
      </c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</row>
    <row r="3873" spans="1:19" x14ac:dyDescent="0.2">
      <c r="A3873" s="12" t="s">
        <v>577</v>
      </c>
      <c r="B3873" s="12" t="s">
        <v>573</v>
      </c>
      <c r="C3873" s="12" t="s">
        <v>561</v>
      </c>
      <c r="D3873" s="13">
        <v>46</v>
      </c>
      <c r="E3873" s="13">
        <v>43.364483999999997</v>
      </c>
      <c r="F3873" s="13">
        <v>39.326687999999997</v>
      </c>
      <c r="G3873" s="13">
        <v>33.794334000000013</v>
      </c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</row>
    <row r="3874" spans="1:19" x14ac:dyDescent="0.2">
      <c r="A3874" s="12" t="s">
        <v>577</v>
      </c>
      <c r="B3874" s="12" t="s">
        <v>573</v>
      </c>
      <c r="C3874" s="12" t="s">
        <v>562</v>
      </c>
      <c r="D3874" s="13">
        <v>46</v>
      </c>
      <c r="E3874" s="13">
        <v>43.364483999999997</v>
      </c>
      <c r="F3874" s="13">
        <v>39.326687999999997</v>
      </c>
      <c r="G3874" s="13">
        <v>33.794334000000013</v>
      </c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</row>
    <row r="3875" spans="1:19" x14ac:dyDescent="0.2">
      <c r="A3875" s="12" t="s">
        <v>577</v>
      </c>
      <c r="B3875" s="12" t="s">
        <v>573</v>
      </c>
      <c r="C3875" s="12" t="s">
        <v>563</v>
      </c>
      <c r="D3875" s="13">
        <v>0</v>
      </c>
      <c r="E3875" s="13">
        <v>0</v>
      </c>
      <c r="F3875" s="13">
        <v>0</v>
      </c>
      <c r="G3875" s="13">
        <v>0</v>
      </c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</row>
    <row r="3876" spans="1:19" x14ac:dyDescent="0.2">
      <c r="A3876" s="12" t="s">
        <v>577</v>
      </c>
      <c r="B3876" s="12" t="s">
        <v>573</v>
      </c>
      <c r="C3876" s="12" t="s">
        <v>564</v>
      </c>
      <c r="D3876" s="13">
        <v>0</v>
      </c>
      <c r="E3876" s="13">
        <v>0</v>
      </c>
      <c r="F3876" s="13">
        <v>0</v>
      </c>
      <c r="G3876" s="13">
        <v>0</v>
      </c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</row>
    <row r="3877" spans="1:19" x14ac:dyDescent="0.2">
      <c r="A3877" s="12" t="s">
        <v>577</v>
      </c>
      <c r="B3877" s="12" t="s">
        <v>573</v>
      </c>
      <c r="C3877" s="12" t="s">
        <v>565</v>
      </c>
      <c r="D3877" s="13">
        <v>0</v>
      </c>
      <c r="E3877" s="13">
        <v>0</v>
      </c>
      <c r="F3877" s="13">
        <v>0</v>
      </c>
      <c r="G3877" s="13">
        <v>0</v>
      </c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</row>
    <row r="3878" spans="1:19" x14ac:dyDescent="0.2">
      <c r="A3878" s="12" t="s">
        <v>577</v>
      </c>
      <c r="B3878" s="12" t="s">
        <v>573</v>
      </c>
      <c r="C3878" s="12" t="s">
        <v>566</v>
      </c>
      <c r="D3878" s="13">
        <v>0</v>
      </c>
      <c r="E3878" s="13">
        <v>0</v>
      </c>
      <c r="F3878" s="13">
        <v>0</v>
      </c>
      <c r="G3878" s="13">
        <v>0</v>
      </c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</row>
    <row r="3879" spans="1:19" x14ac:dyDescent="0.2">
      <c r="A3879" s="12" t="s">
        <v>577</v>
      </c>
      <c r="B3879" s="12" t="s">
        <v>574</v>
      </c>
      <c r="C3879" s="12" t="s">
        <v>554</v>
      </c>
      <c r="D3879" s="13">
        <v>1853</v>
      </c>
      <c r="E3879" s="13">
        <v>1964.695553</v>
      </c>
      <c r="F3879" s="13">
        <v>2139.5732149999999</v>
      </c>
      <c r="G3879" s="13">
        <v>2068.0852799999998</v>
      </c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</row>
    <row r="3880" spans="1:19" x14ac:dyDescent="0.2">
      <c r="A3880" s="12" t="s">
        <v>577</v>
      </c>
      <c r="B3880" s="12" t="s">
        <v>574</v>
      </c>
      <c r="C3880" s="12" t="s">
        <v>555</v>
      </c>
      <c r="D3880" s="13">
        <v>4748</v>
      </c>
      <c r="E3880" s="13">
        <v>5171.7415890000002</v>
      </c>
      <c r="F3880" s="13">
        <v>5215.9611260000001</v>
      </c>
      <c r="G3880" s="13">
        <v>5248.1043920000002</v>
      </c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</row>
    <row r="3881" spans="1:19" x14ac:dyDescent="0.2">
      <c r="A3881" s="12" t="s">
        <v>577</v>
      </c>
      <c r="B3881" s="12" t="s">
        <v>574</v>
      </c>
      <c r="C3881" s="12" t="s">
        <v>556</v>
      </c>
      <c r="D3881" s="13">
        <v>-360</v>
      </c>
      <c r="E3881" s="13">
        <v>-357.47202399999998</v>
      </c>
      <c r="F3881" s="13">
        <v>-452.28156100000001</v>
      </c>
      <c r="G3881" s="13">
        <v>-491.29693900000001</v>
      </c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</row>
    <row r="3882" spans="1:19" x14ac:dyDescent="0.2">
      <c r="A3882" s="12" t="s">
        <v>577</v>
      </c>
      <c r="B3882" s="12" t="s">
        <v>574</v>
      </c>
      <c r="C3882" s="12" t="s">
        <v>557</v>
      </c>
      <c r="D3882" s="13">
        <v>6151</v>
      </c>
      <c r="E3882" s="13">
        <v>6674.9232940000002</v>
      </c>
      <c r="F3882" s="13">
        <v>6552.1451619999998</v>
      </c>
      <c r="G3882" s="13">
        <v>6607.3338890000005</v>
      </c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</row>
    <row r="3883" spans="1:19" x14ac:dyDescent="0.2">
      <c r="A3883" s="12" t="s">
        <v>577</v>
      </c>
      <c r="B3883" s="12" t="s">
        <v>574</v>
      </c>
      <c r="C3883" s="12" t="s">
        <v>558</v>
      </c>
      <c r="D3883" s="13">
        <v>-1158</v>
      </c>
      <c r="E3883" s="13">
        <v>-1313.079105</v>
      </c>
      <c r="F3883" s="13">
        <v>-1306.672225</v>
      </c>
      <c r="G3883" s="13">
        <v>-1297.1689960000001</v>
      </c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</row>
    <row r="3884" spans="1:19" x14ac:dyDescent="0.2">
      <c r="A3884" s="12" t="s">
        <v>577</v>
      </c>
      <c r="B3884" s="12" t="s">
        <v>574</v>
      </c>
      <c r="C3884" s="12" t="s">
        <v>560</v>
      </c>
      <c r="D3884" s="13">
        <v>-37</v>
      </c>
      <c r="E3884" s="13">
        <v>-36.241523000000001</v>
      </c>
      <c r="F3884" s="13">
        <v>-34.861866999999997</v>
      </c>
      <c r="G3884" s="13">
        <v>-36.140307</v>
      </c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</row>
    <row r="3885" spans="1:19" x14ac:dyDescent="0.2">
      <c r="A3885" s="12" t="s">
        <v>577</v>
      </c>
      <c r="B3885" s="12" t="s">
        <v>574</v>
      </c>
      <c r="C3885" s="12" t="s">
        <v>561</v>
      </c>
      <c r="D3885" s="13">
        <v>4504</v>
      </c>
      <c r="E3885" s="13">
        <v>4819.9756840000009</v>
      </c>
      <c r="F3885" s="13">
        <v>4723.7822419999993</v>
      </c>
      <c r="G3885" s="13">
        <v>4840.8244699999996</v>
      </c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</row>
    <row r="3886" spans="1:19" x14ac:dyDescent="0.2">
      <c r="A3886" s="12" t="s">
        <v>577</v>
      </c>
      <c r="B3886" s="12" t="s">
        <v>574</v>
      </c>
      <c r="C3886" s="12" t="s">
        <v>562</v>
      </c>
      <c r="D3886" s="13">
        <v>1377</v>
      </c>
      <c r="E3886" s="13">
        <v>1537.9201579999999</v>
      </c>
      <c r="F3886" s="13">
        <v>1397.570365</v>
      </c>
      <c r="G3886" s="13">
        <v>1373.2265769999999</v>
      </c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</row>
    <row r="3887" spans="1:19" x14ac:dyDescent="0.2">
      <c r="A3887" s="12" t="s">
        <v>577</v>
      </c>
      <c r="B3887" s="12" t="s">
        <v>574</v>
      </c>
      <c r="C3887" s="12" t="s">
        <v>563</v>
      </c>
      <c r="D3887" s="13">
        <v>1104</v>
      </c>
      <c r="E3887" s="13">
        <v>1251.311328</v>
      </c>
      <c r="F3887" s="13">
        <v>1262.8325179999999</v>
      </c>
      <c r="G3887" s="13">
        <v>1363.5268369999999</v>
      </c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</row>
    <row r="3888" spans="1:19" x14ac:dyDescent="0.2">
      <c r="A3888" s="12" t="s">
        <v>577</v>
      </c>
      <c r="B3888" s="12" t="s">
        <v>574</v>
      </c>
      <c r="C3888" s="12" t="s">
        <v>564</v>
      </c>
      <c r="D3888" s="13">
        <v>944</v>
      </c>
      <c r="E3888" s="13">
        <v>975.1390550000001</v>
      </c>
      <c r="F3888" s="13">
        <v>1026.2742189999999</v>
      </c>
      <c r="G3888" s="13">
        <v>1043.985827</v>
      </c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</row>
    <row r="3889" spans="1:19" x14ac:dyDescent="0.2">
      <c r="A3889" s="12" t="s">
        <v>577</v>
      </c>
      <c r="B3889" s="12" t="s">
        <v>574</v>
      </c>
      <c r="C3889" s="12" t="s">
        <v>565</v>
      </c>
      <c r="D3889" s="13">
        <v>601</v>
      </c>
      <c r="E3889" s="13">
        <v>608.00609999999995</v>
      </c>
      <c r="F3889" s="13">
        <v>619.27105799999993</v>
      </c>
      <c r="G3889" s="13">
        <v>600.18544200000008</v>
      </c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</row>
    <row r="3890" spans="1:19" x14ac:dyDescent="0.2">
      <c r="A3890" s="12" t="s">
        <v>577</v>
      </c>
      <c r="B3890" s="12" t="s">
        <v>574</v>
      </c>
      <c r="C3890" s="12" t="s">
        <v>566</v>
      </c>
      <c r="D3890" s="13">
        <v>477</v>
      </c>
      <c r="E3890" s="13">
        <v>447.59904399999999</v>
      </c>
      <c r="F3890" s="13">
        <v>417.83409499999999</v>
      </c>
      <c r="G3890" s="13">
        <v>459.89980300000002</v>
      </c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</row>
    <row r="3891" spans="1:19" x14ac:dyDescent="0.2">
      <c r="A3891" s="12" t="s">
        <v>239</v>
      </c>
      <c r="B3891" s="12" t="s">
        <v>553</v>
      </c>
      <c r="C3891" s="12" t="s">
        <v>554</v>
      </c>
      <c r="D3891" s="13">
        <v>46</v>
      </c>
      <c r="E3891" s="13">
        <v>29.281617000000001</v>
      </c>
      <c r="F3891" s="13">
        <v>17.977247999999999</v>
      </c>
      <c r="G3891" s="13">
        <v>14.235124000000001</v>
      </c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</row>
    <row r="3892" spans="1:19" x14ac:dyDescent="0.2">
      <c r="A3892" s="12" t="s">
        <v>239</v>
      </c>
      <c r="B3892" s="12" t="s">
        <v>553</v>
      </c>
      <c r="C3892" s="12" t="s">
        <v>555</v>
      </c>
      <c r="D3892" s="13">
        <v>159</v>
      </c>
      <c r="E3892" s="13">
        <v>159.80083200000001</v>
      </c>
      <c r="F3892" s="13">
        <v>206.220687</v>
      </c>
      <c r="G3892" s="13">
        <v>143.55453199999999</v>
      </c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</row>
    <row r="3893" spans="1:19" x14ac:dyDescent="0.2">
      <c r="A3893" s="12" t="s">
        <v>239</v>
      </c>
      <c r="B3893" s="12" t="s">
        <v>553</v>
      </c>
      <c r="C3893" s="12" t="s">
        <v>556</v>
      </c>
      <c r="D3893" s="13">
        <v>-35</v>
      </c>
      <c r="E3893" s="13">
        <v>-29.881518</v>
      </c>
      <c r="F3893" s="13">
        <v>-16.214112</v>
      </c>
      <c r="G3893" s="13">
        <v>-19.243144000000001</v>
      </c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</row>
    <row r="3894" spans="1:19" x14ac:dyDescent="0.2">
      <c r="A3894" s="12" t="s">
        <v>239</v>
      </c>
      <c r="B3894" s="12" t="s">
        <v>553</v>
      </c>
      <c r="C3894" s="12" t="s">
        <v>557</v>
      </c>
      <c r="D3894" s="13">
        <v>225</v>
      </c>
      <c r="E3894" s="13">
        <v>229.83809099999999</v>
      </c>
      <c r="F3894" s="13">
        <v>210.995126</v>
      </c>
      <c r="G3894" s="13">
        <v>182.086004</v>
      </c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</row>
    <row r="3895" spans="1:19" x14ac:dyDescent="0.2">
      <c r="A3895" s="12" t="s">
        <v>239</v>
      </c>
      <c r="B3895" s="12" t="s">
        <v>553</v>
      </c>
      <c r="C3895" s="12" t="s">
        <v>558</v>
      </c>
      <c r="D3895" s="13">
        <v>-76</v>
      </c>
      <c r="E3895" s="13">
        <v>-82.935676999999998</v>
      </c>
      <c r="F3895" s="13">
        <v>-74.339464000000007</v>
      </c>
      <c r="G3895" s="13">
        <v>-52.370178000000003</v>
      </c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</row>
    <row r="3896" spans="1:19" x14ac:dyDescent="0.2">
      <c r="A3896" s="12" t="s">
        <v>239</v>
      </c>
      <c r="B3896" s="12" t="s">
        <v>553</v>
      </c>
      <c r="C3896" s="12" t="s">
        <v>560</v>
      </c>
      <c r="D3896" s="13">
        <v>0</v>
      </c>
      <c r="E3896" s="13">
        <v>0</v>
      </c>
      <c r="F3896" s="13">
        <v>0</v>
      </c>
      <c r="G3896" s="13">
        <v>0</v>
      </c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</row>
    <row r="3897" spans="1:19" x14ac:dyDescent="0.2">
      <c r="A3897" s="12" t="s">
        <v>239</v>
      </c>
      <c r="B3897" s="12" t="s">
        <v>553</v>
      </c>
      <c r="C3897" s="12" t="s">
        <v>561</v>
      </c>
      <c r="D3897" s="13">
        <v>79</v>
      </c>
      <c r="E3897" s="13">
        <v>73.183254000000005</v>
      </c>
      <c r="F3897" s="13">
        <v>77.346733999999998</v>
      </c>
      <c r="G3897" s="13">
        <v>73.394240000000011</v>
      </c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</row>
    <row r="3898" spans="1:19" x14ac:dyDescent="0.2">
      <c r="A3898" s="12" t="s">
        <v>239</v>
      </c>
      <c r="B3898" s="12" t="s">
        <v>553</v>
      </c>
      <c r="C3898" s="12" t="s">
        <v>562</v>
      </c>
      <c r="D3898" s="13">
        <v>58</v>
      </c>
      <c r="E3898" s="13">
        <v>51.368698999999999</v>
      </c>
      <c r="F3898" s="13">
        <v>56.152411000000001</v>
      </c>
      <c r="G3898" s="13">
        <v>61.970593999999998</v>
      </c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</row>
    <row r="3899" spans="1:19" x14ac:dyDescent="0.2">
      <c r="A3899" s="12" t="s">
        <v>239</v>
      </c>
      <c r="B3899" s="12" t="s">
        <v>553</v>
      </c>
      <c r="C3899" s="12" t="s">
        <v>563</v>
      </c>
      <c r="D3899" s="13">
        <v>0</v>
      </c>
      <c r="E3899" s="13">
        <v>0.38219999999999998</v>
      </c>
      <c r="F3899" s="13">
        <v>0.41695500000000002</v>
      </c>
      <c r="G3899" s="13">
        <v>0.400949</v>
      </c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</row>
    <row r="3900" spans="1:19" x14ac:dyDescent="0.2">
      <c r="A3900" s="12" t="s">
        <v>239</v>
      </c>
      <c r="B3900" s="12" t="s">
        <v>553</v>
      </c>
      <c r="C3900" s="12" t="s">
        <v>564</v>
      </c>
      <c r="D3900" s="13">
        <v>18</v>
      </c>
      <c r="E3900" s="13">
        <v>18.901212000000001</v>
      </c>
      <c r="F3900" s="13">
        <v>18.480184000000001</v>
      </c>
      <c r="G3900" s="13">
        <v>10.673334000000001</v>
      </c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</row>
    <row r="3901" spans="1:19" x14ac:dyDescent="0.2">
      <c r="A3901" s="12" t="s">
        <v>239</v>
      </c>
      <c r="B3901" s="12" t="s">
        <v>553</v>
      </c>
      <c r="C3901" s="12" t="s">
        <v>565</v>
      </c>
      <c r="D3901" s="13">
        <v>1</v>
      </c>
      <c r="E3901" s="13">
        <v>0.63527200000000006</v>
      </c>
      <c r="F3901" s="13">
        <v>0.55454999999999999</v>
      </c>
      <c r="G3901" s="13">
        <v>0.16225100000000001</v>
      </c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</row>
    <row r="3902" spans="1:19" x14ac:dyDescent="0.2">
      <c r="A3902" s="12" t="s">
        <v>239</v>
      </c>
      <c r="B3902" s="12" t="s">
        <v>553</v>
      </c>
      <c r="C3902" s="12" t="s">
        <v>566</v>
      </c>
      <c r="D3902" s="13">
        <v>2</v>
      </c>
      <c r="E3902" s="13">
        <v>1.8958710000000001</v>
      </c>
      <c r="F3902" s="13">
        <v>1.7426299999999999</v>
      </c>
      <c r="G3902" s="13">
        <v>0.187108</v>
      </c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</row>
    <row r="3903" spans="1:19" x14ac:dyDescent="0.2">
      <c r="A3903" s="12" t="s">
        <v>239</v>
      </c>
      <c r="B3903" s="12" t="s">
        <v>567</v>
      </c>
      <c r="C3903" s="12" t="s">
        <v>554</v>
      </c>
      <c r="D3903" s="13">
        <v>2131</v>
      </c>
      <c r="E3903" s="13">
        <v>1779.206627</v>
      </c>
      <c r="F3903" s="13">
        <v>1644.7155660000001</v>
      </c>
      <c r="G3903" s="13">
        <v>1456.534414</v>
      </c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</row>
    <row r="3904" spans="1:19" x14ac:dyDescent="0.2">
      <c r="A3904" s="12" t="s">
        <v>239</v>
      </c>
      <c r="B3904" s="12" t="s">
        <v>567</v>
      </c>
      <c r="C3904" s="12" t="s">
        <v>555</v>
      </c>
      <c r="D3904" s="13">
        <v>1716</v>
      </c>
      <c r="E3904" s="13">
        <v>1809.2925359999999</v>
      </c>
      <c r="F3904" s="13">
        <v>2018.0781159999999</v>
      </c>
      <c r="G3904" s="13">
        <v>1975.0294670000001</v>
      </c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</row>
    <row r="3905" spans="1:19" x14ac:dyDescent="0.2">
      <c r="A3905" s="12" t="s">
        <v>239</v>
      </c>
      <c r="B3905" s="12" t="s">
        <v>567</v>
      </c>
      <c r="C3905" s="12" t="s">
        <v>556</v>
      </c>
      <c r="D3905" s="13">
        <v>-1730</v>
      </c>
      <c r="E3905" s="13">
        <v>-1499.232242</v>
      </c>
      <c r="F3905" s="13">
        <v>-1341.648588</v>
      </c>
      <c r="G3905" s="13">
        <v>-1199.9133879999999</v>
      </c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</row>
    <row r="3906" spans="1:19" x14ac:dyDescent="0.2">
      <c r="A3906" s="12" t="s">
        <v>239</v>
      </c>
      <c r="B3906" s="12" t="s">
        <v>567</v>
      </c>
      <c r="C3906" s="12" t="s">
        <v>557</v>
      </c>
      <c r="D3906" s="13">
        <v>2124</v>
      </c>
      <c r="E3906" s="13">
        <v>2095.7801460000001</v>
      </c>
      <c r="F3906" s="13">
        <v>2339.20622</v>
      </c>
      <c r="G3906" s="13">
        <v>2200.7466840000002</v>
      </c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</row>
    <row r="3907" spans="1:19" x14ac:dyDescent="0.2">
      <c r="A3907" s="12" t="s">
        <v>239</v>
      </c>
      <c r="B3907" s="12" t="s">
        <v>567</v>
      </c>
      <c r="C3907" s="12" t="s">
        <v>558</v>
      </c>
      <c r="D3907" s="13">
        <v>0</v>
      </c>
      <c r="E3907" s="13">
        <v>0</v>
      </c>
      <c r="F3907" s="13">
        <v>0</v>
      </c>
      <c r="G3907" s="13">
        <v>0</v>
      </c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</row>
    <row r="3908" spans="1:19" x14ac:dyDescent="0.2">
      <c r="A3908" s="12" t="s">
        <v>239</v>
      </c>
      <c r="B3908" s="12" t="s">
        <v>567</v>
      </c>
      <c r="C3908" s="12" t="s">
        <v>560</v>
      </c>
      <c r="D3908" s="13">
        <v>-2089</v>
      </c>
      <c r="E3908" s="13">
        <v>-2123.8577310000001</v>
      </c>
      <c r="F3908" s="13">
        <v>-2377.9326249999999</v>
      </c>
      <c r="G3908" s="13">
        <v>-2212.7079950000002</v>
      </c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</row>
    <row r="3909" spans="1:19" x14ac:dyDescent="0.2">
      <c r="A3909" s="12" t="s">
        <v>239</v>
      </c>
      <c r="B3909" s="12" t="s">
        <v>567</v>
      </c>
      <c r="C3909" s="12" t="s">
        <v>561</v>
      </c>
      <c r="D3909" s="13">
        <v>0</v>
      </c>
      <c r="E3909" s="13">
        <v>0</v>
      </c>
      <c r="F3909" s="13">
        <v>0</v>
      </c>
      <c r="G3909" s="13">
        <v>0</v>
      </c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</row>
    <row r="3910" spans="1:19" x14ac:dyDescent="0.2">
      <c r="A3910" s="12" t="s">
        <v>239</v>
      </c>
      <c r="B3910" s="12" t="s">
        <v>567</v>
      </c>
      <c r="C3910" s="12" t="s">
        <v>562</v>
      </c>
      <c r="D3910" s="13">
        <v>0</v>
      </c>
      <c r="E3910" s="13">
        <v>0</v>
      </c>
      <c r="F3910" s="13">
        <v>0</v>
      </c>
      <c r="G3910" s="13">
        <v>0</v>
      </c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</row>
    <row r="3911" spans="1:19" x14ac:dyDescent="0.2">
      <c r="A3911" s="12" t="s">
        <v>239</v>
      </c>
      <c r="B3911" s="12" t="s">
        <v>567</v>
      </c>
      <c r="C3911" s="12" t="s">
        <v>563</v>
      </c>
      <c r="D3911" s="13">
        <v>0</v>
      </c>
      <c r="E3911" s="13">
        <v>0</v>
      </c>
      <c r="F3911" s="13">
        <v>0</v>
      </c>
      <c r="G3911" s="13">
        <v>0</v>
      </c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</row>
    <row r="3912" spans="1:19" x14ac:dyDescent="0.2">
      <c r="A3912" s="12" t="s">
        <v>239</v>
      </c>
      <c r="B3912" s="12" t="s">
        <v>567</v>
      </c>
      <c r="C3912" s="12" t="s">
        <v>564</v>
      </c>
      <c r="D3912" s="13">
        <v>0</v>
      </c>
      <c r="E3912" s="13">
        <v>0</v>
      </c>
      <c r="F3912" s="13">
        <v>0</v>
      </c>
      <c r="G3912" s="13">
        <v>0</v>
      </c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</row>
    <row r="3913" spans="1:19" x14ac:dyDescent="0.2">
      <c r="A3913" s="12" t="s">
        <v>239</v>
      </c>
      <c r="B3913" s="12" t="s">
        <v>567</v>
      </c>
      <c r="C3913" s="12" t="s">
        <v>565</v>
      </c>
      <c r="D3913" s="13">
        <v>0</v>
      </c>
      <c r="E3913" s="13">
        <v>0</v>
      </c>
      <c r="F3913" s="13">
        <v>0</v>
      </c>
      <c r="G3913" s="13">
        <v>0</v>
      </c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</row>
    <row r="3914" spans="1:19" x14ac:dyDescent="0.2">
      <c r="A3914" s="12" t="s">
        <v>239</v>
      </c>
      <c r="B3914" s="12" t="s">
        <v>567</v>
      </c>
      <c r="C3914" s="12" t="s">
        <v>566</v>
      </c>
      <c r="D3914" s="13">
        <v>0</v>
      </c>
      <c r="E3914" s="13">
        <v>0</v>
      </c>
      <c r="F3914" s="13">
        <v>0</v>
      </c>
      <c r="G3914" s="13">
        <v>0</v>
      </c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</row>
    <row r="3915" spans="1:19" x14ac:dyDescent="0.2">
      <c r="A3915" s="12" t="s">
        <v>239</v>
      </c>
      <c r="B3915" s="12" t="s">
        <v>568</v>
      </c>
      <c r="C3915" s="12" t="s">
        <v>554</v>
      </c>
      <c r="D3915" s="13">
        <v>0</v>
      </c>
      <c r="E3915" s="13">
        <v>0</v>
      </c>
      <c r="F3915" s="13">
        <v>0</v>
      </c>
      <c r="G3915" s="13">
        <v>0</v>
      </c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</row>
    <row r="3916" spans="1:19" x14ac:dyDescent="0.2">
      <c r="A3916" s="12" t="s">
        <v>239</v>
      </c>
      <c r="B3916" s="12" t="s">
        <v>568</v>
      </c>
      <c r="C3916" s="12" t="s">
        <v>555</v>
      </c>
      <c r="D3916" s="13">
        <v>1059</v>
      </c>
      <c r="E3916" s="13">
        <v>1077.5998990000001</v>
      </c>
      <c r="F3916" s="13">
        <v>1204.137898</v>
      </c>
      <c r="G3916" s="13">
        <v>1293.8449989999999</v>
      </c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</row>
    <row r="3917" spans="1:19" x14ac:dyDescent="0.2">
      <c r="A3917" s="12" t="s">
        <v>239</v>
      </c>
      <c r="B3917" s="12" t="s">
        <v>568</v>
      </c>
      <c r="C3917" s="12" t="s">
        <v>556</v>
      </c>
      <c r="D3917" s="13">
        <v>-791</v>
      </c>
      <c r="E3917" s="13">
        <v>-775.58699799999999</v>
      </c>
      <c r="F3917" s="13">
        <v>-897.19800100000009</v>
      </c>
      <c r="G3917" s="13">
        <v>-804.36380000000008</v>
      </c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</row>
    <row r="3918" spans="1:19" x14ac:dyDescent="0.2">
      <c r="A3918" s="12" t="s">
        <v>239</v>
      </c>
      <c r="B3918" s="12" t="s">
        <v>568</v>
      </c>
      <c r="C3918" s="12" t="s">
        <v>557</v>
      </c>
      <c r="D3918" s="13">
        <v>-41</v>
      </c>
      <c r="E3918" s="13">
        <v>85.938701000000009</v>
      </c>
      <c r="F3918" s="13">
        <v>-146.9453</v>
      </c>
      <c r="G3918" s="13">
        <v>-36.524997999999997</v>
      </c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</row>
    <row r="3919" spans="1:19" x14ac:dyDescent="0.2">
      <c r="A3919" s="12" t="s">
        <v>239</v>
      </c>
      <c r="B3919" s="12" t="s">
        <v>568</v>
      </c>
      <c r="C3919" s="12" t="s">
        <v>558</v>
      </c>
      <c r="D3919" s="13">
        <v>-14</v>
      </c>
      <c r="E3919" s="13">
        <v>-19.699300000000001</v>
      </c>
      <c r="F3919" s="13">
        <v>-19.8093</v>
      </c>
      <c r="G3919" s="13">
        <v>-18.938102000000001</v>
      </c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</row>
    <row r="3920" spans="1:19" x14ac:dyDescent="0.2">
      <c r="A3920" s="12" t="s">
        <v>239</v>
      </c>
      <c r="B3920" s="12" t="s">
        <v>568</v>
      </c>
      <c r="C3920" s="12" t="s">
        <v>560</v>
      </c>
      <c r="D3920" s="13">
        <v>2051</v>
      </c>
      <c r="E3920" s="13">
        <v>2082.7874000000002</v>
      </c>
      <c r="F3920" s="13">
        <v>2312.7834010000001</v>
      </c>
      <c r="G3920" s="13">
        <v>2155.0108009999999</v>
      </c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</row>
    <row r="3921" spans="1:19" x14ac:dyDescent="0.2">
      <c r="A3921" s="12" t="s">
        <v>239</v>
      </c>
      <c r="B3921" s="12" t="s">
        <v>568</v>
      </c>
      <c r="C3921" s="12" t="s">
        <v>561</v>
      </c>
      <c r="D3921" s="13">
        <v>1891</v>
      </c>
      <c r="E3921" s="13">
        <v>1971.1893009999999</v>
      </c>
      <c r="F3921" s="13">
        <v>1977.7673</v>
      </c>
      <c r="G3921" s="13">
        <v>1934.3184020000001</v>
      </c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</row>
    <row r="3922" spans="1:19" x14ac:dyDescent="0.2">
      <c r="A3922" s="12" t="s">
        <v>239</v>
      </c>
      <c r="B3922" s="12" t="s">
        <v>568</v>
      </c>
      <c r="C3922" s="12" t="s">
        <v>562</v>
      </c>
      <c r="D3922" s="13">
        <v>107</v>
      </c>
      <c r="E3922" s="13">
        <v>84.256202000000002</v>
      </c>
      <c r="F3922" s="13">
        <v>85.206198999999998</v>
      </c>
      <c r="G3922" s="13">
        <v>83.174801000000002</v>
      </c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</row>
    <row r="3923" spans="1:19" x14ac:dyDescent="0.2">
      <c r="A3923" s="12" t="s">
        <v>239</v>
      </c>
      <c r="B3923" s="12" t="s">
        <v>568</v>
      </c>
      <c r="C3923" s="12" t="s">
        <v>563</v>
      </c>
      <c r="D3923" s="13">
        <v>1296</v>
      </c>
      <c r="E3923" s="13">
        <v>1442.1351999999999</v>
      </c>
      <c r="F3923" s="13">
        <v>1473.786998</v>
      </c>
      <c r="G3923" s="13">
        <v>1463.0622000000001</v>
      </c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</row>
    <row r="3924" spans="1:19" x14ac:dyDescent="0.2">
      <c r="A3924" s="12" t="s">
        <v>239</v>
      </c>
      <c r="B3924" s="12" t="s">
        <v>568</v>
      </c>
      <c r="C3924" s="12" t="s">
        <v>564</v>
      </c>
      <c r="D3924" s="13">
        <v>93</v>
      </c>
      <c r="E3924" s="13">
        <v>95.580600000000004</v>
      </c>
      <c r="F3924" s="13">
        <v>74.361801000000014</v>
      </c>
      <c r="G3924" s="13">
        <v>80.467399</v>
      </c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</row>
    <row r="3925" spans="1:19" x14ac:dyDescent="0.2">
      <c r="A3925" s="12" t="s">
        <v>239</v>
      </c>
      <c r="B3925" s="12" t="s">
        <v>568</v>
      </c>
      <c r="C3925" s="12" t="s">
        <v>565</v>
      </c>
      <c r="D3925" s="13">
        <v>84</v>
      </c>
      <c r="E3925" s="13">
        <v>92.719001000000006</v>
      </c>
      <c r="F3925" s="13">
        <v>88.058800000000005</v>
      </c>
      <c r="G3925" s="13">
        <v>88.882800000000003</v>
      </c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</row>
    <row r="3926" spans="1:19" x14ac:dyDescent="0.2">
      <c r="A3926" s="12" t="s">
        <v>239</v>
      </c>
      <c r="B3926" s="12" t="s">
        <v>568</v>
      </c>
      <c r="C3926" s="12" t="s">
        <v>566</v>
      </c>
      <c r="D3926" s="13">
        <v>311</v>
      </c>
      <c r="E3926" s="13">
        <v>256.49830200000002</v>
      </c>
      <c r="F3926" s="13">
        <v>256.35350199999999</v>
      </c>
      <c r="G3926" s="13">
        <v>218.73119700000001</v>
      </c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</row>
    <row r="3927" spans="1:19" x14ac:dyDescent="0.2">
      <c r="A3927" s="12" t="s">
        <v>239</v>
      </c>
      <c r="B3927" s="12" t="s">
        <v>569</v>
      </c>
      <c r="C3927" s="12" t="s">
        <v>554</v>
      </c>
      <c r="D3927" s="13">
        <v>1424</v>
      </c>
      <c r="E3927" s="13">
        <v>1179.333901</v>
      </c>
      <c r="F3927" s="13">
        <v>1371.2517009999999</v>
      </c>
      <c r="G3927" s="13">
        <v>1240.0316989999999</v>
      </c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</row>
    <row r="3928" spans="1:19" x14ac:dyDescent="0.2">
      <c r="A3928" s="12" t="s">
        <v>239</v>
      </c>
      <c r="B3928" s="12" t="s">
        <v>569</v>
      </c>
      <c r="C3928" s="12" t="s">
        <v>555</v>
      </c>
      <c r="D3928" s="13">
        <v>1549</v>
      </c>
      <c r="E3928" s="13">
        <v>1817.1359990000001</v>
      </c>
      <c r="F3928" s="13">
        <v>2003.263199</v>
      </c>
      <c r="G3928" s="13">
        <v>1603.5371990000001</v>
      </c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</row>
    <row r="3929" spans="1:19" x14ac:dyDescent="0.2">
      <c r="A3929" s="12" t="s">
        <v>239</v>
      </c>
      <c r="B3929" s="12" t="s">
        <v>569</v>
      </c>
      <c r="C3929" s="12" t="s">
        <v>556</v>
      </c>
      <c r="D3929" s="13">
        <v>-344</v>
      </c>
      <c r="E3929" s="13">
        <v>-246.46770100000001</v>
      </c>
      <c r="F3929" s="13">
        <v>-841.95899899999995</v>
      </c>
      <c r="G3929" s="13">
        <v>-568.91430000000003</v>
      </c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</row>
    <row r="3930" spans="1:19" x14ac:dyDescent="0.2">
      <c r="A3930" s="12" t="s">
        <v>239</v>
      </c>
      <c r="B3930" s="12" t="s">
        <v>569</v>
      </c>
      <c r="C3930" s="12" t="s">
        <v>557</v>
      </c>
      <c r="D3930" s="13">
        <v>2629</v>
      </c>
      <c r="E3930" s="13">
        <v>2756.3219979999999</v>
      </c>
      <c r="F3930" s="13">
        <v>2519.3852999999999</v>
      </c>
      <c r="G3930" s="13">
        <v>2252.898901</v>
      </c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</row>
    <row r="3931" spans="1:19" x14ac:dyDescent="0.2">
      <c r="A3931" s="12" t="s">
        <v>239</v>
      </c>
      <c r="B3931" s="12" t="s">
        <v>569</v>
      </c>
      <c r="C3931" s="12" t="s">
        <v>558</v>
      </c>
      <c r="D3931" s="13">
        <v>-845</v>
      </c>
      <c r="E3931" s="13">
        <v>-914.04090300000007</v>
      </c>
      <c r="F3931" s="13">
        <v>-923.58450099999993</v>
      </c>
      <c r="G3931" s="13">
        <v>-752.82209799999998</v>
      </c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</row>
    <row r="3932" spans="1:19" x14ac:dyDescent="0.2">
      <c r="A3932" s="12" t="s">
        <v>239</v>
      </c>
      <c r="B3932" s="12" t="s">
        <v>569</v>
      </c>
      <c r="C3932" s="12" t="s">
        <v>560</v>
      </c>
      <c r="D3932" s="13">
        <v>0</v>
      </c>
      <c r="E3932" s="13">
        <v>0</v>
      </c>
      <c r="F3932" s="13">
        <v>0</v>
      </c>
      <c r="G3932" s="13">
        <v>0</v>
      </c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</row>
    <row r="3933" spans="1:19" x14ac:dyDescent="0.2">
      <c r="A3933" s="12" t="s">
        <v>239</v>
      </c>
      <c r="B3933" s="12" t="s">
        <v>569</v>
      </c>
      <c r="C3933" s="12" t="s">
        <v>561</v>
      </c>
      <c r="D3933" s="13">
        <v>1590</v>
      </c>
      <c r="E3933" s="13">
        <v>1675.674</v>
      </c>
      <c r="F3933" s="13">
        <v>1422.332101</v>
      </c>
      <c r="G3933" s="13">
        <v>1342.578602</v>
      </c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</row>
    <row r="3934" spans="1:19" x14ac:dyDescent="0.2">
      <c r="A3934" s="12" t="s">
        <v>239</v>
      </c>
      <c r="B3934" s="12" t="s">
        <v>569</v>
      </c>
      <c r="C3934" s="12" t="s">
        <v>562</v>
      </c>
      <c r="D3934" s="13">
        <v>310</v>
      </c>
      <c r="E3934" s="13">
        <v>309.03210000000001</v>
      </c>
      <c r="F3934" s="13">
        <v>282.68280099999998</v>
      </c>
      <c r="G3934" s="13">
        <v>282.76739900000001</v>
      </c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</row>
    <row r="3935" spans="1:19" x14ac:dyDescent="0.2">
      <c r="A3935" s="12" t="s">
        <v>239</v>
      </c>
      <c r="B3935" s="12" t="s">
        <v>569</v>
      </c>
      <c r="C3935" s="12" t="s">
        <v>563</v>
      </c>
      <c r="D3935" s="13">
        <v>3</v>
      </c>
      <c r="E3935" s="13">
        <v>3.168901</v>
      </c>
      <c r="F3935" s="13">
        <v>3.168901</v>
      </c>
      <c r="G3935" s="13">
        <v>3.168901</v>
      </c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</row>
    <row r="3936" spans="1:19" x14ac:dyDescent="0.2">
      <c r="A3936" s="12" t="s">
        <v>239</v>
      </c>
      <c r="B3936" s="12" t="s">
        <v>569</v>
      </c>
      <c r="C3936" s="12" t="s">
        <v>564</v>
      </c>
      <c r="D3936" s="13">
        <v>973</v>
      </c>
      <c r="E3936" s="13">
        <v>1032.9002989999999</v>
      </c>
      <c r="F3936" s="13">
        <v>839.45609999999999</v>
      </c>
      <c r="G3936" s="13">
        <v>768.20309900000007</v>
      </c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</row>
    <row r="3937" spans="1:19" x14ac:dyDescent="0.2">
      <c r="A3937" s="12" t="s">
        <v>239</v>
      </c>
      <c r="B3937" s="12" t="s">
        <v>569</v>
      </c>
      <c r="C3937" s="12" t="s">
        <v>565</v>
      </c>
      <c r="D3937" s="13">
        <v>254</v>
      </c>
      <c r="E3937" s="13">
        <v>279.81810000000002</v>
      </c>
      <c r="F3937" s="13">
        <v>255.798001</v>
      </c>
      <c r="G3937" s="13">
        <v>252.69479999999999</v>
      </c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</row>
    <row r="3938" spans="1:19" x14ac:dyDescent="0.2">
      <c r="A3938" s="12" t="s">
        <v>239</v>
      </c>
      <c r="B3938" s="12" t="s">
        <v>569</v>
      </c>
      <c r="C3938" s="12" t="s">
        <v>566</v>
      </c>
      <c r="D3938" s="13">
        <v>50</v>
      </c>
      <c r="E3938" s="13">
        <v>50.754601000000001</v>
      </c>
      <c r="F3938" s="13">
        <v>41.226298</v>
      </c>
      <c r="G3938" s="13">
        <v>35.744399000000001</v>
      </c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</row>
    <row r="3939" spans="1:19" x14ac:dyDescent="0.2">
      <c r="A3939" s="12" t="s">
        <v>239</v>
      </c>
      <c r="B3939" s="12" t="s">
        <v>570</v>
      </c>
      <c r="C3939" s="12" t="s">
        <v>554</v>
      </c>
      <c r="D3939" s="13">
        <v>548</v>
      </c>
      <c r="E3939" s="13">
        <v>502.95187700000002</v>
      </c>
      <c r="F3939" s="13">
        <v>517.09544800000003</v>
      </c>
      <c r="G3939" s="13">
        <v>442.86665399999998</v>
      </c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</row>
    <row r="3940" spans="1:19" x14ac:dyDescent="0.2">
      <c r="A3940" s="12" t="s">
        <v>239</v>
      </c>
      <c r="B3940" s="12" t="s">
        <v>570</v>
      </c>
      <c r="C3940" s="12" t="s">
        <v>555</v>
      </c>
      <c r="D3940" s="13">
        <v>0</v>
      </c>
      <c r="E3940" s="13">
        <v>0</v>
      </c>
      <c r="F3940" s="13">
        <v>0</v>
      </c>
      <c r="G3940" s="13">
        <v>0</v>
      </c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</row>
    <row r="3941" spans="1:19" x14ac:dyDescent="0.2">
      <c r="A3941" s="12" t="s">
        <v>239</v>
      </c>
      <c r="B3941" s="12" t="s">
        <v>570</v>
      </c>
      <c r="C3941" s="12" t="s">
        <v>556</v>
      </c>
      <c r="D3941" s="13">
        <v>0</v>
      </c>
      <c r="E3941" s="13">
        <v>0</v>
      </c>
      <c r="F3941" s="13">
        <v>0</v>
      </c>
      <c r="G3941" s="13">
        <v>0</v>
      </c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</row>
    <row r="3942" spans="1:19" x14ac:dyDescent="0.2">
      <c r="A3942" s="12" t="s">
        <v>239</v>
      </c>
      <c r="B3942" s="12" t="s">
        <v>570</v>
      </c>
      <c r="C3942" s="12" t="s">
        <v>557</v>
      </c>
      <c r="D3942" s="13">
        <v>548</v>
      </c>
      <c r="E3942" s="13">
        <v>502.95187700000002</v>
      </c>
      <c r="F3942" s="13">
        <v>517.09544800000003</v>
      </c>
      <c r="G3942" s="13">
        <v>442.86665399999998</v>
      </c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</row>
    <row r="3943" spans="1:19" x14ac:dyDescent="0.2">
      <c r="A3943" s="12" t="s">
        <v>239</v>
      </c>
      <c r="B3943" s="12" t="s">
        <v>570</v>
      </c>
      <c r="C3943" s="12" t="s">
        <v>558</v>
      </c>
      <c r="D3943" s="13">
        <v>-548</v>
      </c>
      <c r="E3943" s="13">
        <v>-502.95187700000002</v>
      </c>
      <c r="F3943" s="13">
        <v>-517.09544800000003</v>
      </c>
      <c r="G3943" s="13">
        <v>-442.86665399999998</v>
      </c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</row>
    <row r="3944" spans="1:19" x14ac:dyDescent="0.2">
      <c r="A3944" s="12" t="s">
        <v>239</v>
      </c>
      <c r="B3944" s="12" t="s">
        <v>570</v>
      </c>
      <c r="C3944" s="12" t="s">
        <v>560</v>
      </c>
      <c r="D3944" s="13">
        <v>0</v>
      </c>
      <c r="E3944" s="13">
        <v>0</v>
      </c>
      <c r="F3944" s="13">
        <v>0</v>
      </c>
      <c r="G3944" s="13">
        <v>0</v>
      </c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</row>
    <row r="3945" spans="1:19" x14ac:dyDescent="0.2">
      <c r="A3945" s="12" t="s">
        <v>239</v>
      </c>
      <c r="B3945" s="12" t="s">
        <v>570</v>
      </c>
      <c r="C3945" s="12" t="s">
        <v>561</v>
      </c>
      <c r="D3945" s="13">
        <v>0</v>
      </c>
      <c r="E3945" s="13">
        <v>0</v>
      </c>
      <c r="F3945" s="13">
        <v>0</v>
      </c>
      <c r="G3945" s="13">
        <v>0</v>
      </c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</row>
    <row r="3946" spans="1:19" x14ac:dyDescent="0.2">
      <c r="A3946" s="12" t="s">
        <v>239</v>
      </c>
      <c r="B3946" s="12" t="s">
        <v>570</v>
      </c>
      <c r="C3946" s="12" t="s">
        <v>562</v>
      </c>
      <c r="D3946" s="13">
        <v>0</v>
      </c>
      <c r="E3946" s="13">
        <v>0</v>
      </c>
      <c r="F3946" s="13">
        <v>0</v>
      </c>
      <c r="G3946" s="13">
        <v>0</v>
      </c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</row>
    <row r="3947" spans="1:19" x14ac:dyDescent="0.2">
      <c r="A3947" s="12" t="s">
        <v>239</v>
      </c>
      <c r="B3947" s="12" t="s">
        <v>570</v>
      </c>
      <c r="C3947" s="12" t="s">
        <v>563</v>
      </c>
      <c r="D3947" s="13">
        <v>0</v>
      </c>
      <c r="E3947" s="13">
        <v>0</v>
      </c>
      <c r="F3947" s="13">
        <v>0</v>
      </c>
      <c r="G3947" s="13">
        <v>0</v>
      </c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</row>
    <row r="3948" spans="1:19" x14ac:dyDescent="0.2">
      <c r="A3948" s="12" t="s">
        <v>239</v>
      </c>
      <c r="B3948" s="12" t="s">
        <v>570</v>
      </c>
      <c r="C3948" s="12" t="s">
        <v>564</v>
      </c>
      <c r="D3948" s="13">
        <v>0</v>
      </c>
      <c r="E3948" s="13">
        <v>0</v>
      </c>
      <c r="F3948" s="13">
        <v>0</v>
      </c>
      <c r="G3948" s="13">
        <v>0</v>
      </c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</row>
    <row r="3949" spans="1:19" x14ac:dyDescent="0.2">
      <c r="A3949" s="12" t="s">
        <v>239</v>
      </c>
      <c r="B3949" s="12" t="s">
        <v>570</v>
      </c>
      <c r="C3949" s="12" t="s">
        <v>565</v>
      </c>
      <c r="D3949" s="13">
        <v>0</v>
      </c>
      <c r="E3949" s="13">
        <v>0</v>
      </c>
      <c r="F3949" s="13">
        <v>0</v>
      </c>
      <c r="G3949" s="13">
        <v>0</v>
      </c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</row>
    <row r="3950" spans="1:19" x14ac:dyDescent="0.2">
      <c r="A3950" s="12" t="s">
        <v>239</v>
      </c>
      <c r="B3950" s="12" t="s">
        <v>570</v>
      </c>
      <c r="C3950" s="12" t="s">
        <v>566</v>
      </c>
      <c r="D3950" s="13">
        <v>0</v>
      </c>
      <c r="E3950" s="13">
        <v>0</v>
      </c>
      <c r="F3950" s="13">
        <v>0</v>
      </c>
      <c r="G3950" s="13">
        <v>0</v>
      </c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</row>
    <row r="3951" spans="1:19" x14ac:dyDescent="0.2">
      <c r="A3951" s="12" t="s">
        <v>239</v>
      </c>
      <c r="B3951" s="12" t="s">
        <v>571</v>
      </c>
      <c r="C3951" s="12" t="s">
        <v>554</v>
      </c>
      <c r="D3951" s="13">
        <v>731</v>
      </c>
      <c r="E3951" s="13">
        <v>714.65080399999999</v>
      </c>
      <c r="F3951" s="13">
        <v>777.40162800000007</v>
      </c>
      <c r="G3951" s="13">
        <v>800.46854799999994</v>
      </c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</row>
    <row r="3952" spans="1:19" x14ac:dyDescent="0.2">
      <c r="A3952" s="12" t="s">
        <v>239</v>
      </c>
      <c r="B3952" s="12" t="s">
        <v>571</v>
      </c>
      <c r="C3952" s="12" t="s">
        <v>555</v>
      </c>
      <c r="D3952" s="13">
        <v>215</v>
      </c>
      <c r="E3952" s="13">
        <v>209.963607</v>
      </c>
      <c r="F3952" s="13">
        <v>203.34959799999999</v>
      </c>
      <c r="G3952" s="13">
        <v>201.289399</v>
      </c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</row>
    <row r="3953" spans="1:19" x14ac:dyDescent="0.2">
      <c r="A3953" s="12" t="s">
        <v>239</v>
      </c>
      <c r="B3953" s="12" t="s">
        <v>571</v>
      </c>
      <c r="C3953" s="12" t="s">
        <v>556</v>
      </c>
      <c r="D3953" s="13">
        <v>-19</v>
      </c>
      <c r="E3953" s="13">
        <v>-16.369802</v>
      </c>
      <c r="F3953" s="13">
        <v>-18.946802000000002</v>
      </c>
      <c r="G3953" s="13">
        <v>-23.263200999999999</v>
      </c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</row>
    <row r="3954" spans="1:19" x14ac:dyDescent="0.2">
      <c r="A3954" s="12" t="s">
        <v>239</v>
      </c>
      <c r="B3954" s="12" t="s">
        <v>571</v>
      </c>
      <c r="C3954" s="12" t="s">
        <v>557</v>
      </c>
      <c r="D3954" s="13">
        <v>927</v>
      </c>
      <c r="E3954" s="13">
        <v>907.52520399999992</v>
      </c>
      <c r="F3954" s="13">
        <v>960.24482799999998</v>
      </c>
      <c r="G3954" s="13">
        <v>973.48354900000004</v>
      </c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</row>
    <row r="3955" spans="1:19" x14ac:dyDescent="0.2">
      <c r="A3955" s="12" t="s">
        <v>239</v>
      </c>
      <c r="B3955" s="12" t="s">
        <v>571</v>
      </c>
      <c r="C3955" s="12" t="s">
        <v>558</v>
      </c>
      <c r="D3955" s="13">
        <v>-719</v>
      </c>
      <c r="E3955" s="13">
        <v>-698.94835799999998</v>
      </c>
      <c r="F3955" s="13">
        <v>-731.07098599999995</v>
      </c>
      <c r="G3955" s="13">
        <v>-728.8127320000001</v>
      </c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</row>
    <row r="3956" spans="1:19" x14ac:dyDescent="0.2">
      <c r="A3956" s="12" t="s">
        <v>239</v>
      </c>
      <c r="B3956" s="12" t="s">
        <v>571</v>
      </c>
      <c r="C3956" s="12" t="s">
        <v>560</v>
      </c>
      <c r="D3956" s="13">
        <v>0</v>
      </c>
      <c r="E3956" s="13">
        <v>0</v>
      </c>
      <c r="F3956" s="13">
        <v>0</v>
      </c>
      <c r="G3956" s="13">
        <v>0</v>
      </c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</row>
    <row r="3957" spans="1:19" x14ac:dyDescent="0.2">
      <c r="A3957" s="12" t="s">
        <v>239</v>
      </c>
      <c r="B3957" s="12" t="s">
        <v>571</v>
      </c>
      <c r="C3957" s="12" t="s">
        <v>561</v>
      </c>
      <c r="D3957" s="13">
        <v>186</v>
      </c>
      <c r="E3957" s="13">
        <v>187.556444</v>
      </c>
      <c r="F3957" s="13">
        <v>210.91144</v>
      </c>
      <c r="G3957" s="13">
        <v>223.76899399999999</v>
      </c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</row>
    <row r="3958" spans="1:19" x14ac:dyDescent="0.2">
      <c r="A3958" s="12" t="s">
        <v>239</v>
      </c>
      <c r="B3958" s="12" t="s">
        <v>571</v>
      </c>
      <c r="C3958" s="12" t="s">
        <v>562</v>
      </c>
      <c r="D3958" s="13">
        <v>64</v>
      </c>
      <c r="E3958" s="13">
        <v>62.939</v>
      </c>
      <c r="F3958" s="13">
        <v>63.375998000000003</v>
      </c>
      <c r="G3958" s="13">
        <v>62.855000999999987</v>
      </c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</row>
    <row r="3959" spans="1:19" x14ac:dyDescent="0.2">
      <c r="A3959" s="12" t="s">
        <v>239</v>
      </c>
      <c r="B3959" s="12" t="s">
        <v>571</v>
      </c>
      <c r="C3959" s="12" t="s">
        <v>563</v>
      </c>
      <c r="D3959" s="13">
        <v>71</v>
      </c>
      <c r="E3959" s="13">
        <v>68.272200999999995</v>
      </c>
      <c r="F3959" s="13">
        <v>93.466600000000014</v>
      </c>
      <c r="G3959" s="13">
        <v>103.762398</v>
      </c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</row>
    <row r="3960" spans="1:19" x14ac:dyDescent="0.2">
      <c r="A3960" s="12" t="s">
        <v>239</v>
      </c>
      <c r="B3960" s="12" t="s">
        <v>571</v>
      </c>
      <c r="C3960" s="12" t="s">
        <v>564</v>
      </c>
      <c r="D3960" s="13">
        <v>33</v>
      </c>
      <c r="E3960" s="13">
        <v>37.162998999999999</v>
      </c>
      <c r="F3960" s="13">
        <v>37.064993999999999</v>
      </c>
      <c r="G3960" s="13">
        <v>40.163997000000002</v>
      </c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</row>
    <row r="3961" spans="1:19" x14ac:dyDescent="0.2">
      <c r="A3961" s="12" t="s">
        <v>239</v>
      </c>
      <c r="B3961" s="12" t="s">
        <v>571</v>
      </c>
      <c r="C3961" s="12" t="s">
        <v>565</v>
      </c>
      <c r="D3961" s="13">
        <v>9</v>
      </c>
      <c r="E3961" s="13">
        <v>11.156435999999999</v>
      </c>
      <c r="F3961" s="13">
        <v>10.453438</v>
      </c>
      <c r="G3961" s="13">
        <v>10.895996</v>
      </c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</row>
    <row r="3962" spans="1:19" x14ac:dyDescent="0.2">
      <c r="A3962" s="12" t="s">
        <v>239</v>
      </c>
      <c r="B3962" s="12" t="s">
        <v>571</v>
      </c>
      <c r="C3962" s="12" t="s">
        <v>566</v>
      </c>
      <c r="D3962" s="13">
        <v>9</v>
      </c>
      <c r="E3962" s="13">
        <v>8.025798</v>
      </c>
      <c r="F3962" s="13">
        <v>6.5503989999999996</v>
      </c>
      <c r="G3962" s="13">
        <v>6.0916010000000007</v>
      </c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</row>
    <row r="3963" spans="1:19" x14ac:dyDescent="0.2">
      <c r="A3963" s="12" t="s">
        <v>239</v>
      </c>
      <c r="B3963" s="12" t="s">
        <v>572</v>
      </c>
      <c r="C3963" s="12" t="s">
        <v>554</v>
      </c>
      <c r="D3963" s="13">
        <v>0</v>
      </c>
      <c r="E3963" s="13">
        <v>0</v>
      </c>
      <c r="F3963" s="13">
        <v>0</v>
      </c>
      <c r="G3963" s="13">
        <v>0</v>
      </c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</row>
    <row r="3964" spans="1:19" x14ac:dyDescent="0.2">
      <c r="A3964" s="12" t="s">
        <v>239</v>
      </c>
      <c r="B3964" s="12" t="s">
        <v>572</v>
      </c>
      <c r="C3964" s="12" t="s">
        <v>555</v>
      </c>
      <c r="D3964" s="13">
        <v>81</v>
      </c>
      <c r="E3964" s="13">
        <v>103.74735099999999</v>
      </c>
      <c r="F3964" s="13">
        <v>55.823031</v>
      </c>
      <c r="G3964" s="13">
        <v>119.719993</v>
      </c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</row>
    <row r="3965" spans="1:19" x14ac:dyDescent="0.2">
      <c r="A3965" s="12" t="s">
        <v>239</v>
      </c>
      <c r="B3965" s="12" t="s">
        <v>572</v>
      </c>
      <c r="C3965" s="12" t="s">
        <v>556</v>
      </c>
      <c r="D3965" s="13">
        <v>-16</v>
      </c>
      <c r="E3965" s="13">
        <v>-15.099539</v>
      </c>
      <c r="F3965" s="13">
        <v>-74.937440000000009</v>
      </c>
      <c r="G3965" s="13">
        <v>-34.097420999999997</v>
      </c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</row>
    <row r="3966" spans="1:19" x14ac:dyDescent="0.2">
      <c r="A3966" s="12" t="s">
        <v>239</v>
      </c>
      <c r="B3966" s="12" t="s">
        <v>572</v>
      </c>
      <c r="C3966" s="12" t="s">
        <v>557</v>
      </c>
      <c r="D3966" s="13">
        <v>64</v>
      </c>
      <c r="E3966" s="13">
        <v>88.647816000000006</v>
      </c>
      <c r="F3966" s="13">
        <v>-19.114404</v>
      </c>
      <c r="G3966" s="13">
        <v>85.622568000000001</v>
      </c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</row>
    <row r="3967" spans="1:19" x14ac:dyDescent="0.2">
      <c r="A3967" s="12" t="s">
        <v>239</v>
      </c>
      <c r="B3967" s="12" t="s">
        <v>572</v>
      </c>
      <c r="C3967" s="12" t="s">
        <v>558</v>
      </c>
      <c r="D3967" s="13">
        <v>1112</v>
      </c>
      <c r="E3967" s="13">
        <v>1104.276953</v>
      </c>
      <c r="F3967" s="13">
        <v>1164.777403</v>
      </c>
      <c r="G3967" s="13">
        <v>1049.6479750000001</v>
      </c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</row>
    <row r="3968" spans="1:19" x14ac:dyDescent="0.2">
      <c r="A3968" s="12" t="s">
        <v>239</v>
      </c>
      <c r="B3968" s="12" t="s">
        <v>572</v>
      </c>
      <c r="C3968" s="12" t="s">
        <v>560</v>
      </c>
      <c r="D3968" s="13">
        <v>0</v>
      </c>
      <c r="E3968" s="13">
        <v>0</v>
      </c>
      <c r="F3968" s="13">
        <v>0</v>
      </c>
      <c r="G3968" s="13">
        <v>0</v>
      </c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</row>
    <row r="3969" spans="1:19" x14ac:dyDescent="0.2">
      <c r="A3969" s="12" t="s">
        <v>239</v>
      </c>
      <c r="B3969" s="12" t="s">
        <v>572</v>
      </c>
      <c r="C3969" s="12" t="s">
        <v>561</v>
      </c>
      <c r="D3969" s="13">
        <v>1007</v>
      </c>
      <c r="E3969" s="13">
        <v>1026.8229449999999</v>
      </c>
      <c r="F3969" s="13">
        <v>980.674306</v>
      </c>
      <c r="G3969" s="13">
        <v>968.70976800000005</v>
      </c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</row>
    <row r="3970" spans="1:19" x14ac:dyDescent="0.2">
      <c r="A3970" s="12" t="s">
        <v>239</v>
      </c>
      <c r="B3970" s="12" t="s">
        <v>572</v>
      </c>
      <c r="C3970" s="12" t="s">
        <v>562</v>
      </c>
      <c r="D3970" s="13">
        <v>309</v>
      </c>
      <c r="E3970" s="13">
        <v>317.30872099999999</v>
      </c>
      <c r="F3970" s="13">
        <v>313.06252699999999</v>
      </c>
      <c r="G3970" s="13">
        <v>310.28515099999998</v>
      </c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</row>
    <row r="3971" spans="1:19" x14ac:dyDescent="0.2">
      <c r="A3971" s="12" t="s">
        <v>239</v>
      </c>
      <c r="B3971" s="12" t="s">
        <v>572</v>
      </c>
      <c r="C3971" s="12" t="s">
        <v>563</v>
      </c>
      <c r="D3971" s="13">
        <v>22</v>
      </c>
      <c r="E3971" s="13">
        <v>25.201082</v>
      </c>
      <c r="F3971" s="13">
        <v>31.415217999999999</v>
      </c>
      <c r="G3971" s="13">
        <v>39.314419999999998</v>
      </c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</row>
    <row r="3972" spans="1:19" x14ac:dyDescent="0.2">
      <c r="A3972" s="12" t="s">
        <v>239</v>
      </c>
      <c r="B3972" s="12" t="s">
        <v>572</v>
      </c>
      <c r="C3972" s="12" t="s">
        <v>564</v>
      </c>
      <c r="D3972" s="13">
        <v>387</v>
      </c>
      <c r="E3972" s="13">
        <v>383.78146900000002</v>
      </c>
      <c r="F3972" s="13">
        <v>343.50003600000002</v>
      </c>
      <c r="G3972" s="13">
        <v>333.20071300000001</v>
      </c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</row>
    <row r="3973" spans="1:19" x14ac:dyDescent="0.2">
      <c r="A3973" s="12" t="s">
        <v>239</v>
      </c>
      <c r="B3973" s="12" t="s">
        <v>572</v>
      </c>
      <c r="C3973" s="12" t="s">
        <v>565</v>
      </c>
      <c r="D3973" s="13">
        <v>275</v>
      </c>
      <c r="E3973" s="13">
        <v>286.33011099999999</v>
      </c>
      <c r="F3973" s="13">
        <v>280.44749300000001</v>
      </c>
      <c r="G3973" s="13">
        <v>273.55757399999999</v>
      </c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</row>
    <row r="3974" spans="1:19" x14ac:dyDescent="0.2">
      <c r="A3974" s="12" t="s">
        <v>239</v>
      </c>
      <c r="B3974" s="12" t="s">
        <v>572</v>
      </c>
      <c r="C3974" s="12" t="s">
        <v>566</v>
      </c>
      <c r="D3974" s="13">
        <v>14</v>
      </c>
      <c r="E3974" s="13">
        <v>14.201567000000001</v>
      </c>
      <c r="F3974" s="13">
        <v>12.249027999999999</v>
      </c>
      <c r="G3974" s="13">
        <v>12.351905</v>
      </c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</row>
    <row r="3975" spans="1:19" x14ac:dyDescent="0.2">
      <c r="A3975" s="12" t="s">
        <v>239</v>
      </c>
      <c r="B3975" s="12" t="s">
        <v>573</v>
      </c>
      <c r="C3975" s="12" t="s">
        <v>554</v>
      </c>
      <c r="D3975" s="13">
        <v>0</v>
      </c>
      <c r="E3975" s="13">
        <v>0</v>
      </c>
      <c r="F3975" s="13">
        <v>0</v>
      </c>
      <c r="G3975" s="13">
        <v>0</v>
      </c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</row>
    <row r="3976" spans="1:19" x14ac:dyDescent="0.2">
      <c r="A3976" s="12" t="s">
        <v>239</v>
      </c>
      <c r="B3976" s="12" t="s">
        <v>573</v>
      </c>
      <c r="C3976" s="12" t="s">
        <v>555</v>
      </c>
      <c r="D3976" s="13">
        <v>0</v>
      </c>
      <c r="E3976" s="13">
        <v>0</v>
      </c>
      <c r="F3976" s="13">
        <v>0</v>
      </c>
      <c r="G3976" s="13">
        <v>0</v>
      </c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</row>
    <row r="3977" spans="1:19" x14ac:dyDescent="0.2">
      <c r="A3977" s="12" t="s">
        <v>239</v>
      </c>
      <c r="B3977" s="12" t="s">
        <v>573</v>
      </c>
      <c r="C3977" s="12" t="s">
        <v>556</v>
      </c>
      <c r="D3977" s="13">
        <v>0</v>
      </c>
      <c r="E3977" s="13">
        <v>0</v>
      </c>
      <c r="F3977" s="13">
        <v>0</v>
      </c>
      <c r="G3977" s="13">
        <v>0</v>
      </c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</row>
    <row r="3978" spans="1:19" x14ac:dyDescent="0.2">
      <c r="A3978" s="12" t="s">
        <v>239</v>
      </c>
      <c r="B3978" s="12" t="s">
        <v>573</v>
      </c>
      <c r="C3978" s="12" t="s">
        <v>557</v>
      </c>
      <c r="D3978" s="13">
        <v>0</v>
      </c>
      <c r="E3978" s="13">
        <v>0</v>
      </c>
      <c r="F3978" s="13">
        <v>0</v>
      </c>
      <c r="G3978" s="13">
        <v>0</v>
      </c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</row>
    <row r="3979" spans="1:19" x14ac:dyDescent="0.2">
      <c r="A3979" s="12" t="s">
        <v>239</v>
      </c>
      <c r="B3979" s="12" t="s">
        <v>573</v>
      </c>
      <c r="C3979" s="12" t="s">
        <v>558</v>
      </c>
      <c r="D3979" s="13">
        <v>66</v>
      </c>
      <c r="E3979" s="13">
        <v>66.163376999999997</v>
      </c>
      <c r="F3979" s="13">
        <v>64.906904999999995</v>
      </c>
      <c r="G3979" s="13">
        <v>63.780380000000001</v>
      </c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</row>
    <row r="3980" spans="1:19" x14ac:dyDescent="0.2">
      <c r="A3980" s="12" t="s">
        <v>239</v>
      </c>
      <c r="B3980" s="12" t="s">
        <v>573</v>
      </c>
      <c r="C3980" s="12" t="s">
        <v>560</v>
      </c>
      <c r="D3980" s="13">
        <v>0</v>
      </c>
      <c r="E3980" s="13">
        <v>0</v>
      </c>
      <c r="F3980" s="13">
        <v>0</v>
      </c>
      <c r="G3980" s="13">
        <v>0</v>
      </c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</row>
    <row r="3981" spans="1:19" x14ac:dyDescent="0.2">
      <c r="A3981" s="12" t="s">
        <v>239</v>
      </c>
      <c r="B3981" s="12" t="s">
        <v>573</v>
      </c>
      <c r="C3981" s="12" t="s">
        <v>561</v>
      </c>
      <c r="D3981" s="13">
        <v>52</v>
      </c>
      <c r="E3981" s="13">
        <v>52.353991000000001</v>
      </c>
      <c r="F3981" s="13">
        <v>51.080823000000002</v>
      </c>
      <c r="G3981" s="13">
        <v>49.695269000000003</v>
      </c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</row>
    <row r="3982" spans="1:19" x14ac:dyDescent="0.2">
      <c r="A3982" s="12" t="s">
        <v>239</v>
      </c>
      <c r="B3982" s="12" t="s">
        <v>573</v>
      </c>
      <c r="C3982" s="12" t="s">
        <v>562</v>
      </c>
      <c r="D3982" s="13">
        <v>27</v>
      </c>
      <c r="E3982" s="13">
        <v>26.993082999999999</v>
      </c>
      <c r="F3982" s="13">
        <v>25.170556000000001</v>
      </c>
      <c r="G3982" s="13">
        <v>24.549486000000002</v>
      </c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</row>
    <row r="3983" spans="1:19" x14ac:dyDescent="0.2">
      <c r="A3983" s="12" t="s">
        <v>239</v>
      </c>
      <c r="B3983" s="12" t="s">
        <v>573</v>
      </c>
      <c r="C3983" s="12" t="s">
        <v>563</v>
      </c>
      <c r="D3983" s="13">
        <v>0</v>
      </c>
      <c r="E3983" s="13">
        <v>0</v>
      </c>
      <c r="F3983" s="13">
        <v>0</v>
      </c>
      <c r="G3983" s="13">
        <v>0</v>
      </c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</row>
    <row r="3984" spans="1:19" x14ac:dyDescent="0.2">
      <c r="A3984" s="12" t="s">
        <v>239</v>
      </c>
      <c r="B3984" s="12" t="s">
        <v>573</v>
      </c>
      <c r="C3984" s="12" t="s">
        <v>564</v>
      </c>
      <c r="D3984" s="13">
        <v>11</v>
      </c>
      <c r="E3984" s="13">
        <v>11.404131</v>
      </c>
      <c r="F3984" s="13">
        <v>11.361530999999999</v>
      </c>
      <c r="G3984" s="13">
        <v>11.343959</v>
      </c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</row>
    <row r="3985" spans="1:19" x14ac:dyDescent="0.2">
      <c r="A3985" s="12" t="s">
        <v>239</v>
      </c>
      <c r="B3985" s="12" t="s">
        <v>573</v>
      </c>
      <c r="C3985" s="12" t="s">
        <v>565</v>
      </c>
      <c r="D3985" s="13">
        <v>13</v>
      </c>
      <c r="E3985" s="13">
        <v>13.792157</v>
      </c>
      <c r="F3985" s="13">
        <v>14.433239</v>
      </c>
      <c r="G3985" s="13">
        <v>13.678853</v>
      </c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</row>
    <row r="3986" spans="1:19" x14ac:dyDescent="0.2">
      <c r="A3986" s="12" t="s">
        <v>239</v>
      </c>
      <c r="B3986" s="12" t="s">
        <v>573</v>
      </c>
      <c r="C3986" s="12" t="s">
        <v>566</v>
      </c>
      <c r="D3986" s="13">
        <v>0</v>
      </c>
      <c r="E3986" s="13">
        <v>0.16462099999999999</v>
      </c>
      <c r="F3986" s="13">
        <v>0.115497</v>
      </c>
      <c r="G3986" s="13">
        <v>0.122975</v>
      </c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</row>
    <row r="3987" spans="1:19" x14ac:dyDescent="0.2">
      <c r="A3987" s="12" t="s">
        <v>239</v>
      </c>
      <c r="B3987" s="12" t="s">
        <v>574</v>
      </c>
      <c r="C3987" s="12" t="s">
        <v>554</v>
      </c>
      <c r="D3987" s="13">
        <v>4879</v>
      </c>
      <c r="E3987" s="13">
        <v>4205.4248250000001</v>
      </c>
      <c r="F3987" s="13">
        <v>4328.4415920000001</v>
      </c>
      <c r="G3987" s="13">
        <v>3954.136438</v>
      </c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</row>
    <row r="3988" spans="1:19" x14ac:dyDescent="0.2">
      <c r="A3988" s="12" t="s">
        <v>239</v>
      </c>
      <c r="B3988" s="12" t="s">
        <v>574</v>
      </c>
      <c r="C3988" s="12" t="s">
        <v>555</v>
      </c>
      <c r="D3988" s="13">
        <v>4780</v>
      </c>
      <c r="E3988" s="13">
        <v>5177.5402190000004</v>
      </c>
      <c r="F3988" s="13">
        <v>5690.8725340000001</v>
      </c>
      <c r="G3988" s="13">
        <v>5336.9756020000004</v>
      </c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</row>
    <row r="3989" spans="1:19" x14ac:dyDescent="0.2">
      <c r="A3989" s="12" t="s">
        <v>239</v>
      </c>
      <c r="B3989" s="12" t="s">
        <v>574</v>
      </c>
      <c r="C3989" s="12" t="s">
        <v>556</v>
      </c>
      <c r="D3989" s="13">
        <v>-2934</v>
      </c>
      <c r="E3989" s="13">
        <v>-2582.637796</v>
      </c>
      <c r="F3989" s="13">
        <v>-3190.903937</v>
      </c>
      <c r="G3989" s="13">
        <v>-2649.7952610000002</v>
      </c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</row>
    <row r="3990" spans="1:19" x14ac:dyDescent="0.2">
      <c r="A3990" s="12" t="s">
        <v>239</v>
      </c>
      <c r="B3990" s="12" t="s">
        <v>574</v>
      </c>
      <c r="C3990" s="12" t="s">
        <v>557</v>
      </c>
      <c r="D3990" s="13">
        <v>6476</v>
      </c>
      <c r="E3990" s="13">
        <v>6667.0038320000003</v>
      </c>
      <c r="F3990" s="13">
        <v>6380.8672219999999</v>
      </c>
      <c r="G3990" s="13">
        <v>6101.1793699999998</v>
      </c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</row>
    <row r="3991" spans="1:19" x14ac:dyDescent="0.2">
      <c r="A3991" s="12" t="s">
        <v>239</v>
      </c>
      <c r="B3991" s="12" t="s">
        <v>574</v>
      </c>
      <c r="C3991" s="12" t="s">
        <v>558</v>
      </c>
      <c r="D3991" s="13">
        <v>-1024</v>
      </c>
      <c r="E3991" s="13">
        <v>-1048.1357840000001</v>
      </c>
      <c r="F3991" s="13">
        <v>-1036.215391</v>
      </c>
      <c r="G3991" s="13">
        <v>-882.38140500000009</v>
      </c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</row>
    <row r="3992" spans="1:19" x14ac:dyDescent="0.2">
      <c r="A3992" s="12" t="s">
        <v>239</v>
      </c>
      <c r="B3992" s="12" t="s">
        <v>574</v>
      </c>
      <c r="C3992" s="12" t="s">
        <v>560</v>
      </c>
      <c r="D3992" s="13">
        <v>-38</v>
      </c>
      <c r="E3992" s="13">
        <v>-41.070331000000003</v>
      </c>
      <c r="F3992" s="13">
        <v>-65.149225000000001</v>
      </c>
      <c r="G3992" s="13">
        <v>-57.697201999999997</v>
      </c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</row>
    <row r="3993" spans="1:19" x14ac:dyDescent="0.2">
      <c r="A3993" s="12" t="s">
        <v>239</v>
      </c>
      <c r="B3993" s="12" t="s">
        <v>574</v>
      </c>
      <c r="C3993" s="12" t="s">
        <v>561</v>
      </c>
      <c r="D3993" s="13">
        <v>4806</v>
      </c>
      <c r="E3993" s="13">
        <v>4986.779931</v>
      </c>
      <c r="F3993" s="13">
        <v>4720.1127130000004</v>
      </c>
      <c r="G3993" s="13">
        <v>4592.4652649999998</v>
      </c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</row>
    <row r="3994" spans="1:19" x14ac:dyDescent="0.2">
      <c r="A3994" s="12" t="s">
        <v>239</v>
      </c>
      <c r="B3994" s="12" t="s">
        <v>574</v>
      </c>
      <c r="C3994" s="12" t="s">
        <v>562</v>
      </c>
      <c r="D3994" s="13">
        <v>876</v>
      </c>
      <c r="E3994" s="13">
        <v>851.89780500000006</v>
      </c>
      <c r="F3994" s="13">
        <v>825.65049600000009</v>
      </c>
      <c r="G3994" s="13">
        <v>825.60243100000002</v>
      </c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</row>
    <row r="3995" spans="1:19" x14ac:dyDescent="0.2">
      <c r="A3995" s="12" t="s">
        <v>239</v>
      </c>
      <c r="B3995" s="12" t="s">
        <v>574</v>
      </c>
      <c r="C3995" s="12" t="s">
        <v>563</v>
      </c>
      <c r="D3995" s="13">
        <v>1392</v>
      </c>
      <c r="E3995" s="13">
        <v>1539.15958</v>
      </c>
      <c r="F3995" s="13">
        <v>1602.2546729999999</v>
      </c>
      <c r="G3995" s="13">
        <v>1609.708873</v>
      </c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</row>
    <row r="3996" spans="1:19" x14ac:dyDescent="0.2">
      <c r="A3996" s="12" t="s">
        <v>239</v>
      </c>
      <c r="B3996" s="12" t="s">
        <v>574</v>
      </c>
      <c r="C3996" s="12" t="s">
        <v>564</v>
      </c>
      <c r="D3996" s="13">
        <v>1516</v>
      </c>
      <c r="E3996" s="13">
        <v>1579.7307060000001</v>
      </c>
      <c r="F3996" s="13">
        <v>1324.2246459999999</v>
      </c>
      <c r="G3996" s="13">
        <v>1244.0525009999999</v>
      </c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</row>
    <row r="3997" spans="1:19" x14ac:dyDescent="0.2">
      <c r="A3997" s="12" t="s">
        <v>239</v>
      </c>
      <c r="B3997" s="12" t="s">
        <v>574</v>
      </c>
      <c r="C3997" s="12" t="s">
        <v>565</v>
      </c>
      <c r="D3997" s="13">
        <v>636</v>
      </c>
      <c r="E3997" s="13">
        <v>684.45107600000006</v>
      </c>
      <c r="F3997" s="13">
        <v>649.74552700000004</v>
      </c>
      <c r="G3997" s="13">
        <v>639.87227800000005</v>
      </c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</row>
    <row r="3998" spans="1:19" x14ac:dyDescent="0.2">
      <c r="A3998" s="12" t="s">
        <v>239</v>
      </c>
      <c r="B3998" s="12" t="s">
        <v>574</v>
      </c>
      <c r="C3998" s="12" t="s">
        <v>566</v>
      </c>
      <c r="D3998" s="13">
        <v>387</v>
      </c>
      <c r="E3998" s="13">
        <v>331.54076400000002</v>
      </c>
      <c r="F3998" s="13">
        <v>318.23735799999997</v>
      </c>
      <c r="G3998" s="13">
        <v>273.22918600000003</v>
      </c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</row>
    <row r="3999" spans="1:19" x14ac:dyDescent="0.2">
      <c r="A3999" s="12" t="s">
        <v>522</v>
      </c>
      <c r="B3999" s="12" t="s">
        <v>553</v>
      </c>
      <c r="C3999" s="12" t="s">
        <v>554</v>
      </c>
      <c r="D3999" s="13">
        <v>10788</v>
      </c>
      <c r="E3999" s="13">
        <v>11743.230516</v>
      </c>
      <c r="F3999" s="13">
        <v>12072.109006999999</v>
      </c>
      <c r="G3999" s="13">
        <v>11847.311229000001</v>
      </c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</row>
    <row r="4000" spans="1:19" x14ac:dyDescent="0.2">
      <c r="A4000" s="12" t="s">
        <v>522</v>
      </c>
      <c r="B4000" s="12" t="s">
        <v>553</v>
      </c>
      <c r="C4000" s="12" t="s">
        <v>555</v>
      </c>
      <c r="D4000" s="13">
        <v>111</v>
      </c>
      <c r="E4000" s="13">
        <v>118.642302</v>
      </c>
      <c r="F4000" s="13">
        <v>139.147402</v>
      </c>
      <c r="G4000" s="13">
        <v>92.245541000000003</v>
      </c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</row>
    <row r="4001" spans="1:19" x14ac:dyDescent="0.2">
      <c r="A4001" s="12" t="s">
        <v>522</v>
      </c>
      <c r="B4001" s="12" t="s">
        <v>553</v>
      </c>
      <c r="C4001" s="12" t="s">
        <v>556</v>
      </c>
      <c r="D4001" s="13">
        <v>-1720</v>
      </c>
      <c r="E4001" s="13">
        <v>-2152.0098910000002</v>
      </c>
      <c r="F4001" s="13">
        <v>-2187.5271849999999</v>
      </c>
      <c r="G4001" s="13">
        <v>-2530.5377800000001</v>
      </c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</row>
    <row r="4002" spans="1:19" x14ac:dyDescent="0.2">
      <c r="A4002" s="12" t="s">
        <v>522</v>
      </c>
      <c r="B4002" s="12" t="s">
        <v>553</v>
      </c>
      <c r="C4002" s="12" t="s">
        <v>557</v>
      </c>
      <c r="D4002" s="13">
        <v>9280</v>
      </c>
      <c r="E4002" s="13">
        <v>10635.146594</v>
      </c>
      <c r="F4002" s="13">
        <v>10016.167871</v>
      </c>
      <c r="G4002" s="13">
        <v>8447.5712139999996</v>
      </c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</row>
    <row r="4003" spans="1:19" x14ac:dyDescent="0.2">
      <c r="A4003" s="12" t="s">
        <v>522</v>
      </c>
      <c r="B4003" s="12" t="s">
        <v>553</v>
      </c>
      <c r="C4003" s="12" t="s">
        <v>558</v>
      </c>
      <c r="D4003" s="13">
        <v>-8333</v>
      </c>
      <c r="E4003" s="13">
        <v>-9642.3037970000005</v>
      </c>
      <c r="F4003" s="13">
        <v>-8950.1125749999992</v>
      </c>
      <c r="G4003" s="13">
        <v>-7280.9386950000007</v>
      </c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</row>
    <row r="4004" spans="1:19" x14ac:dyDescent="0.2">
      <c r="A4004" s="12" t="s">
        <v>522</v>
      </c>
      <c r="B4004" s="12" t="s">
        <v>553</v>
      </c>
      <c r="C4004" s="12" t="s">
        <v>560</v>
      </c>
      <c r="D4004" s="13">
        <v>0</v>
      </c>
      <c r="E4004" s="13">
        <v>0</v>
      </c>
      <c r="F4004" s="13">
        <v>0</v>
      </c>
      <c r="G4004" s="13">
        <v>0</v>
      </c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</row>
    <row r="4005" spans="1:19" x14ac:dyDescent="0.2">
      <c r="A4005" s="12" t="s">
        <v>522</v>
      </c>
      <c r="B4005" s="12" t="s">
        <v>553</v>
      </c>
      <c r="C4005" s="12" t="s">
        <v>561</v>
      </c>
      <c r="D4005" s="13">
        <v>540</v>
      </c>
      <c r="E4005" s="13">
        <v>567.85623699999996</v>
      </c>
      <c r="F4005" s="13">
        <v>553.34948100000008</v>
      </c>
      <c r="G4005" s="13">
        <v>513.48994400000004</v>
      </c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</row>
    <row r="4006" spans="1:19" x14ac:dyDescent="0.2">
      <c r="A4006" s="12" t="s">
        <v>522</v>
      </c>
      <c r="B4006" s="12" t="s">
        <v>553</v>
      </c>
      <c r="C4006" s="12" t="s">
        <v>562</v>
      </c>
      <c r="D4006" s="13">
        <v>526</v>
      </c>
      <c r="E4006" s="13">
        <v>553.75047199999995</v>
      </c>
      <c r="F4006" s="13">
        <v>539.457809</v>
      </c>
      <c r="G4006" s="13">
        <v>502.23149999999998</v>
      </c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</row>
    <row r="4007" spans="1:19" x14ac:dyDescent="0.2">
      <c r="A4007" s="12" t="s">
        <v>522</v>
      </c>
      <c r="B4007" s="12" t="s">
        <v>553</v>
      </c>
      <c r="C4007" s="12" t="s">
        <v>563</v>
      </c>
      <c r="D4007" s="13">
        <v>0</v>
      </c>
      <c r="E4007" s="13">
        <v>0</v>
      </c>
      <c r="F4007" s="13">
        <v>0</v>
      </c>
      <c r="G4007" s="13">
        <v>0</v>
      </c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</row>
    <row r="4008" spans="1:19" x14ac:dyDescent="0.2">
      <c r="A4008" s="12" t="s">
        <v>522</v>
      </c>
      <c r="B4008" s="12" t="s">
        <v>553</v>
      </c>
      <c r="C4008" s="12" t="s">
        <v>564</v>
      </c>
      <c r="D4008" s="13">
        <v>0</v>
      </c>
      <c r="E4008" s="13">
        <v>0</v>
      </c>
      <c r="F4008" s="13">
        <v>0</v>
      </c>
      <c r="G4008" s="13">
        <v>0</v>
      </c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</row>
    <row r="4009" spans="1:19" x14ac:dyDescent="0.2">
      <c r="A4009" s="12" t="s">
        <v>522</v>
      </c>
      <c r="B4009" s="12" t="s">
        <v>553</v>
      </c>
      <c r="C4009" s="12" t="s">
        <v>565</v>
      </c>
      <c r="D4009" s="13">
        <v>14</v>
      </c>
      <c r="E4009" s="13">
        <v>14.105765</v>
      </c>
      <c r="F4009" s="13">
        <v>13.891681</v>
      </c>
      <c r="G4009" s="13">
        <v>11.258435</v>
      </c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</row>
    <row r="4010" spans="1:19" x14ac:dyDescent="0.2">
      <c r="A4010" s="12" t="s">
        <v>522</v>
      </c>
      <c r="B4010" s="12" t="s">
        <v>553</v>
      </c>
      <c r="C4010" s="12" t="s">
        <v>566</v>
      </c>
      <c r="D4010" s="13">
        <v>0</v>
      </c>
      <c r="E4010" s="13">
        <v>0</v>
      </c>
      <c r="F4010" s="13">
        <v>0</v>
      </c>
      <c r="G4010" s="13">
        <v>0</v>
      </c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</row>
    <row r="4011" spans="1:19" x14ac:dyDescent="0.2">
      <c r="A4011" s="12" t="s">
        <v>522</v>
      </c>
      <c r="B4011" s="12" t="s">
        <v>567</v>
      </c>
      <c r="C4011" s="12" t="s">
        <v>554</v>
      </c>
      <c r="D4011" s="13">
        <v>30208</v>
      </c>
      <c r="E4011" s="13">
        <v>30383.151524000001</v>
      </c>
      <c r="F4011" s="13">
        <v>32329.980511000002</v>
      </c>
      <c r="G4011" s="13">
        <v>35132.221112000007</v>
      </c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</row>
    <row r="4012" spans="1:19" x14ac:dyDescent="0.2">
      <c r="A4012" s="12" t="s">
        <v>522</v>
      </c>
      <c r="B4012" s="12" t="s">
        <v>567</v>
      </c>
      <c r="C4012" s="12" t="s">
        <v>555</v>
      </c>
      <c r="D4012" s="13">
        <v>13947</v>
      </c>
      <c r="E4012" s="13">
        <v>14450.141788999999</v>
      </c>
      <c r="F4012" s="13">
        <v>14698.803298000001</v>
      </c>
      <c r="G4012" s="13">
        <v>15187.351733</v>
      </c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</row>
    <row r="4013" spans="1:19" x14ac:dyDescent="0.2">
      <c r="A4013" s="12" t="s">
        <v>522</v>
      </c>
      <c r="B4013" s="12" t="s">
        <v>567</v>
      </c>
      <c r="C4013" s="12" t="s">
        <v>556</v>
      </c>
      <c r="D4013" s="13">
        <v>-7555</v>
      </c>
      <c r="E4013" s="13">
        <v>-7243.1123180000004</v>
      </c>
      <c r="F4013" s="13">
        <v>-8394.775603</v>
      </c>
      <c r="G4013" s="13">
        <v>-9441.738354000001</v>
      </c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</row>
    <row r="4014" spans="1:19" x14ac:dyDescent="0.2">
      <c r="A4014" s="12" t="s">
        <v>522</v>
      </c>
      <c r="B4014" s="12" t="s">
        <v>567</v>
      </c>
      <c r="C4014" s="12" t="s">
        <v>557</v>
      </c>
      <c r="D4014" s="13">
        <v>36261</v>
      </c>
      <c r="E4014" s="13">
        <v>38352.436284000003</v>
      </c>
      <c r="F4014" s="13">
        <v>39834.291333000001</v>
      </c>
      <c r="G4014" s="13">
        <v>40223.155831999997</v>
      </c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</row>
    <row r="4015" spans="1:19" x14ac:dyDescent="0.2">
      <c r="A4015" s="12" t="s">
        <v>522</v>
      </c>
      <c r="B4015" s="12" t="s">
        <v>567</v>
      </c>
      <c r="C4015" s="12" t="s">
        <v>558</v>
      </c>
      <c r="D4015" s="13">
        <v>0</v>
      </c>
      <c r="E4015" s="13">
        <v>0</v>
      </c>
      <c r="F4015" s="13">
        <v>0</v>
      </c>
      <c r="G4015" s="13">
        <v>0</v>
      </c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</row>
    <row r="4016" spans="1:19" x14ac:dyDescent="0.2">
      <c r="A4016" s="12" t="s">
        <v>522</v>
      </c>
      <c r="B4016" s="12" t="s">
        <v>567</v>
      </c>
      <c r="C4016" s="12" t="s">
        <v>560</v>
      </c>
      <c r="D4016" s="13">
        <v>-31964</v>
      </c>
      <c r="E4016" s="13">
        <v>-33854.393729000003</v>
      </c>
      <c r="F4016" s="13">
        <v>-35453.337372000002</v>
      </c>
      <c r="G4016" s="13">
        <v>-35103.926152</v>
      </c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</row>
    <row r="4017" spans="1:19" x14ac:dyDescent="0.2">
      <c r="A4017" s="12" t="s">
        <v>522</v>
      </c>
      <c r="B4017" s="12" t="s">
        <v>567</v>
      </c>
      <c r="C4017" s="12" t="s">
        <v>561</v>
      </c>
      <c r="D4017" s="13">
        <v>0</v>
      </c>
      <c r="E4017" s="13">
        <v>0</v>
      </c>
      <c r="F4017" s="13">
        <v>0</v>
      </c>
      <c r="G4017" s="13">
        <v>0</v>
      </c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</row>
    <row r="4018" spans="1:19" x14ac:dyDescent="0.2">
      <c r="A4018" s="12" t="s">
        <v>522</v>
      </c>
      <c r="B4018" s="12" t="s">
        <v>567</v>
      </c>
      <c r="C4018" s="12" t="s">
        <v>562</v>
      </c>
      <c r="D4018" s="13">
        <v>0</v>
      </c>
      <c r="E4018" s="13">
        <v>0</v>
      </c>
      <c r="F4018" s="13">
        <v>0</v>
      </c>
      <c r="G4018" s="13">
        <v>0</v>
      </c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</row>
    <row r="4019" spans="1:19" x14ac:dyDescent="0.2">
      <c r="A4019" s="12" t="s">
        <v>522</v>
      </c>
      <c r="B4019" s="12" t="s">
        <v>567</v>
      </c>
      <c r="C4019" s="12" t="s">
        <v>563</v>
      </c>
      <c r="D4019" s="13">
        <v>0</v>
      </c>
      <c r="E4019" s="13">
        <v>0</v>
      </c>
      <c r="F4019" s="13">
        <v>0</v>
      </c>
      <c r="G4019" s="13">
        <v>0</v>
      </c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</row>
    <row r="4020" spans="1:19" x14ac:dyDescent="0.2">
      <c r="A4020" s="12" t="s">
        <v>522</v>
      </c>
      <c r="B4020" s="12" t="s">
        <v>567</v>
      </c>
      <c r="C4020" s="12" t="s">
        <v>564</v>
      </c>
      <c r="D4020" s="13">
        <v>0</v>
      </c>
      <c r="E4020" s="13">
        <v>0</v>
      </c>
      <c r="F4020" s="13">
        <v>0</v>
      </c>
      <c r="G4020" s="13">
        <v>0</v>
      </c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</row>
    <row r="4021" spans="1:19" x14ac:dyDescent="0.2">
      <c r="A4021" s="12" t="s">
        <v>522</v>
      </c>
      <c r="B4021" s="12" t="s">
        <v>567</v>
      </c>
      <c r="C4021" s="12" t="s">
        <v>565</v>
      </c>
      <c r="D4021" s="13">
        <v>0</v>
      </c>
      <c r="E4021" s="13">
        <v>0</v>
      </c>
      <c r="F4021" s="13">
        <v>0</v>
      </c>
      <c r="G4021" s="13">
        <v>0</v>
      </c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</row>
    <row r="4022" spans="1:19" x14ac:dyDescent="0.2">
      <c r="A4022" s="12" t="s">
        <v>522</v>
      </c>
      <c r="B4022" s="12" t="s">
        <v>567</v>
      </c>
      <c r="C4022" s="12" t="s">
        <v>566</v>
      </c>
      <c r="D4022" s="13">
        <v>0</v>
      </c>
      <c r="E4022" s="13">
        <v>0</v>
      </c>
      <c r="F4022" s="13">
        <v>0</v>
      </c>
      <c r="G4022" s="13">
        <v>0</v>
      </c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</row>
    <row r="4023" spans="1:19" x14ac:dyDescent="0.2">
      <c r="A4023" s="12" t="s">
        <v>522</v>
      </c>
      <c r="B4023" s="12" t="s">
        <v>568</v>
      </c>
      <c r="C4023" s="12" t="s">
        <v>554</v>
      </c>
      <c r="D4023" s="13">
        <v>0</v>
      </c>
      <c r="E4023" s="13">
        <v>0</v>
      </c>
      <c r="F4023" s="13">
        <v>0</v>
      </c>
      <c r="G4023" s="13">
        <v>0</v>
      </c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</row>
    <row r="4024" spans="1:19" x14ac:dyDescent="0.2">
      <c r="A4024" s="12" t="s">
        <v>522</v>
      </c>
      <c r="B4024" s="12" t="s">
        <v>568</v>
      </c>
      <c r="C4024" s="12" t="s">
        <v>555</v>
      </c>
      <c r="D4024" s="13">
        <v>3021</v>
      </c>
      <c r="E4024" s="13">
        <v>3592.7937390000002</v>
      </c>
      <c r="F4024" s="13">
        <v>3050.5045439999999</v>
      </c>
      <c r="G4024" s="13">
        <v>2990.3949160000002</v>
      </c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</row>
    <row r="4025" spans="1:19" x14ac:dyDescent="0.2">
      <c r="A4025" s="12" t="s">
        <v>522</v>
      </c>
      <c r="B4025" s="12" t="s">
        <v>568</v>
      </c>
      <c r="C4025" s="12" t="s">
        <v>556</v>
      </c>
      <c r="D4025" s="13">
        <v>-8569</v>
      </c>
      <c r="E4025" s="13">
        <v>-8761.7580230000003</v>
      </c>
      <c r="F4025" s="13">
        <v>-9525.3415120000009</v>
      </c>
      <c r="G4025" s="13">
        <v>-9707.925795000001</v>
      </c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</row>
    <row r="4026" spans="1:19" x14ac:dyDescent="0.2">
      <c r="A4026" s="12" t="s">
        <v>522</v>
      </c>
      <c r="B4026" s="12" t="s">
        <v>568</v>
      </c>
      <c r="C4026" s="12" t="s">
        <v>557</v>
      </c>
      <c r="D4026" s="13">
        <v>-6860</v>
      </c>
      <c r="E4026" s="13">
        <v>-6383.8757900000001</v>
      </c>
      <c r="F4026" s="13">
        <v>-8112.6344910000007</v>
      </c>
      <c r="G4026" s="13">
        <v>-8333.8181530000002</v>
      </c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</row>
    <row r="4027" spans="1:19" x14ac:dyDescent="0.2">
      <c r="A4027" s="12" t="s">
        <v>522</v>
      </c>
      <c r="B4027" s="12" t="s">
        <v>568</v>
      </c>
      <c r="C4027" s="12" t="s">
        <v>558</v>
      </c>
      <c r="D4027" s="13">
        <v>-358</v>
      </c>
      <c r="E4027" s="13">
        <v>-362.12425300000001</v>
      </c>
      <c r="F4027" s="13">
        <v>-405.22457600000001</v>
      </c>
      <c r="G4027" s="13">
        <v>-309.86076000000003</v>
      </c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</row>
    <row r="4028" spans="1:19" x14ac:dyDescent="0.2">
      <c r="A4028" s="12" t="s">
        <v>522</v>
      </c>
      <c r="B4028" s="12" t="s">
        <v>568</v>
      </c>
      <c r="C4028" s="12" t="s">
        <v>560</v>
      </c>
      <c r="D4028" s="13">
        <v>30692</v>
      </c>
      <c r="E4028" s="13">
        <v>32246.785881</v>
      </c>
      <c r="F4028" s="13">
        <v>34101.290354999997</v>
      </c>
      <c r="G4028" s="13">
        <v>33671.776879999998</v>
      </c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</row>
    <row r="4029" spans="1:19" x14ac:dyDescent="0.2">
      <c r="A4029" s="12" t="s">
        <v>522</v>
      </c>
      <c r="B4029" s="12" t="s">
        <v>568</v>
      </c>
      <c r="C4029" s="12" t="s">
        <v>561</v>
      </c>
      <c r="D4029" s="13">
        <v>27963</v>
      </c>
      <c r="E4029" s="13">
        <v>30340.529138000002</v>
      </c>
      <c r="F4029" s="13">
        <v>31085.058139000001</v>
      </c>
      <c r="G4029" s="13">
        <v>30851.540077000001</v>
      </c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</row>
    <row r="4030" spans="1:19" x14ac:dyDescent="0.2">
      <c r="A4030" s="12" t="s">
        <v>522</v>
      </c>
      <c r="B4030" s="12" t="s">
        <v>568</v>
      </c>
      <c r="C4030" s="12" t="s">
        <v>562</v>
      </c>
      <c r="D4030" s="13">
        <v>761</v>
      </c>
      <c r="E4030" s="13">
        <v>843.27303900000004</v>
      </c>
      <c r="F4030" s="13">
        <v>905.45519100000001</v>
      </c>
      <c r="G4030" s="13">
        <v>749.78594400000009</v>
      </c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</row>
    <row r="4031" spans="1:19" x14ac:dyDescent="0.2">
      <c r="A4031" s="12" t="s">
        <v>522</v>
      </c>
      <c r="B4031" s="12" t="s">
        <v>568</v>
      </c>
      <c r="C4031" s="12" t="s">
        <v>563</v>
      </c>
      <c r="D4031" s="13">
        <v>20495</v>
      </c>
      <c r="E4031" s="13">
        <v>22598.437483000002</v>
      </c>
      <c r="F4031" s="13">
        <v>23028.656525999999</v>
      </c>
      <c r="G4031" s="13">
        <v>22688.250184</v>
      </c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</row>
    <row r="4032" spans="1:19" x14ac:dyDescent="0.2">
      <c r="A4032" s="12" t="s">
        <v>522</v>
      </c>
      <c r="B4032" s="12" t="s">
        <v>568</v>
      </c>
      <c r="C4032" s="12" t="s">
        <v>564</v>
      </c>
      <c r="D4032" s="13">
        <v>587</v>
      </c>
      <c r="E4032" s="13">
        <v>601.412195</v>
      </c>
      <c r="F4032" s="13">
        <v>621.67407600000001</v>
      </c>
      <c r="G4032" s="13">
        <v>608.61004500000001</v>
      </c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</row>
    <row r="4033" spans="1:19" x14ac:dyDescent="0.2">
      <c r="A4033" s="12" t="s">
        <v>522</v>
      </c>
      <c r="B4033" s="12" t="s">
        <v>568</v>
      </c>
      <c r="C4033" s="12" t="s">
        <v>565</v>
      </c>
      <c r="D4033" s="13">
        <v>478</v>
      </c>
      <c r="E4033" s="13">
        <v>515.69250599999998</v>
      </c>
      <c r="F4033" s="13">
        <v>528.49816899999996</v>
      </c>
      <c r="G4033" s="13">
        <v>496.58973300000002</v>
      </c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</row>
    <row r="4034" spans="1:19" x14ac:dyDescent="0.2">
      <c r="A4034" s="12" t="s">
        <v>522</v>
      </c>
      <c r="B4034" s="12" t="s">
        <v>568</v>
      </c>
      <c r="C4034" s="12" t="s">
        <v>566</v>
      </c>
      <c r="D4034" s="13">
        <v>5643</v>
      </c>
      <c r="E4034" s="13">
        <v>5781.7139150000003</v>
      </c>
      <c r="F4034" s="13">
        <v>6000.7741820000001</v>
      </c>
      <c r="G4034" s="13">
        <v>6308.3041709999998</v>
      </c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</row>
    <row r="4035" spans="1:19" x14ac:dyDescent="0.2">
      <c r="A4035" s="12" t="s">
        <v>522</v>
      </c>
      <c r="B4035" s="12" t="s">
        <v>569</v>
      </c>
      <c r="C4035" s="12" t="s">
        <v>554</v>
      </c>
      <c r="D4035" s="13">
        <v>32984</v>
      </c>
      <c r="E4035" s="13">
        <v>34004.580139999998</v>
      </c>
      <c r="F4035" s="13">
        <v>35785.346319999997</v>
      </c>
      <c r="G4035" s="13">
        <v>37266.540086000001</v>
      </c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</row>
    <row r="4036" spans="1:19" x14ac:dyDescent="0.2">
      <c r="A4036" s="12" t="s">
        <v>522</v>
      </c>
      <c r="B4036" s="12" t="s">
        <v>569</v>
      </c>
      <c r="C4036" s="12" t="s">
        <v>555</v>
      </c>
      <c r="D4036" s="13">
        <v>2471</v>
      </c>
      <c r="E4036" s="13">
        <v>2818.4121</v>
      </c>
      <c r="F4036" s="13">
        <v>2943.5201980000002</v>
      </c>
      <c r="G4036" s="13">
        <v>2937.8096999999998</v>
      </c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</row>
    <row r="4037" spans="1:19" x14ac:dyDescent="0.2">
      <c r="A4037" s="12" t="s">
        <v>522</v>
      </c>
      <c r="B4037" s="12" t="s">
        <v>569</v>
      </c>
      <c r="C4037" s="12" t="s">
        <v>556</v>
      </c>
      <c r="D4037" s="13">
        <v>-5203</v>
      </c>
      <c r="E4037" s="13">
        <v>-6677.3709009999993</v>
      </c>
      <c r="F4037" s="13">
        <v>-6719.810399</v>
      </c>
      <c r="G4037" s="13">
        <v>-7637.9193020000002</v>
      </c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</row>
    <row r="4038" spans="1:19" x14ac:dyDescent="0.2">
      <c r="A4038" s="12" t="s">
        <v>522</v>
      </c>
      <c r="B4038" s="12" t="s">
        <v>569</v>
      </c>
      <c r="C4038" s="12" t="s">
        <v>557</v>
      </c>
      <c r="D4038" s="13">
        <v>30105</v>
      </c>
      <c r="E4038" s="13">
        <v>30274.618321000002</v>
      </c>
      <c r="F4038" s="13">
        <v>32292.088689</v>
      </c>
      <c r="G4038" s="13">
        <v>32042.963681000001</v>
      </c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</row>
    <row r="4039" spans="1:19" x14ac:dyDescent="0.2">
      <c r="A4039" s="12" t="s">
        <v>522</v>
      </c>
      <c r="B4039" s="12" t="s">
        <v>569</v>
      </c>
      <c r="C4039" s="12" t="s">
        <v>558</v>
      </c>
      <c r="D4039" s="13">
        <v>-12105</v>
      </c>
      <c r="E4039" s="13">
        <v>-11713.194979</v>
      </c>
      <c r="F4039" s="13">
        <v>-12540.840602</v>
      </c>
      <c r="G4039" s="13">
        <v>-13403.818784999999</v>
      </c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</row>
    <row r="4040" spans="1:19" x14ac:dyDescent="0.2">
      <c r="A4040" s="12" t="s">
        <v>522</v>
      </c>
      <c r="B4040" s="12" t="s">
        <v>569</v>
      </c>
      <c r="C4040" s="12" t="s">
        <v>560</v>
      </c>
      <c r="D4040" s="13">
        <v>0</v>
      </c>
      <c r="E4040" s="13">
        <v>0</v>
      </c>
      <c r="F4040" s="13">
        <v>0</v>
      </c>
      <c r="G4040" s="13">
        <v>0</v>
      </c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</row>
    <row r="4041" spans="1:19" x14ac:dyDescent="0.2">
      <c r="A4041" s="12" t="s">
        <v>522</v>
      </c>
      <c r="B4041" s="12" t="s">
        <v>569</v>
      </c>
      <c r="C4041" s="12" t="s">
        <v>561</v>
      </c>
      <c r="D4041" s="13">
        <v>14925</v>
      </c>
      <c r="E4041" s="13">
        <v>15475.637522999999</v>
      </c>
      <c r="F4041" s="13">
        <v>16142.048201</v>
      </c>
      <c r="G4041" s="13">
        <v>15595.632143999999</v>
      </c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</row>
    <row r="4042" spans="1:19" x14ac:dyDescent="0.2">
      <c r="A4042" s="12" t="s">
        <v>522</v>
      </c>
      <c r="B4042" s="12" t="s">
        <v>569</v>
      </c>
      <c r="C4042" s="12" t="s">
        <v>562</v>
      </c>
      <c r="D4042" s="13">
        <v>5697</v>
      </c>
      <c r="E4042" s="13">
        <v>5678.4072960000003</v>
      </c>
      <c r="F4042" s="13">
        <v>5814.677232</v>
      </c>
      <c r="G4042" s="13">
        <v>5820.6791979999998</v>
      </c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</row>
    <row r="4043" spans="1:19" x14ac:dyDescent="0.2">
      <c r="A4043" s="12" t="s">
        <v>522</v>
      </c>
      <c r="B4043" s="12" t="s">
        <v>569</v>
      </c>
      <c r="C4043" s="12" t="s">
        <v>563</v>
      </c>
      <c r="D4043" s="13">
        <v>1040</v>
      </c>
      <c r="E4043" s="13">
        <v>1165.954571</v>
      </c>
      <c r="F4043" s="13">
        <v>1256.6075920000001</v>
      </c>
      <c r="G4043" s="13">
        <v>1284.764224</v>
      </c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</row>
    <row r="4044" spans="1:19" x14ac:dyDescent="0.2">
      <c r="A4044" s="12" t="s">
        <v>522</v>
      </c>
      <c r="B4044" s="12" t="s">
        <v>569</v>
      </c>
      <c r="C4044" s="12" t="s">
        <v>564</v>
      </c>
      <c r="D4044" s="13">
        <v>4603</v>
      </c>
      <c r="E4044" s="13">
        <v>4644.1671210000004</v>
      </c>
      <c r="F4044" s="13">
        <v>4883.6226139999999</v>
      </c>
      <c r="G4044" s="13">
        <v>4449.9380899999996</v>
      </c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</row>
    <row r="4045" spans="1:19" x14ac:dyDescent="0.2">
      <c r="A4045" s="12" t="s">
        <v>522</v>
      </c>
      <c r="B4045" s="12" t="s">
        <v>569</v>
      </c>
      <c r="C4045" s="12" t="s">
        <v>565</v>
      </c>
      <c r="D4045" s="13">
        <v>3122</v>
      </c>
      <c r="E4045" s="13">
        <v>3247.841097</v>
      </c>
      <c r="F4045" s="13">
        <v>3452.1410989999999</v>
      </c>
      <c r="G4045" s="13">
        <v>3287.2111810000001</v>
      </c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</row>
    <row r="4046" spans="1:19" x14ac:dyDescent="0.2">
      <c r="A4046" s="12" t="s">
        <v>522</v>
      </c>
      <c r="B4046" s="12" t="s">
        <v>569</v>
      </c>
      <c r="C4046" s="12" t="s">
        <v>566</v>
      </c>
      <c r="D4046" s="13">
        <v>464</v>
      </c>
      <c r="E4046" s="13">
        <v>739.26743799999997</v>
      </c>
      <c r="F4046" s="13">
        <v>734.99966099999995</v>
      </c>
      <c r="G4046" s="13">
        <v>753.0394520000001</v>
      </c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</row>
    <row r="4047" spans="1:19" x14ac:dyDescent="0.2">
      <c r="A4047" s="12" t="s">
        <v>522</v>
      </c>
      <c r="B4047" s="12" t="s">
        <v>570</v>
      </c>
      <c r="C4047" s="12" t="s">
        <v>554</v>
      </c>
      <c r="D4047" s="13">
        <v>8980</v>
      </c>
      <c r="E4047" s="13">
        <v>8853.2888519999997</v>
      </c>
      <c r="F4047" s="13">
        <v>8767.2934580000001</v>
      </c>
      <c r="G4047" s="13">
        <v>8815.3736520000002</v>
      </c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</row>
    <row r="4048" spans="1:19" x14ac:dyDescent="0.2">
      <c r="A4048" s="12" t="s">
        <v>522</v>
      </c>
      <c r="B4048" s="12" t="s">
        <v>570</v>
      </c>
      <c r="C4048" s="12" t="s">
        <v>555</v>
      </c>
      <c r="D4048" s="13">
        <v>0</v>
      </c>
      <c r="E4048" s="13">
        <v>0</v>
      </c>
      <c r="F4048" s="13">
        <v>0</v>
      </c>
      <c r="G4048" s="13">
        <v>0</v>
      </c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</row>
    <row r="4049" spans="1:19" x14ac:dyDescent="0.2">
      <c r="A4049" s="12" t="s">
        <v>522</v>
      </c>
      <c r="B4049" s="12" t="s">
        <v>570</v>
      </c>
      <c r="C4049" s="12" t="s">
        <v>556</v>
      </c>
      <c r="D4049" s="13">
        <v>0</v>
      </c>
      <c r="E4049" s="13">
        <v>0</v>
      </c>
      <c r="F4049" s="13">
        <v>0</v>
      </c>
      <c r="G4049" s="13">
        <v>0</v>
      </c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</row>
    <row r="4050" spans="1:19" x14ac:dyDescent="0.2">
      <c r="A4050" s="12" t="s">
        <v>522</v>
      </c>
      <c r="B4050" s="12" t="s">
        <v>570</v>
      </c>
      <c r="C4050" s="12" t="s">
        <v>557</v>
      </c>
      <c r="D4050" s="13">
        <v>8980</v>
      </c>
      <c r="E4050" s="13">
        <v>8853.2888519999997</v>
      </c>
      <c r="F4050" s="13">
        <v>8767.2934580000001</v>
      </c>
      <c r="G4050" s="13">
        <v>8815.3736520000002</v>
      </c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</row>
    <row r="4051" spans="1:19" x14ac:dyDescent="0.2">
      <c r="A4051" s="12" t="s">
        <v>522</v>
      </c>
      <c r="B4051" s="12" t="s">
        <v>570</v>
      </c>
      <c r="C4051" s="12" t="s">
        <v>558</v>
      </c>
      <c r="D4051" s="13">
        <v>-8980</v>
      </c>
      <c r="E4051" s="13">
        <v>-8853.2888519999997</v>
      </c>
      <c r="F4051" s="13">
        <v>-8767.2934580000001</v>
      </c>
      <c r="G4051" s="13">
        <v>-8815.3736520000002</v>
      </c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</row>
    <row r="4052" spans="1:19" x14ac:dyDescent="0.2">
      <c r="A4052" s="12" t="s">
        <v>522</v>
      </c>
      <c r="B4052" s="12" t="s">
        <v>570</v>
      </c>
      <c r="C4052" s="12" t="s">
        <v>560</v>
      </c>
      <c r="D4052" s="13">
        <v>0</v>
      </c>
      <c r="E4052" s="13">
        <v>0</v>
      </c>
      <c r="F4052" s="13">
        <v>0</v>
      </c>
      <c r="G4052" s="13">
        <v>0</v>
      </c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</row>
    <row r="4053" spans="1:19" x14ac:dyDescent="0.2">
      <c r="A4053" s="12" t="s">
        <v>522</v>
      </c>
      <c r="B4053" s="12" t="s">
        <v>570</v>
      </c>
      <c r="C4053" s="12" t="s">
        <v>561</v>
      </c>
      <c r="D4053" s="13">
        <v>0</v>
      </c>
      <c r="E4053" s="13">
        <v>0</v>
      </c>
      <c r="F4053" s="13">
        <v>0</v>
      </c>
      <c r="G4053" s="13">
        <v>0</v>
      </c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</row>
    <row r="4054" spans="1:19" x14ac:dyDescent="0.2">
      <c r="A4054" s="12" t="s">
        <v>522</v>
      </c>
      <c r="B4054" s="12" t="s">
        <v>570</v>
      </c>
      <c r="C4054" s="12" t="s">
        <v>562</v>
      </c>
      <c r="D4054" s="13">
        <v>0</v>
      </c>
      <c r="E4054" s="13">
        <v>0</v>
      </c>
      <c r="F4054" s="13">
        <v>0</v>
      </c>
      <c r="G4054" s="13">
        <v>0</v>
      </c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</row>
    <row r="4055" spans="1:19" x14ac:dyDescent="0.2">
      <c r="A4055" s="12" t="s">
        <v>522</v>
      </c>
      <c r="B4055" s="12" t="s">
        <v>570</v>
      </c>
      <c r="C4055" s="12" t="s">
        <v>563</v>
      </c>
      <c r="D4055" s="13">
        <v>0</v>
      </c>
      <c r="E4055" s="13">
        <v>0</v>
      </c>
      <c r="F4055" s="13">
        <v>0</v>
      </c>
      <c r="G4055" s="13">
        <v>0</v>
      </c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</row>
    <row r="4056" spans="1:19" x14ac:dyDescent="0.2">
      <c r="A4056" s="12" t="s">
        <v>522</v>
      </c>
      <c r="B4056" s="12" t="s">
        <v>570</v>
      </c>
      <c r="C4056" s="12" t="s">
        <v>564</v>
      </c>
      <c r="D4056" s="13">
        <v>0</v>
      </c>
      <c r="E4056" s="13">
        <v>0</v>
      </c>
      <c r="F4056" s="13">
        <v>0</v>
      </c>
      <c r="G4056" s="13">
        <v>0</v>
      </c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</row>
    <row r="4057" spans="1:19" x14ac:dyDescent="0.2">
      <c r="A4057" s="12" t="s">
        <v>522</v>
      </c>
      <c r="B4057" s="12" t="s">
        <v>570</v>
      </c>
      <c r="C4057" s="12" t="s">
        <v>565</v>
      </c>
      <c r="D4057" s="13">
        <v>0</v>
      </c>
      <c r="E4057" s="13">
        <v>0</v>
      </c>
      <c r="F4057" s="13">
        <v>0</v>
      </c>
      <c r="G4057" s="13">
        <v>0</v>
      </c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</row>
    <row r="4058" spans="1:19" x14ac:dyDescent="0.2">
      <c r="A4058" s="12" t="s">
        <v>522</v>
      </c>
      <c r="B4058" s="12" t="s">
        <v>570</v>
      </c>
      <c r="C4058" s="12" t="s">
        <v>566</v>
      </c>
      <c r="D4058" s="13">
        <v>0</v>
      </c>
      <c r="E4058" s="13">
        <v>0</v>
      </c>
      <c r="F4058" s="13">
        <v>0</v>
      </c>
      <c r="G4058" s="13">
        <v>0</v>
      </c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</row>
    <row r="4059" spans="1:19" x14ac:dyDescent="0.2">
      <c r="A4059" s="12" t="s">
        <v>522</v>
      </c>
      <c r="B4059" s="12" t="s">
        <v>571</v>
      </c>
      <c r="C4059" s="12" t="s">
        <v>554</v>
      </c>
      <c r="D4059" s="13">
        <v>7401</v>
      </c>
      <c r="E4059" s="13">
        <v>7796.0661630000004</v>
      </c>
      <c r="F4059" s="13">
        <v>8201.4756019999986</v>
      </c>
      <c r="G4059" s="13">
        <v>8524.7911459999996</v>
      </c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</row>
    <row r="4060" spans="1:19" x14ac:dyDescent="0.2">
      <c r="A4060" s="12" t="s">
        <v>522</v>
      </c>
      <c r="B4060" s="12" t="s">
        <v>571</v>
      </c>
      <c r="C4060" s="12" t="s">
        <v>555</v>
      </c>
      <c r="D4060" s="13">
        <v>80</v>
      </c>
      <c r="E4060" s="13">
        <v>90.903437000000011</v>
      </c>
      <c r="F4060" s="13">
        <v>79.372771999999998</v>
      </c>
      <c r="G4060" s="13">
        <v>124.171323</v>
      </c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</row>
    <row r="4061" spans="1:19" x14ac:dyDescent="0.2">
      <c r="A4061" s="12" t="s">
        <v>522</v>
      </c>
      <c r="B4061" s="12" t="s">
        <v>571</v>
      </c>
      <c r="C4061" s="12" t="s">
        <v>556</v>
      </c>
      <c r="D4061" s="13">
        <v>-134</v>
      </c>
      <c r="E4061" s="13">
        <v>-133.39607899999999</v>
      </c>
      <c r="F4061" s="13">
        <v>-146.87243699999999</v>
      </c>
      <c r="G4061" s="13">
        <v>-158.518407</v>
      </c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</row>
    <row r="4062" spans="1:19" x14ac:dyDescent="0.2">
      <c r="A4062" s="12" t="s">
        <v>522</v>
      </c>
      <c r="B4062" s="12" t="s">
        <v>571</v>
      </c>
      <c r="C4062" s="12" t="s">
        <v>557</v>
      </c>
      <c r="D4062" s="13">
        <v>7323</v>
      </c>
      <c r="E4062" s="13">
        <v>7752.0157600000002</v>
      </c>
      <c r="F4062" s="13">
        <v>8118.0309240000006</v>
      </c>
      <c r="G4062" s="13">
        <v>8470.9817519999997</v>
      </c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</row>
    <row r="4063" spans="1:19" x14ac:dyDescent="0.2">
      <c r="A4063" s="12" t="s">
        <v>522</v>
      </c>
      <c r="B4063" s="12" t="s">
        <v>571</v>
      </c>
      <c r="C4063" s="12" t="s">
        <v>558</v>
      </c>
      <c r="D4063" s="13">
        <v>-3881</v>
      </c>
      <c r="E4063" s="13">
        <v>-4017.828657</v>
      </c>
      <c r="F4063" s="13">
        <v>-4327.5959869999997</v>
      </c>
      <c r="G4063" s="13">
        <v>-4310.933207</v>
      </c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</row>
    <row r="4064" spans="1:19" x14ac:dyDescent="0.2">
      <c r="A4064" s="12" t="s">
        <v>522</v>
      </c>
      <c r="B4064" s="12" t="s">
        <v>571</v>
      </c>
      <c r="C4064" s="12" t="s">
        <v>560</v>
      </c>
      <c r="D4064" s="13">
        <v>0</v>
      </c>
      <c r="E4064" s="13">
        <v>0</v>
      </c>
      <c r="F4064" s="13">
        <v>0</v>
      </c>
      <c r="G4064" s="13">
        <v>0</v>
      </c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</row>
    <row r="4065" spans="1:19" x14ac:dyDescent="0.2">
      <c r="A4065" s="12" t="s">
        <v>522</v>
      </c>
      <c r="B4065" s="12" t="s">
        <v>571</v>
      </c>
      <c r="C4065" s="12" t="s">
        <v>561</v>
      </c>
      <c r="D4065" s="13">
        <v>3424</v>
      </c>
      <c r="E4065" s="13">
        <v>3621.7117239999998</v>
      </c>
      <c r="F4065" s="13">
        <v>3722.5146370000002</v>
      </c>
      <c r="G4065" s="13">
        <v>4166.502528</v>
      </c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</row>
    <row r="4066" spans="1:19" x14ac:dyDescent="0.2">
      <c r="A4066" s="12" t="s">
        <v>522</v>
      </c>
      <c r="B4066" s="12" t="s">
        <v>571</v>
      </c>
      <c r="C4066" s="12" t="s">
        <v>562</v>
      </c>
      <c r="D4066" s="13">
        <v>1336</v>
      </c>
      <c r="E4066" s="13">
        <v>1353.686023</v>
      </c>
      <c r="F4066" s="13">
        <v>1281.072584</v>
      </c>
      <c r="G4066" s="13">
        <v>1368.120615</v>
      </c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</row>
    <row r="4067" spans="1:19" x14ac:dyDescent="0.2">
      <c r="A4067" s="12" t="s">
        <v>522</v>
      </c>
      <c r="B4067" s="12" t="s">
        <v>571</v>
      </c>
      <c r="C4067" s="12" t="s">
        <v>563</v>
      </c>
      <c r="D4067" s="13">
        <v>1328</v>
      </c>
      <c r="E4067" s="13">
        <v>1516.0378430000001</v>
      </c>
      <c r="F4067" s="13">
        <v>1612.070228</v>
      </c>
      <c r="G4067" s="13">
        <v>1879.9491230000001</v>
      </c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</row>
    <row r="4068" spans="1:19" x14ac:dyDescent="0.2">
      <c r="A4068" s="12" t="s">
        <v>522</v>
      </c>
      <c r="B4068" s="12" t="s">
        <v>571</v>
      </c>
      <c r="C4068" s="12" t="s">
        <v>564</v>
      </c>
      <c r="D4068" s="13">
        <v>529</v>
      </c>
      <c r="E4068" s="13">
        <v>536.53406200000006</v>
      </c>
      <c r="F4068" s="13">
        <v>618.12115299999994</v>
      </c>
      <c r="G4068" s="13">
        <v>675.35650099999998</v>
      </c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</row>
    <row r="4069" spans="1:19" x14ac:dyDescent="0.2">
      <c r="A4069" s="12" t="s">
        <v>522</v>
      </c>
      <c r="B4069" s="12" t="s">
        <v>571</v>
      </c>
      <c r="C4069" s="12" t="s">
        <v>565</v>
      </c>
      <c r="D4069" s="13">
        <v>166</v>
      </c>
      <c r="E4069" s="13">
        <v>150.49976799999999</v>
      </c>
      <c r="F4069" s="13">
        <v>132.17624599999999</v>
      </c>
      <c r="G4069" s="13">
        <v>135.843435</v>
      </c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</row>
    <row r="4070" spans="1:19" x14ac:dyDescent="0.2">
      <c r="A4070" s="12" t="s">
        <v>522</v>
      </c>
      <c r="B4070" s="12" t="s">
        <v>571</v>
      </c>
      <c r="C4070" s="12" t="s">
        <v>566</v>
      </c>
      <c r="D4070" s="13">
        <v>64</v>
      </c>
      <c r="E4070" s="13">
        <v>64.954027999999994</v>
      </c>
      <c r="F4070" s="13">
        <v>79.074421000000001</v>
      </c>
      <c r="G4070" s="13">
        <v>107.23285300000001</v>
      </c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</row>
    <row r="4071" spans="1:19" x14ac:dyDescent="0.2">
      <c r="A4071" s="12" t="s">
        <v>522</v>
      </c>
      <c r="B4071" s="12" t="s">
        <v>572</v>
      </c>
      <c r="C4071" s="12" t="s">
        <v>554</v>
      </c>
      <c r="D4071" s="13">
        <v>0</v>
      </c>
      <c r="E4071" s="13">
        <v>0</v>
      </c>
      <c r="F4071" s="13">
        <v>0</v>
      </c>
      <c r="G4071" s="13">
        <v>0</v>
      </c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</row>
    <row r="4072" spans="1:19" x14ac:dyDescent="0.2">
      <c r="A4072" s="12" t="s">
        <v>522</v>
      </c>
      <c r="B4072" s="12" t="s">
        <v>572</v>
      </c>
      <c r="C4072" s="12" t="s">
        <v>555</v>
      </c>
      <c r="D4072" s="13">
        <v>221</v>
      </c>
      <c r="E4072" s="13">
        <v>191.401228</v>
      </c>
      <c r="F4072" s="13">
        <v>205.09308999999999</v>
      </c>
      <c r="G4072" s="13">
        <v>140.10195100000001</v>
      </c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</row>
    <row r="4073" spans="1:19" x14ac:dyDescent="0.2">
      <c r="A4073" s="12" t="s">
        <v>522</v>
      </c>
      <c r="B4073" s="12" t="s">
        <v>572</v>
      </c>
      <c r="C4073" s="12" t="s">
        <v>556</v>
      </c>
      <c r="D4073" s="13">
        <v>-51</v>
      </c>
      <c r="E4073" s="13">
        <v>-49.879505000000002</v>
      </c>
      <c r="F4073" s="13">
        <v>-56.729959000000001</v>
      </c>
      <c r="G4073" s="13">
        <v>-72.046965</v>
      </c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</row>
    <row r="4074" spans="1:19" x14ac:dyDescent="0.2">
      <c r="A4074" s="12" t="s">
        <v>522</v>
      </c>
      <c r="B4074" s="12" t="s">
        <v>572</v>
      </c>
      <c r="C4074" s="12" t="s">
        <v>557</v>
      </c>
      <c r="D4074" s="13">
        <v>170</v>
      </c>
      <c r="E4074" s="13">
        <v>141.52172400000001</v>
      </c>
      <c r="F4074" s="13">
        <v>148.36313100000001</v>
      </c>
      <c r="G4074" s="13">
        <v>68.054980999999998</v>
      </c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</row>
    <row r="4075" spans="1:19" x14ac:dyDescent="0.2">
      <c r="A4075" s="12" t="s">
        <v>522</v>
      </c>
      <c r="B4075" s="12" t="s">
        <v>572</v>
      </c>
      <c r="C4075" s="12" t="s">
        <v>558</v>
      </c>
      <c r="D4075" s="13">
        <v>15260</v>
      </c>
      <c r="E4075" s="13">
        <v>15674.611697</v>
      </c>
      <c r="F4075" s="13">
        <v>16102.447215</v>
      </c>
      <c r="G4075" s="13">
        <v>15949.464951</v>
      </c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</row>
    <row r="4076" spans="1:19" x14ac:dyDescent="0.2">
      <c r="A4076" s="12" t="s">
        <v>522</v>
      </c>
      <c r="B4076" s="12" t="s">
        <v>572</v>
      </c>
      <c r="C4076" s="12" t="s">
        <v>560</v>
      </c>
      <c r="D4076" s="13">
        <v>0</v>
      </c>
      <c r="E4076" s="13">
        <v>0</v>
      </c>
      <c r="F4076" s="13">
        <v>0</v>
      </c>
      <c r="G4076" s="13">
        <v>0</v>
      </c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</row>
    <row r="4077" spans="1:19" x14ac:dyDescent="0.2">
      <c r="A4077" s="12" t="s">
        <v>522</v>
      </c>
      <c r="B4077" s="12" t="s">
        <v>572</v>
      </c>
      <c r="C4077" s="12" t="s">
        <v>561</v>
      </c>
      <c r="D4077" s="13">
        <v>13600</v>
      </c>
      <c r="E4077" s="13">
        <v>13817.55126</v>
      </c>
      <c r="F4077" s="13">
        <v>14422.350037</v>
      </c>
      <c r="G4077" s="13">
        <v>14019.32192</v>
      </c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</row>
    <row r="4078" spans="1:19" x14ac:dyDescent="0.2">
      <c r="A4078" s="12" t="s">
        <v>522</v>
      </c>
      <c r="B4078" s="12" t="s">
        <v>572</v>
      </c>
      <c r="C4078" s="12" t="s">
        <v>562</v>
      </c>
      <c r="D4078" s="13">
        <v>2557</v>
      </c>
      <c r="E4078" s="13">
        <v>3019.0959870000002</v>
      </c>
      <c r="F4078" s="13">
        <v>3040.8901689999998</v>
      </c>
      <c r="G4078" s="13">
        <v>3044.7101590000002</v>
      </c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</row>
    <row r="4079" spans="1:19" x14ac:dyDescent="0.2">
      <c r="A4079" s="12" t="s">
        <v>522</v>
      </c>
      <c r="B4079" s="12" t="s">
        <v>572</v>
      </c>
      <c r="C4079" s="12" t="s">
        <v>563</v>
      </c>
      <c r="D4079" s="13">
        <v>37</v>
      </c>
      <c r="E4079" s="13">
        <v>46.098891000000002</v>
      </c>
      <c r="F4079" s="13">
        <v>60.260847000000012</v>
      </c>
      <c r="G4079" s="13">
        <v>73.27526300000001</v>
      </c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</row>
    <row r="4080" spans="1:19" x14ac:dyDescent="0.2">
      <c r="A4080" s="12" t="s">
        <v>522</v>
      </c>
      <c r="B4080" s="12" t="s">
        <v>572</v>
      </c>
      <c r="C4080" s="12" t="s">
        <v>564</v>
      </c>
      <c r="D4080" s="13">
        <v>5331</v>
      </c>
      <c r="E4080" s="13">
        <v>5365.0761190000003</v>
      </c>
      <c r="F4080" s="13">
        <v>5430.9073859999999</v>
      </c>
      <c r="G4080" s="13">
        <v>5324.3889469999986</v>
      </c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</row>
    <row r="4081" spans="1:19" x14ac:dyDescent="0.2">
      <c r="A4081" s="12" t="s">
        <v>522</v>
      </c>
      <c r="B4081" s="12" t="s">
        <v>572</v>
      </c>
      <c r="C4081" s="12" t="s">
        <v>565</v>
      </c>
      <c r="D4081" s="13">
        <v>4574</v>
      </c>
      <c r="E4081" s="13">
        <v>4747.2691770000001</v>
      </c>
      <c r="F4081" s="13">
        <v>4847.4709940000002</v>
      </c>
      <c r="G4081" s="13">
        <v>4767.6950580000002</v>
      </c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</row>
    <row r="4082" spans="1:19" x14ac:dyDescent="0.2">
      <c r="A4082" s="12" t="s">
        <v>522</v>
      </c>
      <c r="B4082" s="12" t="s">
        <v>572</v>
      </c>
      <c r="C4082" s="12" t="s">
        <v>566</v>
      </c>
      <c r="D4082" s="13">
        <v>1101</v>
      </c>
      <c r="E4082" s="13">
        <v>640.01108700000009</v>
      </c>
      <c r="F4082" s="13">
        <v>1042.820637</v>
      </c>
      <c r="G4082" s="13">
        <v>809.25249199999996</v>
      </c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</row>
    <row r="4083" spans="1:19" x14ac:dyDescent="0.2">
      <c r="A4083" s="12" t="s">
        <v>522</v>
      </c>
      <c r="B4083" s="12" t="s">
        <v>573</v>
      </c>
      <c r="C4083" s="12" t="s">
        <v>554</v>
      </c>
      <c r="D4083" s="13">
        <v>0</v>
      </c>
      <c r="E4083" s="13">
        <v>0</v>
      </c>
      <c r="F4083" s="13">
        <v>0</v>
      </c>
      <c r="G4083" s="13">
        <v>0</v>
      </c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</row>
    <row r="4084" spans="1:19" x14ac:dyDescent="0.2">
      <c r="A4084" s="12" t="s">
        <v>522</v>
      </c>
      <c r="B4084" s="12" t="s">
        <v>573</v>
      </c>
      <c r="C4084" s="12" t="s">
        <v>555</v>
      </c>
      <c r="D4084" s="13">
        <v>0</v>
      </c>
      <c r="E4084" s="13">
        <v>0</v>
      </c>
      <c r="F4084" s="13">
        <v>0</v>
      </c>
      <c r="G4084" s="13">
        <v>0</v>
      </c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</row>
    <row r="4085" spans="1:19" x14ac:dyDescent="0.2">
      <c r="A4085" s="12" t="s">
        <v>522</v>
      </c>
      <c r="B4085" s="12" t="s">
        <v>573</v>
      </c>
      <c r="C4085" s="12" t="s">
        <v>556</v>
      </c>
      <c r="D4085" s="13">
        <v>0</v>
      </c>
      <c r="E4085" s="13">
        <v>0</v>
      </c>
      <c r="F4085" s="13">
        <v>0</v>
      </c>
      <c r="G4085" s="13">
        <v>0</v>
      </c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</row>
    <row r="4086" spans="1:19" x14ac:dyDescent="0.2">
      <c r="A4086" s="12" t="s">
        <v>522</v>
      </c>
      <c r="B4086" s="12" t="s">
        <v>573</v>
      </c>
      <c r="C4086" s="12" t="s">
        <v>557</v>
      </c>
      <c r="D4086" s="13">
        <v>0</v>
      </c>
      <c r="E4086" s="13">
        <v>0</v>
      </c>
      <c r="F4086" s="13">
        <v>0</v>
      </c>
      <c r="G4086" s="13">
        <v>0</v>
      </c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</row>
    <row r="4087" spans="1:19" x14ac:dyDescent="0.2">
      <c r="A4087" s="12" t="s">
        <v>522</v>
      </c>
      <c r="B4087" s="12" t="s">
        <v>573</v>
      </c>
      <c r="C4087" s="12" t="s">
        <v>558</v>
      </c>
      <c r="D4087" s="13">
        <v>457</v>
      </c>
      <c r="E4087" s="13">
        <v>430.27439199999998</v>
      </c>
      <c r="F4087" s="13">
        <v>418.90142700000001</v>
      </c>
      <c r="G4087" s="13">
        <v>416.59404000000001</v>
      </c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</row>
    <row r="4088" spans="1:19" x14ac:dyDescent="0.2">
      <c r="A4088" s="12" t="s">
        <v>522</v>
      </c>
      <c r="B4088" s="12" t="s">
        <v>573</v>
      </c>
      <c r="C4088" s="12" t="s">
        <v>560</v>
      </c>
      <c r="D4088" s="13">
        <v>0</v>
      </c>
      <c r="E4088" s="13">
        <v>0</v>
      </c>
      <c r="F4088" s="13">
        <v>0</v>
      </c>
      <c r="G4088" s="13">
        <v>0</v>
      </c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</row>
    <row r="4089" spans="1:19" x14ac:dyDescent="0.2">
      <c r="A4089" s="12" t="s">
        <v>522</v>
      </c>
      <c r="B4089" s="12" t="s">
        <v>573</v>
      </c>
      <c r="C4089" s="12" t="s">
        <v>561</v>
      </c>
      <c r="D4089" s="13">
        <v>250</v>
      </c>
      <c r="E4089" s="13">
        <v>235.115117</v>
      </c>
      <c r="F4089" s="13">
        <v>228.90270200000001</v>
      </c>
      <c r="G4089" s="13">
        <v>227.62976800000001</v>
      </c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</row>
    <row r="4090" spans="1:19" x14ac:dyDescent="0.2">
      <c r="A4090" s="12" t="s">
        <v>522</v>
      </c>
      <c r="B4090" s="12" t="s">
        <v>573</v>
      </c>
      <c r="C4090" s="12" t="s">
        <v>562</v>
      </c>
      <c r="D4090" s="13">
        <v>197</v>
      </c>
      <c r="E4090" s="13">
        <v>185.77624599999999</v>
      </c>
      <c r="F4090" s="13">
        <v>180.867503</v>
      </c>
      <c r="G4090" s="13">
        <v>179.86169599999999</v>
      </c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</row>
    <row r="4091" spans="1:19" x14ac:dyDescent="0.2">
      <c r="A4091" s="12" t="s">
        <v>522</v>
      </c>
      <c r="B4091" s="12" t="s">
        <v>573</v>
      </c>
      <c r="C4091" s="12" t="s">
        <v>563</v>
      </c>
      <c r="D4091" s="13">
        <v>0</v>
      </c>
      <c r="E4091" s="13">
        <v>0</v>
      </c>
      <c r="F4091" s="13">
        <v>0</v>
      </c>
      <c r="G4091" s="13">
        <v>0</v>
      </c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</row>
    <row r="4092" spans="1:19" x14ac:dyDescent="0.2">
      <c r="A4092" s="12" t="s">
        <v>522</v>
      </c>
      <c r="B4092" s="12" t="s">
        <v>573</v>
      </c>
      <c r="C4092" s="12" t="s">
        <v>564</v>
      </c>
      <c r="D4092" s="13" t="s">
        <v>559</v>
      </c>
      <c r="E4092" s="13" t="s">
        <v>559</v>
      </c>
      <c r="F4092" s="13" t="s">
        <v>559</v>
      </c>
      <c r="G4092" s="13" t="s">
        <v>559</v>
      </c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</row>
    <row r="4093" spans="1:19" x14ac:dyDescent="0.2">
      <c r="A4093" s="12" t="s">
        <v>522</v>
      </c>
      <c r="B4093" s="12" t="s">
        <v>573</v>
      </c>
      <c r="C4093" s="12" t="s">
        <v>565</v>
      </c>
      <c r="D4093" s="13">
        <v>52</v>
      </c>
      <c r="E4093" s="13">
        <v>49.338870999999997</v>
      </c>
      <c r="F4093" s="13">
        <v>48.035198000000001</v>
      </c>
      <c r="G4093" s="13">
        <v>47.768071999999997</v>
      </c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</row>
    <row r="4094" spans="1:19" x14ac:dyDescent="0.2">
      <c r="A4094" s="12" t="s">
        <v>522</v>
      </c>
      <c r="B4094" s="12" t="s">
        <v>573</v>
      </c>
      <c r="C4094" s="12" t="s">
        <v>566</v>
      </c>
      <c r="D4094" s="13" t="s">
        <v>559</v>
      </c>
      <c r="E4094" s="13" t="s">
        <v>559</v>
      </c>
      <c r="F4094" s="13" t="s">
        <v>559</v>
      </c>
      <c r="G4094" s="13" t="s">
        <v>559</v>
      </c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</row>
    <row r="4095" spans="1:19" x14ac:dyDescent="0.2">
      <c r="A4095" s="12" t="s">
        <v>522</v>
      </c>
      <c r="B4095" s="12" t="s">
        <v>574</v>
      </c>
      <c r="C4095" s="12" t="s">
        <v>554</v>
      </c>
      <c r="D4095" s="13">
        <v>90361</v>
      </c>
      <c r="E4095" s="13">
        <v>92780.317196000004</v>
      </c>
      <c r="F4095" s="13">
        <v>97156.204899000004</v>
      </c>
      <c r="G4095" s="13">
        <v>101586.237225</v>
      </c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</row>
    <row r="4096" spans="1:19" x14ac:dyDescent="0.2">
      <c r="A4096" s="12" t="s">
        <v>522</v>
      </c>
      <c r="B4096" s="12" t="s">
        <v>574</v>
      </c>
      <c r="C4096" s="12" t="s">
        <v>555</v>
      </c>
      <c r="D4096" s="13">
        <v>19851</v>
      </c>
      <c r="E4096" s="13">
        <v>21262.294594999999</v>
      </c>
      <c r="F4096" s="13">
        <v>21116.441305</v>
      </c>
      <c r="G4096" s="13">
        <v>21472.075164000002</v>
      </c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</row>
    <row r="4097" spans="1:19" x14ac:dyDescent="0.2">
      <c r="A4097" s="12" t="s">
        <v>522</v>
      </c>
      <c r="B4097" s="12" t="s">
        <v>574</v>
      </c>
      <c r="C4097" s="12" t="s">
        <v>556</v>
      </c>
      <c r="D4097" s="13">
        <v>-23231</v>
      </c>
      <c r="E4097" s="13">
        <v>-25017.526725</v>
      </c>
      <c r="F4097" s="13">
        <v>-27031.057100999999</v>
      </c>
      <c r="G4097" s="13">
        <v>-29548.686608</v>
      </c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</row>
    <row r="4098" spans="1:19" x14ac:dyDescent="0.2">
      <c r="A4098" s="12" t="s">
        <v>522</v>
      </c>
      <c r="B4098" s="12" t="s">
        <v>574</v>
      </c>
      <c r="C4098" s="12" t="s">
        <v>557</v>
      </c>
      <c r="D4098" s="13">
        <v>85260</v>
      </c>
      <c r="E4098" s="13">
        <v>89625.151737000007</v>
      </c>
      <c r="F4098" s="13">
        <v>91063.600912000009</v>
      </c>
      <c r="G4098" s="13">
        <v>89734.282948000007</v>
      </c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</row>
    <row r="4099" spans="1:19" x14ac:dyDescent="0.2">
      <c r="A4099" s="12" t="s">
        <v>522</v>
      </c>
      <c r="B4099" s="12" t="s">
        <v>574</v>
      </c>
      <c r="C4099" s="12" t="s">
        <v>558</v>
      </c>
      <c r="D4099" s="13">
        <v>-17939</v>
      </c>
      <c r="E4099" s="13">
        <v>-18483.854448999999</v>
      </c>
      <c r="F4099" s="13">
        <v>-18469.718561000002</v>
      </c>
      <c r="G4099" s="13">
        <v>-17754.866117000001</v>
      </c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</row>
    <row r="4100" spans="1:19" x14ac:dyDescent="0.2">
      <c r="A4100" s="12" t="s">
        <v>522</v>
      </c>
      <c r="B4100" s="12" t="s">
        <v>574</v>
      </c>
      <c r="C4100" s="12" t="s">
        <v>560</v>
      </c>
      <c r="D4100" s="13">
        <v>-1272</v>
      </c>
      <c r="E4100" s="13">
        <v>-1607.6078399999999</v>
      </c>
      <c r="F4100" s="13">
        <v>-1352.047008</v>
      </c>
      <c r="G4100" s="13">
        <v>-1432.1492639999999</v>
      </c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</row>
    <row r="4101" spans="1:19" x14ac:dyDescent="0.2">
      <c r="A4101" s="12" t="s">
        <v>522</v>
      </c>
      <c r="B4101" s="12" t="s">
        <v>574</v>
      </c>
      <c r="C4101" s="12" t="s">
        <v>561</v>
      </c>
      <c r="D4101" s="13">
        <v>60702</v>
      </c>
      <c r="E4101" s="13">
        <v>64058.400997999997</v>
      </c>
      <c r="F4101" s="13">
        <v>66154.223192000005</v>
      </c>
      <c r="G4101" s="13">
        <v>65374.116376000013</v>
      </c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</row>
    <row r="4102" spans="1:19" x14ac:dyDescent="0.2">
      <c r="A4102" s="12" t="s">
        <v>522</v>
      </c>
      <c r="B4102" s="12" t="s">
        <v>574</v>
      </c>
      <c r="C4102" s="12" t="s">
        <v>562</v>
      </c>
      <c r="D4102" s="13">
        <v>11075</v>
      </c>
      <c r="E4102" s="13">
        <v>11633.989063000001</v>
      </c>
      <c r="F4102" s="13">
        <v>11762.420484</v>
      </c>
      <c r="G4102" s="13">
        <v>11665.389112000001</v>
      </c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</row>
    <row r="4103" spans="1:19" x14ac:dyDescent="0.2">
      <c r="A4103" s="12" t="s">
        <v>522</v>
      </c>
      <c r="B4103" s="12" t="s">
        <v>574</v>
      </c>
      <c r="C4103" s="12" t="s">
        <v>563</v>
      </c>
      <c r="D4103" s="13">
        <v>22900</v>
      </c>
      <c r="E4103" s="13">
        <v>25326.528793000001</v>
      </c>
      <c r="F4103" s="13">
        <v>25957.595192000001</v>
      </c>
      <c r="G4103" s="13">
        <v>25926.238794000001</v>
      </c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</row>
    <row r="4104" spans="1:19" x14ac:dyDescent="0.2">
      <c r="A4104" s="12" t="s">
        <v>522</v>
      </c>
      <c r="B4104" s="12" t="s">
        <v>574</v>
      </c>
      <c r="C4104" s="12" t="s">
        <v>564</v>
      </c>
      <c r="D4104" s="13">
        <v>11049</v>
      </c>
      <c r="E4104" s="13">
        <v>11147.189492</v>
      </c>
      <c r="F4104" s="13">
        <v>11554.325228</v>
      </c>
      <c r="G4104" s="13">
        <v>11058.293583000001</v>
      </c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</row>
    <row r="4105" spans="1:19" x14ac:dyDescent="0.2">
      <c r="A4105" s="12" t="s">
        <v>522</v>
      </c>
      <c r="B4105" s="12" t="s">
        <v>574</v>
      </c>
      <c r="C4105" s="12" t="s">
        <v>565</v>
      </c>
      <c r="D4105" s="13">
        <v>8407</v>
      </c>
      <c r="E4105" s="13">
        <v>8724.7471800000003</v>
      </c>
      <c r="F4105" s="13">
        <v>9022.2133830000002</v>
      </c>
      <c r="G4105" s="13">
        <v>8746.3659179999995</v>
      </c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</row>
    <row r="4106" spans="1:19" x14ac:dyDescent="0.2">
      <c r="A4106" s="12" t="s">
        <v>522</v>
      </c>
      <c r="B4106" s="12" t="s">
        <v>574</v>
      </c>
      <c r="C4106" s="12" t="s">
        <v>566</v>
      </c>
      <c r="D4106" s="13">
        <v>7272</v>
      </c>
      <c r="E4106" s="13">
        <v>7225.9464679999992</v>
      </c>
      <c r="F4106" s="13">
        <v>7857.6689010000009</v>
      </c>
      <c r="G4106" s="13">
        <v>7977.8289630000008</v>
      </c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</row>
    <row r="4107" spans="1:19" x14ac:dyDescent="0.2">
      <c r="A4107" s="12" t="s">
        <v>578</v>
      </c>
      <c r="B4107" s="12" t="s">
        <v>553</v>
      </c>
      <c r="C4107" s="12" t="s">
        <v>554</v>
      </c>
      <c r="D4107" s="13">
        <v>30118</v>
      </c>
      <c r="E4107" s="13">
        <v>30660.373485</v>
      </c>
      <c r="F4107" s="13">
        <v>31132.966850000001</v>
      </c>
      <c r="G4107" s="13">
        <v>29550.187968999999</v>
      </c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</row>
    <row r="4108" spans="1:19" x14ac:dyDescent="0.2">
      <c r="A4108" s="12" t="s">
        <v>578</v>
      </c>
      <c r="B4108" s="12" t="s">
        <v>553</v>
      </c>
      <c r="C4108" s="12" t="s">
        <v>555</v>
      </c>
      <c r="D4108" s="13">
        <v>11985</v>
      </c>
      <c r="E4108" s="13">
        <v>12832.080664999999</v>
      </c>
      <c r="F4108" s="13">
        <v>13232.434916</v>
      </c>
      <c r="G4108" s="13">
        <v>11668.620401</v>
      </c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</row>
    <row r="4109" spans="1:19" x14ac:dyDescent="0.2">
      <c r="A4109" s="12" t="s">
        <v>578</v>
      </c>
      <c r="B4109" s="12" t="s">
        <v>553</v>
      </c>
      <c r="C4109" s="12" t="s">
        <v>556</v>
      </c>
      <c r="D4109" s="13">
        <v>-15779</v>
      </c>
      <c r="E4109" s="13">
        <v>-15271.467215999999</v>
      </c>
      <c r="F4109" s="13">
        <v>-15200.95715</v>
      </c>
      <c r="G4109" s="13">
        <v>-15064.939988</v>
      </c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</row>
    <row r="4110" spans="1:19" x14ac:dyDescent="0.2">
      <c r="A4110" s="12" t="s">
        <v>578</v>
      </c>
      <c r="B4110" s="12" t="s">
        <v>553</v>
      </c>
      <c r="C4110" s="12" t="s">
        <v>557</v>
      </c>
      <c r="D4110" s="13">
        <v>27375</v>
      </c>
      <c r="E4110" s="13">
        <v>29944.856311</v>
      </c>
      <c r="F4110" s="13">
        <v>28878.533235999999</v>
      </c>
      <c r="G4110" s="13">
        <v>25176.232565999999</v>
      </c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</row>
    <row r="4111" spans="1:19" x14ac:dyDescent="0.2">
      <c r="A4111" s="12" t="s">
        <v>578</v>
      </c>
      <c r="B4111" s="12" t="s">
        <v>553</v>
      </c>
      <c r="C4111" s="12" t="s">
        <v>558</v>
      </c>
      <c r="D4111" s="13">
        <v>-20662</v>
      </c>
      <c r="E4111" s="13">
        <v>-22568.062006</v>
      </c>
      <c r="F4111" s="13">
        <v>-21871.946774</v>
      </c>
      <c r="G4111" s="13">
        <v>-18734.483108</v>
      </c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</row>
    <row r="4112" spans="1:19" x14ac:dyDescent="0.2">
      <c r="A4112" s="12" t="s">
        <v>578</v>
      </c>
      <c r="B4112" s="12" t="s">
        <v>553</v>
      </c>
      <c r="C4112" s="12" t="s">
        <v>560</v>
      </c>
      <c r="D4112" s="13">
        <v>0</v>
      </c>
      <c r="E4112" s="13">
        <v>0</v>
      </c>
      <c r="F4112" s="13">
        <v>0</v>
      </c>
      <c r="G4112" s="13">
        <v>0</v>
      </c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</row>
    <row r="4113" spans="1:19" x14ac:dyDescent="0.2">
      <c r="A4113" s="12" t="s">
        <v>578</v>
      </c>
      <c r="B4113" s="12" t="s">
        <v>553</v>
      </c>
      <c r="C4113" s="12" t="s">
        <v>561</v>
      </c>
      <c r="D4113" s="13">
        <v>3785</v>
      </c>
      <c r="E4113" s="13">
        <v>3902.272219</v>
      </c>
      <c r="F4113" s="13">
        <v>3633.6303419999999</v>
      </c>
      <c r="G4113" s="13">
        <v>3396.8628290000001</v>
      </c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</row>
    <row r="4114" spans="1:19" x14ac:dyDescent="0.2">
      <c r="A4114" s="12" t="s">
        <v>578</v>
      </c>
      <c r="B4114" s="12" t="s">
        <v>553</v>
      </c>
      <c r="C4114" s="12" t="s">
        <v>562</v>
      </c>
      <c r="D4114" s="13">
        <v>3042</v>
      </c>
      <c r="E4114" s="13">
        <v>3201.3087970000001</v>
      </c>
      <c r="F4114" s="13">
        <v>3039.7984489999999</v>
      </c>
      <c r="G4114" s="13">
        <v>2842.4374069999999</v>
      </c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</row>
    <row r="4115" spans="1:19" x14ac:dyDescent="0.2">
      <c r="A4115" s="12" t="s">
        <v>578</v>
      </c>
      <c r="B4115" s="12" t="s">
        <v>553</v>
      </c>
      <c r="C4115" s="12" t="s">
        <v>563</v>
      </c>
      <c r="D4115" s="13">
        <v>0</v>
      </c>
      <c r="E4115" s="13">
        <v>0.41434199999999999</v>
      </c>
      <c r="F4115" s="13">
        <v>0.450567</v>
      </c>
      <c r="G4115" s="13">
        <v>0.431425</v>
      </c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</row>
    <row r="4116" spans="1:19" x14ac:dyDescent="0.2">
      <c r="A4116" s="12" t="s">
        <v>578</v>
      </c>
      <c r="B4116" s="12" t="s">
        <v>553</v>
      </c>
      <c r="C4116" s="12" t="s">
        <v>564</v>
      </c>
      <c r="D4116" s="13">
        <v>357</v>
      </c>
      <c r="E4116" s="13">
        <v>335.157535</v>
      </c>
      <c r="F4116" s="13">
        <v>291.08044599999999</v>
      </c>
      <c r="G4116" s="13">
        <v>279.01981999999998</v>
      </c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</row>
    <row r="4117" spans="1:19" x14ac:dyDescent="0.2">
      <c r="A4117" s="12" t="s">
        <v>578</v>
      </c>
      <c r="B4117" s="12" t="s">
        <v>553</v>
      </c>
      <c r="C4117" s="12" t="s">
        <v>565</v>
      </c>
      <c r="D4117" s="13">
        <v>218</v>
      </c>
      <c r="E4117" s="13">
        <v>200.41413600000001</v>
      </c>
      <c r="F4117" s="13">
        <v>147.33274299999999</v>
      </c>
      <c r="G4117" s="13">
        <v>133.86682999999999</v>
      </c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</row>
    <row r="4118" spans="1:19" x14ac:dyDescent="0.2">
      <c r="A4118" s="12" t="s">
        <v>578</v>
      </c>
      <c r="B4118" s="12" t="s">
        <v>553</v>
      </c>
      <c r="C4118" s="12" t="s">
        <v>566</v>
      </c>
      <c r="D4118" s="13">
        <v>168</v>
      </c>
      <c r="E4118" s="13">
        <v>164.977396</v>
      </c>
      <c r="F4118" s="13">
        <v>154.968143</v>
      </c>
      <c r="G4118" s="13">
        <v>141.107326</v>
      </c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</row>
    <row r="4119" spans="1:19" x14ac:dyDescent="0.2">
      <c r="A4119" s="12" t="s">
        <v>578</v>
      </c>
      <c r="B4119" s="12" t="s">
        <v>567</v>
      </c>
      <c r="C4119" s="12" t="s">
        <v>554</v>
      </c>
      <c r="D4119" s="13">
        <v>55169</v>
      </c>
      <c r="E4119" s="13">
        <v>55519.274307</v>
      </c>
      <c r="F4119" s="13">
        <v>57565.408587999998</v>
      </c>
      <c r="G4119" s="13">
        <v>60901.615746000003</v>
      </c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</row>
    <row r="4120" spans="1:19" x14ac:dyDescent="0.2">
      <c r="A4120" s="12" t="s">
        <v>578</v>
      </c>
      <c r="B4120" s="12" t="s">
        <v>567</v>
      </c>
      <c r="C4120" s="12" t="s">
        <v>555</v>
      </c>
      <c r="D4120" s="13">
        <v>50159</v>
      </c>
      <c r="E4120" s="13">
        <v>51248.341553000013</v>
      </c>
      <c r="F4120" s="13">
        <v>53274.776639000003</v>
      </c>
      <c r="G4120" s="13">
        <v>52882.881541000002</v>
      </c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</row>
    <row r="4121" spans="1:19" x14ac:dyDescent="0.2">
      <c r="A4121" s="12" t="s">
        <v>578</v>
      </c>
      <c r="B4121" s="12" t="s">
        <v>567</v>
      </c>
      <c r="C4121" s="12" t="s">
        <v>556</v>
      </c>
      <c r="D4121" s="13">
        <v>-25725</v>
      </c>
      <c r="E4121" s="13">
        <v>-25308.020428</v>
      </c>
      <c r="F4121" s="13">
        <v>-26042.042797999999</v>
      </c>
      <c r="G4121" s="13">
        <v>-27849.844744999999</v>
      </c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</row>
    <row r="4122" spans="1:19" x14ac:dyDescent="0.2">
      <c r="A4122" s="12" t="s">
        <v>578</v>
      </c>
      <c r="B4122" s="12" t="s">
        <v>567</v>
      </c>
      <c r="C4122" s="12" t="s">
        <v>557</v>
      </c>
      <c r="D4122" s="13">
        <v>79545</v>
      </c>
      <c r="E4122" s="13">
        <v>82880.331810000003</v>
      </c>
      <c r="F4122" s="13">
        <v>85813.400856000007</v>
      </c>
      <c r="G4122" s="13">
        <v>85475.455929000003</v>
      </c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</row>
    <row r="4123" spans="1:19" x14ac:dyDescent="0.2">
      <c r="A4123" s="12" t="s">
        <v>578</v>
      </c>
      <c r="B4123" s="12" t="s">
        <v>567</v>
      </c>
      <c r="C4123" s="12" t="s">
        <v>558</v>
      </c>
      <c r="D4123" s="13">
        <v>-23</v>
      </c>
      <c r="E4123" s="13">
        <v>-19.713301000000001</v>
      </c>
      <c r="F4123" s="13">
        <v>-18.044041</v>
      </c>
      <c r="G4123" s="13">
        <v>-13.527107000000001</v>
      </c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</row>
    <row r="4124" spans="1:19" x14ac:dyDescent="0.2">
      <c r="A4124" s="12" t="s">
        <v>578</v>
      </c>
      <c r="B4124" s="12" t="s">
        <v>567</v>
      </c>
      <c r="C4124" s="12" t="s">
        <v>560</v>
      </c>
      <c r="D4124" s="13">
        <v>-76973</v>
      </c>
      <c r="E4124" s="13">
        <v>-80567.561761000004</v>
      </c>
      <c r="F4124" s="13">
        <v>-84080.921253000008</v>
      </c>
      <c r="G4124" s="13">
        <v>-83079.471015000003</v>
      </c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</row>
    <row r="4125" spans="1:19" x14ac:dyDescent="0.2">
      <c r="A4125" s="12" t="s">
        <v>578</v>
      </c>
      <c r="B4125" s="12" t="s">
        <v>567</v>
      </c>
      <c r="C4125" s="12" t="s">
        <v>561</v>
      </c>
      <c r="D4125" s="13">
        <v>68</v>
      </c>
      <c r="E4125" s="13">
        <v>65.025727000000003</v>
      </c>
      <c r="F4125" s="13">
        <v>64.574518999999995</v>
      </c>
      <c r="G4125" s="13">
        <v>113.711336</v>
      </c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</row>
    <row r="4126" spans="1:19" x14ac:dyDescent="0.2">
      <c r="A4126" s="12" t="s">
        <v>578</v>
      </c>
      <c r="B4126" s="12" t="s">
        <v>567</v>
      </c>
      <c r="C4126" s="12" t="s">
        <v>562</v>
      </c>
      <c r="D4126" s="13">
        <v>0</v>
      </c>
      <c r="E4126" s="13">
        <v>1.0089980000000001</v>
      </c>
      <c r="F4126" s="13">
        <v>0.25201200000000001</v>
      </c>
      <c r="G4126" s="13">
        <v>0.423591</v>
      </c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</row>
    <row r="4127" spans="1:19" x14ac:dyDescent="0.2">
      <c r="A4127" s="12" t="s">
        <v>578</v>
      </c>
      <c r="B4127" s="12" t="s">
        <v>567</v>
      </c>
      <c r="C4127" s="12" t="s">
        <v>563</v>
      </c>
      <c r="D4127" s="13">
        <v>0</v>
      </c>
      <c r="E4127" s="13">
        <v>0</v>
      </c>
      <c r="F4127" s="13">
        <v>0</v>
      </c>
      <c r="G4127" s="13">
        <v>0</v>
      </c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</row>
    <row r="4128" spans="1:19" x14ac:dyDescent="0.2">
      <c r="A4128" s="12" t="s">
        <v>578</v>
      </c>
      <c r="B4128" s="12" t="s">
        <v>567</v>
      </c>
      <c r="C4128" s="12" t="s">
        <v>564</v>
      </c>
      <c r="D4128" s="13">
        <v>0</v>
      </c>
      <c r="E4128" s="13">
        <v>0</v>
      </c>
      <c r="F4128" s="13">
        <v>0</v>
      </c>
      <c r="G4128" s="13">
        <v>0</v>
      </c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</row>
    <row r="4129" spans="1:19" x14ac:dyDescent="0.2">
      <c r="A4129" s="12" t="s">
        <v>578</v>
      </c>
      <c r="B4129" s="12" t="s">
        <v>567</v>
      </c>
      <c r="C4129" s="12" t="s">
        <v>565</v>
      </c>
      <c r="D4129" s="13">
        <v>0</v>
      </c>
      <c r="E4129" s="13">
        <v>0</v>
      </c>
      <c r="F4129" s="13">
        <v>0</v>
      </c>
      <c r="G4129" s="13">
        <v>0</v>
      </c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</row>
    <row r="4130" spans="1:19" x14ac:dyDescent="0.2">
      <c r="A4130" s="12" t="s">
        <v>578</v>
      </c>
      <c r="B4130" s="12" t="s">
        <v>567</v>
      </c>
      <c r="C4130" s="12" t="s">
        <v>566</v>
      </c>
      <c r="D4130" s="13">
        <v>68</v>
      </c>
      <c r="E4130" s="13">
        <v>64.016728999999998</v>
      </c>
      <c r="F4130" s="13">
        <v>64.322507999999999</v>
      </c>
      <c r="G4130" s="13">
        <v>113.287745</v>
      </c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</row>
    <row r="4131" spans="1:19" x14ac:dyDescent="0.2">
      <c r="A4131" s="12" t="s">
        <v>578</v>
      </c>
      <c r="B4131" s="12" t="s">
        <v>568</v>
      </c>
      <c r="C4131" s="12" t="s">
        <v>554</v>
      </c>
      <c r="D4131" s="13">
        <v>0</v>
      </c>
      <c r="E4131" s="13">
        <v>0</v>
      </c>
      <c r="F4131" s="13">
        <v>0</v>
      </c>
      <c r="G4131" s="13">
        <v>0</v>
      </c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</row>
    <row r="4132" spans="1:19" x14ac:dyDescent="0.2">
      <c r="A4132" s="12" t="s">
        <v>578</v>
      </c>
      <c r="B4132" s="12" t="s">
        <v>568</v>
      </c>
      <c r="C4132" s="12" t="s">
        <v>555</v>
      </c>
      <c r="D4132" s="13">
        <v>24592</v>
      </c>
      <c r="E4132" s="13">
        <v>26440.822932999999</v>
      </c>
      <c r="F4132" s="13">
        <v>26613.399848000001</v>
      </c>
      <c r="G4132" s="13">
        <v>26525.507633000001</v>
      </c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</row>
    <row r="4133" spans="1:19" x14ac:dyDescent="0.2">
      <c r="A4133" s="12" t="s">
        <v>578</v>
      </c>
      <c r="B4133" s="12" t="s">
        <v>568</v>
      </c>
      <c r="C4133" s="12" t="s">
        <v>556</v>
      </c>
      <c r="D4133" s="13">
        <v>-26633</v>
      </c>
      <c r="E4133" s="13">
        <v>-28124.399020000001</v>
      </c>
      <c r="F4133" s="13">
        <v>-29184.573833999999</v>
      </c>
      <c r="G4133" s="13">
        <v>-29078.611414999999</v>
      </c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</row>
    <row r="4134" spans="1:19" x14ac:dyDescent="0.2">
      <c r="A4134" s="12" t="s">
        <v>578</v>
      </c>
      <c r="B4134" s="12" t="s">
        <v>568</v>
      </c>
      <c r="C4134" s="12" t="s">
        <v>557</v>
      </c>
      <c r="D4134" s="13">
        <v>-7593</v>
      </c>
      <c r="E4134" s="13">
        <v>-6427.8696749999999</v>
      </c>
      <c r="F4134" s="13">
        <v>-9672.6100079999997</v>
      </c>
      <c r="G4134" s="13">
        <v>-9910.7809739999993</v>
      </c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</row>
    <row r="4135" spans="1:19" x14ac:dyDescent="0.2">
      <c r="A4135" s="12" t="s">
        <v>578</v>
      </c>
      <c r="B4135" s="12" t="s">
        <v>568</v>
      </c>
      <c r="C4135" s="12" t="s">
        <v>558</v>
      </c>
      <c r="D4135" s="13">
        <v>-1832</v>
      </c>
      <c r="E4135" s="13">
        <v>-1928.3347160000001</v>
      </c>
      <c r="F4135" s="13">
        <v>-1910.2475669999999</v>
      </c>
      <c r="G4135" s="13">
        <v>-1620.7429070000001</v>
      </c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</row>
    <row r="4136" spans="1:19" x14ac:dyDescent="0.2">
      <c r="A4136" s="12" t="s">
        <v>578</v>
      </c>
      <c r="B4136" s="12" t="s">
        <v>568</v>
      </c>
      <c r="C4136" s="12" t="s">
        <v>560</v>
      </c>
      <c r="D4136" s="13">
        <v>75071</v>
      </c>
      <c r="E4136" s="13">
        <v>78250.926040000006</v>
      </c>
      <c r="F4136" s="13">
        <v>81957.870645000003</v>
      </c>
      <c r="G4136" s="13">
        <v>80909.132071999993</v>
      </c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</row>
    <row r="4137" spans="1:19" x14ac:dyDescent="0.2">
      <c r="A4137" s="12" t="s">
        <v>578</v>
      </c>
      <c r="B4137" s="12" t="s">
        <v>568</v>
      </c>
      <c r="C4137" s="12" t="s">
        <v>561</v>
      </c>
      <c r="D4137" s="13">
        <v>66404</v>
      </c>
      <c r="E4137" s="13">
        <v>70136.913648000002</v>
      </c>
      <c r="F4137" s="13">
        <v>71072.589363000006</v>
      </c>
      <c r="G4137" s="13">
        <v>70081.236048999999</v>
      </c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</row>
    <row r="4138" spans="1:19" x14ac:dyDescent="0.2">
      <c r="A4138" s="12" t="s">
        <v>578</v>
      </c>
      <c r="B4138" s="12" t="s">
        <v>568</v>
      </c>
      <c r="C4138" s="12" t="s">
        <v>562</v>
      </c>
      <c r="D4138" s="13">
        <v>3695</v>
      </c>
      <c r="E4138" s="13">
        <v>3853.837227</v>
      </c>
      <c r="F4138" s="13">
        <v>3832.9997199999998</v>
      </c>
      <c r="G4138" s="13">
        <v>3625.000794</v>
      </c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</row>
    <row r="4139" spans="1:19" x14ac:dyDescent="0.2">
      <c r="A4139" s="12" t="s">
        <v>578</v>
      </c>
      <c r="B4139" s="12" t="s">
        <v>568</v>
      </c>
      <c r="C4139" s="12" t="s">
        <v>563</v>
      </c>
      <c r="D4139" s="13">
        <v>42337</v>
      </c>
      <c r="E4139" s="13">
        <v>45869.960819</v>
      </c>
      <c r="F4139" s="13">
        <v>47363.275772000001</v>
      </c>
      <c r="G4139" s="13">
        <v>47072.208569000002</v>
      </c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</row>
    <row r="4140" spans="1:19" x14ac:dyDescent="0.2">
      <c r="A4140" s="12" t="s">
        <v>578</v>
      </c>
      <c r="B4140" s="12" t="s">
        <v>568</v>
      </c>
      <c r="C4140" s="12" t="s">
        <v>564</v>
      </c>
      <c r="D4140" s="13">
        <v>3043</v>
      </c>
      <c r="E4140" s="13">
        <v>2796.854405</v>
      </c>
      <c r="F4140" s="13">
        <v>2767.1666890000001</v>
      </c>
      <c r="G4140" s="13">
        <v>2591.776965</v>
      </c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</row>
    <row r="4141" spans="1:19" x14ac:dyDescent="0.2">
      <c r="A4141" s="12" t="s">
        <v>578</v>
      </c>
      <c r="B4141" s="12" t="s">
        <v>568</v>
      </c>
      <c r="C4141" s="12" t="s">
        <v>565</v>
      </c>
      <c r="D4141" s="13">
        <v>1716</v>
      </c>
      <c r="E4141" s="13">
        <v>1742.8047409999999</v>
      </c>
      <c r="F4141" s="13">
        <v>1645.828078</v>
      </c>
      <c r="G4141" s="13">
        <v>1525.455954</v>
      </c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</row>
    <row r="4142" spans="1:19" x14ac:dyDescent="0.2">
      <c r="A4142" s="12" t="s">
        <v>578</v>
      </c>
      <c r="B4142" s="12" t="s">
        <v>568</v>
      </c>
      <c r="C4142" s="12" t="s">
        <v>566</v>
      </c>
      <c r="D4142" s="13">
        <v>15614</v>
      </c>
      <c r="E4142" s="13">
        <v>15873.456443999999</v>
      </c>
      <c r="F4142" s="13">
        <v>15463.319111000001</v>
      </c>
      <c r="G4142" s="13">
        <v>15266.793784</v>
      </c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</row>
    <row r="4143" spans="1:19" x14ac:dyDescent="0.2">
      <c r="A4143" s="12" t="s">
        <v>578</v>
      </c>
      <c r="B4143" s="12" t="s">
        <v>569</v>
      </c>
      <c r="C4143" s="12" t="s">
        <v>554</v>
      </c>
      <c r="D4143" s="13">
        <v>54277</v>
      </c>
      <c r="E4143" s="13">
        <v>55150.112783999997</v>
      </c>
      <c r="F4143" s="13">
        <v>58360.700642999996</v>
      </c>
      <c r="G4143" s="13">
        <v>59662.536172</v>
      </c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</row>
    <row r="4144" spans="1:19" x14ac:dyDescent="0.2">
      <c r="A4144" s="12" t="s">
        <v>578</v>
      </c>
      <c r="B4144" s="12" t="s">
        <v>569</v>
      </c>
      <c r="C4144" s="12" t="s">
        <v>555</v>
      </c>
      <c r="D4144" s="13">
        <v>26631</v>
      </c>
      <c r="E4144" s="13">
        <v>28010.484980000001</v>
      </c>
      <c r="F4144" s="13">
        <v>29078.014025</v>
      </c>
      <c r="G4144" s="13">
        <v>26795.963784</v>
      </c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</row>
    <row r="4145" spans="1:19" x14ac:dyDescent="0.2">
      <c r="A4145" s="12" t="s">
        <v>578</v>
      </c>
      <c r="B4145" s="12" t="s">
        <v>569</v>
      </c>
      <c r="C4145" s="12" t="s">
        <v>556</v>
      </c>
      <c r="D4145" s="13">
        <v>-17204</v>
      </c>
      <c r="E4145" s="13">
        <v>-18960.53774</v>
      </c>
      <c r="F4145" s="13">
        <v>-21448.810104</v>
      </c>
      <c r="G4145" s="13">
        <v>-21920.077132999999</v>
      </c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</row>
    <row r="4146" spans="1:19" x14ac:dyDescent="0.2">
      <c r="A4146" s="12" t="s">
        <v>578</v>
      </c>
      <c r="B4146" s="12" t="s">
        <v>569</v>
      </c>
      <c r="C4146" s="12" t="s">
        <v>557</v>
      </c>
      <c r="D4146" s="13">
        <v>63979</v>
      </c>
      <c r="E4146" s="13">
        <v>65215.025952000004</v>
      </c>
      <c r="F4146" s="13">
        <v>64951.903604000006</v>
      </c>
      <c r="G4146" s="13">
        <v>63685.292068000002</v>
      </c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</row>
    <row r="4147" spans="1:19" x14ac:dyDescent="0.2">
      <c r="A4147" s="12" t="s">
        <v>578</v>
      </c>
      <c r="B4147" s="12" t="s">
        <v>569</v>
      </c>
      <c r="C4147" s="12" t="s">
        <v>558</v>
      </c>
      <c r="D4147" s="13">
        <v>-24625</v>
      </c>
      <c r="E4147" s="13">
        <v>-24441.909853000001</v>
      </c>
      <c r="F4147" s="13">
        <v>-24859.150120999999</v>
      </c>
      <c r="G4147" s="13">
        <v>-25230.893703000002</v>
      </c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</row>
    <row r="4148" spans="1:19" x14ac:dyDescent="0.2">
      <c r="A4148" s="12" t="s">
        <v>578</v>
      </c>
      <c r="B4148" s="12" t="s">
        <v>569</v>
      </c>
      <c r="C4148" s="12" t="s">
        <v>560</v>
      </c>
      <c r="D4148" s="13">
        <v>0</v>
      </c>
      <c r="E4148" s="13">
        <v>0</v>
      </c>
      <c r="F4148" s="13">
        <v>0</v>
      </c>
      <c r="G4148" s="13">
        <v>0</v>
      </c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</row>
    <row r="4149" spans="1:19" x14ac:dyDescent="0.2">
      <c r="A4149" s="12" t="s">
        <v>578</v>
      </c>
      <c r="B4149" s="12" t="s">
        <v>569</v>
      </c>
      <c r="C4149" s="12" t="s">
        <v>561</v>
      </c>
      <c r="D4149" s="13">
        <v>31655</v>
      </c>
      <c r="E4149" s="13">
        <v>33241.043342999998</v>
      </c>
      <c r="F4149" s="13">
        <v>32340.829183000002</v>
      </c>
      <c r="G4149" s="13">
        <v>30968.812349</v>
      </c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</row>
    <row r="4150" spans="1:19" x14ac:dyDescent="0.2">
      <c r="A4150" s="12" t="s">
        <v>578</v>
      </c>
      <c r="B4150" s="12" t="s">
        <v>569</v>
      </c>
      <c r="C4150" s="12" t="s">
        <v>562</v>
      </c>
      <c r="D4150" s="13">
        <v>11622</v>
      </c>
      <c r="E4150" s="13">
        <v>11996.652086</v>
      </c>
      <c r="F4150" s="13">
        <v>11657.090263</v>
      </c>
      <c r="G4150" s="13">
        <v>11459.638514</v>
      </c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</row>
    <row r="4151" spans="1:19" x14ac:dyDescent="0.2">
      <c r="A4151" s="12" t="s">
        <v>578</v>
      </c>
      <c r="B4151" s="12" t="s">
        <v>569</v>
      </c>
      <c r="C4151" s="12" t="s">
        <v>563</v>
      </c>
      <c r="D4151" s="13">
        <v>1402</v>
      </c>
      <c r="E4151" s="13">
        <v>1562.0066380000001</v>
      </c>
      <c r="F4151" s="13">
        <v>1668.5410790000001</v>
      </c>
      <c r="G4151" s="13">
        <v>1676.121891</v>
      </c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</row>
    <row r="4152" spans="1:19" x14ac:dyDescent="0.2">
      <c r="A4152" s="12" t="s">
        <v>578</v>
      </c>
      <c r="B4152" s="12" t="s">
        <v>569</v>
      </c>
      <c r="C4152" s="12" t="s">
        <v>564</v>
      </c>
      <c r="D4152" s="13">
        <v>10974</v>
      </c>
      <c r="E4152" s="13">
        <v>11459.978152</v>
      </c>
      <c r="F4152" s="13">
        <v>11031.33209</v>
      </c>
      <c r="G4152" s="13">
        <v>10078.162493</v>
      </c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</row>
    <row r="4153" spans="1:19" x14ac:dyDescent="0.2">
      <c r="A4153" s="12" t="s">
        <v>578</v>
      </c>
      <c r="B4153" s="12" t="s">
        <v>569</v>
      </c>
      <c r="C4153" s="12" t="s">
        <v>565</v>
      </c>
      <c r="D4153" s="13">
        <v>6008</v>
      </c>
      <c r="E4153" s="13">
        <v>6279.132165</v>
      </c>
      <c r="F4153" s="13">
        <v>6301.9372170000006</v>
      </c>
      <c r="G4153" s="13">
        <v>6023.7179800000004</v>
      </c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</row>
    <row r="4154" spans="1:19" x14ac:dyDescent="0.2">
      <c r="A4154" s="12" t="s">
        <v>578</v>
      </c>
      <c r="B4154" s="12" t="s">
        <v>569</v>
      </c>
      <c r="C4154" s="12" t="s">
        <v>566</v>
      </c>
      <c r="D4154" s="13">
        <v>1648</v>
      </c>
      <c r="E4154" s="13">
        <v>1943.2743399999999</v>
      </c>
      <c r="F4154" s="13">
        <v>1681.928531</v>
      </c>
      <c r="G4154" s="13">
        <v>1731.1714790000001</v>
      </c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</row>
    <row r="4155" spans="1:19" x14ac:dyDescent="0.2">
      <c r="A4155" s="12" t="s">
        <v>578</v>
      </c>
      <c r="B4155" s="12" t="s">
        <v>570</v>
      </c>
      <c r="C4155" s="12" t="s">
        <v>554</v>
      </c>
      <c r="D4155" s="13">
        <v>20308</v>
      </c>
      <c r="E4155" s="13">
        <v>20888.284038000002</v>
      </c>
      <c r="F4155" s="13">
        <v>19500.541248000001</v>
      </c>
      <c r="G4155" s="13">
        <v>19982.358506</v>
      </c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</row>
    <row r="4156" spans="1:19" x14ac:dyDescent="0.2">
      <c r="A4156" s="12" t="s">
        <v>578</v>
      </c>
      <c r="B4156" s="12" t="s">
        <v>570</v>
      </c>
      <c r="C4156" s="12" t="s">
        <v>555</v>
      </c>
      <c r="D4156" s="13">
        <v>0</v>
      </c>
      <c r="E4156" s="13">
        <v>0</v>
      </c>
      <c r="F4156" s="13">
        <v>0</v>
      </c>
      <c r="G4156" s="13">
        <v>0</v>
      </c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</row>
    <row r="4157" spans="1:19" x14ac:dyDescent="0.2">
      <c r="A4157" s="12" t="s">
        <v>578</v>
      </c>
      <c r="B4157" s="12" t="s">
        <v>570</v>
      </c>
      <c r="C4157" s="12" t="s">
        <v>556</v>
      </c>
      <c r="D4157" s="13">
        <v>0</v>
      </c>
      <c r="E4157" s="13">
        <v>0</v>
      </c>
      <c r="F4157" s="13">
        <v>0</v>
      </c>
      <c r="G4157" s="13">
        <v>0</v>
      </c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</row>
    <row r="4158" spans="1:19" x14ac:dyDescent="0.2">
      <c r="A4158" s="12" t="s">
        <v>578</v>
      </c>
      <c r="B4158" s="12" t="s">
        <v>570</v>
      </c>
      <c r="C4158" s="12" t="s">
        <v>557</v>
      </c>
      <c r="D4158" s="13">
        <v>20308</v>
      </c>
      <c r="E4158" s="13">
        <v>20888.284038000002</v>
      </c>
      <c r="F4158" s="13">
        <v>19500.541248000001</v>
      </c>
      <c r="G4158" s="13">
        <v>19982.358506</v>
      </c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</row>
    <row r="4159" spans="1:19" x14ac:dyDescent="0.2">
      <c r="A4159" s="12" t="s">
        <v>578</v>
      </c>
      <c r="B4159" s="12" t="s">
        <v>570</v>
      </c>
      <c r="C4159" s="12" t="s">
        <v>558</v>
      </c>
      <c r="D4159" s="13">
        <v>-20308</v>
      </c>
      <c r="E4159" s="13">
        <v>-20888.284037000001</v>
      </c>
      <c r="F4159" s="13">
        <v>-19500.541251999999</v>
      </c>
      <c r="G4159" s="13">
        <v>-19982.358509999998</v>
      </c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</row>
    <row r="4160" spans="1:19" x14ac:dyDescent="0.2">
      <c r="A4160" s="12" t="s">
        <v>578</v>
      </c>
      <c r="B4160" s="12" t="s">
        <v>570</v>
      </c>
      <c r="C4160" s="12" t="s">
        <v>560</v>
      </c>
      <c r="D4160" s="13">
        <v>0</v>
      </c>
      <c r="E4160" s="13">
        <v>0</v>
      </c>
      <c r="F4160" s="13">
        <v>0</v>
      </c>
      <c r="G4160" s="13">
        <v>0</v>
      </c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</row>
    <row r="4161" spans="1:19" x14ac:dyDescent="0.2">
      <c r="A4161" s="12" t="s">
        <v>578</v>
      </c>
      <c r="B4161" s="12" t="s">
        <v>570</v>
      </c>
      <c r="C4161" s="12" t="s">
        <v>561</v>
      </c>
      <c r="D4161" s="13">
        <v>0</v>
      </c>
      <c r="E4161" s="13">
        <v>0</v>
      </c>
      <c r="F4161" s="13">
        <v>0</v>
      </c>
      <c r="G4161" s="13">
        <v>0</v>
      </c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</row>
    <row r="4162" spans="1:19" x14ac:dyDescent="0.2">
      <c r="A4162" s="12" t="s">
        <v>578</v>
      </c>
      <c r="B4162" s="12" t="s">
        <v>570</v>
      </c>
      <c r="C4162" s="12" t="s">
        <v>562</v>
      </c>
      <c r="D4162" s="13">
        <v>0</v>
      </c>
      <c r="E4162" s="13">
        <v>0</v>
      </c>
      <c r="F4162" s="13">
        <v>0</v>
      </c>
      <c r="G4162" s="13">
        <v>0</v>
      </c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</row>
    <row r="4163" spans="1:19" x14ac:dyDescent="0.2">
      <c r="A4163" s="12" t="s">
        <v>578</v>
      </c>
      <c r="B4163" s="12" t="s">
        <v>570</v>
      </c>
      <c r="C4163" s="12" t="s">
        <v>563</v>
      </c>
      <c r="D4163" s="13">
        <v>0</v>
      </c>
      <c r="E4163" s="13">
        <v>0</v>
      </c>
      <c r="F4163" s="13">
        <v>0</v>
      </c>
      <c r="G4163" s="13">
        <v>0</v>
      </c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</row>
    <row r="4164" spans="1:19" x14ac:dyDescent="0.2">
      <c r="A4164" s="12" t="s">
        <v>578</v>
      </c>
      <c r="B4164" s="12" t="s">
        <v>570</v>
      </c>
      <c r="C4164" s="12" t="s">
        <v>564</v>
      </c>
      <c r="D4164" s="13">
        <v>0</v>
      </c>
      <c r="E4164" s="13">
        <v>0</v>
      </c>
      <c r="F4164" s="13">
        <v>0</v>
      </c>
      <c r="G4164" s="13">
        <v>0</v>
      </c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</row>
    <row r="4165" spans="1:19" x14ac:dyDescent="0.2">
      <c r="A4165" s="12" t="s">
        <v>578</v>
      </c>
      <c r="B4165" s="12" t="s">
        <v>570</v>
      </c>
      <c r="C4165" s="12" t="s">
        <v>565</v>
      </c>
      <c r="D4165" s="13">
        <v>0</v>
      </c>
      <c r="E4165" s="13">
        <v>0</v>
      </c>
      <c r="F4165" s="13">
        <v>0</v>
      </c>
      <c r="G4165" s="13">
        <v>0</v>
      </c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</row>
    <row r="4166" spans="1:19" x14ac:dyDescent="0.2">
      <c r="A4166" s="12" t="s">
        <v>578</v>
      </c>
      <c r="B4166" s="12" t="s">
        <v>570</v>
      </c>
      <c r="C4166" s="12" t="s">
        <v>566</v>
      </c>
      <c r="D4166" s="13">
        <v>0</v>
      </c>
      <c r="E4166" s="13">
        <v>0</v>
      </c>
      <c r="F4166" s="13">
        <v>0</v>
      </c>
      <c r="G4166" s="13">
        <v>0</v>
      </c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</row>
    <row r="4167" spans="1:19" x14ac:dyDescent="0.2">
      <c r="A4167" s="12" t="s">
        <v>578</v>
      </c>
      <c r="B4167" s="12" t="s">
        <v>571</v>
      </c>
      <c r="C4167" s="12" t="s">
        <v>554</v>
      </c>
      <c r="D4167" s="13">
        <v>25895</v>
      </c>
      <c r="E4167" s="13">
        <v>26918.744548999999</v>
      </c>
      <c r="F4167" s="13">
        <v>27575.547338</v>
      </c>
      <c r="G4167" s="13">
        <v>28332.401492000001</v>
      </c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</row>
    <row r="4168" spans="1:19" x14ac:dyDescent="0.2">
      <c r="A4168" s="12" t="s">
        <v>578</v>
      </c>
      <c r="B4168" s="12" t="s">
        <v>571</v>
      </c>
      <c r="C4168" s="12" t="s">
        <v>555</v>
      </c>
      <c r="D4168" s="13">
        <v>1349</v>
      </c>
      <c r="E4168" s="13">
        <v>1452.460695</v>
      </c>
      <c r="F4168" s="13">
        <v>1426.5110050000001</v>
      </c>
      <c r="G4168" s="13">
        <v>1459.362003</v>
      </c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</row>
    <row r="4169" spans="1:19" x14ac:dyDescent="0.2">
      <c r="A4169" s="12" t="s">
        <v>578</v>
      </c>
      <c r="B4169" s="12" t="s">
        <v>571</v>
      </c>
      <c r="C4169" s="12" t="s">
        <v>556</v>
      </c>
      <c r="D4169" s="13">
        <v>-823</v>
      </c>
      <c r="E4169" s="13">
        <v>-873.13946799999997</v>
      </c>
      <c r="F4169" s="13">
        <v>-834.68001700000002</v>
      </c>
      <c r="G4169" s="13">
        <v>-838.18658700000003</v>
      </c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</row>
    <row r="4170" spans="1:19" x14ac:dyDescent="0.2">
      <c r="A4170" s="12" t="s">
        <v>578</v>
      </c>
      <c r="B4170" s="12" t="s">
        <v>571</v>
      </c>
      <c r="C4170" s="12" t="s">
        <v>557</v>
      </c>
      <c r="D4170" s="13">
        <v>26370</v>
      </c>
      <c r="E4170" s="13">
        <v>27516.215963999999</v>
      </c>
      <c r="F4170" s="13">
        <v>28106.856833999998</v>
      </c>
      <c r="G4170" s="13">
        <v>28936.988270000002</v>
      </c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</row>
    <row r="4171" spans="1:19" x14ac:dyDescent="0.2">
      <c r="A4171" s="12" t="s">
        <v>578</v>
      </c>
      <c r="B4171" s="12" t="s">
        <v>571</v>
      </c>
      <c r="C4171" s="12" t="s">
        <v>558</v>
      </c>
      <c r="D4171" s="13">
        <v>-16871</v>
      </c>
      <c r="E4171" s="13">
        <v>-17376.970535</v>
      </c>
      <c r="F4171" s="13">
        <v>-17903.017013000001</v>
      </c>
      <c r="G4171" s="13">
        <v>-18272.587900999999</v>
      </c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</row>
    <row r="4172" spans="1:19" x14ac:dyDescent="0.2">
      <c r="A4172" s="12" t="s">
        <v>578</v>
      </c>
      <c r="B4172" s="12" t="s">
        <v>571</v>
      </c>
      <c r="C4172" s="12" t="s">
        <v>560</v>
      </c>
      <c r="D4172" s="13">
        <v>0</v>
      </c>
      <c r="E4172" s="13">
        <v>0</v>
      </c>
      <c r="F4172" s="13">
        <v>0</v>
      </c>
      <c r="G4172" s="13">
        <v>0</v>
      </c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</row>
    <row r="4173" spans="1:19" x14ac:dyDescent="0.2">
      <c r="A4173" s="12" t="s">
        <v>578</v>
      </c>
      <c r="B4173" s="12" t="s">
        <v>571</v>
      </c>
      <c r="C4173" s="12" t="s">
        <v>561</v>
      </c>
      <c r="D4173" s="13">
        <v>9404</v>
      </c>
      <c r="E4173" s="13">
        <v>9861.6022260000009</v>
      </c>
      <c r="F4173" s="13">
        <v>9984.5512230000004</v>
      </c>
      <c r="G4173" s="13">
        <v>10431.408616000001</v>
      </c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</row>
    <row r="4174" spans="1:19" x14ac:dyDescent="0.2">
      <c r="A4174" s="12" t="s">
        <v>578</v>
      </c>
      <c r="B4174" s="12" t="s">
        <v>571</v>
      </c>
      <c r="C4174" s="12" t="s">
        <v>562</v>
      </c>
      <c r="D4174" s="13">
        <v>3411</v>
      </c>
      <c r="E4174" s="13">
        <v>3454.1485189999999</v>
      </c>
      <c r="F4174" s="13">
        <v>3395.8565309999999</v>
      </c>
      <c r="G4174" s="13">
        <v>3471.1935039999998</v>
      </c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</row>
    <row r="4175" spans="1:19" x14ac:dyDescent="0.2">
      <c r="A4175" s="12" t="s">
        <v>578</v>
      </c>
      <c r="B4175" s="12" t="s">
        <v>571</v>
      </c>
      <c r="C4175" s="12" t="s">
        <v>563</v>
      </c>
      <c r="D4175" s="13">
        <v>2228</v>
      </c>
      <c r="E4175" s="13">
        <v>2451.8567720000001</v>
      </c>
      <c r="F4175" s="13">
        <v>2602.7213390000002</v>
      </c>
      <c r="G4175" s="13">
        <v>2940.7405779999999</v>
      </c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</row>
    <row r="4176" spans="1:19" x14ac:dyDescent="0.2">
      <c r="A4176" s="12" t="s">
        <v>578</v>
      </c>
      <c r="B4176" s="12" t="s">
        <v>571</v>
      </c>
      <c r="C4176" s="12" t="s">
        <v>564</v>
      </c>
      <c r="D4176" s="13">
        <v>2957</v>
      </c>
      <c r="E4176" s="13">
        <v>3155.2422740000002</v>
      </c>
      <c r="F4176" s="13">
        <v>3202.8924120000001</v>
      </c>
      <c r="G4176" s="13">
        <v>3187.464343000001</v>
      </c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</row>
    <row r="4177" spans="1:19" x14ac:dyDescent="0.2">
      <c r="A4177" s="12" t="s">
        <v>578</v>
      </c>
      <c r="B4177" s="12" t="s">
        <v>571</v>
      </c>
      <c r="C4177" s="12" t="s">
        <v>565</v>
      </c>
      <c r="D4177" s="13">
        <v>512</v>
      </c>
      <c r="E4177" s="13">
        <v>512.07611100000008</v>
      </c>
      <c r="F4177" s="13">
        <v>485.45029499999998</v>
      </c>
      <c r="G4177" s="13">
        <v>492.80571099999997</v>
      </c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</row>
    <row r="4178" spans="1:19" x14ac:dyDescent="0.2">
      <c r="A4178" s="12" t="s">
        <v>578</v>
      </c>
      <c r="B4178" s="12" t="s">
        <v>571</v>
      </c>
      <c r="C4178" s="12" t="s">
        <v>566</v>
      </c>
      <c r="D4178" s="13">
        <v>296</v>
      </c>
      <c r="E4178" s="13">
        <v>288.27857000000012</v>
      </c>
      <c r="F4178" s="13">
        <v>297.63059700000002</v>
      </c>
      <c r="G4178" s="13">
        <v>339.20449100000002</v>
      </c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</row>
    <row r="4179" spans="1:19" x14ac:dyDescent="0.2">
      <c r="A4179" s="12" t="s">
        <v>578</v>
      </c>
      <c r="B4179" s="12" t="s">
        <v>572</v>
      </c>
      <c r="C4179" s="12" t="s">
        <v>554</v>
      </c>
      <c r="D4179" s="13">
        <v>0</v>
      </c>
      <c r="E4179" s="13">
        <v>0</v>
      </c>
      <c r="F4179" s="13">
        <v>0</v>
      </c>
      <c r="G4179" s="13">
        <v>0</v>
      </c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</row>
    <row r="4180" spans="1:19" x14ac:dyDescent="0.2">
      <c r="A4180" s="12" t="s">
        <v>578</v>
      </c>
      <c r="B4180" s="12" t="s">
        <v>572</v>
      </c>
      <c r="C4180" s="12" t="s">
        <v>555</v>
      </c>
      <c r="D4180" s="13">
        <v>1787</v>
      </c>
      <c r="E4180" s="13">
        <v>1864.8311200000001</v>
      </c>
      <c r="F4180" s="13">
        <v>1947.1517980000001</v>
      </c>
      <c r="G4180" s="13">
        <v>1889.550209</v>
      </c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</row>
    <row r="4181" spans="1:19" x14ac:dyDescent="0.2">
      <c r="A4181" s="12" t="s">
        <v>578</v>
      </c>
      <c r="B4181" s="12" t="s">
        <v>572</v>
      </c>
      <c r="C4181" s="12" t="s">
        <v>556</v>
      </c>
      <c r="D4181" s="13">
        <v>-1828</v>
      </c>
      <c r="E4181" s="13">
        <v>-1863.182626</v>
      </c>
      <c r="F4181" s="13">
        <v>-1990.3216460000001</v>
      </c>
      <c r="G4181" s="13">
        <v>-1927.300559</v>
      </c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</row>
    <row r="4182" spans="1:19" x14ac:dyDescent="0.2">
      <c r="A4182" s="12" t="s">
        <v>578</v>
      </c>
      <c r="B4182" s="12" t="s">
        <v>572</v>
      </c>
      <c r="C4182" s="12" t="s">
        <v>557</v>
      </c>
      <c r="D4182" s="13">
        <v>-40</v>
      </c>
      <c r="E4182" s="13">
        <v>1.64849</v>
      </c>
      <c r="F4182" s="13">
        <v>-43.169856000000003</v>
      </c>
      <c r="G4182" s="13">
        <v>-37.750349</v>
      </c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</row>
    <row r="4183" spans="1:19" x14ac:dyDescent="0.2">
      <c r="A4183" s="12" t="s">
        <v>578</v>
      </c>
      <c r="B4183" s="12" t="s">
        <v>572</v>
      </c>
      <c r="C4183" s="12" t="s">
        <v>558</v>
      </c>
      <c r="D4183" s="13">
        <v>39169</v>
      </c>
      <c r="E4183" s="13">
        <v>40404.838015000001</v>
      </c>
      <c r="F4183" s="13">
        <v>40490.608465999998</v>
      </c>
      <c r="G4183" s="13">
        <v>39926.220281999987</v>
      </c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</row>
    <row r="4184" spans="1:19" x14ac:dyDescent="0.2">
      <c r="A4184" s="12" t="s">
        <v>578</v>
      </c>
      <c r="B4184" s="12" t="s">
        <v>572</v>
      </c>
      <c r="C4184" s="12" t="s">
        <v>560</v>
      </c>
      <c r="D4184" s="13">
        <v>0</v>
      </c>
      <c r="E4184" s="13">
        <v>0</v>
      </c>
      <c r="F4184" s="13">
        <v>0</v>
      </c>
      <c r="G4184" s="13">
        <v>0</v>
      </c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</row>
    <row r="4185" spans="1:19" x14ac:dyDescent="0.2">
      <c r="A4185" s="12" t="s">
        <v>578</v>
      </c>
      <c r="B4185" s="12" t="s">
        <v>572</v>
      </c>
      <c r="C4185" s="12" t="s">
        <v>561</v>
      </c>
      <c r="D4185" s="13">
        <v>34216</v>
      </c>
      <c r="E4185" s="13">
        <v>35081.672187999997</v>
      </c>
      <c r="F4185" s="13">
        <v>35356.37558</v>
      </c>
      <c r="G4185" s="13">
        <v>34614.624005000012</v>
      </c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</row>
    <row r="4186" spans="1:19" x14ac:dyDescent="0.2">
      <c r="A4186" s="12" t="s">
        <v>578</v>
      </c>
      <c r="B4186" s="12" t="s">
        <v>572</v>
      </c>
      <c r="C4186" s="12" t="s">
        <v>562</v>
      </c>
      <c r="D4186" s="13">
        <v>10619</v>
      </c>
      <c r="E4186" s="13">
        <v>11332.407381999999</v>
      </c>
      <c r="F4186" s="13">
        <v>11168.216451</v>
      </c>
      <c r="G4186" s="13">
        <v>10902.13739</v>
      </c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</row>
    <row r="4187" spans="1:19" x14ac:dyDescent="0.2">
      <c r="A4187" s="12" t="s">
        <v>578</v>
      </c>
      <c r="B4187" s="12" t="s">
        <v>572</v>
      </c>
      <c r="C4187" s="12" t="s">
        <v>563</v>
      </c>
      <c r="D4187" s="13">
        <v>399</v>
      </c>
      <c r="E4187" s="13">
        <v>434.37185399999998</v>
      </c>
      <c r="F4187" s="13">
        <v>490.77247199999999</v>
      </c>
      <c r="G4187" s="13">
        <v>534.197542</v>
      </c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</row>
    <row r="4188" spans="1:19" x14ac:dyDescent="0.2">
      <c r="A4188" s="12" t="s">
        <v>578</v>
      </c>
      <c r="B4188" s="12" t="s">
        <v>572</v>
      </c>
      <c r="C4188" s="12" t="s">
        <v>564</v>
      </c>
      <c r="D4188" s="13">
        <v>11216</v>
      </c>
      <c r="E4188" s="13">
        <v>11382.1675</v>
      </c>
      <c r="F4188" s="13">
        <v>11309.18226</v>
      </c>
      <c r="G4188" s="13">
        <v>11159.24727</v>
      </c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</row>
    <row r="4189" spans="1:19" x14ac:dyDescent="0.2">
      <c r="A4189" s="12" t="s">
        <v>578</v>
      </c>
      <c r="B4189" s="12" t="s">
        <v>572</v>
      </c>
      <c r="C4189" s="12" t="s">
        <v>565</v>
      </c>
      <c r="D4189" s="13">
        <v>10305</v>
      </c>
      <c r="E4189" s="13">
        <v>10713.84095</v>
      </c>
      <c r="F4189" s="13">
        <v>10802.21538</v>
      </c>
      <c r="G4189" s="13">
        <v>10663.114170999999</v>
      </c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</row>
    <row r="4190" spans="1:19" x14ac:dyDescent="0.2">
      <c r="A4190" s="12" t="s">
        <v>578</v>
      </c>
      <c r="B4190" s="12" t="s">
        <v>572</v>
      </c>
      <c r="C4190" s="12" t="s">
        <v>566</v>
      </c>
      <c r="D4190" s="13">
        <v>1676</v>
      </c>
      <c r="E4190" s="13">
        <v>1218.8845200000001</v>
      </c>
      <c r="F4190" s="13">
        <v>1585.989022</v>
      </c>
      <c r="G4190" s="13">
        <v>1355.9276359999999</v>
      </c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</row>
    <row r="4191" spans="1:19" x14ac:dyDescent="0.2">
      <c r="A4191" s="12" t="s">
        <v>578</v>
      </c>
      <c r="B4191" s="12" t="s">
        <v>573</v>
      </c>
      <c r="C4191" s="12" t="s">
        <v>554</v>
      </c>
      <c r="D4191" s="13">
        <v>57</v>
      </c>
      <c r="E4191" s="13">
        <v>60.453498000000003</v>
      </c>
      <c r="F4191" s="13">
        <v>53.458962999999997</v>
      </c>
      <c r="G4191" s="13">
        <v>52.204523000000002</v>
      </c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</row>
    <row r="4192" spans="1:19" x14ac:dyDescent="0.2">
      <c r="A4192" s="12" t="s">
        <v>578</v>
      </c>
      <c r="B4192" s="12" t="s">
        <v>573</v>
      </c>
      <c r="C4192" s="12" t="s">
        <v>555</v>
      </c>
      <c r="D4192" s="13">
        <v>0</v>
      </c>
      <c r="E4192" s="13">
        <v>0.23516000000000001</v>
      </c>
      <c r="F4192" s="13">
        <v>0.23211200000000001</v>
      </c>
      <c r="G4192" s="13">
        <v>0.235738</v>
      </c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</row>
    <row r="4193" spans="1:19" x14ac:dyDescent="0.2">
      <c r="A4193" s="12" t="s">
        <v>578</v>
      </c>
      <c r="B4193" s="12" t="s">
        <v>573</v>
      </c>
      <c r="C4193" s="12" t="s">
        <v>556</v>
      </c>
      <c r="D4193" s="13">
        <v>0</v>
      </c>
      <c r="E4193" s="13">
        <v>-7.3805000000000009E-2</v>
      </c>
      <c r="F4193" s="13">
        <v>-4.1746999999999999E-2</v>
      </c>
      <c r="G4193" s="13">
        <v>-4.0474000000000003E-2</v>
      </c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</row>
    <row r="4194" spans="1:19" x14ac:dyDescent="0.2">
      <c r="A4194" s="12" t="s">
        <v>578</v>
      </c>
      <c r="B4194" s="12" t="s">
        <v>573</v>
      </c>
      <c r="C4194" s="12" t="s">
        <v>557</v>
      </c>
      <c r="D4194" s="13">
        <v>57</v>
      </c>
      <c r="E4194" s="13">
        <v>60.614857999999998</v>
      </c>
      <c r="F4194" s="13">
        <v>53.649329000000002</v>
      </c>
      <c r="G4194" s="13">
        <v>52.399777999999998</v>
      </c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</row>
    <row r="4195" spans="1:19" x14ac:dyDescent="0.2">
      <c r="A4195" s="12" t="s">
        <v>578</v>
      </c>
      <c r="B4195" s="12" t="s">
        <v>573</v>
      </c>
      <c r="C4195" s="12" t="s">
        <v>558</v>
      </c>
      <c r="D4195" s="13">
        <v>3056</v>
      </c>
      <c r="E4195" s="13">
        <v>3093.157569</v>
      </c>
      <c r="F4195" s="13">
        <v>2899.1979879999999</v>
      </c>
      <c r="G4195" s="13">
        <v>2814.3703930000001</v>
      </c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</row>
    <row r="4196" spans="1:19" x14ac:dyDescent="0.2">
      <c r="A4196" s="12" t="s">
        <v>578</v>
      </c>
      <c r="B4196" s="12" t="s">
        <v>573</v>
      </c>
      <c r="C4196" s="12" t="s">
        <v>560</v>
      </c>
      <c r="D4196" s="13">
        <v>0</v>
      </c>
      <c r="E4196" s="13">
        <v>0</v>
      </c>
      <c r="F4196" s="13">
        <v>0</v>
      </c>
      <c r="G4196" s="13">
        <v>0</v>
      </c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</row>
    <row r="4197" spans="1:19" x14ac:dyDescent="0.2">
      <c r="A4197" s="12" t="s">
        <v>578</v>
      </c>
      <c r="B4197" s="12" t="s">
        <v>573</v>
      </c>
      <c r="C4197" s="12" t="s">
        <v>561</v>
      </c>
      <c r="D4197" s="13">
        <v>2486</v>
      </c>
      <c r="E4197" s="13">
        <v>2555.6931800000002</v>
      </c>
      <c r="F4197" s="13">
        <v>2392.4749099999999</v>
      </c>
      <c r="G4197" s="13">
        <v>2318.7991999999999</v>
      </c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</row>
    <row r="4198" spans="1:19" x14ac:dyDescent="0.2">
      <c r="A4198" s="12" t="s">
        <v>578</v>
      </c>
      <c r="B4198" s="12" t="s">
        <v>573</v>
      </c>
      <c r="C4198" s="12" t="s">
        <v>562</v>
      </c>
      <c r="D4198" s="13">
        <v>1043</v>
      </c>
      <c r="E4198" s="13">
        <v>988.47021200000006</v>
      </c>
      <c r="F4198" s="13">
        <v>947.26439599999992</v>
      </c>
      <c r="G4198" s="13">
        <v>891.52261399999998</v>
      </c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</row>
    <row r="4199" spans="1:19" x14ac:dyDescent="0.2">
      <c r="A4199" s="12" t="s">
        <v>578</v>
      </c>
      <c r="B4199" s="12" t="s">
        <v>573</v>
      </c>
      <c r="C4199" s="12" t="s">
        <v>563</v>
      </c>
      <c r="D4199" s="13">
        <v>0</v>
      </c>
      <c r="E4199" s="13">
        <v>0</v>
      </c>
      <c r="F4199" s="13">
        <v>0</v>
      </c>
      <c r="G4199" s="13">
        <v>0</v>
      </c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</row>
    <row r="4200" spans="1:19" x14ac:dyDescent="0.2">
      <c r="A4200" s="12" t="s">
        <v>578</v>
      </c>
      <c r="B4200" s="12" t="s">
        <v>573</v>
      </c>
      <c r="C4200" s="12" t="s">
        <v>564</v>
      </c>
      <c r="D4200" s="13">
        <v>943</v>
      </c>
      <c r="E4200" s="13">
        <v>1014.528989</v>
      </c>
      <c r="F4200" s="13">
        <v>919.03603599999997</v>
      </c>
      <c r="G4200" s="13">
        <v>909.21497900000008</v>
      </c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</row>
    <row r="4201" spans="1:19" x14ac:dyDescent="0.2">
      <c r="A4201" s="12" t="s">
        <v>578</v>
      </c>
      <c r="B4201" s="12" t="s">
        <v>573</v>
      </c>
      <c r="C4201" s="12" t="s">
        <v>565</v>
      </c>
      <c r="D4201" s="13">
        <v>457</v>
      </c>
      <c r="E4201" s="13">
        <v>509.51236200000011</v>
      </c>
      <c r="F4201" s="13">
        <v>482.11482599999999</v>
      </c>
      <c r="G4201" s="13">
        <v>473.46719999999999</v>
      </c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</row>
    <row r="4202" spans="1:19" x14ac:dyDescent="0.2">
      <c r="A4202" s="12" t="s">
        <v>578</v>
      </c>
      <c r="B4202" s="12" t="s">
        <v>573</v>
      </c>
      <c r="C4202" s="12" t="s">
        <v>566</v>
      </c>
      <c r="D4202" s="13">
        <v>44</v>
      </c>
      <c r="E4202" s="13">
        <v>43.181629999999998</v>
      </c>
      <c r="F4202" s="13">
        <v>44.059660999999998</v>
      </c>
      <c r="G4202" s="13">
        <v>44.594436000000002</v>
      </c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</row>
    <row r="4203" spans="1:19" x14ac:dyDescent="0.2">
      <c r="A4203" s="12" t="s">
        <v>578</v>
      </c>
      <c r="B4203" s="12" t="s">
        <v>574</v>
      </c>
      <c r="C4203" s="12" t="s">
        <v>554</v>
      </c>
      <c r="D4203" s="13">
        <v>185824</v>
      </c>
      <c r="E4203" s="13">
        <v>189197.242658</v>
      </c>
      <c r="F4203" s="13">
        <v>194188.623635</v>
      </c>
      <c r="G4203" s="13">
        <v>198481.304424</v>
      </c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</row>
    <row r="4204" spans="1:19" x14ac:dyDescent="0.2">
      <c r="A4204" s="12" t="s">
        <v>578</v>
      </c>
      <c r="B4204" s="12" t="s">
        <v>574</v>
      </c>
      <c r="C4204" s="12" t="s">
        <v>555</v>
      </c>
      <c r="D4204" s="13">
        <v>116502</v>
      </c>
      <c r="E4204" s="13">
        <v>121849.257073</v>
      </c>
      <c r="F4204" s="13">
        <v>125572.520343</v>
      </c>
      <c r="G4204" s="13">
        <v>121222.1213</v>
      </c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</row>
    <row r="4205" spans="1:19" x14ac:dyDescent="0.2">
      <c r="A4205" s="12" t="s">
        <v>578</v>
      </c>
      <c r="B4205" s="12" t="s">
        <v>574</v>
      </c>
      <c r="C4205" s="12" t="s">
        <v>556</v>
      </c>
      <c r="D4205" s="13">
        <v>-87991</v>
      </c>
      <c r="E4205" s="13">
        <v>-90400.820340000006</v>
      </c>
      <c r="F4205" s="13">
        <v>-94701.427265000006</v>
      </c>
      <c r="G4205" s="13">
        <v>-96679.000933000003</v>
      </c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</row>
    <row r="4206" spans="1:19" x14ac:dyDescent="0.2">
      <c r="A4206" s="12" t="s">
        <v>578</v>
      </c>
      <c r="B4206" s="12" t="s">
        <v>574</v>
      </c>
      <c r="C4206" s="12" t="s">
        <v>557</v>
      </c>
      <c r="D4206" s="13">
        <v>210001</v>
      </c>
      <c r="E4206" s="13">
        <v>220079.107735</v>
      </c>
      <c r="F4206" s="13">
        <v>217589.10522999999</v>
      </c>
      <c r="G4206" s="13">
        <v>213360.19578099999</v>
      </c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</row>
    <row r="4207" spans="1:19" x14ac:dyDescent="0.2">
      <c r="A4207" s="12" t="s">
        <v>578</v>
      </c>
      <c r="B4207" s="12" t="s">
        <v>574</v>
      </c>
      <c r="C4207" s="12" t="s">
        <v>558</v>
      </c>
      <c r="D4207" s="13">
        <v>-42096</v>
      </c>
      <c r="E4207" s="13">
        <v>-43725.278903999999</v>
      </c>
      <c r="F4207" s="13">
        <v>-42673.140291999996</v>
      </c>
      <c r="G4207" s="13">
        <v>-41114.002559000008</v>
      </c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</row>
    <row r="4208" spans="1:19" x14ac:dyDescent="0.2">
      <c r="A4208" s="12" t="s">
        <v>578</v>
      </c>
      <c r="B4208" s="12" t="s">
        <v>574</v>
      </c>
      <c r="C4208" s="12" t="s">
        <v>560</v>
      </c>
      <c r="D4208" s="13">
        <v>-1902</v>
      </c>
      <c r="E4208" s="13">
        <v>-2316.6357170000001</v>
      </c>
      <c r="F4208" s="13">
        <v>-2123.0506249999999</v>
      </c>
      <c r="G4208" s="13">
        <v>-2170.3389309999998</v>
      </c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</row>
    <row r="4209" spans="1:19" x14ac:dyDescent="0.2">
      <c r="A4209" s="12" t="s">
        <v>578</v>
      </c>
      <c r="B4209" s="12" t="s">
        <v>574</v>
      </c>
      <c r="C4209" s="12" t="s">
        <v>561</v>
      </c>
      <c r="D4209" s="13">
        <v>148019</v>
      </c>
      <c r="E4209" s="13">
        <v>154844.22250599999</v>
      </c>
      <c r="F4209" s="13">
        <v>154845.02506499999</v>
      </c>
      <c r="G4209" s="13">
        <v>151925.45435099999</v>
      </c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</row>
    <row r="4210" spans="1:19" x14ac:dyDescent="0.2">
      <c r="A4210" s="12" t="s">
        <v>578</v>
      </c>
      <c r="B4210" s="12" t="s">
        <v>574</v>
      </c>
      <c r="C4210" s="12" t="s">
        <v>562</v>
      </c>
      <c r="D4210" s="13">
        <v>33432</v>
      </c>
      <c r="E4210" s="13">
        <v>34827.833215999999</v>
      </c>
      <c r="F4210" s="13">
        <v>34041.477847000002</v>
      </c>
      <c r="G4210" s="13">
        <v>33192.353784999999</v>
      </c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</row>
    <row r="4211" spans="1:19" x14ac:dyDescent="0.2">
      <c r="A4211" s="12" t="s">
        <v>578</v>
      </c>
      <c r="B4211" s="12" t="s">
        <v>574</v>
      </c>
      <c r="C4211" s="12" t="s">
        <v>563</v>
      </c>
      <c r="D4211" s="13">
        <v>46366</v>
      </c>
      <c r="E4211" s="13">
        <v>50318.610399999998</v>
      </c>
      <c r="F4211" s="13">
        <v>52125.761245000002</v>
      </c>
      <c r="G4211" s="13">
        <v>52223.700018000003</v>
      </c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</row>
    <row r="4212" spans="1:19" x14ac:dyDescent="0.2">
      <c r="A4212" s="12" t="s">
        <v>578</v>
      </c>
      <c r="B4212" s="12" t="s">
        <v>574</v>
      </c>
      <c r="C4212" s="12" t="s">
        <v>564</v>
      </c>
      <c r="D4212" s="13">
        <v>29491</v>
      </c>
      <c r="E4212" s="13">
        <v>30143.92885</v>
      </c>
      <c r="F4212" s="13">
        <v>29520.689953000001</v>
      </c>
      <c r="G4212" s="13">
        <v>28204.885861999999</v>
      </c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</row>
    <row r="4213" spans="1:19" x14ac:dyDescent="0.2">
      <c r="A4213" s="12" t="s">
        <v>578</v>
      </c>
      <c r="B4213" s="12" t="s">
        <v>574</v>
      </c>
      <c r="C4213" s="12" t="s">
        <v>565</v>
      </c>
      <c r="D4213" s="13">
        <v>19216</v>
      </c>
      <c r="E4213" s="13">
        <v>19957.780478000001</v>
      </c>
      <c r="F4213" s="13">
        <v>19864.878539000001</v>
      </c>
      <c r="G4213" s="13">
        <v>19312.427855000002</v>
      </c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</row>
    <row r="4214" spans="1:19" x14ac:dyDescent="0.2">
      <c r="A4214" s="12" t="s">
        <v>578</v>
      </c>
      <c r="B4214" s="12" t="s">
        <v>574</v>
      </c>
      <c r="C4214" s="12" t="s">
        <v>566</v>
      </c>
      <c r="D4214" s="13">
        <v>19514</v>
      </c>
      <c r="E4214" s="13">
        <v>19596.069641999999</v>
      </c>
      <c r="F4214" s="13">
        <v>19292.217584000002</v>
      </c>
      <c r="G4214" s="13">
        <v>18992.086885000001</v>
      </c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</row>
    <row r="4215" spans="1:19" x14ac:dyDescent="0.2">
      <c r="A4215" s="12" t="s">
        <v>101</v>
      </c>
      <c r="B4215" s="12" t="s">
        <v>553</v>
      </c>
      <c r="C4215" s="12" t="s">
        <v>554</v>
      </c>
      <c r="D4215" s="13">
        <v>0</v>
      </c>
      <c r="E4215" s="13">
        <v>0.49403799999999998</v>
      </c>
      <c r="F4215" s="13">
        <v>0.49403799999999998</v>
      </c>
      <c r="G4215" s="13">
        <v>2.470199</v>
      </c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</row>
    <row r="4216" spans="1:19" x14ac:dyDescent="0.2">
      <c r="A4216" s="12" t="s">
        <v>101</v>
      </c>
      <c r="B4216" s="12" t="s">
        <v>553</v>
      </c>
      <c r="C4216" s="12" t="s">
        <v>555</v>
      </c>
      <c r="D4216" s="13">
        <v>35</v>
      </c>
      <c r="E4216" s="13">
        <v>50.386806999999997</v>
      </c>
      <c r="F4216" s="13">
        <v>51.778005</v>
      </c>
      <c r="G4216" s="13">
        <v>38.795889000000003</v>
      </c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</row>
    <row r="4217" spans="1:19" x14ac:dyDescent="0.2">
      <c r="A4217" s="12" t="s">
        <v>101</v>
      </c>
      <c r="B4217" s="12" t="s">
        <v>553</v>
      </c>
      <c r="C4217" s="12" t="s">
        <v>556</v>
      </c>
      <c r="D4217" s="13">
        <v>0</v>
      </c>
      <c r="E4217" s="13">
        <v>0</v>
      </c>
      <c r="F4217" s="13">
        <v>0</v>
      </c>
      <c r="G4217" s="13">
        <v>0</v>
      </c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</row>
    <row r="4218" spans="1:19" x14ac:dyDescent="0.2">
      <c r="A4218" s="12" t="s">
        <v>101</v>
      </c>
      <c r="B4218" s="12" t="s">
        <v>553</v>
      </c>
      <c r="C4218" s="12" t="s">
        <v>557</v>
      </c>
      <c r="D4218" s="13">
        <v>36</v>
      </c>
      <c r="E4218" s="13">
        <v>50.880848999999998</v>
      </c>
      <c r="F4218" s="13">
        <v>52.272042999999996</v>
      </c>
      <c r="G4218" s="13">
        <v>38.835442</v>
      </c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</row>
    <row r="4219" spans="1:19" x14ac:dyDescent="0.2">
      <c r="A4219" s="12" t="s">
        <v>101</v>
      </c>
      <c r="B4219" s="12" t="s">
        <v>553</v>
      </c>
      <c r="C4219" s="12" t="s">
        <v>558</v>
      </c>
      <c r="D4219" s="13">
        <v>-19</v>
      </c>
      <c r="E4219" s="13">
        <v>-27.126345000000001</v>
      </c>
      <c r="F4219" s="13">
        <v>-26.029361000000002</v>
      </c>
      <c r="G4219" s="13">
        <v>-20.763877999999998</v>
      </c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</row>
    <row r="4220" spans="1:19" x14ac:dyDescent="0.2">
      <c r="A4220" s="12" t="s">
        <v>101</v>
      </c>
      <c r="B4220" s="12" t="s">
        <v>553</v>
      </c>
      <c r="C4220" s="12" t="s">
        <v>560</v>
      </c>
      <c r="D4220" s="13">
        <v>0</v>
      </c>
      <c r="E4220" s="13">
        <v>0</v>
      </c>
      <c r="F4220" s="13">
        <v>0</v>
      </c>
      <c r="G4220" s="13">
        <v>0</v>
      </c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</row>
    <row r="4221" spans="1:19" x14ac:dyDescent="0.2">
      <c r="A4221" s="12" t="s">
        <v>101</v>
      </c>
      <c r="B4221" s="12" t="s">
        <v>553</v>
      </c>
      <c r="C4221" s="12" t="s">
        <v>561</v>
      </c>
      <c r="D4221" s="13">
        <v>16</v>
      </c>
      <c r="E4221" s="13">
        <v>22.041526000000001</v>
      </c>
      <c r="F4221" s="13">
        <v>25.900859000000001</v>
      </c>
      <c r="G4221" s="13">
        <v>25.800225999999999</v>
      </c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</row>
    <row r="4222" spans="1:19" x14ac:dyDescent="0.2">
      <c r="A4222" s="12" t="s">
        <v>101</v>
      </c>
      <c r="B4222" s="12" t="s">
        <v>553</v>
      </c>
      <c r="C4222" s="12" t="s">
        <v>562</v>
      </c>
      <c r="D4222" s="13">
        <v>15</v>
      </c>
      <c r="E4222" s="13">
        <v>20.019166999999999</v>
      </c>
      <c r="F4222" s="13">
        <v>23.513432999999999</v>
      </c>
      <c r="G4222" s="13">
        <v>23.567460000000001</v>
      </c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</row>
    <row r="4223" spans="1:19" x14ac:dyDescent="0.2">
      <c r="A4223" s="12" t="s">
        <v>101</v>
      </c>
      <c r="B4223" s="12" t="s">
        <v>553</v>
      </c>
      <c r="C4223" s="12" t="s">
        <v>563</v>
      </c>
      <c r="D4223" s="13">
        <v>0</v>
      </c>
      <c r="E4223" s="13">
        <v>0</v>
      </c>
      <c r="F4223" s="13">
        <v>0</v>
      </c>
      <c r="G4223" s="13">
        <v>0</v>
      </c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</row>
    <row r="4224" spans="1:19" x14ac:dyDescent="0.2">
      <c r="A4224" s="12" t="s">
        <v>101</v>
      </c>
      <c r="B4224" s="12" t="s">
        <v>553</v>
      </c>
      <c r="C4224" s="12" t="s">
        <v>564</v>
      </c>
      <c r="D4224" s="13">
        <v>0</v>
      </c>
      <c r="E4224" s="13">
        <v>0</v>
      </c>
      <c r="F4224" s="13">
        <v>0</v>
      </c>
      <c r="G4224" s="13">
        <v>0</v>
      </c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</row>
    <row r="4225" spans="1:19" x14ac:dyDescent="0.2">
      <c r="A4225" s="12" t="s">
        <v>101</v>
      </c>
      <c r="B4225" s="12" t="s">
        <v>553</v>
      </c>
      <c r="C4225" s="12" t="s">
        <v>565</v>
      </c>
      <c r="D4225" s="13">
        <v>0</v>
      </c>
      <c r="E4225" s="13">
        <v>0</v>
      </c>
      <c r="F4225" s="13">
        <v>0</v>
      </c>
      <c r="G4225" s="13">
        <v>0</v>
      </c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</row>
    <row r="4226" spans="1:19" x14ac:dyDescent="0.2">
      <c r="A4226" s="12" t="s">
        <v>101</v>
      </c>
      <c r="B4226" s="12" t="s">
        <v>553</v>
      </c>
      <c r="C4226" s="12" t="s">
        <v>566</v>
      </c>
      <c r="D4226" s="13">
        <v>2</v>
      </c>
      <c r="E4226" s="13">
        <v>2.0223580000000001</v>
      </c>
      <c r="F4226" s="13">
        <v>2.387426</v>
      </c>
      <c r="G4226" s="13">
        <v>2.2327659999999998</v>
      </c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</row>
    <row r="4227" spans="1:19" x14ac:dyDescent="0.2">
      <c r="A4227" s="12" t="s">
        <v>101</v>
      </c>
      <c r="B4227" s="12" t="s">
        <v>567</v>
      </c>
      <c r="C4227" s="12" t="s">
        <v>554</v>
      </c>
      <c r="D4227" s="13">
        <v>1223</v>
      </c>
      <c r="E4227" s="13">
        <v>1296.611189</v>
      </c>
      <c r="F4227" s="13">
        <v>1441.109213</v>
      </c>
      <c r="G4227" s="13">
        <v>1564.3098680000001</v>
      </c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</row>
    <row r="4228" spans="1:19" x14ac:dyDescent="0.2">
      <c r="A4228" s="12" t="s">
        <v>101</v>
      </c>
      <c r="B4228" s="12" t="s">
        <v>567</v>
      </c>
      <c r="C4228" s="12" t="s">
        <v>555</v>
      </c>
      <c r="D4228" s="13">
        <v>0</v>
      </c>
      <c r="E4228" s="13">
        <v>0.175846</v>
      </c>
      <c r="F4228" s="13">
        <v>0.121836</v>
      </c>
      <c r="G4228" s="13">
        <v>0.13711799999999999</v>
      </c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</row>
    <row r="4229" spans="1:19" x14ac:dyDescent="0.2">
      <c r="A4229" s="12" t="s">
        <v>101</v>
      </c>
      <c r="B4229" s="12" t="s">
        <v>567</v>
      </c>
      <c r="C4229" s="12" t="s">
        <v>556</v>
      </c>
      <c r="D4229" s="13">
        <v>-168</v>
      </c>
      <c r="E4229" s="13">
        <v>-128.82423499999999</v>
      </c>
      <c r="F4229" s="13">
        <v>-248.23733999999999</v>
      </c>
      <c r="G4229" s="13">
        <v>-261.37082900000001</v>
      </c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</row>
    <row r="4230" spans="1:19" x14ac:dyDescent="0.2">
      <c r="A4230" s="12" t="s">
        <v>101</v>
      </c>
      <c r="B4230" s="12" t="s">
        <v>567</v>
      </c>
      <c r="C4230" s="12" t="s">
        <v>557</v>
      </c>
      <c r="D4230" s="13">
        <v>1049</v>
      </c>
      <c r="E4230" s="13">
        <v>1175.4800310000001</v>
      </c>
      <c r="F4230" s="13">
        <v>1185.714831</v>
      </c>
      <c r="G4230" s="13">
        <v>1290.523837</v>
      </c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</row>
    <row r="4231" spans="1:19" x14ac:dyDescent="0.2">
      <c r="A4231" s="12" t="s">
        <v>101</v>
      </c>
      <c r="B4231" s="12" t="s">
        <v>567</v>
      </c>
      <c r="C4231" s="12" t="s">
        <v>558</v>
      </c>
      <c r="D4231" s="13">
        <v>0</v>
      </c>
      <c r="E4231" s="13">
        <v>0</v>
      </c>
      <c r="F4231" s="13">
        <v>0</v>
      </c>
      <c r="G4231" s="13">
        <v>0</v>
      </c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</row>
    <row r="4232" spans="1:19" x14ac:dyDescent="0.2">
      <c r="A4232" s="12" t="s">
        <v>101</v>
      </c>
      <c r="B4232" s="12" t="s">
        <v>567</v>
      </c>
      <c r="C4232" s="12" t="s">
        <v>560</v>
      </c>
      <c r="D4232" s="13">
        <v>-933</v>
      </c>
      <c r="E4232" s="13">
        <v>-1056.8428240000001</v>
      </c>
      <c r="F4232" s="13">
        <v>-1099.3813399999999</v>
      </c>
      <c r="G4232" s="13">
        <v>-1157.1530680000001</v>
      </c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</row>
    <row r="4233" spans="1:19" x14ac:dyDescent="0.2">
      <c r="A4233" s="12" t="s">
        <v>101</v>
      </c>
      <c r="B4233" s="12" t="s">
        <v>567</v>
      </c>
      <c r="C4233" s="12" t="s">
        <v>561</v>
      </c>
      <c r="D4233" s="13">
        <v>0</v>
      </c>
      <c r="E4233" s="13">
        <v>0</v>
      </c>
      <c r="F4233" s="13">
        <v>0</v>
      </c>
      <c r="G4233" s="13">
        <v>0</v>
      </c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</row>
    <row r="4234" spans="1:19" x14ac:dyDescent="0.2">
      <c r="A4234" s="12" t="s">
        <v>101</v>
      </c>
      <c r="B4234" s="12" t="s">
        <v>567</v>
      </c>
      <c r="C4234" s="12" t="s">
        <v>562</v>
      </c>
      <c r="D4234" s="13">
        <v>0</v>
      </c>
      <c r="E4234" s="13">
        <v>0</v>
      </c>
      <c r="F4234" s="13">
        <v>0</v>
      </c>
      <c r="G4234" s="13">
        <v>0</v>
      </c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</row>
    <row r="4235" spans="1:19" x14ac:dyDescent="0.2">
      <c r="A4235" s="12" t="s">
        <v>101</v>
      </c>
      <c r="B4235" s="12" t="s">
        <v>567</v>
      </c>
      <c r="C4235" s="12" t="s">
        <v>563</v>
      </c>
      <c r="D4235" s="13">
        <v>0</v>
      </c>
      <c r="E4235" s="13">
        <v>0</v>
      </c>
      <c r="F4235" s="13">
        <v>0</v>
      </c>
      <c r="G4235" s="13">
        <v>0</v>
      </c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</row>
    <row r="4236" spans="1:19" x14ac:dyDescent="0.2">
      <c r="A4236" s="12" t="s">
        <v>101</v>
      </c>
      <c r="B4236" s="12" t="s">
        <v>567</v>
      </c>
      <c r="C4236" s="12" t="s">
        <v>564</v>
      </c>
      <c r="D4236" s="13">
        <v>0</v>
      </c>
      <c r="E4236" s="13">
        <v>0</v>
      </c>
      <c r="F4236" s="13">
        <v>0</v>
      </c>
      <c r="G4236" s="13">
        <v>0</v>
      </c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</row>
    <row r="4237" spans="1:19" x14ac:dyDescent="0.2">
      <c r="A4237" s="12" t="s">
        <v>101</v>
      </c>
      <c r="B4237" s="12" t="s">
        <v>567</v>
      </c>
      <c r="C4237" s="12" t="s">
        <v>565</v>
      </c>
      <c r="D4237" s="13">
        <v>0</v>
      </c>
      <c r="E4237" s="13">
        <v>0</v>
      </c>
      <c r="F4237" s="13">
        <v>0</v>
      </c>
      <c r="G4237" s="13">
        <v>0</v>
      </c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</row>
    <row r="4238" spans="1:19" x14ac:dyDescent="0.2">
      <c r="A4238" s="12" t="s">
        <v>101</v>
      </c>
      <c r="B4238" s="12" t="s">
        <v>567</v>
      </c>
      <c r="C4238" s="12" t="s">
        <v>566</v>
      </c>
      <c r="D4238" s="13">
        <v>0</v>
      </c>
      <c r="E4238" s="13">
        <v>0</v>
      </c>
      <c r="F4238" s="13">
        <v>0</v>
      </c>
      <c r="G4238" s="13">
        <v>0</v>
      </c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</row>
    <row r="4239" spans="1:19" x14ac:dyDescent="0.2">
      <c r="A4239" s="12" t="s">
        <v>101</v>
      </c>
      <c r="B4239" s="12" t="s">
        <v>568</v>
      </c>
      <c r="C4239" s="12" t="s">
        <v>554</v>
      </c>
      <c r="D4239" s="13">
        <v>0</v>
      </c>
      <c r="E4239" s="13">
        <v>0</v>
      </c>
      <c r="F4239" s="13">
        <v>0</v>
      </c>
      <c r="G4239" s="13">
        <v>0</v>
      </c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</row>
    <row r="4240" spans="1:19" x14ac:dyDescent="0.2">
      <c r="A4240" s="12" t="s">
        <v>101</v>
      </c>
      <c r="B4240" s="12" t="s">
        <v>568</v>
      </c>
      <c r="C4240" s="12" t="s">
        <v>555</v>
      </c>
      <c r="D4240" s="13">
        <v>72</v>
      </c>
      <c r="E4240" s="13">
        <v>179.714099</v>
      </c>
      <c r="F4240" s="13">
        <v>267.557412</v>
      </c>
      <c r="G4240" s="13">
        <v>118.414176</v>
      </c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</row>
    <row r="4241" spans="1:19" x14ac:dyDescent="0.2">
      <c r="A4241" s="12" t="s">
        <v>101</v>
      </c>
      <c r="B4241" s="12" t="s">
        <v>568</v>
      </c>
      <c r="C4241" s="12" t="s">
        <v>556</v>
      </c>
      <c r="D4241" s="13">
        <v>-143</v>
      </c>
      <c r="E4241" s="13">
        <v>-122.824873</v>
      </c>
      <c r="F4241" s="13">
        <v>-127.713812</v>
      </c>
      <c r="G4241" s="13">
        <v>-141.07219499999999</v>
      </c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</row>
    <row r="4242" spans="1:19" x14ac:dyDescent="0.2">
      <c r="A4242" s="12" t="s">
        <v>101</v>
      </c>
      <c r="B4242" s="12" t="s">
        <v>568</v>
      </c>
      <c r="C4242" s="12" t="s">
        <v>557</v>
      </c>
      <c r="D4242" s="13">
        <v>-107</v>
      </c>
      <c r="E4242" s="13">
        <v>-19.249948</v>
      </c>
      <c r="F4242" s="13">
        <v>77.935615999999996</v>
      </c>
      <c r="G4242" s="13">
        <v>-92.884719000000004</v>
      </c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</row>
    <row r="4243" spans="1:19" x14ac:dyDescent="0.2">
      <c r="A4243" s="12" t="s">
        <v>101</v>
      </c>
      <c r="B4243" s="12" t="s">
        <v>568</v>
      </c>
      <c r="C4243" s="12" t="s">
        <v>558</v>
      </c>
      <c r="D4243" s="13">
        <v>-66</v>
      </c>
      <c r="E4243" s="13">
        <v>-114.512568</v>
      </c>
      <c r="F4243" s="13">
        <v>-141.07188099999999</v>
      </c>
      <c r="G4243" s="13">
        <v>-82.13763800000001</v>
      </c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</row>
    <row r="4244" spans="1:19" x14ac:dyDescent="0.2">
      <c r="A4244" s="12" t="s">
        <v>101</v>
      </c>
      <c r="B4244" s="12" t="s">
        <v>568</v>
      </c>
      <c r="C4244" s="12" t="s">
        <v>560</v>
      </c>
      <c r="D4244" s="13">
        <v>882</v>
      </c>
      <c r="E4244" s="13">
        <v>990.15293700000007</v>
      </c>
      <c r="F4244" s="13">
        <v>1022.227518</v>
      </c>
      <c r="G4244" s="13">
        <v>1088.947085</v>
      </c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</row>
    <row r="4245" spans="1:19" x14ac:dyDescent="0.2">
      <c r="A4245" s="12" t="s">
        <v>101</v>
      </c>
      <c r="B4245" s="12" t="s">
        <v>568</v>
      </c>
      <c r="C4245" s="12" t="s">
        <v>561</v>
      </c>
      <c r="D4245" s="13">
        <v>767</v>
      </c>
      <c r="E4245" s="13">
        <v>915.56191699999999</v>
      </c>
      <c r="F4245" s="13">
        <v>989.002073</v>
      </c>
      <c r="G4245" s="13">
        <v>972.41300100000012</v>
      </c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</row>
    <row r="4246" spans="1:19" x14ac:dyDescent="0.2">
      <c r="A4246" s="12" t="s">
        <v>101</v>
      </c>
      <c r="B4246" s="12" t="s">
        <v>568</v>
      </c>
      <c r="C4246" s="12" t="s">
        <v>562</v>
      </c>
      <c r="D4246" s="13">
        <v>21</v>
      </c>
      <c r="E4246" s="13">
        <v>21.198853</v>
      </c>
      <c r="F4246" s="13">
        <v>24.761702</v>
      </c>
      <c r="G4246" s="13">
        <v>25.341373000000001</v>
      </c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</row>
    <row r="4247" spans="1:19" x14ac:dyDescent="0.2">
      <c r="A4247" s="12" t="s">
        <v>101</v>
      </c>
      <c r="B4247" s="12" t="s">
        <v>568</v>
      </c>
      <c r="C4247" s="12" t="s">
        <v>563</v>
      </c>
      <c r="D4247" s="13">
        <v>447</v>
      </c>
      <c r="E4247" s="13">
        <v>555.09708499999999</v>
      </c>
      <c r="F4247" s="13">
        <v>619.08547799999997</v>
      </c>
      <c r="G4247" s="13">
        <v>600.73330099999998</v>
      </c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</row>
    <row r="4248" spans="1:19" x14ac:dyDescent="0.2">
      <c r="A4248" s="12" t="s">
        <v>101</v>
      </c>
      <c r="B4248" s="12" t="s">
        <v>568</v>
      </c>
      <c r="C4248" s="12" t="s">
        <v>564</v>
      </c>
      <c r="D4248" s="13">
        <v>45</v>
      </c>
      <c r="E4248" s="13">
        <v>56.748159000000001</v>
      </c>
      <c r="F4248" s="13">
        <v>59.796995000000003</v>
      </c>
      <c r="G4248" s="13">
        <v>60.416755000000002</v>
      </c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</row>
    <row r="4249" spans="1:19" x14ac:dyDescent="0.2">
      <c r="A4249" s="12" t="s">
        <v>101</v>
      </c>
      <c r="B4249" s="12" t="s">
        <v>568</v>
      </c>
      <c r="C4249" s="12" t="s">
        <v>565</v>
      </c>
      <c r="D4249" s="13">
        <v>12</v>
      </c>
      <c r="E4249" s="13">
        <v>14.062498</v>
      </c>
      <c r="F4249" s="13">
        <v>15.388068000000001</v>
      </c>
      <c r="G4249" s="13">
        <v>15.188798</v>
      </c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</row>
    <row r="4250" spans="1:19" x14ac:dyDescent="0.2">
      <c r="A4250" s="12" t="s">
        <v>101</v>
      </c>
      <c r="B4250" s="12" t="s">
        <v>568</v>
      </c>
      <c r="C4250" s="12" t="s">
        <v>566</v>
      </c>
      <c r="D4250" s="13">
        <v>242</v>
      </c>
      <c r="E4250" s="13">
        <v>268.45531799999998</v>
      </c>
      <c r="F4250" s="13">
        <v>269.96983</v>
      </c>
      <c r="G4250" s="13">
        <v>270.732777</v>
      </c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</row>
    <row r="4251" spans="1:19" x14ac:dyDescent="0.2">
      <c r="A4251" s="12" t="s">
        <v>101</v>
      </c>
      <c r="B4251" s="12" t="s">
        <v>569</v>
      </c>
      <c r="C4251" s="12" t="s">
        <v>554</v>
      </c>
      <c r="D4251" s="13">
        <v>1431</v>
      </c>
      <c r="E4251" s="13">
        <v>1423.578168</v>
      </c>
      <c r="F4251" s="13">
        <v>1550.65634</v>
      </c>
      <c r="G4251" s="13">
        <v>1520.9229849999999</v>
      </c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</row>
    <row r="4252" spans="1:19" x14ac:dyDescent="0.2">
      <c r="A4252" s="12" t="s">
        <v>101</v>
      </c>
      <c r="B4252" s="12" t="s">
        <v>569</v>
      </c>
      <c r="C4252" s="12" t="s">
        <v>555</v>
      </c>
      <c r="D4252" s="13">
        <v>253</v>
      </c>
      <c r="E4252" s="13">
        <v>287.24713700000001</v>
      </c>
      <c r="F4252" s="13">
        <v>215.00097199999999</v>
      </c>
      <c r="G4252" s="13">
        <v>173.16144299999999</v>
      </c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</row>
    <row r="4253" spans="1:19" x14ac:dyDescent="0.2">
      <c r="A4253" s="12" t="s">
        <v>101</v>
      </c>
      <c r="B4253" s="12" t="s">
        <v>569</v>
      </c>
      <c r="C4253" s="12" t="s">
        <v>556</v>
      </c>
      <c r="D4253" s="13">
        <v>-6</v>
      </c>
      <c r="E4253" s="13">
        <v>-30.441385</v>
      </c>
      <c r="F4253" s="13">
        <v>-91.444903999999994</v>
      </c>
      <c r="G4253" s="13">
        <v>-79.699096000000011</v>
      </c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</row>
    <row r="4254" spans="1:19" x14ac:dyDescent="0.2">
      <c r="A4254" s="12" t="s">
        <v>101</v>
      </c>
      <c r="B4254" s="12" t="s">
        <v>569</v>
      </c>
      <c r="C4254" s="12" t="s">
        <v>557</v>
      </c>
      <c r="D4254" s="13">
        <v>1676</v>
      </c>
      <c r="E4254" s="13">
        <v>1680.38392</v>
      </c>
      <c r="F4254" s="13">
        <v>1674.420912</v>
      </c>
      <c r="G4254" s="13">
        <v>1614.559084</v>
      </c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</row>
    <row r="4255" spans="1:19" x14ac:dyDescent="0.2">
      <c r="A4255" s="12" t="s">
        <v>101</v>
      </c>
      <c r="B4255" s="12" t="s">
        <v>569</v>
      </c>
      <c r="C4255" s="12" t="s">
        <v>558</v>
      </c>
      <c r="D4255" s="13">
        <v>-562</v>
      </c>
      <c r="E4255" s="13">
        <v>-625.85055899999998</v>
      </c>
      <c r="F4255" s="13">
        <v>-551.06761300000005</v>
      </c>
      <c r="G4255" s="13">
        <v>-515.45362399999999</v>
      </c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</row>
    <row r="4256" spans="1:19" x14ac:dyDescent="0.2">
      <c r="A4256" s="12" t="s">
        <v>101</v>
      </c>
      <c r="B4256" s="12" t="s">
        <v>569</v>
      </c>
      <c r="C4256" s="12" t="s">
        <v>560</v>
      </c>
      <c r="D4256" s="13">
        <v>0</v>
      </c>
      <c r="E4256" s="13">
        <v>0</v>
      </c>
      <c r="F4256" s="13">
        <v>0</v>
      </c>
      <c r="G4256" s="13">
        <v>0</v>
      </c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</row>
    <row r="4257" spans="1:19" x14ac:dyDescent="0.2">
      <c r="A4257" s="12" t="s">
        <v>101</v>
      </c>
      <c r="B4257" s="12" t="s">
        <v>569</v>
      </c>
      <c r="C4257" s="12" t="s">
        <v>561</v>
      </c>
      <c r="D4257" s="13">
        <v>811</v>
      </c>
      <c r="E4257" s="13">
        <v>729.36803399999997</v>
      </c>
      <c r="F4257" s="13">
        <v>865.364509</v>
      </c>
      <c r="G4257" s="13">
        <v>857.96080200000006</v>
      </c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</row>
    <row r="4258" spans="1:19" x14ac:dyDescent="0.2">
      <c r="A4258" s="12" t="s">
        <v>101</v>
      </c>
      <c r="B4258" s="12" t="s">
        <v>569</v>
      </c>
      <c r="C4258" s="12" t="s">
        <v>562</v>
      </c>
      <c r="D4258" s="13">
        <v>288</v>
      </c>
      <c r="E4258" s="13">
        <v>222.81581499999999</v>
      </c>
      <c r="F4258" s="13">
        <v>286.87597299999999</v>
      </c>
      <c r="G4258" s="13">
        <v>300.33800000000002</v>
      </c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</row>
    <row r="4259" spans="1:19" x14ac:dyDescent="0.2">
      <c r="A4259" s="12" t="s">
        <v>101</v>
      </c>
      <c r="B4259" s="12" t="s">
        <v>569</v>
      </c>
      <c r="C4259" s="12" t="s">
        <v>563</v>
      </c>
      <c r="D4259" s="13">
        <v>93</v>
      </c>
      <c r="E4259" s="13">
        <v>107.504045</v>
      </c>
      <c r="F4259" s="13">
        <v>114.889141</v>
      </c>
      <c r="G4259" s="13">
        <v>107.76865100000001</v>
      </c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</row>
    <row r="4260" spans="1:19" x14ac:dyDescent="0.2">
      <c r="A4260" s="12" t="s">
        <v>101</v>
      </c>
      <c r="B4260" s="12" t="s">
        <v>569</v>
      </c>
      <c r="C4260" s="12" t="s">
        <v>564</v>
      </c>
      <c r="D4260" s="13">
        <v>364</v>
      </c>
      <c r="E4260" s="13">
        <v>337.392022</v>
      </c>
      <c r="F4260" s="13">
        <v>393.06222700000001</v>
      </c>
      <c r="G4260" s="13">
        <v>373.15022499999998</v>
      </c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</row>
    <row r="4261" spans="1:19" x14ac:dyDescent="0.2">
      <c r="A4261" s="12" t="s">
        <v>101</v>
      </c>
      <c r="B4261" s="12" t="s">
        <v>569</v>
      </c>
      <c r="C4261" s="12" t="s">
        <v>565</v>
      </c>
      <c r="D4261" s="13">
        <v>38</v>
      </c>
      <c r="E4261" s="13">
        <v>40.067256999999998</v>
      </c>
      <c r="F4261" s="13">
        <v>42.743040999999998</v>
      </c>
      <c r="G4261" s="13">
        <v>47.608103000000007</v>
      </c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</row>
    <row r="4262" spans="1:19" x14ac:dyDescent="0.2">
      <c r="A4262" s="12" t="s">
        <v>101</v>
      </c>
      <c r="B4262" s="12" t="s">
        <v>569</v>
      </c>
      <c r="C4262" s="12" t="s">
        <v>566</v>
      </c>
      <c r="D4262" s="13">
        <v>28</v>
      </c>
      <c r="E4262" s="13">
        <v>21.588895000000001</v>
      </c>
      <c r="F4262" s="13">
        <v>27.794129999999999</v>
      </c>
      <c r="G4262" s="13">
        <v>29.095822999999999</v>
      </c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</row>
    <row r="4263" spans="1:19" x14ac:dyDescent="0.2">
      <c r="A4263" s="12" t="s">
        <v>101</v>
      </c>
      <c r="B4263" s="12" t="s">
        <v>570</v>
      </c>
      <c r="C4263" s="12" t="s">
        <v>554</v>
      </c>
      <c r="D4263" s="13">
        <v>117</v>
      </c>
      <c r="E4263" s="13">
        <v>118.658237</v>
      </c>
      <c r="F4263" s="13">
        <v>87.144381999999993</v>
      </c>
      <c r="G4263" s="13">
        <v>104.575592</v>
      </c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</row>
    <row r="4264" spans="1:19" x14ac:dyDescent="0.2">
      <c r="A4264" s="12" t="s">
        <v>101</v>
      </c>
      <c r="B4264" s="12" t="s">
        <v>570</v>
      </c>
      <c r="C4264" s="12" t="s">
        <v>555</v>
      </c>
      <c r="D4264" s="13">
        <v>0</v>
      </c>
      <c r="E4264" s="13">
        <v>0</v>
      </c>
      <c r="F4264" s="13">
        <v>0</v>
      </c>
      <c r="G4264" s="13">
        <v>0</v>
      </c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</row>
    <row r="4265" spans="1:19" x14ac:dyDescent="0.2">
      <c r="A4265" s="12" t="s">
        <v>101</v>
      </c>
      <c r="B4265" s="12" t="s">
        <v>570</v>
      </c>
      <c r="C4265" s="12" t="s">
        <v>556</v>
      </c>
      <c r="D4265" s="13">
        <v>0</v>
      </c>
      <c r="E4265" s="13">
        <v>0</v>
      </c>
      <c r="F4265" s="13">
        <v>0</v>
      </c>
      <c r="G4265" s="13">
        <v>0</v>
      </c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</row>
    <row r="4266" spans="1:19" x14ac:dyDescent="0.2">
      <c r="A4266" s="12" t="s">
        <v>101</v>
      </c>
      <c r="B4266" s="12" t="s">
        <v>570</v>
      </c>
      <c r="C4266" s="12" t="s">
        <v>557</v>
      </c>
      <c r="D4266" s="13">
        <v>117</v>
      </c>
      <c r="E4266" s="13">
        <v>118.658237</v>
      </c>
      <c r="F4266" s="13">
        <v>87.144381999999993</v>
      </c>
      <c r="G4266" s="13">
        <v>104.575592</v>
      </c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</row>
    <row r="4267" spans="1:19" x14ac:dyDescent="0.2">
      <c r="A4267" s="12" t="s">
        <v>101</v>
      </c>
      <c r="B4267" s="12" t="s">
        <v>570</v>
      </c>
      <c r="C4267" s="12" t="s">
        <v>558</v>
      </c>
      <c r="D4267" s="13">
        <v>-117</v>
      </c>
      <c r="E4267" s="13">
        <v>-118.658237</v>
      </c>
      <c r="F4267" s="13">
        <v>-87.144381999999993</v>
      </c>
      <c r="G4267" s="13">
        <v>-104.575592</v>
      </c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</row>
    <row r="4268" spans="1:19" x14ac:dyDescent="0.2">
      <c r="A4268" s="12" t="s">
        <v>101</v>
      </c>
      <c r="B4268" s="12" t="s">
        <v>570</v>
      </c>
      <c r="C4268" s="12" t="s">
        <v>560</v>
      </c>
      <c r="D4268" s="13">
        <v>0</v>
      </c>
      <c r="E4268" s="13">
        <v>0</v>
      </c>
      <c r="F4268" s="13">
        <v>0</v>
      </c>
      <c r="G4268" s="13">
        <v>0</v>
      </c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</row>
    <row r="4269" spans="1:19" x14ac:dyDescent="0.2">
      <c r="A4269" s="12" t="s">
        <v>101</v>
      </c>
      <c r="B4269" s="12" t="s">
        <v>570</v>
      </c>
      <c r="C4269" s="12" t="s">
        <v>561</v>
      </c>
      <c r="D4269" s="13">
        <v>0</v>
      </c>
      <c r="E4269" s="13">
        <v>0</v>
      </c>
      <c r="F4269" s="13">
        <v>0</v>
      </c>
      <c r="G4269" s="13">
        <v>0</v>
      </c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</row>
    <row r="4270" spans="1:19" x14ac:dyDescent="0.2">
      <c r="A4270" s="12" t="s">
        <v>101</v>
      </c>
      <c r="B4270" s="12" t="s">
        <v>570</v>
      </c>
      <c r="C4270" s="12" t="s">
        <v>562</v>
      </c>
      <c r="D4270" s="13">
        <v>0</v>
      </c>
      <c r="E4270" s="13">
        <v>0</v>
      </c>
      <c r="F4270" s="13">
        <v>0</v>
      </c>
      <c r="G4270" s="13">
        <v>0</v>
      </c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</row>
    <row r="4271" spans="1:19" x14ac:dyDescent="0.2">
      <c r="A4271" s="12" t="s">
        <v>101</v>
      </c>
      <c r="B4271" s="12" t="s">
        <v>570</v>
      </c>
      <c r="C4271" s="12" t="s">
        <v>563</v>
      </c>
      <c r="D4271" s="13">
        <v>0</v>
      </c>
      <c r="E4271" s="13">
        <v>0</v>
      </c>
      <c r="F4271" s="13">
        <v>0</v>
      </c>
      <c r="G4271" s="13">
        <v>0</v>
      </c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</row>
    <row r="4272" spans="1:19" x14ac:dyDescent="0.2">
      <c r="A4272" s="12" t="s">
        <v>101</v>
      </c>
      <c r="B4272" s="12" t="s">
        <v>570</v>
      </c>
      <c r="C4272" s="12" t="s">
        <v>564</v>
      </c>
      <c r="D4272" s="13">
        <v>0</v>
      </c>
      <c r="E4272" s="13">
        <v>0</v>
      </c>
      <c r="F4272" s="13">
        <v>0</v>
      </c>
      <c r="G4272" s="13">
        <v>0</v>
      </c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</row>
    <row r="4273" spans="1:19" x14ac:dyDescent="0.2">
      <c r="A4273" s="12" t="s">
        <v>101</v>
      </c>
      <c r="B4273" s="12" t="s">
        <v>570</v>
      </c>
      <c r="C4273" s="12" t="s">
        <v>565</v>
      </c>
      <c r="D4273" s="13">
        <v>0</v>
      </c>
      <c r="E4273" s="13">
        <v>0</v>
      </c>
      <c r="F4273" s="13">
        <v>0</v>
      </c>
      <c r="G4273" s="13">
        <v>0</v>
      </c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</row>
    <row r="4274" spans="1:19" x14ac:dyDescent="0.2">
      <c r="A4274" s="12" t="s">
        <v>101</v>
      </c>
      <c r="B4274" s="12" t="s">
        <v>570</v>
      </c>
      <c r="C4274" s="12" t="s">
        <v>566</v>
      </c>
      <c r="D4274" s="13">
        <v>0</v>
      </c>
      <c r="E4274" s="13">
        <v>0</v>
      </c>
      <c r="F4274" s="13">
        <v>0</v>
      </c>
      <c r="G4274" s="13">
        <v>0</v>
      </c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</row>
    <row r="4275" spans="1:19" x14ac:dyDescent="0.2">
      <c r="A4275" s="12" t="s">
        <v>101</v>
      </c>
      <c r="B4275" s="12" t="s">
        <v>571</v>
      </c>
      <c r="C4275" s="12" t="s">
        <v>554</v>
      </c>
      <c r="D4275" s="13">
        <v>307</v>
      </c>
      <c r="E4275" s="13">
        <v>336.04513700000001</v>
      </c>
      <c r="F4275" s="13">
        <v>360.92823600000003</v>
      </c>
      <c r="G4275" s="13">
        <v>362.07066600000002</v>
      </c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</row>
    <row r="4276" spans="1:19" x14ac:dyDescent="0.2">
      <c r="A4276" s="12" t="s">
        <v>101</v>
      </c>
      <c r="B4276" s="12" t="s">
        <v>571</v>
      </c>
      <c r="C4276" s="12" t="s">
        <v>555</v>
      </c>
      <c r="D4276" s="13">
        <v>0</v>
      </c>
      <c r="E4276" s="13">
        <v>0</v>
      </c>
      <c r="F4276" s="13">
        <v>0</v>
      </c>
      <c r="G4276" s="13">
        <v>0</v>
      </c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</row>
    <row r="4277" spans="1:19" x14ac:dyDescent="0.2">
      <c r="A4277" s="12" t="s">
        <v>101</v>
      </c>
      <c r="B4277" s="12" t="s">
        <v>571</v>
      </c>
      <c r="C4277" s="12" t="s">
        <v>556</v>
      </c>
      <c r="D4277" s="13">
        <v>-22</v>
      </c>
      <c r="E4277" s="13">
        <v>-47.307357000000003</v>
      </c>
      <c r="F4277" s="13">
        <v>-46.071761000000002</v>
      </c>
      <c r="G4277" s="13">
        <v>-10.604913</v>
      </c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</row>
    <row r="4278" spans="1:19" x14ac:dyDescent="0.2">
      <c r="A4278" s="12" t="s">
        <v>101</v>
      </c>
      <c r="B4278" s="12" t="s">
        <v>571</v>
      </c>
      <c r="C4278" s="12" t="s">
        <v>557</v>
      </c>
      <c r="D4278" s="13">
        <v>285</v>
      </c>
      <c r="E4278" s="13">
        <v>288.73777999999999</v>
      </c>
      <c r="F4278" s="13">
        <v>314.85647499999999</v>
      </c>
      <c r="G4278" s="13">
        <v>351.46575299999989</v>
      </c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</row>
    <row r="4279" spans="1:19" x14ac:dyDescent="0.2">
      <c r="A4279" s="12" t="s">
        <v>101</v>
      </c>
      <c r="B4279" s="12" t="s">
        <v>571</v>
      </c>
      <c r="C4279" s="12" t="s">
        <v>558</v>
      </c>
      <c r="D4279" s="13">
        <v>-193</v>
      </c>
      <c r="E4279" s="13">
        <v>-190.07208299999999</v>
      </c>
      <c r="F4279" s="13">
        <v>-221.780708</v>
      </c>
      <c r="G4279" s="13">
        <v>-263.81001199999997</v>
      </c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</row>
    <row r="4280" spans="1:19" x14ac:dyDescent="0.2">
      <c r="A4280" s="12" t="s">
        <v>101</v>
      </c>
      <c r="B4280" s="12" t="s">
        <v>571</v>
      </c>
      <c r="C4280" s="12" t="s">
        <v>560</v>
      </c>
      <c r="D4280" s="13">
        <v>0</v>
      </c>
      <c r="E4280" s="13">
        <v>0</v>
      </c>
      <c r="F4280" s="13">
        <v>0</v>
      </c>
      <c r="G4280" s="13">
        <v>0</v>
      </c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</row>
    <row r="4281" spans="1:19" x14ac:dyDescent="0.2">
      <c r="A4281" s="12" t="s">
        <v>101</v>
      </c>
      <c r="B4281" s="12" t="s">
        <v>571</v>
      </c>
      <c r="C4281" s="12" t="s">
        <v>561</v>
      </c>
      <c r="D4281" s="13">
        <v>82</v>
      </c>
      <c r="E4281" s="13">
        <v>91.266378000000003</v>
      </c>
      <c r="F4281" s="13">
        <v>88.719213000000011</v>
      </c>
      <c r="G4281" s="13">
        <v>83.969012000000006</v>
      </c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</row>
    <row r="4282" spans="1:19" x14ac:dyDescent="0.2">
      <c r="A4282" s="12" t="s">
        <v>101</v>
      </c>
      <c r="B4282" s="12" t="s">
        <v>571</v>
      </c>
      <c r="C4282" s="12" t="s">
        <v>562</v>
      </c>
      <c r="D4282" s="13">
        <v>31</v>
      </c>
      <c r="E4282" s="13">
        <v>37.073331000000003</v>
      </c>
      <c r="F4282" s="13">
        <v>24.074819999999999</v>
      </c>
      <c r="G4282" s="13">
        <v>25.824584000000002</v>
      </c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</row>
    <row r="4283" spans="1:19" x14ac:dyDescent="0.2">
      <c r="A4283" s="12" t="s">
        <v>101</v>
      </c>
      <c r="B4283" s="12" t="s">
        <v>571</v>
      </c>
      <c r="C4283" s="12" t="s">
        <v>563</v>
      </c>
      <c r="D4283" s="13">
        <v>35</v>
      </c>
      <c r="E4283" s="13">
        <v>37.550727000000002</v>
      </c>
      <c r="F4283" s="13">
        <v>50.501441</v>
      </c>
      <c r="G4283" s="13">
        <v>46.051463000000012</v>
      </c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</row>
    <row r="4284" spans="1:19" x14ac:dyDescent="0.2">
      <c r="A4284" s="12" t="s">
        <v>101</v>
      </c>
      <c r="B4284" s="12" t="s">
        <v>571</v>
      </c>
      <c r="C4284" s="12" t="s">
        <v>564</v>
      </c>
      <c r="D4284" s="13">
        <v>10</v>
      </c>
      <c r="E4284" s="13">
        <v>10.346441</v>
      </c>
      <c r="F4284" s="13">
        <v>8.8439069999999997</v>
      </c>
      <c r="G4284" s="13">
        <v>7.5176920000000003</v>
      </c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</row>
    <row r="4285" spans="1:19" x14ac:dyDescent="0.2">
      <c r="A4285" s="12" t="s">
        <v>101</v>
      </c>
      <c r="B4285" s="12" t="s">
        <v>571</v>
      </c>
      <c r="C4285" s="12" t="s">
        <v>565</v>
      </c>
      <c r="D4285" s="13">
        <v>6</v>
      </c>
      <c r="E4285" s="13">
        <v>6.2958800000000004</v>
      </c>
      <c r="F4285" s="13">
        <v>5.2990490000000001</v>
      </c>
      <c r="G4285" s="13">
        <v>4.5752639999999998</v>
      </c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</row>
    <row r="4286" spans="1:19" x14ac:dyDescent="0.2">
      <c r="A4286" s="12" t="s">
        <v>101</v>
      </c>
      <c r="B4286" s="12" t="s">
        <v>571</v>
      </c>
      <c r="C4286" s="12" t="s">
        <v>566</v>
      </c>
      <c r="D4286" s="13">
        <v>0</v>
      </c>
      <c r="E4286" s="13">
        <v>0</v>
      </c>
      <c r="F4286" s="13">
        <v>0</v>
      </c>
      <c r="G4286" s="13">
        <v>0</v>
      </c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</row>
    <row r="4287" spans="1:19" x14ac:dyDescent="0.2">
      <c r="A4287" s="12" t="s">
        <v>101</v>
      </c>
      <c r="B4287" s="12" t="s">
        <v>572</v>
      </c>
      <c r="C4287" s="12" t="s">
        <v>554</v>
      </c>
      <c r="D4287" s="13">
        <v>0</v>
      </c>
      <c r="E4287" s="13">
        <v>0</v>
      </c>
      <c r="F4287" s="13">
        <v>0</v>
      </c>
      <c r="G4287" s="13">
        <v>0</v>
      </c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</row>
    <row r="4288" spans="1:19" x14ac:dyDescent="0.2">
      <c r="A4288" s="12" t="s">
        <v>101</v>
      </c>
      <c r="B4288" s="12" t="s">
        <v>572</v>
      </c>
      <c r="C4288" s="12" t="s">
        <v>555</v>
      </c>
      <c r="D4288" s="13">
        <v>28</v>
      </c>
      <c r="E4288" s="13">
        <v>22.85791</v>
      </c>
      <c r="F4288" s="13">
        <v>46.471603999999999</v>
      </c>
      <c r="G4288" s="13">
        <v>55.585410000000003</v>
      </c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</row>
    <row r="4289" spans="1:19" x14ac:dyDescent="0.2">
      <c r="A4289" s="12" t="s">
        <v>101</v>
      </c>
      <c r="B4289" s="12" t="s">
        <v>572</v>
      </c>
      <c r="C4289" s="12" t="s">
        <v>556</v>
      </c>
      <c r="D4289" s="13">
        <v>-11</v>
      </c>
      <c r="E4289" s="13">
        <v>-13.861917</v>
      </c>
      <c r="F4289" s="13">
        <v>-0.112277</v>
      </c>
      <c r="G4289" s="13">
        <v>-0.35095399999999999</v>
      </c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</row>
    <row r="4290" spans="1:19" x14ac:dyDescent="0.2">
      <c r="A4290" s="12" t="s">
        <v>101</v>
      </c>
      <c r="B4290" s="12" t="s">
        <v>572</v>
      </c>
      <c r="C4290" s="12" t="s">
        <v>557</v>
      </c>
      <c r="D4290" s="13">
        <v>17</v>
      </c>
      <c r="E4290" s="13">
        <v>8.9959930000000004</v>
      </c>
      <c r="F4290" s="13">
        <v>46.359327</v>
      </c>
      <c r="G4290" s="13">
        <v>55.234454999999997</v>
      </c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</row>
    <row r="4291" spans="1:19" x14ac:dyDescent="0.2">
      <c r="A4291" s="12" t="s">
        <v>101</v>
      </c>
      <c r="B4291" s="12" t="s">
        <v>572</v>
      </c>
      <c r="C4291" s="12" t="s">
        <v>558</v>
      </c>
      <c r="D4291" s="13">
        <v>516</v>
      </c>
      <c r="E4291" s="13">
        <v>549.51654599999995</v>
      </c>
      <c r="F4291" s="13">
        <v>521.406747</v>
      </c>
      <c r="G4291" s="13">
        <v>532.01063900000008</v>
      </c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</row>
    <row r="4292" spans="1:19" x14ac:dyDescent="0.2">
      <c r="A4292" s="12" t="s">
        <v>101</v>
      </c>
      <c r="B4292" s="12" t="s">
        <v>572</v>
      </c>
      <c r="C4292" s="12" t="s">
        <v>560</v>
      </c>
      <c r="D4292" s="13">
        <v>0</v>
      </c>
      <c r="E4292" s="13">
        <v>0</v>
      </c>
      <c r="F4292" s="13">
        <v>0</v>
      </c>
      <c r="G4292" s="13">
        <v>0</v>
      </c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</row>
    <row r="4293" spans="1:19" x14ac:dyDescent="0.2">
      <c r="A4293" s="12" t="s">
        <v>101</v>
      </c>
      <c r="B4293" s="12" t="s">
        <v>572</v>
      </c>
      <c r="C4293" s="12" t="s">
        <v>561</v>
      </c>
      <c r="D4293" s="13">
        <v>448</v>
      </c>
      <c r="E4293" s="13">
        <v>464.73449900000003</v>
      </c>
      <c r="F4293" s="13">
        <v>447.96683300000001</v>
      </c>
      <c r="G4293" s="13">
        <v>447.51586900000001</v>
      </c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</row>
    <row r="4294" spans="1:19" x14ac:dyDescent="0.2">
      <c r="A4294" s="12" t="s">
        <v>101</v>
      </c>
      <c r="B4294" s="12" t="s">
        <v>572</v>
      </c>
      <c r="C4294" s="12" t="s">
        <v>562</v>
      </c>
      <c r="D4294" s="13">
        <v>182</v>
      </c>
      <c r="E4294" s="13">
        <v>168.72807299999999</v>
      </c>
      <c r="F4294" s="13">
        <v>156.82734600000001</v>
      </c>
      <c r="G4294" s="13">
        <v>149.76186100000001</v>
      </c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</row>
    <row r="4295" spans="1:19" x14ac:dyDescent="0.2">
      <c r="A4295" s="12" t="s">
        <v>101</v>
      </c>
      <c r="B4295" s="12" t="s">
        <v>572</v>
      </c>
      <c r="C4295" s="12" t="s">
        <v>563</v>
      </c>
      <c r="D4295" s="13">
        <v>1</v>
      </c>
      <c r="E4295" s="13">
        <v>1.7651209999999999</v>
      </c>
      <c r="F4295" s="13">
        <v>0.92690300000000003</v>
      </c>
      <c r="G4295" s="13">
        <v>1.0273570000000001</v>
      </c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</row>
    <row r="4296" spans="1:19" x14ac:dyDescent="0.2">
      <c r="A4296" s="12" t="s">
        <v>101</v>
      </c>
      <c r="B4296" s="12" t="s">
        <v>572</v>
      </c>
      <c r="C4296" s="12" t="s">
        <v>564</v>
      </c>
      <c r="D4296" s="13">
        <v>149</v>
      </c>
      <c r="E4296" s="13">
        <v>172.658432</v>
      </c>
      <c r="F4296" s="13">
        <v>171.27452700000001</v>
      </c>
      <c r="G4296" s="13">
        <v>177.320806</v>
      </c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</row>
    <row r="4297" spans="1:19" x14ac:dyDescent="0.2">
      <c r="A4297" s="12" t="s">
        <v>101</v>
      </c>
      <c r="B4297" s="12" t="s">
        <v>572</v>
      </c>
      <c r="C4297" s="12" t="s">
        <v>565</v>
      </c>
      <c r="D4297" s="13">
        <v>113</v>
      </c>
      <c r="E4297" s="13">
        <v>119.060086</v>
      </c>
      <c r="F4297" s="13">
        <v>114.45657799999999</v>
      </c>
      <c r="G4297" s="13">
        <v>114.894777</v>
      </c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</row>
    <row r="4298" spans="1:19" x14ac:dyDescent="0.2">
      <c r="A4298" s="12" t="s">
        <v>101</v>
      </c>
      <c r="B4298" s="12" t="s">
        <v>572</v>
      </c>
      <c r="C4298" s="12" t="s">
        <v>566</v>
      </c>
      <c r="D4298" s="13">
        <v>2</v>
      </c>
      <c r="E4298" s="13">
        <v>2.5227900000000001</v>
      </c>
      <c r="F4298" s="13">
        <v>4.4814750000000014</v>
      </c>
      <c r="G4298" s="13">
        <v>4.5110680000000007</v>
      </c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</row>
    <row r="4299" spans="1:19" x14ac:dyDescent="0.2">
      <c r="A4299" s="12" t="s">
        <v>101</v>
      </c>
      <c r="B4299" s="12" t="s">
        <v>573</v>
      </c>
      <c r="C4299" s="12" t="s">
        <v>554</v>
      </c>
      <c r="D4299" s="13">
        <v>0</v>
      </c>
      <c r="E4299" s="13">
        <v>0</v>
      </c>
      <c r="F4299" s="13">
        <v>0</v>
      </c>
      <c r="G4299" s="13">
        <v>0</v>
      </c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</row>
    <row r="4300" spans="1:19" x14ac:dyDescent="0.2">
      <c r="A4300" s="12" t="s">
        <v>101</v>
      </c>
      <c r="B4300" s="12" t="s">
        <v>573</v>
      </c>
      <c r="C4300" s="12" t="s">
        <v>555</v>
      </c>
      <c r="D4300" s="13">
        <v>0</v>
      </c>
      <c r="E4300" s="13">
        <v>0</v>
      </c>
      <c r="F4300" s="13">
        <v>0</v>
      </c>
      <c r="G4300" s="13">
        <v>0</v>
      </c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</row>
    <row r="4301" spans="1:19" x14ac:dyDescent="0.2">
      <c r="A4301" s="12" t="s">
        <v>101</v>
      </c>
      <c r="B4301" s="12" t="s">
        <v>573</v>
      </c>
      <c r="C4301" s="12" t="s">
        <v>556</v>
      </c>
      <c r="D4301" s="13">
        <v>0</v>
      </c>
      <c r="E4301" s="13">
        <v>0</v>
      </c>
      <c r="F4301" s="13">
        <v>0</v>
      </c>
      <c r="G4301" s="13">
        <v>0</v>
      </c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</row>
    <row r="4302" spans="1:19" x14ac:dyDescent="0.2">
      <c r="A4302" s="12" t="s">
        <v>101</v>
      </c>
      <c r="B4302" s="12" t="s">
        <v>573</v>
      </c>
      <c r="C4302" s="12" t="s">
        <v>557</v>
      </c>
      <c r="D4302" s="13">
        <v>0</v>
      </c>
      <c r="E4302" s="13">
        <v>0</v>
      </c>
      <c r="F4302" s="13">
        <v>0</v>
      </c>
      <c r="G4302" s="13">
        <v>0</v>
      </c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</row>
    <row r="4303" spans="1:19" x14ac:dyDescent="0.2">
      <c r="A4303" s="12" t="s">
        <v>101</v>
      </c>
      <c r="B4303" s="12" t="s">
        <v>573</v>
      </c>
      <c r="C4303" s="12" t="s">
        <v>558</v>
      </c>
      <c r="D4303" s="13">
        <v>0</v>
      </c>
      <c r="E4303" s="13">
        <v>0</v>
      </c>
      <c r="F4303" s="13">
        <v>0</v>
      </c>
      <c r="G4303" s="13">
        <v>0</v>
      </c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</row>
    <row r="4304" spans="1:19" x14ac:dyDescent="0.2">
      <c r="A4304" s="12" t="s">
        <v>101</v>
      </c>
      <c r="B4304" s="12" t="s">
        <v>573</v>
      </c>
      <c r="C4304" s="12" t="s">
        <v>560</v>
      </c>
      <c r="D4304" s="13">
        <v>0</v>
      </c>
      <c r="E4304" s="13">
        <v>0</v>
      </c>
      <c r="F4304" s="13">
        <v>0</v>
      </c>
      <c r="G4304" s="13">
        <v>0</v>
      </c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</row>
    <row r="4305" spans="1:19" x14ac:dyDescent="0.2">
      <c r="A4305" s="12" t="s">
        <v>101</v>
      </c>
      <c r="B4305" s="12" t="s">
        <v>573</v>
      </c>
      <c r="C4305" s="12" t="s">
        <v>561</v>
      </c>
      <c r="D4305" s="13">
        <v>0</v>
      </c>
      <c r="E4305" s="13">
        <v>0</v>
      </c>
      <c r="F4305" s="13">
        <v>0</v>
      </c>
      <c r="G4305" s="13">
        <v>0</v>
      </c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</row>
    <row r="4306" spans="1:19" x14ac:dyDescent="0.2">
      <c r="A4306" s="12" t="s">
        <v>101</v>
      </c>
      <c r="B4306" s="12" t="s">
        <v>573</v>
      </c>
      <c r="C4306" s="12" t="s">
        <v>562</v>
      </c>
      <c r="D4306" s="13">
        <v>0</v>
      </c>
      <c r="E4306" s="13">
        <v>0</v>
      </c>
      <c r="F4306" s="13">
        <v>0</v>
      </c>
      <c r="G4306" s="13">
        <v>0</v>
      </c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</row>
    <row r="4307" spans="1:19" x14ac:dyDescent="0.2">
      <c r="A4307" s="12" t="s">
        <v>101</v>
      </c>
      <c r="B4307" s="12" t="s">
        <v>573</v>
      </c>
      <c r="C4307" s="12" t="s">
        <v>563</v>
      </c>
      <c r="D4307" s="13">
        <v>0</v>
      </c>
      <c r="E4307" s="13">
        <v>0</v>
      </c>
      <c r="F4307" s="13">
        <v>0</v>
      </c>
      <c r="G4307" s="13">
        <v>0</v>
      </c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</row>
    <row r="4308" spans="1:19" x14ac:dyDescent="0.2">
      <c r="A4308" s="12" t="s">
        <v>101</v>
      </c>
      <c r="B4308" s="12" t="s">
        <v>573</v>
      </c>
      <c r="C4308" s="12" t="s">
        <v>564</v>
      </c>
      <c r="D4308" s="13">
        <v>0</v>
      </c>
      <c r="E4308" s="13">
        <v>0</v>
      </c>
      <c r="F4308" s="13">
        <v>0</v>
      </c>
      <c r="G4308" s="13">
        <v>0</v>
      </c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</row>
    <row r="4309" spans="1:19" x14ac:dyDescent="0.2">
      <c r="A4309" s="12" t="s">
        <v>101</v>
      </c>
      <c r="B4309" s="12" t="s">
        <v>573</v>
      </c>
      <c r="C4309" s="12" t="s">
        <v>565</v>
      </c>
      <c r="D4309" s="13">
        <v>0</v>
      </c>
      <c r="E4309" s="13">
        <v>0</v>
      </c>
      <c r="F4309" s="13">
        <v>0</v>
      </c>
      <c r="G4309" s="13">
        <v>0</v>
      </c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</row>
    <row r="4310" spans="1:19" x14ac:dyDescent="0.2">
      <c r="A4310" s="12" t="s">
        <v>101</v>
      </c>
      <c r="B4310" s="12" t="s">
        <v>573</v>
      </c>
      <c r="C4310" s="12" t="s">
        <v>566</v>
      </c>
      <c r="D4310" s="13">
        <v>0</v>
      </c>
      <c r="E4310" s="13">
        <v>0</v>
      </c>
      <c r="F4310" s="13">
        <v>0</v>
      </c>
      <c r="G4310" s="13">
        <v>0</v>
      </c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</row>
    <row r="4311" spans="1:19" x14ac:dyDescent="0.2">
      <c r="A4311" s="12" t="s">
        <v>101</v>
      </c>
      <c r="B4311" s="12" t="s">
        <v>574</v>
      </c>
      <c r="C4311" s="12" t="s">
        <v>554</v>
      </c>
      <c r="D4311" s="13">
        <v>3078</v>
      </c>
      <c r="E4311" s="13">
        <v>3175.3867690000002</v>
      </c>
      <c r="F4311" s="13">
        <v>3440.3322079999998</v>
      </c>
      <c r="G4311" s="13">
        <v>3554.3493109999999</v>
      </c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</row>
    <row r="4312" spans="1:19" x14ac:dyDescent="0.2">
      <c r="A4312" s="12" t="s">
        <v>101</v>
      </c>
      <c r="B4312" s="12" t="s">
        <v>574</v>
      </c>
      <c r="C4312" s="12" t="s">
        <v>555</v>
      </c>
      <c r="D4312" s="13">
        <v>389</v>
      </c>
      <c r="E4312" s="13">
        <v>540.381798</v>
      </c>
      <c r="F4312" s="13">
        <v>580.92982900000004</v>
      </c>
      <c r="G4312" s="13">
        <v>386.09403099999997</v>
      </c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</row>
    <row r="4313" spans="1:19" x14ac:dyDescent="0.2">
      <c r="A4313" s="12" t="s">
        <v>101</v>
      </c>
      <c r="B4313" s="12" t="s">
        <v>574</v>
      </c>
      <c r="C4313" s="12" t="s">
        <v>556</v>
      </c>
      <c r="D4313" s="13">
        <v>-351</v>
      </c>
      <c r="E4313" s="13">
        <v>-343.259772</v>
      </c>
      <c r="F4313" s="13">
        <v>-513.58009800000002</v>
      </c>
      <c r="G4313" s="13">
        <v>-493.09798799999999</v>
      </c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</row>
    <row r="4314" spans="1:19" x14ac:dyDescent="0.2">
      <c r="A4314" s="12" t="s">
        <v>101</v>
      </c>
      <c r="B4314" s="12" t="s">
        <v>574</v>
      </c>
      <c r="C4314" s="12" t="s">
        <v>557</v>
      </c>
      <c r="D4314" s="13">
        <v>3073</v>
      </c>
      <c r="E4314" s="13">
        <v>3303.8868670000002</v>
      </c>
      <c r="F4314" s="13">
        <v>3438.7035890000002</v>
      </c>
      <c r="G4314" s="13">
        <v>3362.30944</v>
      </c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</row>
    <row r="4315" spans="1:19" x14ac:dyDescent="0.2">
      <c r="A4315" s="12" t="s">
        <v>101</v>
      </c>
      <c r="B4315" s="12" t="s">
        <v>574</v>
      </c>
      <c r="C4315" s="12" t="s">
        <v>558</v>
      </c>
      <c r="D4315" s="13">
        <v>-440</v>
      </c>
      <c r="E4315" s="13">
        <v>-526.70324600000004</v>
      </c>
      <c r="F4315" s="13">
        <v>-505.68719699999991</v>
      </c>
      <c r="G4315" s="13">
        <v>-454.73011000000002</v>
      </c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</row>
    <row r="4316" spans="1:19" x14ac:dyDescent="0.2">
      <c r="A4316" s="12" t="s">
        <v>101</v>
      </c>
      <c r="B4316" s="12" t="s">
        <v>574</v>
      </c>
      <c r="C4316" s="12" t="s">
        <v>560</v>
      </c>
      <c r="D4316" s="13">
        <v>-51</v>
      </c>
      <c r="E4316" s="13">
        <v>-66.68988800000001</v>
      </c>
      <c r="F4316" s="13">
        <v>-77.153823000000003</v>
      </c>
      <c r="G4316" s="13">
        <v>-68.205990999999997</v>
      </c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</row>
    <row r="4317" spans="1:19" x14ac:dyDescent="0.2">
      <c r="A4317" s="12" t="s">
        <v>101</v>
      </c>
      <c r="B4317" s="12" t="s">
        <v>574</v>
      </c>
      <c r="C4317" s="12" t="s">
        <v>561</v>
      </c>
      <c r="D4317" s="13">
        <v>2125</v>
      </c>
      <c r="E4317" s="13">
        <v>2222.97235</v>
      </c>
      <c r="F4317" s="13">
        <v>2416.9534880000001</v>
      </c>
      <c r="G4317" s="13">
        <v>2387.6589130000002</v>
      </c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</row>
    <row r="4318" spans="1:19" x14ac:dyDescent="0.2">
      <c r="A4318" s="12" t="s">
        <v>101</v>
      </c>
      <c r="B4318" s="12" t="s">
        <v>574</v>
      </c>
      <c r="C4318" s="12" t="s">
        <v>562</v>
      </c>
      <c r="D4318" s="13">
        <v>537</v>
      </c>
      <c r="E4318" s="13">
        <v>469.835239</v>
      </c>
      <c r="F4318" s="13">
        <v>516.05327399999999</v>
      </c>
      <c r="G4318" s="13">
        <v>524.83327399999996</v>
      </c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</row>
    <row r="4319" spans="1:19" x14ac:dyDescent="0.2">
      <c r="A4319" s="12" t="s">
        <v>101</v>
      </c>
      <c r="B4319" s="12" t="s">
        <v>574</v>
      </c>
      <c r="C4319" s="12" t="s">
        <v>563</v>
      </c>
      <c r="D4319" s="13">
        <v>576</v>
      </c>
      <c r="E4319" s="13">
        <v>701.91697799999997</v>
      </c>
      <c r="F4319" s="13">
        <v>785.40296799999999</v>
      </c>
      <c r="G4319" s="13">
        <v>755.58077200000002</v>
      </c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</row>
    <row r="4320" spans="1:19" x14ac:dyDescent="0.2">
      <c r="A4320" s="12" t="s">
        <v>101</v>
      </c>
      <c r="B4320" s="12" t="s">
        <v>574</v>
      </c>
      <c r="C4320" s="12" t="s">
        <v>564</v>
      </c>
      <c r="D4320" s="13">
        <v>569</v>
      </c>
      <c r="E4320" s="13">
        <v>577.14505399999996</v>
      </c>
      <c r="F4320" s="13">
        <v>632.97765700000002</v>
      </c>
      <c r="G4320" s="13">
        <v>618.40547900000001</v>
      </c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</row>
    <row r="4321" spans="1:19" x14ac:dyDescent="0.2">
      <c r="A4321" s="12" t="s">
        <v>101</v>
      </c>
      <c r="B4321" s="12" t="s">
        <v>574</v>
      </c>
      <c r="C4321" s="12" t="s">
        <v>565</v>
      </c>
      <c r="D4321" s="13">
        <v>169</v>
      </c>
      <c r="E4321" s="13">
        <v>179.48572100000001</v>
      </c>
      <c r="F4321" s="13">
        <v>177.88673600000001</v>
      </c>
      <c r="G4321" s="13">
        <v>182.26693700000001</v>
      </c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</row>
    <row r="4322" spans="1:19" x14ac:dyDescent="0.2">
      <c r="A4322" s="12" t="s">
        <v>101</v>
      </c>
      <c r="B4322" s="12" t="s">
        <v>574</v>
      </c>
      <c r="C4322" s="12" t="s">
        <v>566</v>
      </c>
      <c r="D4322" s="13">
        <v>273</v>
      </c>
      <c r="E4322" s="13">
        <v>294.589361</v>
      </c>
      <c r="F4322" s="13">
        <v>304.63286599999998</v>
      </c>
      <c r="G4322" s="13">
        <v>306.57243899999997</v>
      </c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</row>
    <row r="4323" spans="1:19" x14ac:dyDescent="0.2">
      <c r="A4323" s="12" t="s">
        <v>149</v>
      </c>
      <c r="B4323" s="12" t="s">
        <v>553</v>
      </c>
      <c r="C4323" s="12" t="s">
        <v>554</v>
      </c>
      <c r="D4323" s="13">
        <v>87</v>
      </c>
      <c r="E4323" s="13">
        <v>111.190229</v>
      </c>
      <c r="F4323" s="13">
        <v>97.150507000000005</v>
      </c>
      <c r="G4323" s="13">
        <v>100.287915</v>
      </c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</row>
    <row r="4324" spans="1:19" x14ac:dyDescent="0.2">
      <c r="A4324" s="12" t="s">
        <v>149</v>
      </c>
      <c r="B4324" s="12" t="s">
        <v>553</v>
      </c>
      <c r="C4324" s="12" t="s">
        <v>555</v>
      </c>
      <c r="D4324" s="13">
        <v>488</v>
      </c>
      <c r="E4324" s="13">
        <v>603.08035400000006</v>
      </c>
      <c r="F4324" s="13">
        <v>491.69649399999997</v>
      </c>
      <c r="G4324" s="13">
        <v>480.70618200000001</v>
      </c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</row>
    <row r="4325" spans="1:19" x14ac:dyDescent="0.2">
      <c r="A4325" s="12" t="s">
        <v>149</v>
      </c>
      <c r="B4325" s="12" t="s">
        <v>553</v>
      </c>
      <c r="C4325" s="12" t="s">
        <v>556</v>
      </c>
      <c r="D4325" s="13">
        <v>0</v>
      </c>
      <c r="E4325" s="13">
        <v>0</v>
      </c>
      <c r="F4325" s="13">
        <v>0</v>
      </c>
      <c r="G4325" s="13">
        <v>0</v>
      </c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</row>
    <row r="4326" spans="1:19" x14ac:dyDescent="0.2">
      <c r="A4326" s="12" t="s">
        <v>149</v>
      </c>
      <c r="B4326" s="12" t="s">
        <v>553</v>
      </c>
      <c r="C4326" s="12" t="s">
        <v>557</v>
      </c>
      <c r="D4326" s="13">
        <v>584</v>
      </c>
      <c r="E4326" s="13">
        <v>713.35184100000004</v>
      </c>
      <c r="F4326" s="13">
        <v>585.97573999999997</v>
      </c>
      <c r="G4326" s="13">
        <v>575.01378899999997</v>
      </c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</row>
    <row r="4327" spans="1:19" x14ac:dyDescent="0.2">
      <c r="A4327" s="12" t="s">
        <v>149</v>
      </c>
      <c r="B4327" s="12" t="s">
        <v>553</v>
      </c>
      <c r="C4327" s="12" t="s">
        <v>558</v>
      </c>
      <c r="D4327" s="13">
        <v>-177</v>
      </c>
      <c r="E4327" s="13">
        <v>-251.701493</v>
      </c>
      <c r="F4327" s="13">
        <v>-145.10695200000001</v>
      </c>
      <c r="G4327" s="13">
        <v>-149.17591899999999</v>
      </c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</row>
    <row r="4328" spans="1:19" x14ac:dyDescent="0.2">
      <c r="A4328" s="12" t="s">
        <v>149</v>
      </c>
      <c r="B4328" s="12" t="s">
        <v>553</v>
      </c>
      <c r="C4328" s="12" t="s">
        <v>560</v>
      </c>
      <c r="D4328" s="13">
        <v>0</v>
      </c>
      <c r="E4328" s="13">
        <v>0</v>
      </c>
      <c r="F4328" s="13">
        <v>0</v>
      </c>
      <c r="G4328" s="13">
        <v>0</v>
      </c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</row>
    <row r="4329" spans="1:19" x14ac:dyDescent="0.2">
      <c r="A4329" s="12" t="s">
        <v>149</v>
      </c>
      <c r="B4329" s="12" t="s">
        <v>553</v>
      </c>
      <c r="C4329" s="12" t="s">
        <v>561</v>
      </c>
      <c r="D4329" s="13">
        <v>284</v>
      </c>
      <c r="E4329" s="13">
        <v>327.43817300000001</v>
      </c>
      <c r="F4329" s="13">
        <v>337.62986999999998</v>
      </c>
      <c r="G4329" s="13">
        <v>323.14981799999998</v>
      </c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</row>
    <row r="4330" spans="1:19" x14ac:dyDescent="0.2">
      <c r="A4330" s="12" t="s">
        <v>149</v>
      </c>
      <c r="B4330" s="12" t="s">
        <v>553</v>
      </c>
      <c r="C4330" s="12" t="s">
        <v>562</v>
      </c>
      <c r="D4330" s="13">
        <v>279</v>
      </c>
      <c r="E4330" s="13">
        <v>320.90418199999999</v>
      </c>
      <c r="F4330" s="13">
        <v>331.36800799999997</v>
      </c>
      <c r="G4330" s="13">
        <v>317.23193099999997</v>
      </c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</row>
    <row r="4331" spans="1:19" x14ac:dyDescent="0.2">
      <c r="A4331" s="12" t="s">
        <v>149</v>
      </c>
      <c r="B4331" s="12" t="s">
        <v>553</v>
      </c>
      <c r="C4331" s="12" t="s">
        <v>563</v>
      </c>
      <c r="D4331" s="13">
        <v>0</v>
      </c>
      <c r="E4331" s="13">
        <v>0</v>
      </c>
      <c r="F4331" s="13">
        <v>0</v>
      </c>
      <c r="G4331" s="13">
        <v>0</v>
      </c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</row>
    <row r="4332" spans="1:19" x14ac:dyDescent="0.2">
      <c r="A4332" s="12" t="s">
        <v>149</v>
      </c>
      <c r="B4332" s="12" t="s">
        <v>553</v>
      </c>
      <c r="C4332" s="12" t="s">
        <v>564</v>
      </c>
      <c r="D4332" s="13">
        <v>0</v>
      </c>
      <c r="E4332" s="13">
        <v>0</v>
      </c>
      <c r="F4332" s="13">
        <v>0</v>
      </c>
      <c r="G4332" s="13">
        <v>0</v>
      </c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</row>
    <row r="4333" spans="1:19" x14ac:dyDescent="0.2">
      <c r="A4333" s="12" t="s">
        <v>149</v>
      </c>
      <c r="B4333" s="12" t="s">
        <v>553</v>
      </c>
      <c r="C4333" s="12" t="s">
        <v>565</v>
      </c>
      <c r="D4333" s="13">
        <v>0</v>
      </c>
      <c r="E4333" s="13">
        <v>0</v>
      </c>
      <c r="F4333" s="13">
        <v>0</v>
      </c>
      <c r="G4333" s="13">
        <v>0</v>
      </c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</row>
    <row r="4334" spans="1:19" x14ac:dyDescent="0.2">
      <c r="A4334" s="12" t="s">
        <v>149</v>
      </c>
      <c r="B4334" s="12" t="s">
        <v>553</v>
      </c>
      <c r="C4334" s="12" t="s">
        <v>566</v>
      </c>
      <c r="D4334" s="13">
        <v>6</v>
      </c>
      <c r="E4334" s="13">
        <v>6.5339910000000003</v>
      </c>
      <c r="F4334" s="13">
        <v>6.2618619999999998</v>
      </c>
      <c r="G4334" s="13">
        <v>5.9178869999999986</v>
      </c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</row>
    <row r="4335" spans="1:19" x14ac:dyDescent="0.2">
      <c r="A4335" s="12" t="s">
        <v>149</v>
      </c>
      <c r="B4335" s="12" t="s">
        <v>567</v>
      </c>
      <c r="C4335" s="12" t="s">
        <v>554</v>
      </c>
      <c r="D4335" s="13">
        <v>6585</v>
      </c>
      <c r="E4335" s="13">
        <v>6479.2743600000003</v>
      </c>
      <c r="F4335" s="13">
        <v>6736.710325</v>
      </c>
      <c r="G4335" s="13">
        <v>7582.9948619999996</v>
      </c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</row>
    <row r="4336" spans="1:19" x14ac:dyDescent="0.2">
      <c r="A4336" s="12" t="s">
        <v>149</v>
      </c>
      <c r="B4336" s="12" t="s">
        <v>567</v>
      </c>
      <c r="C4336" s="12" t="s">
        <v>555</v>
      </c>
      <c r="D4336" s="13">
        <v>366</v>
      </c>
      <c r="E4336" s="13">
        <v>305.66471100000001</v>
      </c>
      <c r="F4336" s="13">
        <v>536.65144299999997</v>
      </c>
      <c r="G4336" s="13">
        <v>494.380966</v>
      </c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</row>
    <row r="4337" spans="1:19" x14ac:dyDescent="0.2">
      <c r="A4337" s="12" t="s">
        <v>149</v>
      </c>
      <c r="B4337" s="12" t="s">
        <v>567</v>
      </c>
      <c r="C4337" s="12" t="s">
        <v>556</v>
      </c>
      <c r="D4337" s="13">
        <v>-2990</v>
      </c>
      <c r="E4337" s="13">
        <v>-2729.8492259999998</v>
      </c>
      <c r="F4337" s="13">
        <v>-2934.7142899999999</v>
      </c>
      <c r="G4337" s="13">
        <v>-3494.08014</v>
      </c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</row>
    <row r="4338" spans="1:19" x14ac:dyDescent="0.2">
      <c r="A4338" s="12" t="s">
        <v>149</v>
      </c>
      <c r="B4338" s="12" t="s">
        <v>567</v>
      </c>
      <c r="C4338" s="12" t="s">
        <v>557</v>
      </c>
      <c r="D4338" s="13">
        <v>3994</v>
      </c>
      <c r="E4338" s="13">
        <v>4042.0879220000002</v>
      </c>
      <c r="F4338" s="13">
        <v>4318.8192910000007</v>
      </c>
      <c r="G4338" s="13">
        <v>4598.308376</v>
      </c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</row>
    <row r="4339" spans="1:19" x14ac:dyDescent="0.2">
      <c r="A4339" s="12" t="s">
        <v>149</v>
      </c>
      <c r="B4339" s="12" t="s">
        <v>567</v>
      </c>
      <c r="C4339" s="12" t="s">
        <v>558</v>
      </c>
      <c r="D4339" s="13">
        <v>0</v>
      </c>
      <c r="E4339" s="13">
        <v>0</v>
      </c>
      <c r="F4339" s="13">
        <v>0</v>
      </c>
      <c r="G4339" s="13">
        <v>0</v>
      </c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</row>
    <row r="4340" spans="1:19" x14ac:dyDescent="0.2">
      <c r="A4340" s="12" t="s">
        <v>149</v>
      </c>
      <c r="B4340" s="12" t="s">
        <v>567</v>
      </c>
      <c r="C4340" s="12" t="s">
        <v>560</v>
      </c>
      <c r="D4340" s="13">
        <v>-4064</v>
      </c>
      <c r="E4340" s="13">
        <v>-4183.5897750000004</v>
      </c>
      <c r="F4340" s="13">
        <v>-4457.9364439999999</v>
      </c>
      <c r="G4340" s="13">
        <v>-4660.9743130000006</v>
      </c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</row>
    <row r="4341" spans="1:19" x14ac:dyDescent="0.2">
      <c r="A4341" s="12" t="s">
        <v>149</v>
      </c>
      <c r="B4341" s="12" t="s">
        <v>567</v>
      </c>
      <c r="C4341" s="12" t="s">
        <v>561</v>
      </c>
      <c r="D4341" s="13">
        <v>0</v>
      </c>
      <c r="E4341" s="13">
        <v>0</v>
      </c>
      <c r="F4341" s="13">
        <v>0</v>
      </c>
      <c r="G4341" s="13">
        <v>0</v>
      </c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</row>
    <row r="4342" spans="1:19" x14ac:dyDescent="0.2">
      <c r="A4342" s="12" t="s">
        <v>149</v>
      </c>
      <c r="B4342" s="12" t="s">
        <v>567</v>
      </c>
      <c r="C4342" s="12" t="s">
        <v>562</v>
      </c>
      <c r="D4342" s="13">
        <v>0</v>
      </c>
      <c r="E4342" s="13">
        <v>0</v>
      </c>
      <c r="F4342" s="13">
        <v>0</v>
      </c>
      <c r="G4342" s="13">
        <v>0</v>
      </c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</row>
    <row r="4343" spans="1:19" x14ac:dyDescent="0.2">
      <c r="A4343" s="12" t="s">
        <v>149</v>
      </c>
      <c r="B4343" s="12" t="s">
        <v>567</v>
      </c>
      <c r="C4343" s="12" t="s">
        <v>563</v>
      </c>
      <c r="D4343" s="13">
        <v>0</v>
      </c>
      <c r="E4343" s="13">
        <v>0</v>
      </c>
      <c r="F4343" s="13">
        <v>0</v>
      </c>
      <c r="G4343" s="13">
        <v>0</v>
      </c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</row>
    <row r="4344" spans="1:19" x14ac:dyDescent="0.2">
      <c r="A4344" s="12" t="s">
        <v>149</v>
      </c>
      <c r="B4344" s="12" t="s">
        <v>567</v>
      </c>
      <c r="C4344" s="12" t="s">
        <v>564</v>
      </c>
      <c r="D4344" s="13">
        <v>0</v>
      </c>
      <c r="E4344" s="13">
        <v>0</v>
      </c>
      <c r="F4344" s="13">
        <v>0</v>
      </c>
      <c r="G4344" s="13">
        <v>0</v>
      </c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</row>
    <row r="4345" spans="1:19" x14ac:dyDescent="0.2">
      <c r="A4345" s="12" t="s">
        <v>149</v>
      </c>
      <c r="B4345" s="12" t="s">
        <v>567</v>
      </c>
      <c r="C4345" s="12" t="s">
        <v>565</v>
      </c>
      <c r="D4345" s="13">
        <v>0</v>
      </c>
      <c r="E4345" s="13">
        <v>0</v>
      </c>
      <c r="F4345" s="13">
        <v>0</v>
      </c>
      <c r="G4345" s="13">
        <v>0</v>
      </c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</row>
    <row r="4346" spans="1:19" x14ac:dyDescent="0.2">
      <c r="A4346" s="12" t="s">
        <v>149</v>
      </c>
      <c r="B4346" s="12" t="s">
        <v>567</v>
      </c>
      <c r="C4346" s="12" t="s">
        <v>566</v>
      </c>
      <c r="D4346" s="13">
        <v>0</v>
      </c>
      <c r="E4346" s="13">
        <v>0</v>
      </c>
      <c r="F4346" s="13">
        <v>0</v>
      </c>
      <c r="G4346" s="13">
        <v>0</v>
      </c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</row>
    <row r="4347" spans="1:19" x14ac:dyDescent="0.2">
      <c r="A4347" s="12" t="s">
        <v>149</v>
      </c>
      <c r="B4347" s="12" t="s">
        <v>568</v>
      </c>
      <c r="C4347" s="12" t="s">
        <v>554</v>
      </c>
      <c r="D4347" s="13">
        <v>0</v>
      </c>
      <c r="E4347" s="13">
        <v>0</v>
      </c>
      <c r="F4347" s="13">
        <v>0</v>
      </c>
      <c r="G4347" s="13">
        <v>0</v>
      </c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</row>
    <row r="4348" spans="1:19" x14ac:dyDescent="0.2">
      <c r="A4348" s="12" t="s">
        <v>149</v>
      </c>
      <c r="B4348" s="12" t="s">
        <v>568</v>
      </c>
      <c r="C4348" s="12" t="s">
        <v>555</v>
      </c>
      <c r="D4348" s="13">
        <v>952</v>
      </c>
      <c r="E4348" s="13">
        <v>1188.3574679999999</v>
      </c>
      <c r="F4348" s="13">
        <v>1245.336902</v>
      </c>
      <c r="G4348" s="13">
        <v>1262.7534539999999</v>
      </c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</row>
    <row r="4349" spans="1:19" x14ac:dyDescent="0.2">
      <c r="A4349" s="12" t="s">
        <v>149</v>
      </c>
      <c r="B4349" s="12" t="s">
        <v>568</v>
      </c>
      <c r="C4349" s="12" t="s">
        <v>556</v>
      </c>
      <c r="D4349" s="13">
        <v>-582</v>
      </c>
      <c r="E4349" s="13">
        <v>-523.47426799999994</v>
      </c>
      <c r="F4349" s="13">
        <v>-578.53253099999995</v>
      </c>
      <c r="G4349" s="13">
        <v>-773.27401300000008</v>
      </c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</row>
    <row r="4350" spans="1:19" x14ac:dyDescent="0.2">
      <c r="A4350" s="12" t="s">
        <v>149</v>
      </c>
      <c r="B4350" s="12" t="s">
        <v>568</v>
      </c>
      <c r="C4350" s="12" t="s">
        <v>557</v>
      </c>
      <c r="D4350" s="13">
        <v>171</v>
      </c>
      <c r="E4350" s="13">
        <v>462.77162600000003</v>
      </c>
      <c r="F4350" s="13">
        <v>378.45892400000002</v>
      </c>
      <c r="G4350" s="13">
        <v>211.288298</v>
      </c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</row>
    <row r="4351" spans="1:19" x14ac:dyDescent="0.2">
      <c r="A4351" s="12" t="s">
        <v>149</v>
      </c>
      <c r="B4351" s="12" t="s">
        <v>568</v>
      </c>
      <c r="C4351" s="12" t="s">
        <v>558</v>
      </c>
      <c r="D4351" s="13">
        <v>-112</v>
      </c>
      <c r="E4351" s="13">
        <v>-181.50979599999999</v>
      </c>
      <c r="F4351" s="13">
        <v>-91.000894000000002</v>
      </c>
      <c r="G4351" s="13">
        <v>-81.261805999999993</v>
      </c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</row>
    <row r="4352" spans="1:19" x14ac:dyDescent="0.2">
      <c r="A4352" s="12" t="s">
        <v>149</v>
      </c>
      <c r="B4352" s="12" t="s">
        <v>568</v>
      </c>
      <c r="C4352" s="12" t="s">
        <v>560</v>
      </c>
      <c r="D4352" s="13">
        <v>3954</v>
      </c>
      <c r="E4352" s="13">
        <v>4061.0879009999999</v>
      </c>
      <c r="F4352" s="13">
        <v>4354.4974630000006</v>
      </c>
      <c r="G4352" s="13">
        <v>4537.6613430000007</v>
      </c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</row>
    <row r="4353" spans="1:19" x14ac:dyDescent="0.2">
      <c r="A4353" s="12" t="s">
        <v>149</v>
      </c>
      <c r="B4353" s="12" t="s">
        <v>568</v>
      </c>
      <c r="C4353" s="12" t="s">
        <v>561</v>
      </c>
      <c r="D4353" s="13">
        <v>3864</v>
      </c>
      <c r="E4353" s="13">
        <v>4164.7373560000005</v>
      </c>
      <c r="F4353" s="13">
        <v>4406.1235129999995</v>
      </c>
      <c r="G4353" s="13">
        <v>4495.9107780000004</v>
      </c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</row>
    <row r="4354" spans="1:19" x14ac:dyDescent="0.2">
      <c r="A4354" s="12" t="s">
        <v>149</v>
      </c>
      <c r="B4354" s="12" t="s">
        <v>568</v>
      </c>
      <c r="C4354" s="12" t="s">
        <v>562</v>
      </c>
      <c r="D4354" s="13">
        <v>375</v>
      </c>
      <c r="E4354" s="13">
        <v>410.21641699999998</v>
      </c>
      <c r="F4354" s="13">
        <v>387.333755</v>
      </c>
      <c r="G4354" s="13">
        <v>369.19176399999998</v>
      </c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</row>
    <row r="4355" spans="1:19" x14ac:dyDescent="0.2">
      <c r="A4355" s="12" t="s">
        <v>149</v>
      </c>
      <c r="B4355" s="12" t="s">
        <v>568</v>
      </c>
      <c r="C4355" s="12" t="s">
        <v>563</v>
      </c>
      <c r="D4355" s="13">
        <v>2441</v>
      </c>
      <c r="E4355" s="13">
        <v>2682.3979899999999</v>
      </c>
      <c r="F4355" s="13">
        <v>2857.5017480000001</v>
      </c>
      <c r="G4355" s="13">
        <v>2960.0951989999999</v>
      </c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</row>
    <row r="4356" spans="1:19" x14ac:dyDescent="0.2">
      <c r="A4356" s="12" t="s">
        <v>149</v>
      </c>
      <c r="B4356" s="12" t="s">
        <v>568</v>
      </c>
      <c r="C4356" s="12" t="s">
        <v>564</v>
      </c>
      <c r="D4356" s="13">
        <v>277</v>
      </c>
      <c r="E4356" s="13">
        <v>267.93929900000001</v>
      </c>
      <c r="F4356" s="13">
        <v>263.30775199999999</v>
      </c>
      <c r="G4356" s="13">
        <v>261.06645700000001</v>
      </c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</row>
    <row r="4357" spans="1:19" x14ac:dyDescent="0.2">
      <c r="A4357" s="12" t="s">
        <v>149</v>
      </c>
      <c r="B4357" s="12" t="s">
        <v>568</v>
      </c>
      <c r="C4357" s="12" t="s">
        <v>565</v>
      </c>
      <c r="D4357" s="13">
        <v>27</v>
      </c>
      <c r="E4357" s="13">
        <v>29.895576999999999</v>
      </c>
      <c r="F4357" s="13">
        <v>31.754517</v>
      </c>
      <c r="G4357" s="13">
        <v>39.193714999999997</v>
      </c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</row>
    <row r="4358" spans="1:19" x14ac:dyDescent="0.2">
      <c r="A4358" s="12" t="s">
        <v>149</v>
      </c>
      <c r="B4358" s="12" t="s">
        <v>568</v>
      </c>
      <c r="C4358" s="12" t="s">
        <v>566</v>
      </c>
      <c r="D4358" s="13">
        <v>744</v>
      </c>
      <c r="E4358" s="13">
        <v>774.28807299999994</v>
      </c>
      <c r="F4358" s="13">
        <v>866.22574200000008</v>
      </c>
      <c r="G4358" s="13">
        <v>866.36364200000003</v>
      </c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</row>
    <row r="4359" spans="1:19" x14ac:dyDescent="0.2">
      <c r="A4359" s="12" t="s">
        <v>149</v>
      </c>
      <c r="B4359" s="12" t="s">
        <v>569</v>
      </c>
      <c r="C4359" s="12" t="s">
        <v>554</v>
      </c>
      <c r="D4359" s="13">
        <v>904</v>
      </c>
      <c r="E4359" s="13">
        <v>909.685249</v>
      </c>
      <c r="F4359" s="13">
        <v>848.69018800000003</v>
      </c>
      <c r="G4359" s="13">
        <v>856.86677399999996</v>
      </c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</row>
    <row r="4360" spans="1:19" x14ac:dyDescent="0.2">
      <c r="A4360" s="12" t="s">
        <v>149</v>
      </c>
      <c r="B4360" s="12" t="s">
        <v>569</v>
      </c>
      <c r="C4360" s="12" t="s">
        <v>555</v>
      </c>
      <c r="D4360" s="13">
        <v>354</v>
      </c>
      <c r="E4360" s="13">
        <v>621.02871400000004</v>
      </c>
      <c r="F4360" s="13">
        <v>323.28995800000001</v>
      </c>
      <c r="G4360" s="13">
        <v>238.33106100000001</v>
      </c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</row>
    <row r="4361" spans="1:19" x14ac:dyDescent="0.2">
      <c r="A4361" s="12" t="s">
        <v>149</v>
      </c>
      <c r="B4361" s="12" t="s">
        <v>569</v>
      </c>
      <c r="C4361" s="12" t="s">
        <v>556</v>
      </c>
      <c r="D4361" s="13">
        <v>0</v>
      </c>
      <c r="E4361" s="13">
        <v>0</v>
      </c>
      <c r="F4361" s="13">
        <v>0</v>
      </c>
      <c r="G4361" s="13">
        <v>0</v>
      </c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</row>
    <row r="4362" spans="1:19" x14ac:dyDescent="0.2">
      <c r="A4362" s="12" t="s">
        <v>149</v>
      </c>
      <c r="B4362" s="12" t="s">
        <v>569</v>
      </c>
      <c r="C4362" s="12" t="s">
        <v>557</v>
      </c>
      <c r="D4362" s="13">
        <v>1258</v>
      </c>
      <c r="E4362" s="13">
        <v>1538.082731</v>
      </c>
      <c r="F4362" s="13">
        <v>1171.980147</v>
      </c>
      <c r="G4362" s="13">
        <v>1095.19784</v>
      </c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</row>
    <row r="4363" spans="1:19" x14ac:dyDescent="0.2">
      <c r="A4363" s="12" t="s">
        <v>149</v>
      </c>
      <c r="B4363" s="12" t="s">
        <v>569</v>
      </c>
      <c r="C4363" s="12" t="s">
        <v>558</v>
      </c>
      <c r="D4363" s="13">
        <v>-517</v>
      </c>
      <c r="E4363" s="13">
        <v>-733.92899100000011</v>
      </c>
      <c r="F4363" s="13">
        <v>-393.83627000000001</v>
      </c>
      <c r="G4363" s="13">
        <v>-343.23438700000003</v>
      </c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</row>
    <row r="4364" spans="1:19" x14ac:dyDescent="0.2">
      <c r="A4364" s="12" t="s">
        <v>149</v>
      </c>
      <c r="B4364" s="12" t="s">
        <v>569</v>
      </c>
      <c r="C4364" s="12" t="s">
        <v>560</v>
      </c>
      <c r="D4364" s="13">
        <v>0</v>
      </c>
      <c r="E4364" s="13">
        <v>0</v>
      </c>
      <c r="F4364" s="13">
        <v>0</v>
      </c>
      <c r="G4364" s="13">
        <v>0</v>
      </c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</row>
    <row r="4365" spans="1:19" x14ac:dyDescent="0.2">
      <c r="A4365" s="12" t="s">
        <v>149</v>
      </c>
      <c r="B4365" s="12" t="s">
        <v>569</v>
      </c>
      <c r="C4365" s="12" t="s">
        <v>561</v>
      </c>
      <c r="D4365" s="13">
        <v>450</v>
      </c>
      <c r="E4365" s="13">
        <v>518.02036299999997</v>
      </c>
      <c r="F4365" s="13">
        <v>569.13923999999997</v>
      </c>
      <c r="G4365" s="13">
        <v>500.56491899999997</v>
      </c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</row>
    <row r="4366" spans="1:19" x14ac:dyDescent="0.2">
      <c r="A4366" s="12" t="s">
        <v>149</v>
      </c>
      <c r="B4366" s="12" t="s">
        <v>569</v>
      </c>
      <c r="C4366" s="12" t="s">
        <v>562</v>
      </c>
      <c r="D4366" s="13">
        <v>302</v>
      </c>
      <c r="E4366" s="13">
        <v>364.27498300000002</v>
      </c>
      <c r="F4366" s="13">
        <v>382.465892</v>
      </c>
      <c r="G4366" s="13">
        <v>357.75739199999998</v>
      </c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</row>
    <row r="4367" spans="1:19" x14ac:dyDescent="0.2">
      <c r="A4367" s="12" t="s">
        <v>149</v>
      </c>
      <c r="B4367" s="12" t="s">
        <v>569</v>
      </c>
      <c r="C4367" s="12" t="s">
        <v>563</v>
      </c>
      <c r="D4367" s="13">
        <v>117</v>
      </c>
      <c r="E4367" s="13">
        <v>119.84524500000001</v>
      </c>
      <c r="F4367" s="13">
        <v>119.450036</v>
      </c>
      <c r="G4367" s="13">
        <v>90.332195000000013</v>
      </c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</row>
    <row r="4368" spans="1:19" x14ac:dyDescent="0.2">
      <c r="A4368" s="12" t="s">
        <v>149</v>
      </c>
      <c r="B4368" s="12" t="s">
        <v>569</v>
      </c>
      <c r="C4368" s="12" t="s">
        <v>564</v>
      </c>
      <c r="D4368" s="13">
        <v>19</v>
      </c>
      <c r="E4368" s="13">
        <v>19.096162</v>
      </c>
      <c r="F4368" s="13">
        <v>19.499601999999999</v>
      </c>
      <c r="G4368" s="13">
        <v>19.288381999999999</v>
      </c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</row>
    <row r="4369" spans="1:19" x14ac:dyDescent="0.2">
      <c r="A4369" s="12" t="s">
        <v>149</v>
      </c>
      <c r="B4369" s="12" t="s">
        <v>569</v>
      </c>
      <c r="C4369" s="12" t="s">
        <v>565</v>
      </c>
      <c r="D4369" s="13">
        <v>5</v>
      </c>
      <c r="E4369" s="13">
        <v>5.7403829999999996</v>
      </c>
      <c r="F4369" s="13">
        <v>6.9228399999999999</v>
      </c>
      <c r="G4369" s="13">
        <v>6.3316559999999997</v>
      </c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</row>
    <row r="4370" spans="1:19" x14ac:dyDescent="0.2">
      <c r="A4370" s="12" t="s">
        <v>149</v>
      </c>
      <c r="B4370" s="12" t="s">
        <v>569</v>
      </c>
      <c r="C4370" s="12" t="s">
        <v>566</v>
      </c>
      <c r="D4370" s="13">
        <v>9</v>
      </c>
      <c r="E4370" s="13">
        <v>9.0635849999999998</v>
      </c>
      <c r="F4370" s="13">
        <v>40.800868000000001</v>
      </c>
      <c r="G4370" s="13">
        <v>26.855291000000001</v>
      </c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</row>
    <row r="4371" spans="1:19" x14ac:dyDescent="0.2">
      <c r="A4371" s="12" t="s">
        <v>149</v>
      </c>
      <c r="B4371" s="12" t="s">
        <v>570</v>
      </c>
      <c r="C4371" s="12" t="s">
        <v>554</v>
      </c>
      <c r="D4371" s="13">
        <v>153</v>
      </c>
      <c r="E4371" s="13">
        <v>160.41368700000001</v>
      </c>
      <c r="F4371" s="13">
        <v>158.82559599999999</v>
      </c>
      <c r="G4371" s="13">
        <v>158.22243399999999</v>
      </c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</row>
    <row r="4372" spans="1:19" x14ac:dyDescent="0.2">
      <c r="A4372" s="12" t="s">
        <v>149</v>
      </c>
      <c r="B4372" s="12" t="s">
        <v>570</v>
      </c>
      <c r="C4372" s="12" t="s">
        <v>555</v>
      </c>
      <c r="D4372" s="13">
        <v>0</v>
      </c>
      <c r="E4372" s="13">
        <v>0</v>
      </c>
      <c r="F4372" s="13">
        <v>0</v>
      </c>
      <c r="G4372" s="13">
        <v>0</v>
      </c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</row>
    <row r="4373" spans="1:19" x14ac:dyDescent="0.2">
      <c r="A4373" s="12" t="s">
        <v>149</v>
      </c>
      <c r="B4373" s="12" t="s">
        <v>570</v>
      </c>
      <c r="C4373" s="12" t="s">
        <v>556</v>
      </c>
      <c r="D4373" s="13">
        <v>0</v>
      </c>
      <c r="E4373" s="13">
        <v>0</v>
      </c>
      <c r="F4373" s="13">
        <v>0</v>
      </c>
      <c r="G4373" s="13">
        <v>0</v>
      </c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</row>
    <row r="4374" spans="1:19" x14ac:dyDescent="0.2">
      <c r="A4374" s="12" t="s">
        <v>149</v>
      </c>
      <c r="B4374" s="12" t="s">
        <v>570</v>
      </c>
      <c r="C4374" s="12" t="s">
        <v>557</v>
      </c>
      <c r="D4374" s="13">
        <v>153</v>
      </c>
      <c r="E4374" s="13">
        <v>160.41368700000001</v>
      </c>
      <c r="F4374" s="13">
        <v>158.82559599999999</v>
      </c>
      <c r="G4374" s="13">
        <v>158.22243399999999</v>
      </c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</row>
    <row r="4375" spans="1:19" x14ac:dyDescent="0.2">
      <c r="A4375" s="12" t="s">
        <v>149</v>
      </c>
      <c r="B4375" s="12" t="s">
        <v>570</v>
      </c>
      <c r="C4375" s="12" t="s">
        <v>558</v>
      </c>
      <c r="D4375" s="13">
        <v>-153</v>
      </c>
      <c r="E4375" s="13">
        <v>-160.41368700000001</v>
      </c>
      <c r="F4375" s="13">
        <v>-158.82559599999999</v>
      </c>
      <c r="G4375" s="13">
        <v>-158.22243399999999</v>
      </c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</row>
    <row r="4376" spans="1:19" x14ac:dyDescent="0.2">
      <c r="A4376" s="12" t="s">
        <v>149</v>
      </c>
      <c r="B4376" s="12" t="s">
        <v>570</v>
      </c>
      <c r="C4376" s="12" t="s">
        <v>560</v>
      </c>
      <c r="D4376" s="13">
        <v>0</v>
      </c>
      <c r="E4376" s="13">
        <v>0</v>
      </c>
      <c r="F4376" s="13">
        <v>0</v>
      </c>
      <c r="G4376" s="13">
        <v>0</v>
      </c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</row>
    <row r="4377" spans="1:19" x14ac:dyDescent="0.2">
      <c r="A4377" s="12" t="s">
        <v>149</v>
      </c>
      <c r="B4377" s="12" t="s">
        <v>570</v>
      </c>
      <c r="C4377" s="12" t="s">
        <v>561</v>
      </c>
      <c r="D4377" s="13">
        <v>0</v>
      </c>
      <c r="E4377" s="13">
        <v>0</v>
      </c>
      <c r="F4377" s="13">
        <v>0</v>
      </c>
      <c r="G4377" s="13">
        <v>0</v>
      </c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</row>
    <row r="4378" spans="1:19" x14ac:dyDescent="0.2">
      <c r="A4378" s="12" t="s">
        <v>149</v>
      </c>
      <c r="B4378" s="12" t="s">
        <v>570</v>
      </c>
      <c r="C4378" s="12" t="s">
        <v>562</v>
      </c>
      <c r="D4378" s="13">
        <v>0</v>
      </c>
      <c r="E4378" s="13">
        <v>0</v>
      </c>
      <c r="F4378" s="13">
        <v>0</v>
      </c>
      <c r="G4378" s="13">
        <v>0</v>
      </c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</row>
    <row r="4379" spans="1:19" x14ac:dyDescent="0.2">
      <c r="A4379" s="12" t="s">
        <v>149</v>
      </c>
      <c r="B4379" s="12" t="s">
        <v>570</v>
      </c>
      <c r="C4379" s="12" t="s">
        <v>563</v>
      </c>
      <c r="D4379" s="13">
        <v>0</v>
      </c>
      <c r="E4379" s="13">
        <v>0</v>
      </c>
      <c r="F4379" s="13">
        <v>0</v>
      </c>
      <c r="G4379" s="13">
        <v>0</v>
      </c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</row>
    <row r="4380" spans="1:19" x14ac:dyDescent="0.2">
      <c r="A4380" s="12" t="s">
        <v>149</v>
      </c>
      <c r="B4380" s="12" t="s">
        <v>570</v>
      </c>
      <c r="C4380" s="12" t="s">
        <v>564</v>
      </c>
      <c r="D4380" s="13">
        <v>0</v>
      </c>
      <c r="E4380" s="13">
        <v>0</v>
      </c>
      <c r="F4380" s="13">
        <v>0</v>
      </c>
      <c r="G4380" s="13">
        <v>0</v>
      </c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</row>
    <row r="4381" spans="1:19" x14ac:dyDescent="0.2">
      <c r="A4381" s="12" t="s">
        <v>149</v>
      </c>
      <c r="B4381" s="12" t="s">
        <v>570</v>
      </c>
      <c r="C4381" s="12" t="s">
        <v>565</v>
      </c>
      <c r="D4381" s="13">
        <v>0</v>
      </c>
      <c r="E4381" s="13">
        <v>0</v>
      </c>
      <c r="F4381" s="13">
        <v>0</v>
      </c>
      <c r="G4381" s="13">
        <v>0</v>
      </c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</row>
    <row r="4382" spans="1:19" x14ac:dyDescent="0.2">
      <c r="A4382" s="12" t="s">
        <v>149</v>
      </c>
      <c r="B4382" s="12" t="s">
        <v>570</v>
      </c>
      <c r="C4382" s="12" t="s">
        <v>566</v>
      </c>
      <c r="D4382" s="13">
        <v>0</v>
      </c>
      <c r="E4382" s="13">
        <v>0</v>
      </c>
      <c r="F4382" s="13">
        <v>0</v>
      </c>
      <c r="G4382" s="13">
        <v>0</v>
      </c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</row>
    <row r="4383" spans="1:19" x14ac:dyDescent="0.2">
      <c r="A4383" s="12" t="s">
        <v>149</v>
      </c>
      <c r="B4383" s="12" t="s">
        <v>571</v>
      </c>
      <c r="C4383" s="12" t="s">
        <v>554</v>
      </c>
      <c r="D4383" s="13">
        <v>5826</v>
      </c>
      <c r="E4383" s="13">
        <v>5547.3175920000003</v>
      </c>
      <c r="F4383" s="13">
        <v>5993.4801859999998</v>
      </c>
      <c r="G4383" s="13">
        <v>6504.329791000001</v>
      </c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</row>
    <row r="4384" spans="1:19" x14ac:dyDescent="0.2">
      <c r="A4384" s="12" t="s">
        <v>149</v>
      </c>
      <c r="B4384" s="12" t="s">
        <v>571</v>
      </c>
      <c r="C4384" s="12" t="s">
        <v>555</v>
      </c>
      <c r="D4384" s="13">
        <v>21</v>
      </c>
      <c r="E4384" s="13">
        <v>9.6584789999999998</v>
      </c>
      <c r="F4384" s="13">
        <v>2.2106050000000002</v>
      </c>
      <c r="G4384" s="13">
        <v>0</v>
      </c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</row>
    <row r="4385" spans="1:19" x14ac:dyDescent="0.2">
      <c r="A4385" s="12" t="s">
        <v>149</v>
      </c>
      <c r="B4385" s="12" t="s">
        <v>571</v>
      </c>
      <c r="C4385" s="12" t="s">
        <v>556</v>
      </c>
      <c r="D4385" s="13">
        <v>-44</v>
      </c>
      <c r="E4385" s="13">
        <v>-40.494194000000007</v>
      </c>
      <c r="F4385" s="13">
        <v>-51.712246999999998</v>
      </c>
      <c r="G4385" s="13">
        <v>-54.59346</v>
      </c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</row>
    <row r="4386" spans="1:19" x14ac:dyDescent="0.2">
      <c r="A4386" s="12" t="s">
        <v>149</v>
      </c>
      <c r="B4386" s="12" t="s">
        <v>571</v>
      </c>
      <c r="C4386" s="12" t="s">
        <v>557</v>
      </c>
      <c r="D4386" s="13">
        <v>5798</v>
      </c>
      <c r="E4386" s="13">
        <v>5547.507987</v>
      </c>
      <c r="F4386" s="13">
        <v>5950.7511119999999</v>
      </c>
      <c r="G4386" s="13">
        <v>6397.0731320000014</v>
      </c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</row>
    <row r="4387" spans="1:19" x14ac:dyDescent="0.2">
      <c r="A4387" s="12" t="s">
        <v>149</v>
      </c>
      <c r="B4387" s="12" t="s">
        <v>571</v>
      </c>
      <c r="C4387" s="12" t="s">
        <v>558</v>
      </c>
      <c r="D4387" s="13">
        <v>-2121</v>
      </c>
      <c r="E4387" s="13">
        <v>-2055.0979929999999</v>
      </c>
      <c r="F4387" s="13">
        <v>-2362.4245970000002</v>
      </c>
      <c r="G4387" s="13">
        <v>-2502.5118440000001</v>
      </c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</row>
    <row r="4388" spans="1:19" x14ac:dyDescent="0.2">
      <c r="A4388" s="12" t="s">
        <v>149</v>
      </c>
      <c r="B4388" s="12" t="s">
        <v>571</v>
      </c>
      <c r="C4388" s="12" t="s">
        <v>560</v>
      </c>
      <c r="D4388" s="13">
        <v>0</v>
      </c>
      <c r="E4388" s="13">
        <v>0</v>
      </c>
      <c r="F4388" s="13">
        <v>0</v>
      </c>
      <c r="G4388" s="13">
        <v>0</v>
      </c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</row>
    <row r="4389" spans="1:19" x14ac:dyDescent="0.2">
      <c r="A4389" s="12" t="s">
        <v>149</v>
      </c>
      <c r="B4389" s="12" t="s">
        <v>571</v>
      </c>
      <c r="C4389" s="12" t="s">
        <v>561</v>
      </c>
      <c r="D4389" s="13">
        <v>2917</v>
      </c>
      <c r="E4389" s="13">
        <v>2816.9403309999998</v>
      </c>
      <c r="F4389" s="13">
        <v>2912.1939870000001</v>
      </c>
      <c r="G4389" s="13">
        <v>3167.9418559999999</v>
      </c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</row>
    <row r="4390" spans="1:19" x14ac:dyDescent="0.2">
      <c r="A4390" s="12" t="s">
        <v>149</v>
      </c>
      <c r="B4390" s="12" t="s">
        <v>571</v>
      </c>
      <c r="C4390" s="12" t="s">
        <v>562</v>
      </c>
      <c r="D4390" s="13">
        <v>1577</v>
      </c>
      <c r="E4390" s="13">
        <v>1476.1271340000001</v>
      </c>
      <c r="F4390" s="13">
        <v>1568.334861</v>
      </c>
      <c r="G4390" s="13">
        <v>1731.6083249999999</v>
      </c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</row>
    <row r="4391" spans="1:19" x14ac:dyDescent="0.2">
      <c r="A4391" s="12" t="s">
        <v>149</v>
      </c>
      <c r="B4391" s="12" t="s">
        <v>571</v>
      </c>
      <c r="C4391" s="12" t="s">
        <v>563</v>
      </c>
      <c r="D4391" s="13">
        <v>815</v>
      </c>
      <c r="E4391" s="13">
        <v>804.94612100000006</v>
      </c>
      <c r="F4391" s="13">
        <v>806.365362</v>
      </c>
      <c r="G4391" s="13">
        <v>879.10414200000002</v>
      </c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</row>
    <row r="4392" spans="1:19" x14ac:dyDescent="0.2">
      <c r="A4392" s="12" t="s">
        <v>149</v>
      </c>
      <c r="B4392" s="12" t="s">
        <v>571</v>
      </c>
      <c r="C4392" s="12" t="s">
        <v>564</v>
      </c>
      <c r="D4392" s="13">
        <v>348</v>
      </c>
      <c r="E4392" s="13">
        <v>358.78980200000001</v>
      </c>
      <c r="F4392" s="13">
        <v>364.46758399999999</v>
      </c>
      <c r="G4392" s="13">
        <v>365.53668800000003</v>
      </c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</row>
    <row r="4393" spans="1:19" x14ac:dyDescent="0.2">
      <c r="A4393" s="12" t="s">
        <v>149</v>
      </c>
      <c r="B4393" s="12" t="s">
        <v>571</v>
      </c>
      <c r="C4393" s="12" t="s">
        <v>565</v>
      </c>
      <c r="D4393" s="13">
        <v>13</v>
      </c>
      <c r="E4393" s="13">
        <v>14.259881</v>
      </c>
      <c r="F4393" s="13">
        <v>14.015207999999999</v>
      </c>
      <c r="G4393" s="13">
        <v>14.800765</v>
      </c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</row>
    <row r="4394" spans="1:19" x14ac:dyDescent="0.2">
      <c r="A4394" s="12" t="s">
        <v>149</v>
      </c>
      <c r="B4394" s="12" t="s">
        <v>571</v>
      </c>
      <c r="C4394" s="12" t="s">
        <v>566</v>
      </c>
      <c r="D4394" s="13">
        <v>165</v>
      </c>
      <c r="E4394" s="13">
        <v>162.81739200000001</v>
      </c>
      <c r="F4394" s="13">
        <v>159.01096699999999</v>
      </c>
      <c r="G4394" s="13">
        <v>176.89192700000001</v>
      </c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</row>
    <row r="4395" spans="1:19" x14ac:dyDescent="0.2">
      <c r="A4395" s="12" t="s">
        <v>149</v>
      </c>
      <c r="B4395" s="12" t="s">
        <v>572</v>
      </c>
      <c r="C4395" s="12" t="s">
        <v>554</v>
      </c>
      <c r="D4395" s="13">
        <v>0</v>
      </c>
      <c r="E4395" s="13">
        <v>0</v>
      </c>
      <c r="F4395" s="13">
        <v>0</v>
      </c>
      <c r="G4395" s="13">
        <v>0</v>
      </c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</row>
    <row r="4396" spans="1:19" x14ac:dyDescent="0.2">
      <c r="A4396" s="12" t="s">
        <v>149</v>
      </c>
      <c r="B4396" s="12" t="s">
        <v>572</v>
      </c>
      <c r="C4396" s="12" t="s">
        <v>555</v>
      </c>
      <c r="D4396" s="13">
        <v>90</v>
      </c>
      <c r="E4396" s="13">
        <v>83.328808999999993</v>
      </c>
      <c r="F4396" s="13">
        <v>64.392071000000001</v>
      </c>
      <c r="G4396" s="13">
        <v>80.257104000000012</v>
      </c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</row>
    <row r="4397" spans="1:19" x14ac:dyDescent="0.2">
      <c r="A4397" s="12" t="s">
        <v>149</v>
      </c>
      <c r="B4397" s="12" t="s">
        <v>572</v>
      </c>
      <c r="C4397" s="12" t="s">
        <v>556</v>
      </c>
      <c r="D4397" s="13">
        <v>-1</v>
      </c>
      <c r="E4397" s="13">
        <v>-0.15903100000000001</v>
      </c>
      <c r="F4397" s="13">
        <v>-17.923514999999998</v>
      </c>
      <c r="G4397" s="13">
        <v>-25.868663000000002</v>
      </c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</row>
    <row r="4398" spans="1:19" x14ac:dyDescent="0.2">
      <c r="A4398" s="12" t="s">
        <v>149</v>
      </c>
      <c r="B4398" s="12" t="s">
        <v>572</v>
      </c>
      <c r="C4398" s="12" t="s">
        <v>557</v>
      </c>
      <c r="D4398" s="13">
        <v>89</v>
      </c>
      <c r="E4398" s="13">
        <v>83.169777000000011</v>
      </c>
      <c r="F4398" s="13">
        <v>46.468556</v>
      </c>
      <c r="G4398" s="13">
        <v>54.388441</v>
      </c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</row>
    <row r="4399" spans="1:19" x14ac:dyDescent="0.2">
      <c r="A4399" s="12" t="s">
        <v>149</v>
      </c>
      <c r="B4399" s="12" t="s">
        <v>572</v>
      </c>
      <c r="C4399" s="12" t="s">
        <v>558</v>
      </c>
      <c r="D4399" s="13">
        <v>2263</v>
      </c>
      <c r="E4399" s="13">
        <v>2361.1045439999998</v>
      </c>
      <c r="F4399" s="13">
        <v>2436.8314770000002</v>
      </c>
      <c r="G4399" s="13">
        <v>2545.4086779999998</v>
      </c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</row>
    <row r="4400" spans="1:19" x14ac:dyDescent="0.2">
      <c r="A4400" s="12" t="s">
        <v>149</v>
      </c>
      <c r="B4400" s="12" t="s">
        <v>572</v>
      </c>
      <c r="C4400" s="12" t="s">
        <v>560</v>
      </c>
      <c r="D4400" s="13">
        <v>0</v>
      </c>
      <c r="E4400" s="13">
        <v>0</v>
      </c>
      <c r="F4400" s="13">
        <v>0</v>
      </c>
      <c r="G4400" s="13">
        <v>0</v>
      </c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</row>
    <row r="4401" spans="1:19" x14ac:dyDescent="0.2">
      <c r="A4401" s="12" t="s">
        <v>149</v>
      </c>
      <c r="B4401" s="12" t="s">
        <v>572</v>
      </c>
      <c r="C4401" s="12" t="s">
        <v>561</v>
      </c>
      <c r="D4401" s="13">
        <v>1836</v>
      </c>
      <c r="E4401" s="13">
        <v>1917.306098</v>
      </c>
      <c r="F4401" s="13">
        <v>1983.389406</v>
      </c>
      <c r="G4401" s="13">
        <v>2087.2426070000001</v>
      </c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</row>
    <row r="4402" spans="1:19" x14ac:dyDescent="0.2">
      <c r="A4402" s="12" t="s">
        <v>149</v>
      </c>
      <c r="B4402" s="12" t="s">
        <v>572</v>
      </c>
      <c r="C4402" s="12" t="s">
        <v>562</v>
      </c>
      <c r="D4402" s="13">
        <v>714</v>
      </c>
      <c r="E4402" s="13">
        <v>767.98277300000007</v>
      </c>
      <c r="F4402" s="13">
        <v>787.47529099999997</v>
      </c>
      <c r="G4402" s="13">
        <v>808.08815900000002</v>
      </c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</row>
    <row r="4403" spans="1:19" x14ac:dyDescent="0.2">
      <c r="A4403" s="12" t="s">
        <v>149</v>
      </c>
      <c r="B4403" s="12" t="s">
        <v>572</v>
      </c>
      <c r="C4403" s="12" t="s">
        <v>563</v>
      </c>
      <c r="D4403" s="13">
        <v>9</v>
      </c>
      <c r="E4403" s="13">
        <v>9.4895750000000003</v>
      </c>
      <c r="F4403" s="13">
        <v>9.4907299999999992</v>
      </c>
      <c r="G4403" s="13">
        <v>8.0637640000000008</v>
      </c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</row>
    <row r="4404" spans="1:19" x14ac:dyDescent="0.2">
      <c r="A4404" s="12" t="s">
        <v>149</v>
      </c>
      <c r="B4404" s="12" t="s">
        <v>572</v>
      </c>
      <c r="C4404" s="12" t="s">
        <v>564</v>
      </c>
      <c r="D4404" s="13">
        <v>536</v>
      </c>
      <c r="E4404" s="13">
        <v>541.70355000000006</v>
      </c>
      <c r="F4404" s="13">
        <v>560.15501599999993</v>
      </c>
      <c r="G4404" s="13">
        <v>610.90952400000003</v>
      </c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</row>
    <row r="4405" spans="1:19" x14ac:dyDescent="0.2">
      <c r="A4405" s="12" t="s">
        <v>149</v>
      </c>
      <c r="B4405" s="12" t="s">
        <v>572</v>
      </c>
      <c r="C4405" s="12" t="s">
        <v>565</v>
      </c>
      <c r="D4405" s="13">
        <v>459</v>
      </c>
      <c r="E4405" s="13">
        <v>476.15646199999998</v>
      </c>
      <c r="F4405" s="13">
        <v>510.03334699999999</v>
      </c>
      <c r="G4405" s="13">
        <v>538.56113800000003</v>
      </c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</row>
    <row r="4406" spans="1:19" x14ac:dyDescent="0.2">
      <c r="A4406" s="12" t="s">
        <v>149</v>
      </c>
      <c r="B4406" s="12" t="s">
        <v>572</v>
      </c>
      <c r="C4406" s="12" t="s">
        <v>566</v>
      </c>
      <c r="D4406" s="13">
        <v>117</v>
      </c>
      <c r="E4406" s="13">
        <v>121.97373899999999</v>
      </c>
      <c r="F4406" s="13">
        <v>116.235022</v>
      </c>
      <c r="G4406" s="13">
        <v>121.620025</v>
      </c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</row>
    <row r="4407" spans="1:19" x14ac:dyDescent="0.2">
      <c r="A4407" s="12" t="s">
        <v>149</v>
      </c>
      <c r="B4407" s="12" t="s">
        <v>573</v>
      </c>
      <c r="C4407" s="12" t="s">
        <v>554</v>
      </c>
      <c r="D4407" s="13">
        <v>2</v>
      </c>
      <c r="E4407" s="13">
        <v>2.1030509999999998</v>
      </c>
      <c r="F4407" s="13">
        <v>4.0423299999999998</v>
      </c>
      <c r="G4407" s="13">
        <v>4.5916430000000004</v>
      </c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</row>
    <row r="4408" spans="1:19" x14ac:dyDescent="0.2">
      <c r="A4408" s="12" t="s">
        <v>149</v>
      </c>
      <c r="B4408" s="12" t="s">
        <v>573</v>
      </c>
      <c r="C4408" s="12" t="s">
        <v>555</v>
      </c>
      <c r="D4408" s="13">
        <v>0</v>
      </c>
      <c r="E4408" s="13">
        <v>0</v>
      </c>
      <c r="F4408" s="13">
        <v>0</v>
      </c>
      <c r="G4408" s="13">
        <v>0</v>
      </c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</row>
    <row r="4409" spans="1:19" x14ac:dyDescent="0.2">
      <c r="A4409" s="12" t="s">
        <v>149</v>
      </c>
      <c r="B4409" s="12" t="s">
        <v>573</v>
      </c>
      <c r="C4409" s="12" t="s">
        <v>556</v>
      </c>
      <c r="D4409" s="13">
        <v>0</v>
      </c>
      <c r="E4409" s="13">
        <v>0</v>
      </c>
      <c r="F4409" s="13">
        <v>0</v>
      </c>
      <c r="G4409" s="13">
        <v>0</v>
      </c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</row>
    <row r="4410" spans="1:19" x14ac:dyDescent="0.2">
      <c r="A4410" s="12" t="s">
        <v>149</v>
      </c>
      <c r="B4410" s="12" t="s">
        <v>573</v>
      </c>
      <c r="C4410" s="12" t="s">
        <v>557</v>
      </c>
      <c r="D4410" s="13">
        <v>2</v>
      </c>
      <c r="E4410" s="13">
        <v>2.1030509999999998</v>
      </c>
      <c r="F4410" s="13">
        <v>4.0423299999999998</v>
      </c>
      <c r="G4410" s="13">
        <v>4.5916430000000004</v>
      </c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</row>
    <row r="4411" spans="1:19" x14ac:dyDescent="0.2">
      <c r="A4411" s="12" t="s">
        <v>149</v>
      </c>
      <c r="B4411" s="12" t="s">
        <v>573</v>
      </c>
      <c r="C4411" s="12" t="s">
        <v>558</v>
      </c>
      <c r="D4411" s="13">
        <v>0</v>
      </c>
      <c r="E4411" s="13">
        <v>0</v>
      </c>
      <c r="F4411" s="13">
        <v>0</v>
      </c>
      <c r="G4411" s="13">
        <v>0</v>
      </c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</row>
    <row r="4412" spans="1:19" x14ac:dyDescent="0.2">
      <c r="A4412" s="12" t="s">
        <v>149</v>
      </c>
      <c r="B4412" s="12" t="s">
        <v>573</v>
      </c>
      <c r="C4412" s="12" t="s">
        <v>560</v>
      </c>
      <c r="D4412" s="13">
        <v>0</v>
      </c>
      <c r="E4412" s="13">
        <v>0</v>
      </c>
      <c r="F4412" s="13">
        <v>0</v>
      </c>
      <c r="G4412" s="13">
        <v>0</v>
      </c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</row>
    <row r="4413" spans="1:19" x14ac:dyDescent="0.2">
      <c r="A4413" s="12" t="s">
        <v>149</v>
      </c>
      <c r="B4413" s="12" t="s">
        <v>573</v>
      </c>
      <c r="C4413" s="12" t="s">
        <v>561</v>
      </c>
      <c r="D4413" s="13">
        <v>0</v>
      </c>
      <c r="E4413" s="13">
        <v>0</v>
      </c>
      <c r="F4413" s="13">
        <v>0</v>
      </c>
      <c r="G4413" s="13">
        <v>0</v>
      </c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</row>
    <row r="4414" spans="1:19" x14ac:dyDescent="0.2">
      <c r="A4414" s="12" t="s">
        <v>149</v>
      </c>
      <c r="B4414" s="12" t="s">
        <v>573</v>
      </c>
      <c r="C4414" s="12" t="s">
        <v>562</v>
      </c>
      <c r="D4414" s="13">
        <v>0</v>
      </c>
      <c r="E4414" s="13">
        <v>0</v>
      </c>
      <c r="F4414" s="13">
        <v>0</v>
      </c>
      <c r="G4414" s="13">
        <v>0</v>
      </c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</row>
    <row r="4415" spans="1:19" x14ac:dyDescent="0.2">
      <c r="A4415" s="12" t="s">
        <v>149</v>
      </c>
      <c r="B4415" s="12" t="s">
        <v>573</v>
      </c>
      <c r="C4415" s="12" t="s">
        <v>563</v>
      </c>
      <c r="D4415" s="13">
        <v>0</v>
      </c>
      <c r="E4415" s="13">
        <v>0</v>
      </c>
      <c r="F4415" s="13">
        <v>0</v>
      </c>
      <c r="G4415" s="13">
        <v>0</v>
      </c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</row>
    <row r="4416" spans="1:19" x14ac:dyDescent="0.2">
      <c r="A4416" s="12" t="s">
        <v>149</v>
      </c>
      <c r="B4416" s="12" t="s">
        <v>573</v>
      </c>
      <c r="C4416" s="12" t="s">
        <v>564</v>
      </c>
      <c r="D4416" s="13">
        <v>0</v>
      </c>
      <c r="E4416" s="13">
        <v>0</v>
      </c>
      <c r="F4416" s="13">
        <v>0</v>
      </c>
      <c r="G4416" s="13">
        <v>0</v>
      </c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</row>
    <row r="4417" spans="1:19" x14ac:dyDescent="0.2">
      <c r="A4417" s="12" t="s">
        <v>149</v>
      </c>
      <c r="B4417" s="12" t="s">
        <v>573</v>
      </c>
      <c r="C4417" s="12" t="s">
        <v>565</v>
      </c>
      <c r="D4417" s="13">
        <v>0</v>
      </c>
      <c r="E4417" s="13">
        <v>0</v>
      </c>
      <c r="F4417" s="13">
        <v>0</v>
      </c>
      <c r="G4417" s="13">
        <v>0</v>
      </c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</row>
    <row r="4418" spans="1:19" x14ac:dyDescent="0.2">
      <c r="A4418" s="12" t="s">
        <v>149</v>
      </c>
      <c r="B4418" s="12" t="s">
        <v>573</v>
      </c>
      <c r="C4418" s="12" t="s">
        <v>566</v>
      </c>
      <c r="D4418" s="13">
        <v>0</v>
      </c>
      <c r="E4418" s="13">
        <v>0</v>
      </c>
      <c r="F4418" s="13">
        <v>0</v>
      </c>
      <c r="G4418" s="13">
        <v>0</v>
      </c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</row>
    <row r="4419" spans="1:19" x14ac:dyDescent="0.2">
      <c r="A4419" s="12" t="s">
        <v>149</v>
      </c>
      <c r="B4419" s="12" t="s">
        <v>574</v>
      </c>
      <c r="C4419" s="12" t="s">
        <v>554</v>
      </c>
      <c r="D4419" s="13">
        <v>13558</v>
      </c>
      <c r="E4419" s="13">
        <v>13209.984168000001</v>
      </c>
      <c r="F4419" s="13">
        <v>13838.899133999999</v>
      </c>
      <c r="G4419" s="13">
        <v>15207.293419</v>
      </c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</row>
    <row r="4420" spans="1:19" x14ac:dyDescent="0.2">
      <c r="A4420" s="12" t="s">
        <v>149</v>
      </c>
      <c r="B4420" s="12" t="s">
        <v>574</v>
      </c>
      <c r="C4420" s="12" t="s">
        <v>555</v>
      </c>
      <c r="D4420" s="13">
        <v>2272</v>
      </c>
      <c r="E4420" s="13">
        <v>2811.1185350000001</v>
      </c>
      <c r="F4420" s="13">
        <v>2663.5774740000002</v>
      </c>
      <c r="G4420" s="13">
        <v>2556.4287629999999</v>
      </c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</row>
    <row r="4421" spans="1:19" x14ac:dyDescent="0.2">
      <c r="A4421" s="12" t="s">
        <v>149</v>
      </c>
      <c r="B4421" s="12" t="s">
        <v>574</v>
      </c>
      <c r="C4421" s="12" t="s">
        <v>556</v>
      </c>
      <c r="D4421" s="13">
        <v>-3618</v>
      </c>
      <c r="E4421" s="13">
        <v>-3293.9767189999998</v>
      </c>
      <c r="F4421" s="13">
        <v>-3582.8825830000001</v>
      </c>
      <c r="G4421" s="13">
        <v>-4347.8162730000004</v>
      </c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</row>
    <row r="4422" spans="1:19" x14ac:dyDescent="0.2">
      <c r="A4422" s="12" t="s">
        <v>149</v>
      </c>
      <c r="B4422" s="12" t="s">
        <v>574</v>
      </c>
      <c r="C4422" s="12" t="s">
        <v>557</v>
      </c>
      <c r="D4422" s="13">
        <v>12049</v>
      </c>
      <c r="E4422" s="13">
        <v>12549.488621</v>
      </c>
      <c r="F4422" s="13">
        <v>12615.321696999999</v>
      </c>
      <c r="G4422" s="13">
        <v>13094.083952000001</v>
      </c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</row>
    <row r="4423" spans="1:19" x14ac:dyDescent="0.2">
      <c r="A4423" s="12" t="s">
        <v>149</v>
      </c>
      <c r="B4423" s="12" t="s">
        <v>574</v>
      </c>
      <c r="C4423" s="12" t="s">
        <v>558</v>
      </c>
      <c r="D4423" s="13">
        <v>-817</v>
      </c>
      <c r="E4423" s="13">
        <v>-1021.547418</v>
      </c>
      <c r="F4423" s="13">
        <v>-714.36282800000004</v>
      </c>
      <c r="G4423" s="13">
        <v>-688.99771099999998</v>
      </c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</row>
    <row r="4424" spans="1:19" x14ac:dyDescent="0.2">
      <c r="A4424" s="12" t="s">
        <v>149</v>
      </c>
      <c r="B4424" s="12" t="s">
        <v>574</v>
      </c>
      <c r="C4424" s="12" t="s">
        <v>560</v>
      </c>
      <c r="D4424" s="13">
        <v>-110</v>
      </c>
      <c r="E4424" s="13">
        <v>-122.50186600000001</v>
      </c>
      <c r="F4424" s="13">
        <v>-103.43898</v>
      </c>
      <c r="G4424" s="13">
        <v>-123.312966</v>
      </c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</row>
    <row r="4425" spans="1:19" x14ac:dyDescent="0.2">
      <c r="A4425" s="12" t="s">
        <v>149</v>
      </c>
      <c r="B4425" s="12" t="s">
        <v>574</v>
      </c>
      <c r="C4425" s="12" t="s">
        <v>561</v>
      </c>
      <c r="D4425" s="13">
        <v>9352</v>
      </c>
      <c r="E4425" s="13">
        <v>9744.4423200000001</v>
      </c>
      <c r="F4425" s="13">
        <v>10208.476015</v>
      </c>
      <c r="G4425" s="13">
        <v>10574.809974</v>
      </c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</row>
    <row r="4426" spans="1:19" x14ac:dyDescent="0.2">
      <c r="A4426" s="12" t="s">
        <v>149</v>
      </c>
      <c r="B4426" s="12" t="s">
        <v>574</v>
      </c>
      <c r="C4426" s="12" t="s">
        <v>562</v>
      </c>
      <c r="D4426" s="13">
        <v>3247</v>
      </c>
      <c r="E4426" s="13">
        <v>3339.5054810000001</v>
      </c>
      <c r="F4426" s="13">
        <v>3456.9778030000002</v>
      </c>
      <c r="G4426" s="13">
        <v>3583.877567</v>
      </c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</row>
    <row r="4427" spans="1:19" x14ac:dyDescent="0.2">
      <c r="A4427" s="12" t="s">
        <v>149</v>
      </c>
      <c r="B4427" s="12" t="s">
        <v>574</v>
      </c>
      <c r="C4427" s="12" t="s">
        <v>563</v>
      </c>
      <c r="D4427" s="13">
        <v>3381</v>
      </c>
      <c r="E4427" s="13">
        <v>3616.6789309999999</v>
      </c>
      <c r="F4427" s="13">
        <v>3792.8078719999999</v>
      </c>
      <c r="G4427" s="13">
        <v>3937.5953039999999</v>
      </c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</row>
    <row r="4428" spans="1:19" x14ac:dyDescent="0.2">
      <c r="A4428" s="12" t="s">
        <v>149</v>
      </c>
      <c r="B4428" s="12" t="s">
        <v>574</v>
      </c>
      <c r="C4428" s="12" t="s">
        <v>564</v>
      </c>
      <c r="D4428" s="13">
        <v>1179</v>
      </c>
      <c r="E4428" s="13">
        <v>1187.5288169999999</v>
      </c>
      <c r="F4428" s="13">
        <v>1207.4299579999999</v>
      </c>
      <c r="G4428" s="13">
        <v>1256.8010509999999</v>
      </c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</row>
    <row r="4429" spans="1:19" x14ac:dyDescent="0.2">
      <c r="A4429" s="12" t="s">
        <v>149</v>
      </c>
      <c r="B4429" s="12" t="s">
        <v>574</v>
      </c>
      <c r="C4429" s="12" t="s">
        <v>565</v>
      </c>
      <c r="D4429" s="13">
        <v>503</v>
      </c>
      <c r="E4429" s="13">
        <v>526.05230299999994</v>
      </c>
      <c r="F4429" s="13">
        <v>562.72590800000012</v>
      </c>
      <c r="G4429" s="13">
        <v>598.88727399999993</v>
      </c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</row>
    <row r="4430" spans="1:19" x14ac:dyDescent="0.2">
      <c r="A4430" s="12" t="s">
        <v>149</v>
      </c>
      <c r="B4430" s="12" t="s">
        <v>574</v>
      </c>
      <c r="C4430" s="12" t="s">
        <v>566</v>
      </c>
      <c r="D4430" s="13">
        <v>1041</v>
      </c>
      <c r="E4430" s="13">
        <v>1074.67678</v>
      </c>
      <c r="F4430" s="13">
        <v>1188.534461</v>
      </c>
      <c r="G4430" s="13">
        <v>1197.6487649999999</v>
      </c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</row>
    <row r="4431" spans="1:19" x14ac:dyDescent="0.2">
      <c r="A4431" s="12" t="s">
        <v>579</v>
      </c>
      <c r="B4431" s="12" t="s">
        <v>553</v>
      </c>
      <c r="C4431" s="12" t="s">
        <v>554</v>
      </c>
      <c r="D4431" s="13">
        <v>83318</v>
      </c>
      <c r="E4431" s="13">
        <v>88465.987180000011</v>
      </c>
      <c r="F4431" s="13">
        <v>93871.046417999998</v>
      </c>
      <c r="G4431" s="13">
        <v>96920.042863999988</v>
      </c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</row>
    <row r="4432" spans="1:19" x14ac:dyDescent="0.2">
      <c r="A4432" s="12" t="s">
        <v>579</v>
      </c>
      <c r="B4432" s="12" t="s">
        <v>553</v>
      </c>
      <c r="C4432" s="12" t="s">
        <v>555</v>
      </c>
      <c r="D4432" s="13">
        <v>6857</v>
      </c>
      <c r="E4432" s="13">
        <v>7120.5772550000002</v>
      </c>
      <c r="F4432" s="13">
        <v>6533.2737260000004</v>
      </c>
      <c r="G4432" s="13">
        <v>10534.983935</v>
      </c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</row>
    <row r="4433" spans="1:19" x14ac:dyDescent="0.2">
      <c r="A4433" s="12" t="s">
        <v>579</v>
      </c>
      <c r="B4433" s="12" t="s">
        <v>553</v>
      </c>
      <c r="C4433" s="12" t="s">
        <v>556</v>
      </c>
      <c r="D4433" s="13">
        <v>-180</v>
      </c>
      <c r="E4433" s="13">
        <v>-243.18860699999999</v>
      </c>
      <c r="F4433" s="13">
        <v>-347.632181</v>
      </c>
      <c r="G4433" s="13">
        <v>-356.60553599999997</v>
      </c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</row>
    <row r="4434" spans="1:19" x14ac:dyDescent="0.2">
      <c r="A4434" s="12" t="s">
        <v>579</v>
      </c>
      <c r="B4434" s="12" t="s">
        <v>553</v>
      </c>
      <c r="C4434" s="12" t="s">
        <v>557</v>
      </c>
      <c r="D4434" s="13">
        <v>88800</v>
      </c>
      <c r="E4434" s="13">
        <v>94582.733273000005</v>
      </c>
      <c r="F4434" s="13">
        <v>96662.534035999997</v>
      </c>
      <c r="G4434" s="13">
        <v>102535.242346</v>
      </c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</row>
    <row r="4435" spans="1:19" x14ac:dyDescent="0.2">
      <c r="A4435" s="12" t="s">
        <v>579</v>
      </c>
      <c r="B4435" s="12" t="s">
        <v>553</v>
      </c>
      <c r="C4435" s="12" t="s">
        <v>558</v>
      </c>
      <c r="D4435" s="13">
        <v>-52517</v>
      </c>
      <c r="E4435" s="13">
        <v>-58459.336263999998</v>
      </c>
      <c r="F4435" s="13">
        <v>-59912.535049999999</v>
      </c>
      <c r="G4435" s="13">
        <v>-64119.097084000001</v>
      </c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</row>
    <row r="4436" spans="1:19" x14ac:dyDescent="0.2">
      <c r="A4436" s="12" t="s">
        <v>579</v>
      </c>
      <c r="B4436" s="12" t="s">
        <v>553</v>
      </c>
      <c r="C4436" s="12" t="s">
        <v>560</v>
      </c>
      <c r="D4436" s="13">
        <v>0</v>
      </c>
      <c r="E4436" s="13">
        <v>0</v>
      </c>
      <c r="F4436" s="13">
        <v>0</v>
      </c>
      <c r="G4436" s="13">
        <v>0</v>
      </c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</row>
    <row r="4437" spans="1:19" x14ac:dyDescent="0.2">
      <c r="A4437" s="12" t="s">
        <v>579</v>
      </c>
      <c r="B4437" s="12" t="s">
        <v>553</v>
      </c>
      <c r="C4437" s="12" t="s">
        <v>561</v>
      </c>
      <c r="D4437" s="13">
        <v>23646</v>
      </c>
      <c r="E4437" s="13">
        <v>22704.13492</v>
      </c>
      <c r="F4437" s="13">
        <v>22002.949928000002</v>
      </c>
      <c r="G4437" s="13">
        <v>22022.212544999998</v>
      </c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</row>
    <row r="4438" spans="1:19" x14ac:dyDescent="0.2">
      <c r="A4438" s="12" t="s">
        <v>579</v>
      </c>
      <c r="B4438" s="12" t="s">
        <v>553</v>
      </c>
      <c r="C4438" s="12" t="s">
        <v>562</v>
      </c>
      <c r="D4438" s="13">
        <v>18111</v>
      </c>
      <c r="E4438" s="13">
        <v>17409.448346000001</v>
      </c>
      <c r="F4438" s="13">
        <v>16655.293104</v>
      </c>
      <c r="G4438" s="13">
        <v>16557.290407</v>
      </c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</row>
    <row r="4439" spans="1:19" x14ac:dyDescent="0.2">
      <c r="A4439" s="12" t="s">
        <v>579</v>
      </c>
      <c r="B4439" s="12" t="s">
        <v>553</v>
      </c>
      <c r="C4439" s="12" t="s">
        <v>563</v>
      </c>
      <c r="D4439" s="13">
        <v>0</v>
      </c>
      <c r="E4439" s="13">
        <v>7.2400000000000003E-4</v>
      </c>
      <c r="F4439" s="13">
        <v>0</v>
      </c>
      <c r="G4439" s="13">
        <v>7.2400000000000003E-4</v>
      </c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</row>
    <row r="4440" spans="1:19" x14ac:dyDescent="0.2">
      <c r="A4440" s="12" t="s">
        <v>579</v>
      </c>
      <c r="B4440" s="12" t="s">
        <v>553</v>
      </c>
      <c r="C4440" s="12" t="s">
        <v>564</v>
      </c>
      <c r="D4440" s="13">
        <v>1373</v>
      </c>
      <c r="E4440" s="13">
        <v>1289.463375</v>
      </c>
      <c r="F4440" s="13">
        <v>1199.277388</v>
      </c>
      <c r="G4440" s="13">
        <v>1139.3135150000001</v>
      </c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</row>
    <row r="4441" spans="1:19" x14ac:dyDescent="0.2">
      <c r="A4441" s="12" t="s">
        <v>579</v>
      </c>
      <c r="B4441" s="12" t="s">
        <v>553</v>
      </c>
      <c r="C4441" s="12" t="s">
        <v>565</v>
      </c>
      <c r="D4441" s="13">
        <v>433</v>
      </c>
      <c r="E4441" s="13">
        <v>327.66658799999999</v>
      </c>
      <c r="F4441" s="13">
        <v>292.47239300000001</v>
      </c>
      <c r="G4441" s="13">
        <v>277.84880500000003</v>
      </c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</row>
    <row r="4442" spans="1:19" x14ac:dyDescent="0.2">
      <c r="A4442" s="12" t="s">
        <v>579</v>
      </c>
      <c r="B4442" s="12" t="s">
        <v>553</v>
      </c>
      <c r="C4442" s="12" t="s">
        <v>566</v>
      </c>
      <c r="D4442" s="13">
        <v>3728</v>
      </c>
      <c r="E4442" s="13">
        <v>3677.5558860000001</v>
      </c>
      <c r="F4442" s="13">
        <v>3855.9070430000011</v>
      </c>
      <c r="G4442" s="13">
        <v>4047.759093000001</v>
      </c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</row>
    <row r="4443" spans="1:19" x14ac:dyDescent="0.2">
      <c r="A4443" s="12" t="s">
        <v>579</v>
      </c>
      <c r="B4443" s="12" t="s">
        <v>567</v>
      </c>
      <c r="C4443" s="12" t="s">
        <v>554</v>
      </c>
      <c r="D4443" s="13">
        <v>8167</v>
      </c>
      <c r="E4443" s="13">
        <v>8339.9024649999992</v>
      </c>
      <c r="F4443" s="13">
        <v>8585.2577160000001</v>
      </c>
      <c r="G4443" s="13">
        <v>8766.2229480000005</v>
      </c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</row>
    <row r="4444" spans="1:19" x14ac:dyDescent="0.2">
      <c r="A4444" s="12" t="s">
        <v>579</v>
      </c>
      <c r="B4444" s="12" t="s">
        <v>567</v>
      </c>
      <c r="C4444" s="12" t="s">
        <v>555</v>
      </c>
      <c r="D4444" s="13">
        <v>22693</v>
      </c>
      <c r="E4444" s="13">
        <v>21475.022483000001</v>
      </c>
      <c r="F4444" s="13">
        <v>21278.613708000001</v>
      </c>
      <c r="G4444" s="13">
        <v>23613.293129999998</v>
      </c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</row>
    <row r="4445" spans="1:19" x14ac:dyDescent="0.2">
      <c r="A4445" s="12" t="s">
        <v>579</v>
      </c>
      <c r="B4445" s="12" t="s">
        <v>567</v>
      </c>
      <c r="C4445" s="12" t="s">
        <v>556</v>
      </c>
      <c r="D4445" s="13">
        <v>-69</v>
      </c>
      <c r="E4445" s="13">
        <v>-109.30897400000001</v>
      </c>
      <c r="F4445" s="13">
        <v>-85.913554999999988</v>
      </c>
      <c r="G4445" s="13">
        <v>-59.487896999999997</v>
      </c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</row>
    <row r="4446" spans="1:19" x14ac:dyDescent="0.2">
      <c r="A4446" s="12" t="s">
        <v>579</v>
      </c>
      <c r="B4446" s="12" t="s">
        <v>567</v>
      </c>
      <c r="C4446" s="12" t="s">
        <v>557</v>
      </c>
      <c r="D4446" s="13">
        <v>29307</v>
      </c>
      <c r="E4446" s="13">
        <v>30287.819821000001</v>
      </c>
      <c r="F4446" s="13">
        <v>29344.433570000001</v>
      </c>
      <c r="G4446" s="13">
        <v>31872.403954000001</v>
      </c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</row>
    <row r="4447" spans="1:19" x14ac:dyDescent="0.2">
      <c r="A4447" s="12" t="s">
        <v>579</v>
      </c>
      <c r="B4447" s="12" t="s">
        <v>567</v>
      </c>
      <c r="C4447" s="12" t="s">
        <v>558</v>
      </c>
      <c r="D4447" s="13">
        <v>-7</v>
      </c>
      <c r="E4447" s="13">
        <v>-5.1706980000000007</v>
      </c>
      <c r="F4447" s="13">
        <v>-0.57869899999999996</v>
      </c>
      <c r="G4447" s="13">
        <v>-0.60608099999999998</v>
      </c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</row>
    <row r="4448" spans="1:19" x14ac:dyDescent="0.2">
      <c r="A4448" s="12" t="s">
        <v>579</v>
      </c>
      <c r="B4448" s="12" t="s">
        <v>567</v>
      </c>
      <c r="C4448" s="12" t="s">
        <v>560</v>
      </c>
      <c r="D4448" s="13">
        <v>-29084</v>
      </c>
      <c r="E4448" s="13">
        <v>-30415.196403000002</v>
      </c>
      <c r="F4448" s="13">
        <v>-29581.536563000001</v>
      </c>
      <c r="G4448" s="13">
        <v>-32158.542316999999</v>
      </c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</row>
    <row r="4449" spans="1:19" x14ac:dyDescent="0.2">
      <c r="A4449" s="12" t="s">
        <v>579</v>
      </c>
      <c r="B4449" s="12" t="s">
        <v>567</v>
      </c>
      <c r="C4449" s="12" t="s">
        <v>561</v>
      </c>
      <c r="D4449" s="13">
        <v>72</v>
      </c>
      <c r="E4449" s="13">
        <v>87.487373000000005</v>
      </c>
      <c r="F4449" s="13">
        <v>26.106497999999998</v>
      </c>
      <c r="G4449" s="13">
        <v>26.106497999999998</v>
      </c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</row>
    <row r="4450" spans="1:19" x14ac:dyDescent="0.2">
      <c r="A4450" s="12" t="s">
        <v>579</v>
      </c>
      <c r="B4450" s="12" t="s">
        <v>567</v>
      </c>
      <c r="C4450" s="12" t="s">
        <v>562</v>
      </c>
      <c r="D4450" s="13">
        <v>72</v>
      </c>
      <c r="E4450" s="13">
        <v>87.487373000000005</v>
      </c>
      <c r="F4450" s="13">
        <v>26.106497999999998</v>
      </c>
      <c r="G4450" s="13">
        <v>26.106497999999998</v>
      </c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</row>
    <row r="4451" spans="1:19" x14ac:dyDescent="0.2">
      <c r="A4451" s="12" t="s">
        <v>579</v>
      </c>
      <c r="B4451" s="12" t="s">
        <v>567</v>
      </c>
      <c r="C4451" s="12" t="s">
        <v>563</v>
      </c>
      <c r="D4451" s="13">
        <v>0</v>
      </c>
      <c r="E4451" s="13">
        <v>0</v>
      </c>
      <c r="F4451" s="13">
        <v>0</v>
      </c>
      <c r="G4451" s="13">
        <v>0</v>
      </c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</row>
    <row r="4452" spans="1:19" x14ac:dyDescent="0.2">
      <c r="A4452" s="12" t="s">
        <v>579</v>
      </c>
      <c r="B4452" s="12" t="s">
        <v>567</v>
      </c>
      <c r="C4452" s="12" t="s">
        <v>564</v>
      </c>
      <c r="D4452" s="13">
        <v>0</v>
      </c>
      <c r="E4452" s="13">
        <v>0</v>
      </c>
      <c r="F4452" s="13">
        <v>0</v>
      </c>
      <c r="G4452" s="13">
        <v>0</v>
      </c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</row>
    <row r="4453" spans="1:19" x14ac:dyDescent="0.2">
      <c r="A4453" s="12" t="s">
        <v>579</v>
      </c>
      <c r="B4453" s="12" t="s">
        <v>567</v>
      </c>
      <c r="C4453" s="12" t="s">
        <v>565</v>
      </c>
      <c r="D4453" s="13">
        <v>0</v>
      </c>
      <c r="E4453" s="13">
        <v>0</v>
      </c>
      <c r="F4453" s="13">
        <v>0</v>
      </c>
      <c r="G4453" s="13">
        <v>0</v>
      </c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</row>
    <row r="4454" spans="1:19" x14ac:dyDescent="0.2">
      <c r="A4454" s="12" t="s">
        <v>579</v>
      </c>
      <c r="B4454" s="12" t="s">
        <v>567</v>
      </c>
      <c r="C4454" s="12" t="s">
        <v>566</v>
      </c>
      <c r="D4454" s="13">
        <v>0</v>
      </c>
      <c r="E4454" s="13">
        <v>0</v>
      </c>
      <c r="F4454" s="13">
        <v>0</v>
      </c>
      <c r="G4454" s="13">
        <v>0</v>
      </c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</row>
    <row r="4455" spans="1:19" x14ac:dyDescent="0.2">
      <c r="A4455" s="12" t="s">
        <v>579</v>
      </c>
      <c r="B4455" s="12" t="s">
        <v>568</v>
      </c>
      <c r="C4455" s="12" t="s">
        <v>554</v>
      </c>
      <c r="D4455" s="13">
        <v>0</v>
      </c>
      <c r="E4455" s="13">
        <v>0</v>
      </c>
      <c r="F4455" s="13">
        <v>0</v>
      </c>
      <c r="G4455" s="13">
        <v>0</v>
      </c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</row>
    <row r="4456" spans="1:19" x14ac:dyDescent="0.2">
      <c r="A4456" s="12" t="s">
        <v>579</v>
      </c>
      <c r="B4456" s="12" t="s">
        <v>568</v>
      </c>
      <c r="C4456" s="12" t="s">
        <v>555</v>
      </c>
      <c r="D4456" s="13">
        <v>2694</v>
      </c>
      <c r="E4456" s="13">
        <v>2905.2253430000001</v>
      </c>
      <c r="F4456" s="13">
        <v>3053.8960699999998</v>
      </c>
      <c r="G4456" s="13">
        <v>4369.7513410000001</v>
      </c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</row>
    <row r="4457" spans="1:19" x14ac:dyDescent="0.2">
      <c r="A4457" s="12" t="s">
        <v>579</v>
      </c>
      <c r="B4457" s="12" t="s">
        <v>568</v>
      </c>
      <c r="C4457" s="12" t="s">
        <v>556</v>
      </c>
      <c r="D4457" s="13">
        <v>-2788</v>
      </c>
      <c r="E4457" s="13">
        <v>-2730.6962149999999</v>
      </c>
      <c r="F4457" s="13">
        <v>-2430.0349310000001</v>
      </c>
      <c r="G4457" s="13">
        <v>-2816.214281</v>
      </c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</row>
    <row r="4458" spans="1:19" x14ac:dyDescent="0.2">
      <c r="A4458" s="12" t="s">
        <v>579</v>
      </c>
      <c r="B4458" s="12" t="s">
        <v>568</v>
      </c>
      <c r="C4458" s="12" t="s">
        <v>557</v>
      </c>
      <c r="D4458" s="13">
        <v>-1633</v>
      </c>
      <c r="E4458" s="13">
        <v>-1913.865536</v>
      </c>
      <c r="F4458" s="13">
        <v>-862.85980600000005</v>
      </c>
      <c r="G4458" s="13">
        <v>-1068.1439479999999</v>
      </c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</row>
    <row r="4459" spans="1:19" x14ac:dyDescent="0.2">
      <c r="A4459" s="12" t="s">
        <v>579</v>
      </c>
      <c r="B4459" s="12" t="s">
        <v>568</v>
      </c>
      <c r="C4459" s="12" t="s">
        <v>558</v>
      </c>
      <c r="D4459" s="13">
        <v>-377</v>
      </c>
      <c r="E4459" s="13">
        <v>-382.74247200000002</v>
      </c>
      <c r="F4459" s="13">
        <v>-370.80060200000003</v>
      </c>
      <c r="G4459" s="13">
        <v>-399.01073699999989</v>
      </c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</row>
    <row r="4460" spans="1:19" x14ac:dyDescent="0.2">
      <c r="A4460" s="12" t="s">
        <v>579</v>
      </c>
      <c r="B4460" s="12" t="s">
        <v>568</v>
      </c>
      <c r="C4460" s="12" t="s">
        <v>560</v>
      </c>
      <c r="D4460" s="13">
        <v>28966</v>
      </c>
      <c r="E4460" s="13">
        <v>30293.518370000002</v>
      </c>
      <c r="F4460" s="13">
        <v>29430.714144000001</v>
      </c>
      <c r="G4460" s="13">
        <v>31979.819833000001</v>
      </c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</row>
    <row r="4461" spans="1:19" x14ac:dyDescent="0.2">
      <c r="A4461" s="12" t="s">
        <v>579</v>
      </c>
      <c r="B4461" s="12" t="s">
        <v>568</v>
      </c>
      <c r="C4461" s="12" t="s">
        <v>561</v>
      </c>
      <c r="D4461" s="13">
        <v>24576</v>
      </c>
      <c r="E4461" s="13">
        <v>26078.842626000001</v>
      </c>
      <c r="F4461" s="13">
        <v>26102.403541</v>
      </c>
      <c r="G4461" s="13">
        <v>28293.701530999999</v>
      </c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</row>
    <row r="4462" spans="1:19" x14ac:dyDescent="0.2">
      <c r="A4462" s="12" t="s">
        <v>579</v>
      </c>
      <c r="B4462" s="12" t="s">
        <v>568</v>
      </c>
      <c r="C4462" s="12" t="s">
        <v>562</v>
      </c>
      <c r="D4462" s="13">
        <v>2267</v>
      </c>
      <c r="E4462" s="13">
        <v>2023.454792</v>
      </c>
      <c r="F4462" s="13">
        <v>3299.6810919999998</v>
      </c>
      <c r="G4462" s="13">
        <v>3420.8470710000001</v>
      </c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</row>
    <row r="4463" spans="1:19" x14ac:dyDescent="0.2">
      <c r="A4463" s="12" t="s">
        <v>579</v>
      </c>
      <c r="B4463" s="12" t="s">
        <v>568</v>
      </c>
      <c r="C4463" s="12" t="s">
        <v>563</v>
      </c>
      <c r="D4463" s="13">
        <v>13555</v>
      </c>
      <c r="E4463" s="13">
        <v>14453.471095000001</v>
      </c>
      <c r="F4463" s="13">
        <v>13047.919067999999</v>
      </c>
      <c r="G4463" s="13">
        <v>13739.321916000001</v>
      </c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</row>
    <row r="4464" spans="1:19" x14ac:dyDescent="0.2">
      <c r="A4464" s="12" t="s">
        <v>579</v>
      </c>
      <c r="B4464" s="12" t="s">
        <v>568</v>
      </c>
      <c r="C4464" s="12" t="s">
        <v>564</v>
      </c>
      <c r="D4464" s="13">
        <v>1570</v>
      </c>
      <c r="E4464" s="13">
        <v>1501.614564</v>
      </c>
      <c r="F4464" s="13">
        <v>1474.589009</v>
      </c>
      <c r="G4464" s="13">
        <v>1430.3513559999999</v>
      </c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</row>
    <row r="4465" spans="1:19" x14ac:dyDescent="0.2">
      <c r="A4465" s="12" t="s">
        <v>579</v>
      </c>
      <c r="B4465" s="12" t="s">
        <v>568</v>
      </c>
      <c r="C4465" s="12" t="s">
        <v>565</v>
      </c>
      <c r="D4465" s="13">
        <v>661</v>
      </c>
      <c r="E4465" s="13">
        <v>694.65024199999993</v>
      </c>
      <c r="F4465" s="13">
        <v>678.27417300000002</v>
      </c>
      <c r="G4465" s="13">
        <v>657.92223899999999</v>
      </c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</row>
    <row r="4466" spans="1:19" x14ac:dyDescent="0.2">
      <c r="A4466" s="12" t="s">
        <v>579</v>
      </c>
      <c r="B4466" s="12" t="s">
        <v>568</v>
      </c>
      <c r="C4466" s="12" t="s">
        <v>566</v>
      </c>
      <c r="D4466" s="13">
        <v>6523</v>
      </c>
      <c r="E4466" s="13">
        <v>7405.6519319999998</v>
      </c>
      <c r="F4466" s="13">
        <v>7601.9402030000001</v>
      </c>
      <c r="G4466" s="13">
        <v>9045.2589489999991</v>
      </c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</row>
    <row r="4467" spans="1:19" x14ac:dyDescent="0.2">
      <c r="A4467" s="12" t="s">
        <v>579</v>
      </c>
      <c r="B4467" s="12" t="s">
        <v>569</v>
      </c>
      <c r="C4467" s="12" t="s">
        <v>554</v>
      </c>
      <c r="D4467" s="13">
        <v>6745</v>
      </c>
      <c r="E4467" s="13">
        <v>7273.3074320000014</v>
      </c>
      <c r="F4467" s="13">
        <v>7712.2094040000002</v>
      </c>
      <c r="G4467" s="13">
        <v>8143.877297</v>
      </c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</row>
    <row r="4468" spans="1:19" x14ac:dyDescent="0.2">
      <c r="A4468" s="12" t="s">
        <v>579</v>
      </c>
      <c r="B4468" s="12" t="s">
        <v>569</v>
      </c>
      <c r="C4468" s="12" t="s">
        <v>555</v>
      </c>
      <c r="D4468" s="13">
        <v>4537</v>
      </c>
      <c r="E4468" s="13">
        <v>5441.4967240000014</v>
      </c>
      <c r="F4468" s="13">
        <v>4939.0360259999998</v>
      </c>
      <c r="G4468" s="13">
        <v>5427.7920920000006</v>
      </c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</row>
    <row r="4469" spans="1:19" x14ac:dyDescent="0.2">
      <c r="A4469" s="12" t="s">
        <v>579</v>
      </c>
      <c r="B4469" s="12" t="s">
        <v>569</v>
      </c>
      <c r="C4469" s="12" t="s">
        <v>556</v>
      </c>
      <c r="D4469" s="13">
        <v>-181</v>
      </c>
      <c r="E4469" s="13">
        <v>-193.375112</v>
      </c>
      <c r="F4469" s="13">
        <v>-201.380031</v>
      </c>
      <c r="G4469" s="13">
        <v>-222.20609099999999</v>
      </c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</row>
    <row r="4470" spans="1:19" x14ac:dyDescent="0.2">
      <c r="A4470" s="12" t="s">
        <v>579</v>
      </c>
      <c r="B4470" s="12" t="s">
        <v>569</v>
      </c>
      <c r="C4470" s="12" t="s">
        <v>557</v>
      </c>
      <c r="D4470" s="13">
        <v>11101</v>
      </c>
      <c r="E4470" s="13">
        <v>12521.429044</v>
      </c>
      <c r="F4470" s="13">
        <v>12449.865399</v>
      </c>
      <c r="G4470" s="13">
        <v>13349.463298000001</v>
      </c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</row>
    <row r="4471" spans="1:19" x14ac:dyDescent="0.2">
      <c r="A4471" s="12" t="s">
        <v>579</v>
      </c>
      <c r="B4471" s="12" t="s">
        <v>569</v>
      </c>
      <c r="C4471" s="12" t="s">
        <v>558</v>
      </c>
      <c r="D4471" s="13">
        <v>-2157</v>
      </c>
      <c r="E4471" s="13">
        <v>-2444.0211840000011</v>
      </c>
      <c r="F4471" s="13">
        <v>-2467.593672</v>
      </c>
      <c r="G4471" s="13">
        <v>-2625.7552460000002</v>
      </c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</row>
    <row r="4472" spans="1:19" x14ac:dyDescent="0.2">
      <c r="A4472" s="12" t="s">
        <v>579</v>
      </c>
      <c r="B4472" s="12" t="s">
        <v>569</v>
      </c>
      <c r="C4472" s="12" t="s">
        <v>560</v>
      </c>
      <c r="D4472" s="13">
        <v>0</v>
      </c>
      <c r="E4472" s="13">
        <v>0</v>
      </c>
      <c r="F4472" s="13">
        <v>0</v>
      </c>
      <c r="G4472" s="13">
        <v>0</v>
      </c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</row>
    <row r="4473" spans="1:19" x14ac:dyDescent="0.2">
      <c r="A4473" s="12" t="s">
        <v>579</v>
      </c>
      <c r="B4473" s="12" t="s">
        <v>569</v>
      </c>
      <c r="C4473" s="12" t="s">
        <v>561</v>
      </c>
      <c r="D4473" s="13">
        <v>8220</v>
      </c>
      <c r="E4473" s="13">
        <v>9386.9494500000001</v>
      </c>
      <c r="F4473" s="13">
        <v>9327.5311130000009</v>
      </c>
      <c r="G4473" s="13">
        <v>10126.845439000001</v>
      </c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</row>
    <row r="4474" spans="1:19" x14ac:dyDescent="0.2">
      <c r="A4474" s="12" t="s">
        <v>579</v>
      </c>
      <c r="B4474" s="12" t="s">
        <v>569</v>
      </c>
      <c r="C4474" s="12" t="s">
        <v>562</v>
      </c>
      <c r="D4474" s="13">
        <v>4271</v>
      </c>
      <c r="E4474" s="13">
        <v>5234.080919</v>
      </c>
      <c r="F4474" s="13">
        <v>5139.6379310000002</v>
      </c>
      <c r="G4474" s="13">
        <v>5609.2097160000003</v>
      </c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</row>
    <row r="4475" spans="1:19" x14ac:dyDescent="0.2">
      <c r="A4475" s="12" t="s">
        <v>579</v>
      </c>
      <c r="B4475" s="12" t="s">
        <v>569</v>
      </c>
      <c r="C4475" s="12" t="s">
        <v>563</v>
      </c>
      <c r="D4475" s="13">
        <v>1099</v>
      </c>
      <c r="E4475" s="13">
        <v>1135.4129370000001</v>
      </c>
      <c r="F4475" s="13">
        <v>1059.674763</v>
      </c>
      <c r="G4475" s="13">
        <v>1148.6301120000001</v>
      </c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</row>
    <row r="4476" spans="1:19" x14ac:dyDescent="0.2">
      <c r="A4476" s="12" t="s">
        <v>579</v>
      </c>
      <c r="B4476" s="12" t="s">
        <v>569</v>
      </c>
      <c r="C4476" s="12" t="s">
        <v>564</v>
      </c>
      <c r="D4476" s="13">
        <v>1962</v>
      </c>
      <c r="E4476" s="13">
        <v>2075.1546669999998</v>
      </c>
      <c r="F4476" s="13">
        <v>2064.9264229999999</v>
      </c>
      <c r="G4476" s="13">
        <v>2238.2685219999998</v>
      </c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</row>
    <row r="4477" spans="1:19" x14ac:dyDescent="0.2">
      <c r="A4477" s="12" t="s">
        <v>579</v>
      </c>
      <c r="B4477" s="12" t="s">
        <v>569</v>
      </c>
      <c r="C4477" s="12" t="s">
        <v>565</v>
      </c>
      <c r="D4477" s="13">
        <v>506</v>
      </c>
      <c r="E4477" s="13">
        <v>557.86153300000012</v>
      </c>
      <c r="F4477" s="13">
        <v>569.69464000000005</v>
      </c>
      <c r="G4477" s="13">
        <v>592.08988699999998</v>
      </c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</row>
    <row r="4478" spans="1:19" x14ac:dyDescent="0.2">
      <c r="A4478" s="12" t="s">
        <v>579</v>
      </c>
      <c r="B4478" s="12" t="s">
        <v>569</v>
      </c>
      <c r="C4478" s="12" t="s">
        <v>566</v>
      </c>
      <c r="D4478" s="13">
        <v>381</v>
      </c>
      <c r="E4478" s="13">
        <v>384.43939499999999</v>
      </c>
      <c r="F4478" s="13">
        <v>493.59735999999998</v>
      </c>
      <c r="G4478" s="13">
        <v>538.64720199999999</v>
      </c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</row>
    <row r="4479" spans="1:19" x14ac:dyDescent="0.2">
      <c r="A4479" s="12" t="s">
        <v>579</v>
      </c>
      <c r="B4479" s="12" t="s">
        <v>570</v>
      </c>
      <c r="C4479" s="12" t="s">
        <v>554</v>
      </c>
      <c r="D4479" s="13">
        <v>3996</v>
      </c>
      <c r="E4479" s="13">
        <v>4445.7054529999996</v>
      </c>
      <c r="F4479" s="13">
        <v>4557.5486179999998</v>
      </c>
      <c r="G4479" s="13">
        <v>4742.3999990000002</v>
      </c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</row>
    <row r="4480" spans="1:19" x14ac:dyDescent="0.2">
      <c r="A4480" s="12" t="s">
        <v>579</v>
      </c>
      <c r="B4480" s="12" t="s">
        <v>570</v>
      </c>
      <c r="C4480" s="12" t="s">
        <v>555</v>
      </c>
      <c r="D4480" s="13">
        <v>0</v>
      </c>
      <c r="E4480" s="13">
        <v>0</v>
      </c>
      <c r="F4480" s="13">
        <v>0</v>
      </c>
      <c r="G4480" s="13">
        <v>0</v>
      </c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</row>
    <row r="4481" spans="1:19" x14ac:dyDescent="0.2">
      <c r="A4481" s="12" t="s">
        <v>579</v>
      </c>
      <c r="B4481" s="12" t="s">
        <v>570</v>
      </c>
      <c r="C4481" s="12" t="s">
        <v>556</v>
      </c>
      <c r="D4481" s="13">
        <v>0</v>
      </c>
      <c r="E4481" s="13">
        <v>0</v>
      </c>
      <c r="F4481" s="13">
        <v>0</v>
      </c>
      <c r="G4481" s="13">
        <v>0</v>
      </c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</row>
    <row r="4482" spans="1:19" x14ac:dyDescent="0.2">
      <c r="A4482" s="12" t="s">
        <v>579</v>
      </c>
      <c r="B4482" s="12" t="s">
        <v>570</v>
      </c>
      <c r="C4482" s="12" t="s">
        <v>557</v>
      </c>
      <c r="D4482" s="13">
        <v>3996</v>
      </c>
      <c r="E4482" s="13">
        <v>4445.7054529999996</v>
      </c>
      <c r="F4482" s="13">
        <v>4557.5486179999998</v>
      </c>
      <c r="G4482" s="13">
        <v>4742.3999990000002</v>
      </c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</row>
    <row r="4483" spans="1:19" x14ac:dyDescent="0.2">
      <c r="A4483" s="12" t="s">
        <v>579</v>
      </c>
      <c r="B4483" s="12" t="s">
        <v>570</v>
      </c>
      <c r="C4483" s="12" t="s">
        <v>558</v>
      </c>
      <c r="D4483" s="13">
        <v>-3996</v>
      </c>
      <c r="E4483" s="13">
        <v>-4445.7054529999996</v>
      </c>
      <c r="F4483" s="13">
        <v>-4557.5486179999998</v>
      </c>
      <c r="G4483" s="13">
        <v>-4742.3999990000002</v>
      </c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</row>
    <row r="4484" spans="1:19" x14ac:dyDescent="0.2">
      <c r="A4484" s="12" t="s">
        <v>579</v>
      </c>
      <c r="B4484" s="12" t="s">
        <v>570</v>
      </c>
      <c r="C4484" s="12" t="s">
        <v>560</v>
      </c>
      <c r="D4484" s="13">
        <v>0</v>
      </c>
      <c r="E4484" s="13">
        <v>0</v>
      </c>
      <c r="F4484" s="13">
        <v>0</v>
      </c>
      <c r="G4484" s="13">
        <v>0</v>
      </c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</row>
    <row r="4485" spans="1:19" x14ac:dyDescent="0.2">
      <c r="A4485" s="12" t="s">
        <v>579</v>
      </c>
      <c r="B4485" s="12" t="s">
        <v>570</v>
      </c>
      <c r="C4485" s="12" t="s">
        <v>561</v>
      </c>
      <c r="D4485" s="13">
        <v>0</v>
      </c>
      <c r="E4485" s="13">
        <v>0</v>
      </c>
      <c r="F4485" s="13">
        <v>0</v>
      </c>
      <c r="G4485" s="13">
        <v>0</v>
      </c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</row>
    <row r="4486" spans="1:19" x14ac:dyDescent="0.2">
      <c r="A4486" s="12" t="s">
        <v>579</v>
      </c>
      <c r="B4486" s="12" t="s">
        <v>570</v>
      </c>
      <c r="C4486" s="12" t="s">
        <v>562</v>
      </c>
      <c r="D4486" s="13">
        <v>0</v>
      </c>
      <c r="E4486" s="13">
        <v>0</v>
      </c>
      <c r="F4486" s="13">
        <v>0</v>
      </c>
      <c r="G4486" s="13">
        <v>0</v>
      </c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</row>
    <row r="4487" spans="1:19" x14ac:dyDescent="0.2">
      <c r="A4487" s="12" t="s">
        <v>579</v>
      </c>
      <c r="B4487" s="12" t="s">
        <v>570</v>
      </c>
      <c r="C4487" s="12" t="s">
        <v>563</v>
      </c>
      <c r="D4487" s="13">
        <v>0</v>
      </c>
      <c r="E4487" s="13">
        <v>0</v>
      </c>
      <c r="F4487" s="13">
        <v>0</v>
      </c>
      <c r="G4487" s="13">
        <v>0</v>
      </c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</row>
    <row r="4488" spans="1:19" x14ac:dyDescent="0.2">
      <c r="A4488" s="12" t="s">
        <v>579</v>
      </c>
      <c r="B4488" s="12" t="s">
        <v>570</v>
      </c>
      <c r="C4488" s="12" t="s">
        <v>564</v>
      </c>
      <c r="D4488" s="13">
        <v>0</v>
      </c>
      <c r="E4488" s="13">
        <v>0</v>
      </c>
      <c r="F4488" s="13">
        <v>0</v>
      </c>
      <c r="G4488" s="13">
        <v>0</v>
      </c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</row>
    <row r="4489" spans="1:19" x14ac:dyDescent="0.2">
      <c r="A4489" s="12" t="s">
        <v>579</v>
      </c>
      <c r="B4489" s="12" t="s">
        <v>570</v>
      </c>
      <c r="C4489" s="12" t="s">
        <v>565</v>
      </c>
      <c r="D4489" s="13">
        <v>0</v>
      </c>
      <c r="E4489" s="13">
        <v>0</v>
      </c>
      <c r="F4489" s="13">
        <v>0</v>
      </c>
      <c r="G4489" s="13">
        <v>0</v>
      </c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</row>
    <row r="4490" spans="1:19" x14ac:dyDescent="0.2">
      <c r="A4490" s="12" t="s">
        <v>579</v>
      </c>
      <c r="B4490" s="12" t="s">
        <v>570</v>
      </c>
      <c r="C4490" s="12" t="s">
        <v>566</v>
      </c>
      <c r="D4490" s="13">
        <v>0</v>
      </c>
      <c r="E4490" s="13">
        <v>0</v>
      </c>
      <c r="F4490" s="13">
        <v>0</v>
      </c>
      <c r="G4490" s="13">
        <v>0</v>
      </c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</row>
    <row r="4491" spans="1:19" x14ac:dyDescent="0.2">
      <c r="A4491" s="12" t="s">
        <v>579</v>
      </c>
      <c r="B4491" s="12" t="s">
        <v>571</v>
      </c>
      <c r="C4491" s="12" t="s">
        <v>554</v>
      </c>
      <c r="D4491" s="13">
        <v>14210</v>
      </c>
      <c r="E4491" s="13">
        <v>15321.370585000001</v>
      </c>
      <c r="F4491" s="13">
        <v>16197.46968</v>
      </c>
      <c r="G4491" s="13">
        <v>17098.369503999998</v>
      </c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</row>
    <row r="4492" spans="1:19" x14ac:dyDescent="0.2">
      <c r="A4492" s="12" t="s">
        <v>579</v>
      </c>
      <c r="B4492" s="12" t="s">
        <v>571</v>
      </c>
      <c r="C4492" s="12" t="s">
        <v>555</v>
      </c>
      <c r="D4492" s="13">
        <v>3</v>
      </c>
      <c r="E4492" s="13">
        <v>6.6787580000000002</v>
      </c>
      <c r="F4492" s="13">
        <v>11.720578</v>
      </c>
      <c r="G4492" s="13">
        <v>9.5270799999999998</v>
      </c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</row>
    <row r="4493" spans="1:19" x14ac:dyDescent="0.2">
      <c r="A4493" s="12" t="s">
        <v>579</v>
      </c>
      <c r="B4493" s="12" t="s">
        <v>571</v>
      </c>
      <c r="C4493" s="12" t="s">
        <v>556</v>
      </c>
      <c r="D4493" s="13">
        <v>-34</v>
      </c>
      <c r="E4493" s="13">
        <v>-48.290098999999998</v>
      </c>
      <c r="F4493" s="13">
        <v>-67.246003000000002</v>
      </c>
      <c r="G4493" s="13">
        <v>-90.883600000000001</v>
      </c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</row>
    <row r="4494" spans="1:19" x14ac:dyDescent="0.2">
      <c r="A4494" s="12" t="s">
        <v>579</v>
      </c>
      <c r="B4494" s="12" t="s">
        <v>571</v>
      </c>
      <c r="C4494" s="12" t="s">
        <v>557</v>
      </c>
      <c r="D4494" s="13">
        <v>14180</v>
      </c>
      <c r="E4494" s="13">
        <v>15279.759244000001</v>
      </c>
      <c r="F4494" s="13">
        <v>16141.944255</v>
      </c>
      <c r="G4494" s="13">
        <v>17017.012983000001</v>
      </c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</row>
    <row r="4495" spans="1:19" x14ac:dyDescent="0.2">
      <c r="A4495" s="12" t="s">
        <v>579</v>
      </c>
      <c r="B4495" s="12" t="s">
        <v>571</v>
      </c>
      <c r="C4495" s="12" t="s">
        <v>558</v>
      </c>
      <c r="D4495" s="13">
        <v>-10079</v>
      </c>
      <c r="E4495" s="13">
        <v>-11407.444713999999</v>
      </c>
      <c r="F4495" s="13">
        <v>-12489.025858000001</v>
      </c>
      <c r="G4495" s="13">
        <v>-13553.821292000001</v>
      </c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</row>
    <row r="4496" spans="1:19" x14ac:dyDescent="0.2">
      <c r="A4496" s="12" t="s">
        <v>579</v>
      </c>
      <c r="B4496" s="12" t="s">
        <v>571</v>
      </c>
      <c r="C4496" s="12" t="s">
        <v>560</v>
      </c>
      <c r="D4496" s="13">
        <v>0</v>
      </c>
      <c r="E4496" s="13">
        <v>0</v>
      </c>
      <c r="F4496" s="13">
        <v>0</v>
      </c>
      <c r="G4496" s="13">
        <v>0</v>
      </c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</row>
    <row r="4497" spans="1:19" x14ac:dyDescent="0.2">
      <c r="A4497" s="12" t="s">
        <v>579</v>
      </c>
      <c r="B4497" s="12" t="s">
        <v>571</v>
      </c>
      <c r="C4497" s="12" t="s">
        <v>561</v>
      </c>
      <c r="D4497" s="13">
        <v>4105</v>
      </c>
      <c r="E4497" s="13">
        <v>3874.928985</v>
      </c>
      <c r="F4497" s="13">
        <v>3654.992991000001</v>
      </c>
      <c r="G4497" s="13">
        <v>3465.3240089999999</v>
      </c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</row>
    <row r="4498" spans="1:19" x14ac:dyDescent="0.2">
      <c r="A4498" s="12" t="s">
        <v>579</v>
      </c>
      <c r="B4498" s="12" t="s">
        <v>571</v>
      </c>
      <c r="C4498" s="12" t="s">
        <v>562</v>
      </c>
      <c r="D4498" s="13">
        <v>271</v>
      </c>
      <c r="E4498" s="13">
        <v>315.91074800000001</v>
      </c>
      <c r="F4498" s="13">
        <v>356.67473200000001</v>
      </c>
      <c r="G4498" s="13">
        <v>384.92134600000003</v>
      </c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</row>
    <row r="4499" spans="1:19" x14ac:dyDescent="0.2">
      <c r="A4499" s="12" t="s">
        <v>579</v>
      </c>
      <c r="B4499" s="12" t="s">
        <v>571</v>
      </c>
      <c r="C4499" s="12" t="s">
        <v>563</v>
      </c>
      <c r="D4499" s="13">
        <v>89</v>
      </c>
      <c r="E4499" s="13">
        <v>86.857456000000013</v>
      </c>
      <c r="F4499" s="13">
        <v>89.803505999999999</v>
      </c>
      <c r="G4499" s="13">
        <v>99.055208000000007</v>
      </c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</row>
    <row r="4500" spans="1:19" x14ac:dyDescent="0.2">
      <c r="A4500" s="12" t="s">
        <v>579</v>
      </c>
      <c r="B4500" s="12" t="s">
        <v>571</v>
      </c>
      <c r="C4500" s="12" t="s">
        <v>564</v>
      </c>
      <c r="D4500" s="13">
        <v>3586</v>
      </c>
      <c r="E4500" s="13">
        <v>3302.149093</v>
      </c>
      <c r="F4500" s="13">
        <v>3026.6415339999999</v>
      </c>
      <c r="G4500" s="13">
        <v>2790.6392970000002</v>
      </c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</row>
    <row r="4501" spans="1:19" x14ac:dyDescent="0.2">
      <c r="A4501" s="12" t="s">
        <v>579</v>
      </c>
      <c r="B4501" s="12" t="s">
        <v>571</v>
      </c>
      <c r="C4501" s="12" t="s">
        <v>565</v>
      </c>
      <c r="D4501" s="13">
        <v>103</v>
      </c>
      <c r="E4501" s="13">
        <v>107.453075</v>
      </c>
      <c r="F4501" s="13">
        <v>111.568276</v>
      </c>
      <c r="G4501" s="13">
        <v>115.094759</v>
      </c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</row>
    <row r="4502" spans="1:19" x14ac:dyDescent="0.2">
      <c r="A4502" s="12" t="s">
        <v>579</v>
      </c>
      <c r="B4502" s="12" t="s">
        <v>571</v>
      </c>
      <c r="C4502" s="12" t="s">
        <v>566</v>
      </c>
      <c r="D4502" s="13">
        <v>56</v>
      </c>
      <c r="E4502" s="13">
        <v>62.558608</v>
      </c>
      <c r="F4502" s="13">
        <v>70.304939000000005</v>
      </c>
      <c r="G4502" s="13">
        <v>75.613402000000008</v>
      </c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</row>
    <row r="4503" spans="1:19" x14ac:dyDescent="0.2">
      <c r="A4503" s="12" t="s">
        <v>579</v>
      </c>
      <c r="B4503" s="12" t="s">
        <v>572</v>
      </c>
      <c r="C4503" s="12" t="s">
        <v>554</v>
      </c>
      <c r="D4503" s="13">
        <v>0</v>
      </c>
      <c r="E4503" s="13">
        <v>0</v>
      </c>
      <c r="F4503" s="13">
        <v>0</v>
      </c>
      <c r="G4503" s="13">
        <v>0</v>
      </c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</row>
    <row r="4504" spans="1:19" x14ac:dyDescent="0.2">
      <c r="A4504" s="12" t="s">
        <v>579</v>
      </c>
      <c r="B4504" s="12" t="s">
        <v>572</v>
      </c>
      <c r="C4504" s="12" t="s">
        <v>555</v>
      </c>
      <c r="D4504" s="13">
        <v>17</v>
      </c>
      <c r="E4504" s="13">
        <v>21.376799999999999</v>
      </c>
      <c r="F4504" s="13">
        <v>25.695112000000002</v>
      </c>
      <c r="G4504" s="13">
        <v>18.085975000000001</v>
      </c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</row>
    <row r="4505" spans="1:19" x14ac:dyDescent="0.2">
      <c r="A4505" s="12" t="s">
        <v>579</v>
      </c>
      <c r="B4505" s="12" t="s">
        <v>572</v>
      </c>
      <c r="C4505" s="12" t="s">
        <v>556</v>
      </c>
      <c r="D4505" s="13">
        <v>-78</v>
      </c>
      <c r="E4505" s="13">
        <v>-72.633599000000004</v>
      </c>
      <c r="F4505" s="13">
        <v>-72.315167000000002</v>
      </c>
      <c r="G4505" s="13">
        <v>-79.575660999999997</v>
      </c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</row>
    <row r="4506" spans="1:19" x14ac:dyDescent="0.2">
      <c r="A4506" s="12" t="s">
        <v>579</v>
      </c>
      <c r="B4506" s="12" t="s">
        <v>572</v>
      </c>
      <c r="C4506" s="12" t="s">
        <v>557</v>
      </c>
      <c r="D4506" s="13">
        <v>-61</v>
      </c>
      <c r="E4506" s="13">
        <v>-51.256799000000001</v>
      </c>
      <c r="F4506" s="13">
        <v>-46.620055999999998</v>
      </c>
      <c r="G4506" s="13">
        <v>-61.489685000000001</v>
      </c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</row>
    <row r="4507" spans="1:19" x14ac:dyDescent="0.2">
      <c r="A4507" s="12" t="s">
        <v>579</v>
      </c>
      <c r="B4507" s="12" t="s">
        <v>572</v>
      </c>
      <c r="C4507" s="12" t="s">
        <v>558</v>
      </c>
      <c r="D4507" s="13">
        <v>27835</v>
      </c>
      <c r="E4507" s="13">
        <v>30816.185476999999</v>
      </c>
      <c r="F4507" s="13">
        <v>32042.760466</v>
      </c>
      <c r="G4507" s="13">
        <v>34172.411218000001</v>
      </c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</row>
    <row r="4508" spans="1:19" x14ac:dyDescent="0.2">
      <c r="A4508" s="12" t="s">
        <v>579</v>
      </c>
      <c r="B4508" s="12" t="s">
        <v>572</v>
      </c>
      <c r="C4508" s="12" t="s">
        <v>560</v>
      </c>
      <c r="D4508" s="13">
        <v>0</v>
      </c>
      <c r="E4508" s="13">
        <v>0</v>
      </c>
      <c r="F4508" s="13">
        <v>0</v>
      </c>
      <c r="G4508" s="13">
        <v>0</v>
      </c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</row>
    <row r="4509" spans="1:19" x14ac:dyDescent="0.2">
      <c r="A4509" s="12" t="s">
        <v>579</v>
      </c>
      <c r="B4509" s="12" t="s">
        <v>572</v>
      </c>
      <c r="C4509" s="12" t="s">
        <v>561</v>
      </c>
      <c r="D4509" s="13">
        <v>23644</v>
      </c>
      <c r="E4509" s="13">
        <v>26114.70132</v>
      </c>
      <c r="F4509" s="13">
        <v>27186.839479999999</v>
      </c>
      <c r="G4509" s="13">
        <v>28847.163645000001</v>
      </c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</row>
    <row r="4510" spans="1:19" x14ac:dyDescent="0.2">
      <c r="A4510" s="12" t="s">
        <v>579</v>
      </c>
      <c r="B4510" s="12" t="s">
        <v>572</v>
      </c>
      <c r="C4510" s="12" t="s">
        <v>562</v>
      </c>
      <c r="D4510" s="13">
        <v>14674</v>
      </c>
      <c r="E4510" s="13">
        <v>15964.815597999999</v>
      </c>
      <c r="F4510" s="13">
        <v>16159.485369</v>
      </c>
      <c r="G4510" s="13">
        <v>17209.334940000001</v>
      </c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</row>
    <row r="4511" spans="1:19" x14ac:dyDescent="0.2">
      <c r="A4511" s="12" t="s">
        <v>579</v>
      </c>
      <c r="B4511" s="12" t="s">
        <v>572</v>
      </c>
      <c r="C4511" s="12" t="s">
        <v>563</v>
      </c>
      <c r="D4511" s="13">
        <v>477</v>
      </c>
      <c r="E4511" s="13">
        <v>566.40796399999999</v>
      </c>
      <c r="F4511" s="13">
        <v>633.361628</v>
      </c>
      <c r="G4511" s="13">
        <v>738.53096300000004</v>
      </c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</row>
    <row r="4512" spans="1:19" x14ac:dyDescent="0.2">
      <c r="A4512" s="12" t="s">
        <v>579</v>
      </c>
      <c r="B4512" s="12" t="s">
        <v>572</v>
      </c>
      <c r="C4512" s="12" t="s">
        <v>564</v>
      </c>
      <c r="D4512" s="13">
        <v>4103</v>
      </c>
      <c r="E4512" s="13">
        <v>4420.4040009999999</v>
      </c>
      <c r="F4512" s="13">
        <v>5016.9087010000003</v>
      </c>
      <c r="G4512" s="13">
        <v>5034.2184980000002</v>
      </c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</row>
    <row r="4513" spans="1:19" x14ac:dyDescent="0.2">
      <c r="A4513" s="12" t="s">
        <v>579</v>
      </c>
      <c r="B4513" s="12" t="s">
        <v>572</v>
      </c>
      <c r="C4513" s="12" t="s">
        <v>565</v>
      </c>
      <c r="D4513" s="13">
        <v>1658</v>
      </c>
      <c r="E4513" s="13">
        <v>1980.2463250000001</v>
      </c>
      <c r="F4513" s="13">
        <v>2060.5420650000001</v>
      </c>
      <c r="G4513" s="13">
        <v>2298.5074380000001</v>
      </c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</row>
    <row r="4514" spans="1:19" x14ac:dyDescent="0.2">
      <c r="A4514" s="12" t="s">
        <v>579</v>
      </c>
      <c r="B4514" s="12" t="s">
        <v>572</v>
      </c>
      <c r="C4514" s="12" t="s">
        <v>566</v>
      </c>
      <c r="D4514" s="13">
        <v>2733</v>
      </c>
      <c r="E4514" s="13">
        <v>3182.8274369999999</v>
      </c>
      <c r="F4514" s="13">
        <v>3316.5417170000001</v>
      </c>
      <c r="G4514" s="13">
        <v>3566.5718019999999</v>
      </c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</row>
    <row r="4515" spans="1:19" x14ac:dyDescent="0.2">
      <c r="A4515" s="12" t="s">
        <v>579</v>
      </c>
      <c r="B4515" s="12" t="s">
        <v>573</v>
      </c>
      <c r="C4515" s="12" t="s">
        <v>554</v>
      </c>
      <c r="D4515" s="13">
        <v>0</v>
      </c>
      <c r="E4515" s="13">
        <v>0</v>
      </c>
      <c r="F4515" s="13">
        <v>0</v>
      </c>
      <c r="G4515" s="13">
        <v>0</v>
      </c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</row>
    <row r="4516" spans="1:19" x14ac:dyDescent="0.2">
      <c r="A4516" s="12" t="s">
        <v>579</v>
      </c>
      <c r="B4516" s="12" t="s">
        <v>573</v>
      </c>
      <c r="C4516" s="12" t="s">
        <v>555</v>
      </c>
      <c r="D4516" s="13">
        <v>0</v>
      </c>
      <c r="E4516" s="13">
        <v>0</v>
      </c>
      <c r="F4516" s="13">
        <v>0</v>
      </c>
      <c r="G4516" s="13">
        <v>0</v>
      </c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</row>
    <row r="4517" spans="1:19" x14ac:dyDescent="0.2">
      <c r="A4517" s="12" t="s">
        <v>579</v>
      </c>
      <c r="B4517" s="12" t="s">
        <v>573</v>
      </c>
      <c r="C4517" s="12" t="s">
        <v>556</v>
      </c>
      <c r="D4517" s="13">
        <v>0</v>
      </c>
      <c r="E4517" s="13">
        <v>0</v>
      </c>
      <c r="F4517" s="13">
        <v>0</v>
      </c>
      <c r="G4517" s="13">
        <v>0</v>
      </c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</row>
    <row r="4518" spans="1:19" x14ac:dyDescent="0.2">
      <c r="A4518" s="12" t="s">
        <v>579</v>
      </c>
      <c r="B4518" s="12" t="s">
        <v>573</v>
      </c>
      <c r="C4518" s="12" t="s">
        <v>557</v>
      </c>
      <c r="D4518" s="13">
        <v>0</v>
      </c>
      <c r="E4518" s="13">
        <v>0</v>
      </c>
      <c r="F4518" s="13">
        <v>0</v>
      </c>
      <c r="G4518" s="13">
        <v>0</v>
      </c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</row>
    <row r="4519" spans="1:19" x14ac:dyDescent="0.2">
      <c r="A4519" s="12" t="s">
        <v>579</v>
      </c>
      <c r="B4519" s="12" t="s">
        <v>573</v>
      </c>
      <c r="C4519" s="12" t="s">
        <v>558</v>
      </c>
      <c r="D4519" s="13">
        <v>6245</v>
      </c>
      <c r="E4519" s="13">
        <v>7300.9492460000001</v>
      </c>
      <c r="F4519" s="13">
        <v>8329.6190809999989</v>
      </c>
      <c r="G4519" s="13">
        <v>9012.976557</v>
      </c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</row>
    <row r="4520" spans="1:19" x14ac:dyDescent="0.2">
      <c r="A4520" s="12" t="s">
        <v>579</v>
      </c>
      <c r="B4520" s="12" t="s">
        <v>573</v>
      </c>
      <c r="C4520" s="12" t="s">
        <v>560</v>
      </c>
      <c r="D4520" s="13">
        <v>0</v>
      </c>
      <c r="E4520" s="13">
        <v>0</v>
      </c>
      <c r="F4520" s="13">
        <v>0</v>
      </c>
      <c r="G4520" s="13">
        <v>0</v>
      </c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</row>
    <row r="4521" spans="1:19" x14ac:dyDescent="0.2">
      <c r="A4521" s="12" t="s">
        <v>579</v>
      </c>
      <c r="B4521" s="12" t="s">
        <v>573</v>
      </c>
      <c r="C4521" s="12" t="s">
        <v>561</v>
      </c>
      <c r="D4521" s="13">
        <v>5363</v>
      </c>
      <c r="E4521" s="13">
        <v>6490.1547979999996</v>
      </c>
      <c r="F4521" s="13">
        <v>7513.5957130000006</v>
      </c>
      <c r="G4521" s="13">
        <v>8139.5366910000002</v>
      </c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</row>
    <row r="4522" spans="1:19" x14ac:dyDescent="0.2">
      <c r="A4522" s="12" t="s">
        <v>579</v>
      </c>
      <c r="B4522" s="12" t="s">
        <v>573</v>
      </c>
      <c r="C4522" s="12" t="s">
        <v>562</v>
      </c>
      <c r="D4522" s="13">
        <v>3300</v>
      </c>
      <c r="E4522" s="13">
        <v>4204.0494989999997</v>
      </c>
      <c r="F4522" s="13">
        <v>5094.0810420000007</v>
      </c>
      <c r="G4522" s="13">
        <v>5590.9453410000006</v>
      </c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</row>
    <row r="4523" spans="1:19" x14ac:dyDescent="0.2">
      <c r="A4523" s="12" t="s">
        <v>579</v>
      </c>
      <c r="B4523" s="12" t="s">
        <v>573</v>
      </c>
      <c r="C4523" s="12" t="s">
        <v>563</v>
      </c>
      <c r="D4523" s="13">
        <v>0</v>
      </c>
      <c r="E4523" s="13">
        <v>0</v>
      </c>
      <c r="F4523" s="13">
        <v>0</v>
      </c>
      <c r="G4523" s="13">
        <v>0</v>
      </c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</row>
    <row r="4524" spans="1:19" x14ac:dyDescent="0.2">
      <c r="A4524" s="12" t="s">
        <v>579</v>
      </c>
      <c r="B4524" s="12" t="s">
        <v>573</v>
      </c>
      <c r="C4524" s="12" t="s">
        <v>564</v>
      </c>
      <c r="D4524" s="13">
        <v>1646</v>
      </c>
      <c r="E4524" s="13">
        <v>1836.4199980000001</v>
      </c>
      <c r="F4524" s="13">
        <v>1936.138508</v>
      </c>
      <c r="G4524" s="13">
        <v>2032.945426</v>
      </c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</row>
    <row r="4525" spans="1:19" x14ac:dyDescent="0.2">
      <c r="A4525" s="12" t="s">
        <v>579</v>
      </c>
      <c r="B4525" s="12" t="s">
        <v>573</v>
      </c>
      <c r="C4525" s="12" t="s">
        <v>565</v>
      </c>
      <c r="D4525" s="13">
        <v>204</v>
      </c>
      <c r="E4525" s="13">
        <v>227.14200099999999</v>
      </c>
      <c r="F4525" s="13">
        <v>242.15716800000001</v>
      </c>
      <c r="G4525" s="13">
        <v>254.26499999999999</v>
      </c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</row>
    <row r="4526" spans="1:19" x14ac:dyDescent="0.2">
      <c r="A4526" s="12" t="s">
        <v>579</v>
      </c>
      <c r="B4526" s="12" t="s">
        <v>573</v>
      </c>
      <c r="C4526" s="12" t="s">
        <v>566</v>
      </c>
      <c r="D4526" s="13">
        <v>213</v>
      </c>
      <c r="E4526" s="13">
        <v>222.54329999999999</v>
      </c>
      <c r="F4526" s="13">
        <v>241.218998</v>
      </c>
      <c r="G4526" s="13">
        <v>261.38092399999999</v>
      </c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</row>
    <row r="4527" spans="1:19" x14ac:dyDescent="0.2">
      <c r="A4527" s="12" t="s">
        <v>579</v>
      </c>
      <c r="B4527" s="12" t="s">
        <v>574</v>
      </c>
      <c r="C4527" s="12" t="s">
        <v>554</v>
      </c>
      <c r="D4527" s="13">
        <v>116436</v>
      </c>
      <c r="E4527" s="13">
        <v>123846.273114</v>
      </c>
      <c r="F4527" s="13">
        <v>130923.53183599999</v>
      </c>
      <c r="G4527" s="13">
        <v>135670.91261199999</v>
      </c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</row>
    <row r="4528" spans="1:19" x14ac:dyDescent="0.2">
      <c r="A4528" s="12" t="s">
        <v>579</v>
      </c>
      <c r="B4528" s="12" t="s">
        <v>574</v>
      </c>
      <c r="C4528" s="12" t="s">
        <v>555</v>
      </c>
      <c r="D4528" s="13">
        <v>36801</v>
      </c>
      <c r="E4528" s="13">
        <v>36970.377354999997</v>
      </c>
      <c r="F4528" s="13">
        <v>35842.235218999987</v>
      </c>
      <c r="G4528" s="13">
        <v>43973.433554000003</v>
      </c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</row>
    <row r="4529" spans="1:19" x14ac:dyDescent="0.2">
      <c r="A4529" s="12" t="s">
        <v>579</v>
      </c>
      <c r="B4529" s="12" t="s">
        <v>574</v>
      </c>
      <c r="C4529" s="12" t="s">
        <v>556</v>
      </c>
      <c r="D4529" s="13">
        <v>-3330</v>
      </c>
      <c r="E4529" s="13">
        <v>-3397.4926070000001</v>
      </c>
      <c r="F4529" s="13">
        <v>-3204.5218650000002</v>
      </c>
      <c r="G4529" s="13">
        <v>-3624.9730610000001</v>
      </c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</row>
    <row r="4530" spans="1:19" x14ac:dyDescent="0.2">
      <c r="A4530" s="12" t="s">
        <v>579</v>
      </c>
      <c r="B4530" s="12" t="s">
        <v>574</v>
      </c>
      <c r="C4530" s="12" t="s">
        <v>557</v>
      </c>
      <c r="D4530" s="13">
        <v>145689</v>
      </c>
      <c r="E4530" s="13">
        <v>155152.32449999999</v>
      </c>
      <c r="F4530" s="13">
        <v>158246.84600699999</v>
      </c>
      <c r="G4530" s="13">
        <v>168386.88894800001</v>
      </c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</row>
    <row r="4531" spans="1:19" x14ac:dyDescent="0.2">
      <c r="A4531" s="12" t="s">
        <v>579</v>
      </c>
      <c r="B4531" s="12" t="s">
        <v>574</v>
      </c>
      <c r="C4531" s="12" t="s">
        <v>558</v>
      </c>
      <c r="D4531" s="13">
        <v>-35051</v>
      </c>
      <c r="E4531" s="13">
        <v>-39027.286059999999</v>
      </c>
      <c r="F4531" s="13">
        <v>-39425.702953</v>
      </c>
      <c r="G4531" s="13">
        <v>-42255.302663000002</v>
      </c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</row>
    <row r="4532" spans="1:19" x14ac:dyDescent="0.2">
      <c r="A4532" s="12" t="s">
        <v>579</v>
      </c>
      <c r="B4532" s="12" t="s">
        <v>574</v>
      </c>
      <c r="C4532" s="12" t="s">
        <v>560</v>
      </c>
      <c r="D4532" s="13">
        <v>-117</v>
      </c>
      <c r="E4532" s="13">
        <v>-121.678033</v>
      </c>
      <c r="F4532" s="13">
        <v>-150.82241099999999</v>
      </c>
      <c r="G4532" s="13">
        <v>-178.72247999999999</v>
      </c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</row>
    <row r="4533" spans="1:19" x14ac:dyDescent="0.2">
      <c r="A4533" s="12" t="s">
        <v>579</v>
      </c>
      <c r="B4533" s="12" t="s">
        <v>574</v>
      </c>
      <c r="C4533" s="12" t="s">
        <v>561</v>
      </c>
      <c r="D4533" s="13">
        <v>89625</v>
      </c>
      <c r="E4533" s="13">
        <v>94737.199481000003</v>
      </c>
      <c r="F4533" s="13">
        <v>95814.419263999996</v>
      </c>
      <c r="G4533" s="13">
        <v>100920.890358</v>
      </c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</row>
    <row r="4534" spans="1:19" x14ac:dyDescent="0.2">
      <c r="A4534" s="12" t="s">
        <v>579</v>
      </c>
      <c r="B4534" s="12" t="s">
        <v>574</v>
      </c>
      <c r="C4534" s="12" t="s">
        <v>562</v>
      </c>
      <c r="D4534" s="13">
        <v>42965</v>
      </c>
      <c r="E4534" s="13">
        <v>45239.247273999987</v>
      </c>
      <c r="F4534" s="13">
        <v>46730.959776000003</v>
      </c>
      <c r="G4534" s="13">
        <v>48798.655315000004</v>
      </c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</row>
    <row r="4535" spans="1:19" x14ac:dyDescent="0.2">
      <c r="A4535" s="12" t="s">
        <v>579</v>
      </c>
      <c r="B4535" s="12" t="s">
        <v>574</v>
      </c>
      <c r="C4535" s="12" t="s">
        <v>563</v>
      </c>
      <c r="D4535" s="13">
        <v>15220</v>
      </c>
      <c r="E4535" s="13">
        <v>16242.150175999999</v>
      </c>
      <c r="F4535" s="13">
        <v>14830.758965999999</v>
      </c>
      <c r="G4535" s="13">
        <v>15725.538927</v>
      </c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</row>
    <row r="4536" spans="1:19" x14ac:dyDescent="0.2">
      <c r="A4536" s="12" t="s">
        <v>579</v>
      </c>
      <c r="B4536" s="12" t="s">
        <v>574</v>
      </c>
      <c r="C4536" s="12" t="s">
        <v>564</v>
      </c>
      <c r="D4536" s="13">
        <v>14240</v>
      </c>
      <c r="E4536" s="13">
        <v>14425.205698</v>
      </c>
      <c r="F4536" s="13">
        <v>14718.481567999999</v>
      </c>
      <c r="G4536" s="13">
        <v>14665.736617</v>
      </c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</row>
    <row r="4537" spans="1:19" x14ac:dyDescent="0.2">
      <c r="A4537" s="12" t="s">
        <v>579</v>
      </c>
      <c r="B4537" s="12" t="s">
        <v>574</v>
      </c>
      <c r="C4537" s="12" t="s">
        <v>565</v>
      </c>
      <c r="D4537" s="13">
        <v>3565</v>
      </c>
      <c r="E4537" s="13">
        <v>3895.0197640000001</v>
      </c>
      <c r="F4537" s="13">
        <v>3954.7087190000002</v>
      </c>
      <c r="G4537" s="13">
        <v>4195.7281290000001</v>
      </c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</row>
    <row r="4538" spans="1:19" x14ac:dyDescent="0.2">
      <c r="A4538" s="12" t="s">
        <v>579</v>
      </c>
      <c r="B4538" s="12" t="s">
        <v>574</v>
      </c>
      <c r="C4538" s="12" t="s">
        <v>566</v>
      </c>
      <c r="D4538" s="13">
        <v>13635</v>
      </c>
      <c r="E4538" s="13">
        <v>14935.576558999999</v>
      </c>
      <c r="F4538" s="13">
        <v>15579.510256</v>
      </c>
      <c r="G4538" s="13">
        <v>17535.231378</v>
      </c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</row>
    <row r="4539" spans="1:19" x14ac:dyDescent="0.2">
      <c r="A4539" s="12" t="s">
        <v>213</v>
      </c>
      <c r="B4539" s="12" t="s">
        <v>553</v>
      </c>
      <c r="C4539" s="12" t="s">
        <v>554</v>
      </c>
      <c r="D4539" s="13">
        <v>0</v>
      </c>
      <c r="E4539" s="13">
        <v>0</v>
      </c>
      <c r="F4539" s="13">
        <v>0</v>
      </c>
      <c r="G4539" s="13">
        <v>0</v>
      </c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</row>
    <row r="4540" spans="1:19" x14ac:dyDescent="0.2">
      <c r="A4540" s="12" t="s">
        <v>213</v>
      </c>
      <c r="B4540" s="12" t="s">
        <v>553</v>
      </c>
      <c r="C4540" s="12" t="s">
        <v>555</v>
      </c>
      <c r="D4540" s="13">
        <v>43</v>
      </c>
      <c r="E4540" s="13">
        <v>78.823766000000006</v>
      </c>
      <c r="F4540" s="13">
        <v>76.047460999999998</v>
      </c>
      <c r="G4540" s="13">
        <v>97.149038000000004</v>
      </c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</row>
    <row r="4541" spans="1:19" x14ac:dyDescent="0.2">
      <c r="A4541" s="12" t="s">
        <v>213</v>
      </c>
      <c r="B4541" s="12" t="s">
        <v>553</v>
      </c>
      <c r="C4541" s="12" t="s">
        <v>556</v>
      </c>
      <c r="D4541" s="13">
        <v>0</v>
      </c>
      <c r="E4541" s="13">
        <v>0</v>
      </c>
      <c r="F4541" s="13">
        <v>0</v>
      </c>
      <c r="G4541" s="13">
        <v>0</v>
      </c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</row>
    <row r="4542" spans="1:19" x14ac:dyDescent="0.2">
      <c r="A4542" s="12" t="s">
        <v>213</v>
      </c>
      <c r="B4542" s="12" t="s">
        <v>553</v>
      </c>
      <c r="C4542" s="12" t="s">
        <v>557</v>
      </c>
      <c r="D4542" s="13">
        <v>43</v>
      </c>
      <c r="E4542" s="13">
        <v>78.823766000000006</v>
      </c>
      <c r="F4542" s="13">
        <v>76.047460999999998</v>
      </c>
      <c r="G4542" s="13">
        <v>97.149038000000004</v>
      </c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</row>
    <row r="4543" spans="1:19" x14ac:dyDescent="0.2">
      <c r="A4543" s="12" t="s">
        <v>213</v>
      </c>
      <c r="B4543" s="12" t="s">
        <v>553</v>
      </c>
      <c r="C4543" s="12" t="s">
        <v>558</v>
      </c>
      <c r="D4543" s="13">
        <v>0</v>
      </c>
      <c r="E4543" s="13">
        <v>0</v>
      </c>
      <c r="F4543" s="13">
        <v>0</v>
      </c>
      <c r="G4543" s="13">
        <v>0</v>
      </c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</row>
    <row r="4544" spans="1:19" x14ac:dyDescent="0.2">
      <c r="A4544" s="12" t="s">
        <v>213</v>
      </c>
      <c r="B4544" s="12" t="s">
        <v>553</v>
      </c>
      <c r="C4544" s="12" t="s">
        <v>560</v>
      </c>
      <c r="D4544" s="13">
        <v>0</v>
      </c>
      <c r="E4544" s="13">
        <v>0</v>
      </c>
      <c r="F4544" s="13">
        <v>0</v>
      </c>
      <c r="G4544" s="13">
        <v>0</v>
      </c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</row>
    <row r="4545" spans="1:19" x14ac:dyDescent="0.2">
      <c r="A4545" s="12" t="s">
        <v>213</v>
      </c>
      <c r="B4545" s="12" t="s">
        <v>553</v>
      </c>
      <c r="C4545" s="12" t="s">
        <v>561</v>
      </c>
      <c r="D4545" s="13">
        <v>36</v>
      </c>
      <c r="E4545" s="13">
        <v>72.618974000000009</v>
      </c>
      <c r="F4545" s="13">
        <v>69.127974000000009</v>
      </c>
      <c r="G4545" s="13">
        <v>90.721403999999993</v>
      </c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</row>
    <row r="4546" spans="1:19" x14ac:dyDescent="0.2">
      <c r="A4546" s="12" t="s">
        <v>213</v>
      </c>
      <c r="B4546" s="12" t="s">
        <v>553</v>
      </c>
      <c r="C4546" s="12" t="s">
        <v>562</v>
      </c>
      <c r="D4546" s="13">
        <v>36</v>
      </c>
      <c r="E4546" s="13">
        <v>72.618974000000009</v>
      </c>
      <c r="F4546" s="13">
        <v>69.059390000000008</v>
      </c>
      <c r="G4546" s="13">
        <v>90.700022000000004</v>
      </c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</row>
    <row r="4547" spans="1:19" x14ac:dyDescent="0.2">
      <c r="A4547" s="12" t="s">
        <v>213</v>
      </c>
      <c r="B4547" s="12" t="s">
        <v>553</v>
      </c>
      <c r="C4547" s="12" t="s">
        <v>563</v>
      </c>
      <c r="D4547" s="13">
        <v>0</v>
      </c>
      <c r="E4547" s="13">
        <v>0</v>
      </c>
      <c r="F4547" s="13">
        <v>0</v>
      </c>
      <c r="G4547" s="13">
        <v>0</v>
      </c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</row>
    <row r="4548" spans="1:19" x14ac:dyDescent="0.2">
      <c r="A4548" s="12" t="s">
        <v>213</v>
      </c>
      <c r="B4548" s="12" t="s">
        <v>553</v>
      </c>
      <c r="C4548" s="12" t="s">
        <v>564</v>
      </c>
      <c r="D4548" s="13">
        <v>0</v>
      </c>
      <c r="E4548" s="13">
        <v>0</v>
      </c>
      <c r="F4548" s="13">
        <v>0</v>
      </c>
      <c r="G4548" s="13">
        <v>0</v>
      </c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</row>
    <row r="4549" spans="1:19" x14ac:dyDescent="0.2">
      <c r="A4549" s="12" t="s">
        <v>213</v>
      </c>
      <c r="B4549" s="12" t="s">
        <v>553</v>
      </c>
      <c r="C4549" s="12" t="s">
        <v>565</v>
      </c>
      <c r="D4549" s="13">
        <v>0</v>
      </c>
      <c r="E4549" s="13">
        <v>0</v>
      </c>
      <c r="F4549" s="13">
        <v>0</v>
      </c>
      <c r="G4549" s="13">
        <v>0</v>
      </c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</row>
    <row r="4550" spans="1:19" x14ac:dyDescent="0.2">
      <c r="A4550" s="12" t="s">
        <v>213</v>
      </c>
      <c r="B4550" s="12" t="s">
        <v>553</v>
      </c>
      <c r="C4550" s="12" t="s">
        <v>566</v>
      </c>
      <c r="D4550" s="13">
        <v>0</v>
      </c>
      <c r="E4550" s="13">
        <v>0</v>
      </c>
      <c r="F4550" s="13">
        <v>6.8584000000000006E-2</v>
      </c>
      <c r="G4550" s="13">
        <v>2.1382000000000002E-2</v>
      </c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</row>
    <row r="4551" spans="1:19" x14ac:dyDescent="0.2">
      <c r="A4551" s="12" t="s">
        <v>213</v>
      </c>
      <c r="B4551" s="12" t="s">
        <v>567</v>
      </c>
      <c r="C4551" s="12" t="s">
        <v>554</v>
      </c>
      <c r="D4551" s="13">
        <v>1330</v>
      </c>
      <c r="E4551" s="13">
        <v>1308.673871</v>
      </c>
      <c r="F4551" s="13">
        <v>1337.49226</v>
      </c>
      <c r="G4551" s="13">
        <v>1311.1159769999999</v>
      </c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</row>
    <row r="4552" spans="1:19" x14ac:dyDescent="0.2">
      <c r="A4552" s="12" t="s">
        <v>213</v>
      </c>
      <c r="B4552" s="12" t="s">
        <v>567</v>
      </c>
      <c r="C4552" s="12" t="s">
        <v>555</v>
      </c>
      <c r="D4552" s="13">
        <v>406</v>
      </c>
      <c r="E4552" s="13">
        <v>307.71989400000001</v>
      </c>
      <c r="F4552" s="13">
        <v>414.57517800000011</v>
      </c>
      <c r="G4552" s="13">
        <v>365.04835600000001</v>
      </c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</row>
    <row r="4553" spans="1:19" x14ac:dyDescent="0.2">
      <c r="A4553" s="12" t="s">
        <v>213</v>
      </c>
      <c r="B4553" s="12" t="s">
        <v>567</v>
      </c>
      <c r="C4553" s="12" t="s">
        <v>556</v>
      </c>
      <c r="D4553" s="13">
        <v>-336</v>
      </c>
      <c r="E4553" s="13">
        <v>-282.49417699999998</v>
      </c>
      <c r="F4553" s="13">
        <v>-370.322046</v>
      </c>
      <c r="G4553" s="13">
        <v>-396.72657299999997</v>
      </c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</row>
    <row r="4554" spans="1:19" x14ac:dyDescent="0.2">
      <c r="A4554" s="12" t="s">
        <v>213</v>
      </c>
      <c r="B4554" s="12" t="s">
        <v>567</v>
      </c>
      <c r="C4554" s="12" t="s">
        <v>557</v>
      </c>
      <c r="D4554" s="13">
        <v>1399</v>
      </c>
      <c r="E4554" s="13">
        <v>1333.8995829999999</v>
      </c>
      <c r="F4554" s="13">
        <v>1381.745392</v>
      </c>
      <c r="G4554" s="13">
        <v>1279.43776</v>
      </c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</row>
    <row r="4555" spans="1:19" x14ac:dyDescent="0.2">
      <c r="A4555" s="12" t="s">
        <v>213</v>
      </c>
      <c r="B4555" s="12" t="s">
        <v>567</v>
      </c>
      <c r="C4555" s="12" t="s">
        <v>558</v>
      </c>
      <c r="D4555" s="13">
        <v>0</v>
      </c>
      <c r="E4555" s="13">
        <v>0</v>
      </c>
      <c r="F4555" s="13">
        <v>0</v>
      </c>
      <c r="G4555" s="13">
        <v>0</v>
      </c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</row>
    <row r="4556" spans="1:19" x14ac:dyDescent="0.2">
      <c r="A4556" s="12" t="s">
        <v>213</v>
      </c>
      <c r="B4556" s="12" t="s">
        <v>567</v>
      </c>
      <c r="C4556" s="12" t="s">
        <v>560</v>
      </c>
      <c r="D4556" s="13">
        <v>-1239</v>
      </c>
      <c r="E4556" s="13">
        <v>-1356.53682</v>
      </c>
      <c r="F4556" s="13">
        <v>-1240.9757050000001</v>
      </c>
      <c r="G4556" s="13">
        <v>-1107.0395840000001</v>
      </c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</row>
    <row r="4557" spans="1:19" x14ac:dyDescent="0.2">
      <c r="A4557" s="12" t="s">
        <v>213</v>
      </c>
      <c r="B4557" s="12" t="s">
        <v>567</v>
      </c>
      <c r="C4557" s="12" t="s">
        <v>561</v>
      </c>
      <c r="D4557" s="13">
        <v>56</v>
      </c>
      <c r="E4557" s="13">
        <v>61.378504999999997</v>
      </c>
      <c r="F4557" s="13">
        <v>61.378504999999997</v>
      </c>
      <c r="G4557" s="13">
        <v>61.378504999999997</v>
      </c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</row>
    <row r="4558" spans="1:19" x14ac:dyDescent="0.2">
      <c r="A4558" s="12" t="s">
        <v>213</v>
      </c>
      <c r="B4558" s="12" t="s">
        <v>567</v>
      </c>
      <c r="C4558" s="12" t="s">
        <v>562</v>
      </c>
      <c r="D4558" s="13">
        <v>0</v>
      </c>
      <c r="E4558" s="13">
        <v>0</v>
      </c>
      <c r="F4558" s="13">
        <v>0</v>
      </c>
      <c r="G4558" s="13">
        <v>0</v>
      </c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</row>
    <row r="4559" spans="1:19" x14ac:dyDescent="0.2">
      <c r="A4559" s="12" t="s">
        <v>213</v>
      </c>
      <c r="B4559" s="12" t="s">
        <v>567</v>
      </c>
      <c r="C4559" s="12" t="s">
        <v>563</v>
      </c>
      <c r="D4559" s="13">
        <v>0</v>
      </c>
      <c r="E4559" s="13">
        <v>0</v>
      </c>
      <c r="F4559" s="13">
        <v>0</v>
      </c>
      <c r="G4559" s="13">
        <v>0</v>
      </c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</row>
    <row r="4560" spans="1:19" x14ac:dyDescent="0.2">
      <c r="A4560" s="12" t="s">
        <v>213</v>
      </c>
      <c r="B4560" s="12" t="s">
        <v>567</v>
      </c>
      <c r="C4560" s="12" t="s">
        <v>564</v>
      </c>
      <c r="D4560" s="13">
        <v>0</v>
      </c>
      <c r="E4560" s="13">
        <v>0</v>
      </c>
      <c r="F4560" s="13">
        <v>0</v>
      </c>
      <c r="G4560" s="13">
        <v>0</v>
      </c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</row>
    <row r="4561" spans="1:19" x14ac:dyDescent="0.2">
      <c r="A4561" s="12" t="s">
        <v>213</v>
      </c>
      <c r="B4561" s="12" t="s">
        <v>567</v>
      </c>
      <c r="C4561" s="12" t="s">
        <v>565</v>
      </c>
      <c r="D4561" s="13">
        <v>0</v>
      </c>
      <c r="E4561" s="13">
        <v>0</v>
      </c>
      <c r="F4561" s="13">
        <v>0</v>
      </c>
      <c r="G4561" s="13">
        <v>0</v>
      </c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</row>
    <row r="4562" spans="1:19" x14ac:dyDescent="0.2">
      <c r="A4562" s="12" t="s">
        <v>213</v>
      </c>
      <c r="B4562" s="12" t="s">
        <v>567</v>
      </c>
      <c r="C4562" s="12" t="s">
        <v>566</v>
      </c>
      <c r="D4562" s="13">
        <v>56</v>
      </c>
      <c r="E4562" s="13">
        <v>61.378504999999997</v>
      </c>
      <c r="F4562" s="13">
        <v>61.378504999999997</v>
      </c>
      <c r="G4562" s="13">
        <v>61.378504999999997</v>
      </c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</row>
    <row r="4563" spans="1:19" x14ac:dyDescent="0.2">
      <c r="A4563" s="12" t="s">
        <v>213</v>
      </c>
      <c r="B4563" s="12" t="s">
        <v>568</v>
      </c>
      <c r="C4563" s="12" t="s">
        <v>554</v>
      </c>
      <c r="D4563" s="13">
        <v>0</v>
      </c>
      <c r="E4563" s="13">
        <v>0</v>
      </c>
      <c r="F4563" s="13">
        <v>0</v>
      </c>
      <c r="G4563" s="13">
        <v>0</v>
      </c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</row>
    <row r="4564" spans="1:19" x14ac:dyDescent="0.2">
      <c r="A4564" s="12" t="s">
        <v>213</v>
      </c>
      <c r="B4564" s="12" t="s">
        <v>568</v>
      </c>
      <c r="C4564" s="12" t="s">
        <v>555</v>
      </c>
      <c r="D4564" s="13">
        <v>364</v>
      </c>
      <c r="E4564" s="13">
        <v>337.37374699999998</v>
      </c>
      <c r="F4564" s="13">
        <v>466.79585700000001</v>
      </c>
      <c r="G4564" s="13">
        <v>765.7962</v>
      </c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</row>
    <row r="4565" spans="1:19" x14ac:dyDescent="0.2">
      <c r="A4565" s="12" t="s">
        <v>213</v>
      </c>
      <c r="B4565" s="12" t="s">
        <v>568</v>
      </c>
      <c r="C4565" s="12" t="s">
        <v>556</v>
      </c>
      <c r="D4565" s="13">
        <v>-336</v>
      </c>
      <c r="E4565" s="13">
        <v>-185.998695</v>
      </c>
      <c r="F4565" s="13">
        <v>-47.538275000000013</v>
      </c>
      <c r="G4565" s="13">
        <v>-42.968915000000003</v>
      </c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</row>
    <row r="4566" spans="1:19" x14ac:dyDescent="0.2">
      <c r="A4566" s="12" t="s">
        <v>213</v>
      </c>
      <c r="B4566" s="12" t="s">
        <v>568</v>
      </c>
      <c r="C4566" s="12" t="s">
        <v>557</v>
      </c>
      <c r="D4566" s="13">
        <v>-2</v>
      </c>
      <c r="E4566" s="13">
        <v>98.077117000000001</v>
      </c>
      <c r="F4566" s="13">
        <v>369.20768299999997</v>
      </c>
      <c r="G4566" s="13">
        <v>670.89297400000009</v>
      </c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</row>
    <row r="4567" spans="1:19" x14ac:dyDescent="0.2">
      <c r="A4567" s="12" t="s">
        <v>213</v>
      </c>
      <c r="B4567" s="12" t="s">
        <v>568</v>
      </c>
      <c r="C4567" s="12" t="s">
        <v>558</v>
      </c>
      <c r="D4567" s="13">
        <v>-24</v>
      </c>
      <c r="E4567" s="13">
        <v>-140.91363699999999</v>
      </c>
      <c r="F4567" s="13">
        <v>-195.950132</v>
      </c>
      <c r="G4567" s="13">
        <v>-268.04573499999998</v>
      </c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</row>
    <row r="4568" spans="1:19" x14ac:dyDescent="0.2">
      <c r="A4568" s="12" t="s">
        <v>213</v>
      </c>
      <c r="B4568" s="12" t="s">
        <v>568</v>
      </c>
      <c r="C4568" s="12" t="s">
        <v>560</v>
      </c>
      <c r="D4568" s="13">
        <v>1189</v>
      </c>
      <c r="E4568" s="13">
        <v>1276.755654</v>
      </c>
      <c r="F4568" s="13">
        <v>1192.1433950000001</v>
      </c>
      <c r="G4568" s="13">
        <v>1075.582744</v>
      </c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</row>
    <row r="4569" spans="1:19" x14ac:dyDescent="0.2">
      <c r="A4569" s="12" t="s">
        <v>213</v>
      </c>
      <c r="B4569" s="12" t="s">
        <v>568</v>
      </c>
      <c r="C4569" s="12" t="s">
        <v>561</v>
      </c>
      <c r="D4569" s="13">
        <v>1170</v>
      </c>
      <c r="E4569" s="13">
        <v>1287.9890809999999</v>
      </c>
      <c r="F4569" s="13">
        <v>1393.6823019999999</v>
      </c>
      <c r="G4569" s="13">
        <v>1501.3223129999999</v>
      </c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</row>
    <row r="4570" spans="1:19" x14ac:dyDescent="0.2">
      <c r="A4570" s="12" t="s">
        <v>213</v>
      </c>
      <c r="B4570" s="12" t="s">
        <v>568</v>
      </c>
      <c r="C4570" s="12" t="s">
        <v>562</v>
      </c>
      <c r="D4570" s="13">
        <v>152</v>
      </c>
      <c r="E4570" s="13">
        <v>154.19988599999999</v>
      </c>
      <c r="F4570" s="13">
        <v>194.31560500000001</v>
      </c>
      <c r="G4570" s="13">
        <v>217.36311000000001</v>
      </c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</row>
    <row r="4571" spans="1:19" x14ac:dyDescent="0.2">
      <c r="A4571" s="12" t="s">
        <v>213</v>
      </c>
      <c r="B4571" s="12" t="s">
        <v>568</v>
      </c>
      <c r="C4571" s="12" t="s">
        <v>563</v>
      </c>
      <c r="D4571" s="13">
        <v>728</v>
      </c>
      <c r="E4571" s="13">
        <v>862.41319599999997</v>
      </c>
      <c r="F4571" s="13">
        <v>910.37488199999996</v>
      </c>
      <c r="G4571" s="13">
        <v>940.59738200000004</v>
      </c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</row>
    <row r="4572" spans="1:19" x14ac:dyDescent="0.2">
      <c r="A4572" s="12" t="s">
        <v>213</v>
      </c>
      <c r="B4572" s="12" t="s">
        <v>568</v>
      </c>
      <c r="C4572" s="12" t="s">
        <v>564</v>
      </c>
      <c r="D4572" s="13">
        <v>151</v>
      </c>
      <c r="E4572" s="13">
        <v>143.94218000000001</v>
      </c>
      <c r="F4572" s="13">
        <v>132.47647699999999</v>
      </c>
      <c r="G4572" s="13">
        <v>149.90463500000001</v>
      </c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</row>
    <row r="4573" spans="1:19" x14ac:dyDescent="0.2">
      <c r="A4573" s="12" t="s">
        <v>213</v>
      </c>
      <c r="B4573" s="12" t="s">
        <v>568</v>
      </c>
      <c r="C4573" s="12" t="s">
        <v>565</v>
      </c>
      <c r="D4573" s="13">
        <v>21</v>
      </c>
      <c r="E4573" s="13">
        <v>25.288284999999998</v>
      </c>
      <c r="F4573" s="13">
        <v>23.272403000000001</v>
      </c>
      <c r="G4573" s="13">
        <v>26.328645999999999</v>
      </c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</row>
    <row r="4574" spans="1:19" x14ac:dyDescent="0.2">
      <c r="A4574" s="12" t="s">
        <v>213</v>
      </c>
      <c r="B4574" s="12" t="s">
        <v>568</v>
      </c>
      <c r="C4574" s="12" t="s">
        <v>566</v>
      </c>
      <c r="D4574" s="13">
        <v>118</v>
      </c>
      <c r="E4574" s="13">
        <v>102.14553100000001</v>
      </c>
      <c r="F4574" s="13">
        <v>133.24293399999999</v>
      </c>
      <c r="G4574" s="13">
        <v>167.128536</v>
      </c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</row>
    <row r="4575" spans="1:19" x14ac:dyDescent="0.2">
      <c r="A4575" s="12" t="s">
        <v>213</v>
      </c>
      <c r="B4575" s="12" t="s">
        <v>569</v>
      </c>
      <c r="C4575" s="12" t="s">
        <v>554</v>
      </c>
      <c r="D4575" s="13">
        <v>2157</v>
      </c>
      <c r="E4575" s="13">
        <v>2431.5485979999999</v>
      </c>
      <c r="F4575" s="13">
        <v>2314.1158540000001</v>
      </c>
      <c r="G4575" s="13">
        <v>2048.165227</v>
      </c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</row>
    <row r="4576" spans="1:19" x14ac:dyDescent="0.2">
      <c r="A4576" s="12" t="s">
        <v>213</v>
      </c>
      <c r="B4576" s="12" t="s">
        <v>569</v>
      </c>
      <c r="C4576" s="12" t="s">
        <v>555</v>
      </c>
      <c r="D4576" s="13">
        <v>116</v>
      </c>
      <c r="E4576" s="13">
        <v>140.56200000000001</v>
      </c>
      <c r="F4576" s="13">
        <v>222.30000100000001</v>
      </c>
      <c r="G4576" s="13">
        <v>293.77800100000002</v>
      </c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</row>
    <row r="4577" spans="1:19" x14ac:dyDescent="0.2">
      <c r="A4577" s="12" t="s">
        <v>213</v>
      </c>
      <c r="B4577" s="12" t="s">
        <v>569</v>
      </c>
      <c r="C4577" s="12" t="s">
        <v>556</v>
      </c>
      <c r="D4577" s="13">
        <v>-252</v>
      </c>
      <c r="E4577" s="13">
        <v>-323.630831</v>
      </c>
      <c r="F4577" s="13">
        <v>-338.82800600000002</v>
      </c>
      <c r="G4577" s="13">
        <v>-172.695213</v>
      </c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</row>
    <row r="4578" spans="1:19" x14ac:dyDescent="0.2">
      <c r="A4578" s="12" t="s">
        <v>213</v>
      </c>
      <c r="B4578" s="12" t="s">
        <v>569</v>
      </c>
      <c r="C4578" s="12" t="s">
        <v>557</v>
      </c>
      <c r="D4578" s="13">
        <v>2021</v>
      </c>
      <c r="E4578" s="13">
        <v>2248.4797709999998</v>
      </c>
      <c r="F4578" s="13">
        <v>2197.5878480000001</v>
      </c>
      <c r="G4578" s="13">
        <v>2169.2480139999998</v>
      </c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</row>
    <row r="4579" spans="1:19" x14ac:dyDescent="0.2">
      <c r="A4579" s="12" t="s">
        <v>213</v>
      </c>
      <c r="B4579" s="12" t="s">
        <v>569</v>
      </c>
      <c r="C4579" s="12" t="s">
        <v>558</v>
      </c>
      <c r="D4579" s="13">
        <v>-1305</v>
      </c>
      <c r="E4579" s="13">
        <v>-1261.296758</v>
      </c>
      <c r="F4579" s="13">
        <v>-1179.23199</v>
      </c>
      <c r="G4579" s="13">
        <v>-1164.024754</v>
      </c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</row>
    <row r="4580" spans="1:19" x14ac:dyDescent="0.2">
      <c r="A4580" s="12" t="s">
        <v>213</v>
      </c>
      <c r="B4580" s="12" t="s">
        <v>569</v>
      </c>
      <c r="C4580" s="12" t="s">
        <v>560</v>
      </c>
      <c r="D4580" s="13">
        <v>0</v>
      </c>
      <c r="E4580" s="13">
        <v>0</v>
      </c>
      <c r="F4580" s="13">
        <v>0</v>
      </c>
      <c r="G4580" s="13">
        <v>0</v>
      </c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</row>
    <row r="4581" spans="1:19" x14ac:dyDescent="0.2">
      <c r="A4581" s="12" t="s">
        <v>213</v>
      </c>
      <c r="B4581" s="12" t="s">
        <v>569</v>
      </c>
      <c r="C4581" s="12" t="s">
        <v>561</v>
      </c>
      <c r="D4581" s="13">
        <v>605</v>
      </c>
      <c r="E4581" s="13">
        <v>663.66996600000004</v>
      </c>
      <c r="F4581" s="13">
        <v>648.76258800000005</v>
      </c>
      <c r="G4581" s="13">
        <v>640.46121900000003</v>
      </c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</row>
    <row r="4582" spans="1:19" x14ac:dyDescent="0.2">
      <c r="A4582" s="12" t="s">
        <v>213</v>
      </c>
      <c r="B4582" s="12" t="s">
        <v>569</v>
      </c>
      <c r="C4582" s="12" t="s">
        <v>562</v>
      </c>
      <c r="D4582" s="13">
        <v>299</v>
      </c>
      <c r="E4582" s="13">
        <v>340.33659799999998</v>
      </c>
      <c r="F4582" s="13">
        <v>332.63344699999999</v>
      </c>
      <c r="G4582" s="13">
        <v>328.34384499999999</v>
      </c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</row>
    <row r="4583" spans="1:19" x14ac:dyDescent="0.2">
      <c r="A4583" s="12" t="s">
        <v>213</v>
      </c>
      <c r="B4583" s="12" t="s">
        <v>569</v>
      </c>
      <c r="C4583" s="12" t="s">
        <v>563</v>
      </c>
      <c r="D4583" s="13">
        <v>19</v>
      </c>
      <c r="E4583" s="13">
        <v>21.214787999999999</v>
      </c>
      <c r="F4583" s="13">
        <v>20.734611999999998</v>
      </c>
      <c r="G4583" s="13">
        <v>20.467222</v>
      </c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</row>
    <row r="4584" spans="1:19" x14ac:dyDescent="0.2">
      <c r="A4584" s="12" t="s">
        <v>213</v>
      </c>
      <c r="B4584" s="12" t="s">
        <v>569</v>
      </c>
      <c r="C4584" s="12" t="s">
        <v>564</v>
      </c>
      <c r="D4584" s="13">
        <v>74</v>
      </c>
      <c r="E4584" s="13">
        <v>83.765308000000005</v>
      </c>
      <c r="F4584" s="13">
        <v>81.869370000000004</v>
      </c>
      <c r="G4584" s="13">
        <v>80.813592999999997</v>
      </c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</row>
    <row r="4585" spans="1:19" x14ac:dyDescent="0.2">
      <c r="A4585" s="12" t="s">
        <v>213</v>
      </c>
      <c r="B4585" s="12" t="s">
        <v>569</v>
      </c>
      <c r="C4585" s="12" t="s">
        <v>565</v>
      </c>
      <c r="D4585" s="13">
        <v>5</v>
      </c>
      <c r="E4585" s="13">
        <v>5.0399989999999999</v>
      </c>
      <c r="F4585" s="13">
        <v>5.0399989999999999</v>
      </c>
      <c r="G4585" s="13">
        <v>5.0399989999999999</v>
      </c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</row>
    <row r="4586" spans="1:19" x14ac:dyDescent="0.2">
      <c r="A4586" s="12" t="s">
        <v>213</v>
      </c>
      <c r="B4586" s="12" t="s">
        <v>569</v>
      </c>
      <c r="C4586" s="12" t="s">
        <v>566</v>
      </c>
      <c r="D4586" s="13">
        <v>208</v>
      </c>
      <c r="E4586" s="13">
        <v>213.31327300000001</v>
      </c>
      <c r="F4586" s="13">
        <v>208.48515599999999</v>
      </c>
      <c r="G4586" s="13">
        <v>205.79656</v>
      </c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</row>
    <row r="4587" spans="1:19" x14ac:dyDescent="0.2">
      <c r="A4587" s="12" t="s">
        <v>213</v>
      </c>
      <c r="B4587" s="12" t="s">
        <v>570</v>
      </c>
      <c r="C4587" s="12" t="s">
        <v>554</v>
      </c>
      <c r="D4587" s="13">
        <v>0</v>
      </c>
      <c r="E4587" s="13">
        <v>0</v>
      </c>
      <c r="F4587" s="13">
        <v>0</v>
      </c>
      <c r="G4587" s="13">
        <v>0</v>
      </c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</row>
    <row r="4588" spans="1:19" x14ac:dyDescent="0.2">
      <c r="A4588" s="12" t="s">
        <v>213</v>
      </c>
      <c r="B4588" s="12" t="s">
        <v>570</v>
      </c>
      <c r="C4588" s="12" t="s">
        <v>555</v>
      </c>
      <c r="D4588" s="13">
        <v>0</v>
      </c>
      <c r="E4588" s="13">
        <v>0</v>
      </c>
      <c r="F4588" s="13">
        <v>0</v>
      </c>
      <c r="G4588" s="13">
        <v>0</v>
      </c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</row>
    <row r="4589" spans="1:19" x14ac:dyDescent="0.2">
      <c r="A4589" s="12" t="s">
        <v>213</v>
      </c>
      <c r="B4589" s="12" t="s">
        <v>570</v>
      </c>
      <c r="C4589" s="12" t="s">
        <v>556</v>
      </c>
      <c r="D4589" s="13">
        <v>0</v>
      </c>
      <c r="E4589" s="13">
        <v>0</v>
      </c>
      <c r="F4589" s="13">
        <v>0</v>
      </c>
      <c r="G4589" s="13">
        <v>0</v>
      </c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</row>
    <row r="4590" spans="1:19" x14ac:dyDescent="0.2">
      <c r="A4590" s="12" t="s">
        <v>213</v>
      </c>
      <c r="B4590" s="12" t="s">
        <v>570</v>
      </c>
      <c r="C4590" s="12" t="s">
        <v>557</v>
      </c>
      <c r="D4590" s="13">
        <v>0</v>
      </c>
      <c r="E4590" s="13">
        <v>0</v>
      </c>
      <c r="F4590" s="13">
        <v>0</v>
      </c>
      <c r="G4590" s="13">
        <v>0</v>
      </c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</row>
    <row r="4591" spans="1:19" x14ac:dyDescent="0.2">
      <c r="A4591" s="12" t="s">
        <v>213</v>
      </c>
      <c r="B4591" s="12" t="s">
        <v>570</v>
      </c>
      <c r="C4591" s="12" t="s">
        <v>558</v>
      </c>
      <c r="D4591" s="13">
        <v>0</v>
      </c>
      <c r="E4591" s="13">
        <v>0</v>
      </c>
      <c r="F4591" s="13">
        <v>0</v>
      </c>
      <c r="G4591" s="13">
        <v>0</v>
      </c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</row>
    <row r="4592" spans="1:19" x14ac:dyDescent="0.2">
      <c r="A4592" s="12" t="s">
        <v>213</v>
      </c>
      <c r="B4592" s="12" t="s">
        <v>570</v>
      </c>
      <c r="C4592" s="12" t="s">
        <v>560</v>
      </c>
      <c r="D4592" s="13">
        <v>0</v>
      </c>
      <c r="E4592" s="13">
        <v>0</v>
      </c>
      <c r="F4592" s="13">
        <v>0</v>
      </c>
      <c r="G4592" s="13">
        <v>0</v>
      </c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</row>
    <row r="4593" spans="1:19" x14ac:dyDescent="0.2">
      <c r="A4593" s="12" t="s">
        <v>213</v>
      </c>
      <c r="B4593" s="12" t="s">
        <v>570</v>
      </c>
      <c r="C4593" s="12" t="s">
        <v>561</v>
      </c>
      <c r="D4593" s="13">
        <v>0</v>
      </c>
      <c r="E4593" s="13">
        <v>0</v>
      </c>
      <c r="F4593" s="13">
        <v>0</v>
      </c>
      <c r="G4593" s="13">
        <v>0</v>
      </c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</row>
    <row r="4594" spans="1:19" x14ac:dyDescent="0.2">
      <c r="A4594" s="12" t="s">
        <v>213</v>
      </c>
      <c r="B4594" s="12" t="s">
        <v>570</v>
      </c>
      <c r="C4594" s="12" t="s">
        <v>562</v>
      </c>
      <c r="D4594" s="13">
        <v>0</v>
      </c>
      <c r="E4594" s="13">
        <v>0</v>
      </c>
      <c r="F4594" s="13">
        <v>0</v>
      </c>
      <c r="G4594" s="13">
        <v>0</v>
      </c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</row>
    <row r="4595" spans="1:19" x14ac:dyDescent="0.2">
      <c r="A4595" s="12" t="s">
        <v>213</v>
      </c>
      <c r="B4595" s="12" t="s">
        <v>570</v>
      </c>
      <c r="C4595" s="12" t="s">
        <v>563</v>
      </c>
      <c r="D4595" s="13">
        <v>0</v>
      </c>
      <c r="E4595" s="13">
        <v>0</v>
      </c>
      <c r="F4595" s="13">
        <v>0</v>
      </c>
      <c r="G4595" s="13">
        <v>0</v>
      </c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</row>
    <row r="4596" spans="1:19" x14ac:dyDescent="0.2">
      <c r="A4596" s="12" t="s">
        <v>213</v>
      </c>
      <c r="B4596" s="12" t="s">
        <v>570</v>
      </c>
      <c r="C4596" s="12" t="s">
        <v>564</v>
      </c>
      <c r="D4596" s="13">
        <v>0</v>
      </c>
      <c r="E4596" s="13">
        <v>0</v>
      </c>
      <c r="F4596" s="13">
        <v>0</v>
      </c>
      <c r="G4596" s="13">
        <v>0</v>
      </c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</row>
    <row r="4597" spans="1:19" x14ac:dyDescent="0.2">
      <c r="A4597" s="12" t="s">
        <v>213</v>
      </c>
      <c r="B4597" s="12" t="s">
        <v>570</v>
      </c>
      <c r="C4597" s="12" t="s">
        <v>565</v>
      </c>
      <c r="D4597" s="13">
        <v>0</v>
      </c>
      <c r="E4597" s="13">
        <v>0</v>
      </c>
      <c r="F4597" s="13">
        <v>0</v>
      </c>
      <c r="G4597" s="13">
        <v>0</v>
      </c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</row>
    <row r="4598" spans="1:19" x14ac:dyDescent="0.2">
      <c r="A4598" s="12" t="s">
        <v>213</v>
      </c>
      <c r="B4598" s="12" t="s">
        <v>570</v>
      </c>
      <c r="C4598" s="12" t="s">
        <v>566</v>
      </c>
      <c r="D4598" s="13">
        <v>0</v>
      </c>
      <c r="E4598" s="13">
        <v>0</v>
      </c>
      <c r="F4598" s="13">
        <v>0</v>
      </c>
      <c r="G4598" s="13">
        <v>0</v>
      </c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</row>
    <row r="4599" spans="1:19" x14ac:dyDescent="0.2">
      <c r="A4599" s="12" t="s">
        <v>213</v>
      </c>
      <c r="B4599" s="12" t="s">
        <v>571</v>
      </c>
      <c r="C4599" s="12" t="s">
        <v>554</v>
      </c>
      <c r="D4599" s="13">
        <v>231</v>
      </c>
      <c r="E4599" s="13">
        <v>232.96458000000001</v>
      </c>
      <c r="F4599" s="13">
        <v>237.37806599999999</v>
      </c>
      <c r="G4599" s="13">
        <v>242.84720300000001</v>
      </c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</row>
    <row r="4600" spans="1:19" x14ac:dyDescent="0.2">
      <c r="A4600" s="12" t="s">
        <v>213</v>
      </c>
      <c r="B4600" s="12" t="s">
        <v>571</v>
      </c>
      <c r="C4600" s="12" t="s">
        <v>555</v>
      </c>
      <c r="D4600" s="13">
        <v>0</v>
      </c>
      <c r="E4600" s="13">
        <v>6.0792000000000013E-2</v>
      </c>
      <c r="F4600" s="13">
        <v>5.1291999999999997E-2</v>
      </c>
      <c r="G4600" s="13">
        <v>0.119144</v>
      </c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</row>
    <row r="4601" spans="1:19" x14ac:dyDescent="0.2">
      <c r="A4601" s="12" t="s">
        <v>213</v>
      </c>
      <c r="B4601" s="12" t="s">
        <v>571</v>
      </c>
      <c r="C4601" s="12" t="s">
        <v>556</v>
      </c>
      <c r="D4601" s="13">
        <v>-2</v>
      </c>
      <c r="E4601" s="13">
        <v>-1.874058</v>
      </c>
      <c r="F4601" s="13">
        <v>-1.858927</v>
      </c>
      <c r="G4601" s="13">
        <v>-2.6668829999999999</v>
      </c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</row>
    <row r="4602" spans="1:19" x14ac:dyDescent="0.2">
      <c r="A4602" s="12" t="s">
        <v>213</v>
      </c>
      <c r="B4602" s="12" t="s">
        <v>571</v>
      </c>
      <c r="C4602" s="12" t="s">
        <v>557</v>
      </c>
      <c r="D4602" s="13">
        <v>230</v>
      </c>
      <c r="E4602" s="13">
        <v>231.151319</v>
      </c>
      <c r="F4602" s="13">
        <v>235.57043200000001</v>
      </c>
      <c r="G4602" s="13">
        <v>240.29946899999999</v>
      </c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</row>
    <row r="4603" spans="1:19" x14ac:dyDescent="0.2">
      <c r="A4603" s="12" t="s">
        <v>213</v>
      </c>
      <c r="B4603" s="12" t="s">
        <v>571</v>
      </c>
      <c r="C4603" s="12" t="s">
        <v>558</v>
      </c>
      <c r="D4603" s="13">
        <v>-90</v>
      </c>
      <c r="E4603" s="13">
        <v>-91.041053000000005</v>
      </c>
      <c r="F4603" s="13">
        <v>-94.562223000000003</v>
      </c>
      <c r="G4603" s="13">
        <v>-99.078646000000006</v>
      </c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</row>
    <row r="4604" spans="1:19" x14ac:dyDescent="0.2">
      <c r="A4604" s="12" t="s">
        <v>213</v>
      </c>
      <c r="B4604" s="12" t="s">
        <v>571</v>
      </c>
      <c r="C4604" s="12" t="s">
        <v>560</v>
      </c>
      <c r="D4604" s="13">
        <v>0</v>
      </c>
      <c r="E4604" s="13">
        <v>0</v>
      </c>
      <c r="F4604" s="13">
        <v>0</v>
      </c>
      <c r="G4604" s="13">
        <v>0</v>
      </c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</row>
    <row r="4605" spans="1:19" x14ac:dyDescent="0.2">
      <c r="A4605" s="12" t="s">
        <v>213</v>
      </c>
      <c r="B4605" s="12" t="s">
        <v>571</v>
      </c>
      <c r="C4605" s="12" t="s">
        <v>561</v>
      </c>
      <c r="D4605" s="13">
        <v>66</v>
      </c>
      <c r="E4605" s="13">
        <v>65.745609000000002</v>
      </c>
      <c r="F4605" s="13">
        <v>66.1023</v>
      </c>
      <c r="G4605" s="13">
        <v>65.769649999999999</v>
      </c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</row>
    <row r="4606" spans="1:19" x14ac:dyDescent="0.2">
      <c r="A4606" s="12" t="s">
        <v>213</v>
      </c>
      <c r="B4606" s="12" t="s">
        <v>571</v>
      </c>
      <c r="C4606" s="12" t="s">
        <v>562</v>
      </c>
      <c r="D4606" s="13">
        <v>1</v>
      </c>
      <c r="E4606" s="13">
        <v>0.71000200000000002</v>
      </c>
      <c r="F4606" s="13">
        <v>0.71000200000000002</v>
      </c>
      <c r="G4606" s="13">
        <v>0.71000200000000002</v>
      </c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</row>
    <row r="4607" spans="1:19" x14ac:dyDescent="0.2">
      <c r="A4607" s="12" t="s">
        <v>213</v>
      </c>
      <c r="B4607" s="12" t="s">
        <v>571</v>
      </c>
      <c r="C4607" s="12" t="s">
        <v>563</v>
      </c>
      <c r="D4607" s="13">
        <v>0</v>
      </c>
      <c r="E4607" s="13">
        <v>0</v>
      </c>
      <c r="F4607" s="13">
        <v>0</v>
      </c>
      <c r="G4607" s="13">
        <v>0</v>
      </c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</row>
    <row r="4608" spans="1:19" x14ac:dyDescent="0.2">
      <c r="A4608" s="12" t="s">
        <v>213</v>
      </c>
      <c r="B4608" s="12" t="s">
        <v>571</v>
      </c>
      <c r="C4608" s="12" t="s">
        <v>564</v>
      </c>
      <c r="D4608" s="13">
        <v>65</v>
      </c>
      <c r="E4608" s="13">
        <v>65.035612</v>
      </c>
      <c r="F4608" s="13">
        <v>65.392302000000001</v>
      </c>
      <c r="G4608" s="13">
        <v>65.059647999999996</v>
      </c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</row>
    <row r="4609" spans="1:19" x14ac:dyDescent="0.2">
      <c r="A4609" s="12" t="s">
        <v>213</v>
      </c>
      <c r="B4609" s="12" t="s">
        <v>571</v>
      </c>
      <c r="C4609" s="12" t="s">
        <v>565</v>
      </c>
      <c r="D4609" s="13">
        <v>0</v>
      </c>
      <c r="E4609" s="13">
        <v>0</v>
      </c>
      <c r="F4609" s="13">
        <v>0</v>
      </c>
      <c r="G4609" s="13">
        <v>0</v>
      </c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</row>
    <row r="4610" spans="1:19" x14ac:dyDescent="0.2">
      <c r="A4610" s="12" t="s">
        <v>213</v>
      </c>
      <c r="B4610" s="12" t="s">
        <v>571</v>
      </c>
      <c r="C4610" s="12" t="s">
        <v>566</v>
      </c>
      <c r="D4610" s="13">
        <v>0</v>
      </c>
      <c r="E4610" s="13">
        <v>0</v>
      </c>
      <c r="F4610" s="13">
        <v>0</v>
      </c>
      <c r="G4610" s="13">
        <v>0</v>
      </c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</row>
    <row r="4611" spans="1:19" x14ac:dyDescent="0.2">
      <c r="A4611" s="12" t="s">
        <v>213</v>
      </c>
      <c r="B4611" s="12" t="s">
        <v>572</v>
      </c>
      <c r="C4611" s="12" t="s">
        <v>554</v>
      </c>
      <c r="D4611" s="13">
        <v>0</v>
      </c>
      <c r="E4611" s="13">
        <v>0</v>
      </c>
      <c r="F4611" s="13">
        <v>0</v>
      </c>
      <c r="G4611" s="13">
        <v>0</v>
      </c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</row>
    <row r="4612" spans="1:19" x14ac:dyDescent="0.2">
      <c r="A4612" s="12" t="s">
        <v>213</v>
      </c>
      <c r="B4612" s="12" t="s">
        <v>572</v>
      </c>
      <c r="C4612" s="12" t="s">
        <v>555</v>
      </c>
      <c r="D4612" s="13">
        <v>1</v>
      </c>
      <c r="E4612" s="13">
        <v>0.34199900000000011</v>
      </c>
      <c r="F4612" s="13">
        <v>0.33839799999999998</v>
      </c>
      <c r="G4612" s="13">
        <v>0.35111799999999999</v>
      </c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</row>
    <row r="4613" spans="1:19" x14ac:dyDescent="0.2">
      <c r="A4613" s="12" t="s">
        <v>213</v>
      </c>
      <c r="B4613" s="12" t="s">
        <v>572</v>
      </c>
      <c r="C4613" s="12" t="s">
        <v>556</v>
      </c>
      <c r="D4613" s="13">
        <v>-6</v>
      </c>
      <c r="E4613" s="13">
        <v>-5.7203999999999997</v>
      </c>
      <c r="F4613" s="13">
        <v>-5.1732020000000007</v>
      </c>
      <c r="G4613" s="13">
        <v>-5.3676530000000007</v>
      </c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</row>
    <row r="4614" spans="1:19" x14ac:dyDescent="0.2">
      <c r="A4614" s="12" t="s">
        <v>213</v>
      </c>
      <c r="B4614" s="12" t="s">
        <v>572</v>
      </c>
      <c r="C4614" s="12" t="s">
        <v>557</v>
      </c>
      <c r="D4614" s="13">
        <v>-5</v>
      </c>
      <c r="E4614" s="13">
        <v>-5.3784010000000002</v>
      </c>
      <c r="F4614" s="13">
        <v>-4.8347990000000003</v>
      </c>
      <c r="G4614" s="13">
        <v>-5.0165360000000003</v>
      </c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</row>
    <row r="4615" spans="1:19" x14ac:dyDescent="0.2">
      <c r="A4615" s="12" t="s">
        <v>213</v>
      </c>
      <c r="B4615" s="12" t="s">
        <v>572</v>
      </c>
      <c r="C4615" s="12" t="s">
        <v>558</v>
      </c>
      <c r="D4615" s="13">
        <v>728</v>
      </c>
      <c r="E4615" s="13">
        <v>746.45848899999999</v>
      </c>
      <c r="F4615" s="13">
        <v>753.83314700000005</v>
      </c>
      <c r="G4615" s="13">
        <v>774.46983399999999</v>
      </c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</row>
    <row r="4616" spans="1:19" x14ac:dyDescent="0.2">
      <c r="A4616" s="12" t="s">
        <v>213</v>
      </c>
      <c r="B4616" s="12" t="s">
        <v>572</v>
      </c>
      <c r="C4616" s="12" t="s">
        <v>560</v>
      </c>
      <c r="D4616" s="13">
        <v>0</v>
      </c>
      <c r="E4616" s="13">
        <v>0</v>
      </c>
      <c r="F4616" s="13">
        <v>0</v>
      </c>
      <c r="G4616" s="13">
        <v>0</v>
      </c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</row>
    <row r="4617" spans="1:19" x14ac:dyDescent="0.2">
      <c r="A4617" s="12" t="s">
        <v>213</v>
      </c>
      <c r="B4617" s="12" t="s">
        <v>572</v>
      </c>
      <c r="C4617" s="12" t="s">
        <v>561</v>
      </c>
      <c r="D4617" s="13">
        <v>563</v>
      </c>
      <c r="E4617" s="13">
        <v>572.37263800000005</v>
      </c>
      <c r="F4617" s="13">
        <v>590.90489700000001</v>
      </c>
      <c r="G4617" s="13">
        <v>611.25453700000003</v>
      </c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</row>
    <row r="4618" spans="1:19" x14ac:dyDescent="0.2">
      <c r="A4618" s="12" t="s">
        <v>213</v>
      </c>
      <c r="B4618" s="12" t="s">
        <v>572</v>
      </c>
      <c r="C4618" s="12" t="s">
        <v>562</v>
      </c>
      <c r="D4618" s="13">
        <v>165</v>
      </c>
      <c r="E4618" s="13">
        <v>177.478452</v>
      </c>
      <c r="F4618" s="13">
        <v>179.37476699999999</v>
      </c>
      <c r="G4618" s="13">
        <v>184.27344400000001</v>
      </c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</row>
    <row r="4619" spans="1:19" x14ac:dyDescent="0.2">
      <c r="A4619" s="12" t="s">
        <v>213</v>
      </c>
      <c r="B4619" s="12" t="s">
        <v>572</v>
      </c>
      <c r="C4619" s="12" t="s">
        <v>563</v>
      </c>
      <c r="D4619" s="13">
        <v>2</v>
      </c>
      <c r="E4619" s="13">
        <v>1.716588</v>
      </c>
      <c r="F4619" s="13">
        <v>1.7349300000000001</v>
      </c>
      <c r="G4619" s="13">
        <v>1.782308</v>
      </c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</row>
    <row r="4620" spans="1:19" x14ac:dyDescent="0.2">
      <c r="A4620" s="12" t="s">
        <v>213</v>
      </c>
      <c r="B4620" s="12" t="s">
        <v>572</v>
      </c>
      <c r="C4620" s="12" t="s">
        <v>564</v>
      </c>
      <c r="D4620" s="13">
        <v>225</v>
      </c>
      <c r="E4620" s="13">
        <v>226.48320000000001</v>
      </c>
      <c r="F4620" s="13">
        <v>228.29399900000001</v>
      </c>
      <c r="G4620" s="13">
        <v>236.875227</v>
      </c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</row>
    <row r="4621" spans="1:19" x14ac:dyDescent="0.2">
      <c r="A4621" s="12" t="s">
        <v>213</v>
      </c>
      <c r="B4621" s="12" t="s">
        <v>572</v>
      </c>
      <c r="C4621" s="12" t="s">
        <v>565</v>
      </c>
      <c r="D4621" s="13">
        <v>143</v>
      </c>
      <c r="E4621" s="13">
        <v>135.59400199999999</v>
      </c>
      <c r="F4621" s="13">
        <v>147.15719799999999</v>
      </c>
      <c r="G4621" s="13">
        <v>152.68861899999999</v>
      </c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</row>
    <row r="4622" spans="1:19" x14ac:dyDescent="0.2">
      <c r="A4622" s="12" t="s">
        <v>213</v>
      </c>
      <c r="B4622" s="12" t="s">
        <v>572</v>
      </c>
      <c r="C4622" s="12" t="s">
        <v>566</v>
      </c>
      <c r="D4622" s="13">
        <v>29</v>
      </c>
      <c r="E4622" s="13">
        <v>31.1004</v>
      </c>
      <c r="F4622" s="13">
        <v>34.343997999999999</v>
      </c>
      <c r="G4622" s="13">
        <v>35.634939000000003</v>
      </c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</row>
    <row r="4623" spans="1:19" x14ac:dyDescent="0.2">
      <c r="A4623" s="12" t="s">
        <v>213</v>
      </c>
      <c r="B4623" s="12" t="s">
        <v>573</v>
      </c>
      <c r="C4623" s="12" t="s">
        <v>554</v>
      </c>
      <c r="D4623" s="13">
        <v>0</v>
      </c>
      <c r="E4623" s="13">
        <v>0</v>
      </c>
      <c r="F4623" s="13">
        <v>0</v>
      </c>
      <c r="G4623" s="13">
        <v>0</v>
      </c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</row>
    <row r="4624" spans="1:19" x14ac:dyDescent="0.2">
      <c r="A4624" s="12" t="s">
        <v>213</v>
      </c>
      <c r="B4624" s="12" t="s">
        <v>573</v>
      </c>
      <c r="C4624" s="12" t="s">
        <v>555</v>
      </c>
      <c r="D4624" s="13">
        <v>0</v>
      </c>
      <c r="E4624" s="13">
        <v>0</v>
      </c>
      <c r="F4624" s="13">
        <v>0</v>
      </c>
      <c r="G4624" s="13">
        <v>0</v>
      </c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</row>
    <row r="4625" spans="1:19" x14ac:dyDescent="0.2">
      <c r="A4625" s="12" t="s">
        <v>213</v>
      </c>
      <c r="B4625" s="12" t="s">
        <v>573</v>
      </c>
      <c r="C4625" s="12" t="s">
        <v>556</v>
      </c>
      <c r="D4625" s="13">
        <v>0</v>
      </c>
      <c r="E4625" s="13">
        <v>0</v>
      </c>
      <c r="F4625" s="13">
        <v>0</v>
      </c>
      <c r="G4625" s="13">
        <v>0</v>
      </c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</row>
    <row r="4626" spans="1:19" x14ac:dyDescent="0.2">
      <c r="A4626" s="12" t="s">
        <v>213</v>
      </c>
      <c r="B4626" s="12" t="s">
        <v>573</v>
      </c>
      <c r="C4626" s="12" t="s">
        <v>557</v>
      </c>
      <c r="D4626" s="13">
        <v>0</v>
      </c>
      <c r="E4626" s="13">
        <v>0</v>
      </c>
      <c r="F4626" s="13">
        <v>0</v>
      </c>
      <c r="G4626" s="13">
        <v>0</v>
      </c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</row>
    <row r="4627" spans="1:19" x14ac:dyDescent="0.2">
      <c r="A4627" s="12" t="s">
        <v>213</v>
      </c>
      <c r="B4627" s="12" t="s">
        <v>573</v>
      </c>
      <c r="C4627" s="12" t="s">
        <v>558</v>
      </c>
      <c r="D4627" s="13">
        <v>0</v>
      </c>
      <c r="E4627" s="13">
        <v>0</v>
      </c>
      <c r="F4627" s="13">
        <v>0</v>
      </c>
      <c r="G4627" s="13">
        <v>0</v>
      </c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</row>
    <row r="4628" spans="1:19" x14ac:dyDescent="0.2">
      <c r="A4628" s="12" t="s">
        <v>213</v>
      </c>
      <c r="B4628" s="12" t="s">
        <v>573</v>
      </c>
      <c r="C4628" s="12" t="s">
        <v>560</v>
      </c>
      <c r="D4628" s="13">
        <v>0</v>
      </c>
      <c r="E4628" s="13">
        <v>0</v>
      </c>
      <c r="F4628" s="13">
        <v>0</v>
      </c>
      <c r="G4628" s="13">
        <v>0</v>
      </c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</row>
    <row r="4629" spans="1:19" x14ac:dyDescent="0.2">
      <c r="A4629" s="12" t="s">
        <v>213</v>
      </c>
      <c r="B4629" s="12" t="s">
        <v>573</v>
      </c>
      <c r="C4629" s="12" t="s">
        <v>561</v>
      </c>
      <c r="D4629" s="13">
        <v>0</v>
      </c>
      <c r="E4629" s="13">
        <v>0</v>
      </c>
      <c r="F4629" s="13">
        <v>0</v>
      </c>
      <c r="G4629" s="13">
        <v>0</v>
      </c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</row>
    <row r="4630" spans="1:19" x14ac:dyDescent="0.2">
      <c r="A4630" s="12" t="s">
        <v>213</v>
      </c>
      <c r="B4630" s="12" t="s">
        <v>573</v>
      </c>
      <c r="C4630" s="12" t="s">
        <v>562</v>
      </c>
      <c r="D4630" s="13">
        <v>0</v>
      </c>
      <c r="E4630" s="13">
        <v>0</v>
      </c>
      <c r="F4630" s="13">
        <v>0</v>
      </c>
      <c r="G4630" s="13">
        <v>0</v>
      </c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</row>
    <row r="4631" spans="1:19" x14ac:dyDescent="0.2">
      <c r="A4631" s="12" t="s">
        <v>213</v>
      </c>
      <c r="B4631" s="12" t="s">
        <v>573</v>
      </c>
      <c r="C4631" s="12" t="s">
        <v>563</v>
      </c>
      <c r="D4631" s="13">
        <v>0</v>
      </c>
      <c r="E4631" s="13">
        <v>0</v>
      </c>
      <c r="F4631" s="13">
        <v>0</v>
      </c>
      <c r="G4631" s="13">
        <v>0</v>
      </c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</row>
    <row r="4632" spans="1:19" x14ac:dyDescent="0.2">
      <c r="A4632" s="12" t="s">
        <v>213</v>
      </c>
      <c r="B4632" s="12" t="s">
        <v>573</v>
      </c>
      <c r="C4632" s="12" t="s">
        <v>564</v>
      </c>
      <c r="D4632" s="13">
        <v>0</v>
      </c>
      <c r="E4632" s="13">
        <v>0</v>
      </c>
      <c r="F4632" s="13">
        <v>0</v>
      </c>
      <c r="G4632" s="13">
        <v>0</v>
      </c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</row>
    <row r="4633" spans="1:19" x14ac:dyDescent="0.2">
      <c r="A4633" s="12" t="s">
        <v>213</v>
      </c>
      <c r="B4633" s="12" t="s">
        <v>573</v>
      </c>
      <c r="C4633" s="12" t="s">
        <v>565</v>
      </c>
      <c r="D4633" s="13">
        <v>0</v>
      </c>
      <c r="E4633" s="13">
        <v>0</v>
      </c>
      <c r="F4633" s="13">
        <v>0</v>
      </c>
      <c r="G4633" s="13">
        <v>0</v>
      </c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</row>
    <row r="4634" spans="1:19" x14ac:dyDescent="0.2">
      <c r="A4634" s="12" t="s">
        <v>213</v>
      </c>
      <c r="B4634" s="12" t="s">
        <v>573</v>
      </c>
      <c r="C4634" s="12" t="s">
        <v>566</v>
      </c>
      <c r="D4634" s="13">
        <v>0</v>
      </c>
      <c r="E4634" s="13">
        <v>0</v>
      </c>
      <c r="F4634" s="13">
        <v>0</v>
      </c>
      <c r="G4634" s="13">
        <v>0</v>
      </c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</row>
    <row r="4635" spans="1:19" x14ac:dyDescent="0.2">
      <c r="A4635" s="12" t="s">
        <v>213</v>
      </c>
      <c r="B4635" s="12" t="s">
        <v>574</v>
      </c>
      <c r="C4635" s="12" t="s">
        <v>554</v>
      </c>
      <c r="D4635" s="13">
        <v>3718</v>
      </c>
      <c r="E4635" s="13">
        <v>3973.1870479999998</v>
      </c>
      <c r="F4635" s="13">
        <v>3888.986179</v>
      </c>
      <c r="G4635" s="13">
        <v>3602.1284059999998</v>
      </c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</row>
    <row r="4636" spans="1:19" x14ac:dyDescent="0.2">
      <c r="A4636" s="12" t="s">
        <v>213</v>
      </c>
      <c r="B4636" s="12" t="s">
        <v>574</v>
      </c>
      <c r="C4636" s="12" t="s">
        <v>555</v>
      </c>
      <c r="D4636" s="13">
        <v>930</v>
      </c>
      <c r="E4636" s="13">
        <v>864.88220200000012</v>
      </c>
      <c r="F4636" s="13">
        <v>1180.108187</v>
      </c>
      <c r="G4636" s="13">
        <v>1522.2418520000001</v>
      </c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</row>
    <row r="4637" spans="1:19" x14ac:dyDescent="0.2">
      <c r="A4637" s="12" t="s">
        <v>213</v>
      </c>
      <c r="B4637" s="12" t="s">
        <v>574</v>
      </c>
      <c r="C4637" s="12" t="s">
        <v>556</v>
      </c>
      <c r="D4637" s="13">
        <v>-932</v>
      </c>
      <c r="E4637" s="13">
        <v>-799.71816000000001</v>
      </c>
      <c r="F4637" s="13">
        <v>-763.72045600000001</v>
      </c>
      <c r="G4637" s="13">
        <v>-620.42523300000005</v>
      </c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</row>
    <row r="4638" spans="1:19" x14ac:dyDescent="0.2">
      <c r="A4638" s="12" t="s">
        <v>213</v>
      </c>
      <c r="B4638" s="12" t="s">
        <v>574</v>
      </c>
      <c r="C4638" s="12" t="s">
        <v>557</v>
      </c>
      <c r="D4638" s="13">
        <v>3686</v>
      </c>
      <c r="E4638" s="13">
        <v>3985.0531599999999</v>
      </c>
      <c r="F4638" s="13">
        <v>4255.3240239999996</v>
      </c>
      <c r="G4638" s="13">
        <v>4452.0107230000003</v>
      </c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</row>
    <row r="4639" spans="1:19" x14ac:dyDescent="0.2">
      <c r="A4639" s="12" t="s">
        <v>213</v>
      </c>
      <c r="B4639" s="12" t="s">
        <v>574</v>
      </c>
      <c r="C4639" s="12" t="s">
        <v>558</v>
      </c>
      <c r="D4639" s="13">
        <v>-691</v>
      </c>
      <c r="E4639" s="13">
        <v>-746.7929640000001</v>
      </c>
      <c r="F4639" s="13">
        <v>-715.91119800000001</v>
      </c>
      <c r="G4639" s="13">
        <v>-756.67930100000001</v>
      </c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</row>
    <row r="4640" spans="1:19" x14ac:dyDescent="0.2">
      <c r="A4640" s="12" t="s">
        <v>213</v>
      </c>
      <c r="B4640" s="12" t="s">
        <v>574</v>
      </c>
      <c r="C4640" s="12" t="s">
        <v>560</v>
      </c>
      <c r="D4640" s="13">
        <v>-50</v>
      </c>
      <c r="E4640" s="13">
        <v>-79.781174000000007</v>
      </c>
      <c r="F4640" s="13">
        <v>-48.832315000000001</v>
      </c>
      <c r="G4640" s="13">
        <v>-31.456831000000001</v>
      </c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</row>
    <row r="4641" spans="1:19" x14ac:dyDescent="0.2">
      <c r="A4641" s="12" t="s">
        <v>213</v>
      </c>
      <c r="B4641" s="12" t="s">
        <v>574</v>
      </c>
      <c r="C4641" s="12" t="s">
        <v>561</v>
      </c>
      <c r="D4641" s="13">
        <v>2496</v>
      </c>
      <c r="E4641" s="13">
        <v>2723.7747690000001</v>
      </c>
      <c r="F4641" s="13">
        <v>2829.9585659999998</v>
      </c>
      <c r="G4641" s="13">
        <v>2970.907631</v>
      </c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</row>
    <row r="4642" spans="1:19" x14ac:dyDescent="0.2">
      <c r="A4642" s="12" t="s">
        <v>213</v>
      </c>
      <c r="B4642" s="12" t="s">
        <v>574</v>
      </c>
      <c r="C4642" s="12" t="s">
        <v>562</v>
      </c>
      <c r="D4642" s="13">
        <v>653</v>
      </c>
      <c r="E4642" s="13">
        <v>745.34391200000005</v>
      </c>
      <c r="F4642" s="13">
        <v>776.09321200000011</v>
      </c>
      <c r="G4642" s="13">
        <v>821.39042700000005</v>
      </c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</row>
    <row r="4643" spans="1:19" x14ac:dyDescent="0.2">
      <c r="A4643" s="12" t="s">
        <v>213</v>
      </c>
      <c r="B4643" s="12" t="s">
        <v>574</v>
      </c>
      <c r="C4643" s="12" t="s">
        <v>563</v>
      </c>
      <c r="D4643" s="13">
        <v>749</v>
      </c>
      <c r="E4643" s="13">
        <v>885.34457099999997</v>
      </c>
      <c r="F4643" s="13">
        <v>932.84442000000001</v>
      </c>
      <c r="G4643" s="13">
        <v>962.84691199999997</v>
      </c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</row>
    <row r="4644" spans="1:19" x14ac:dyDescent="0.2">
      <c r="A4644" s="12" t="s">
        <v>213</v>
      </c>
      <c r="B4644" s="12" t="s">
        <v>574</v>
      </c>
      <c r="C4644" s="12" t="s">
        <v>564</v>
      </c>
      <c r="D4644" s="13">
        <v>515</v>
      </c>
      <c r="E4644" s="13">
        <v>519.22630300000003</v>
      </c>
      <c r="F4644" s="13">
        <v>508.03215299999999</v>
      </c>
      <c r="G4644" s="13">
        <v>532.65310299999999</v>
      </c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</row>
    <row r="4645" spans="1:19" x14ac:dyDescent="0.2">
      <c r="A4645" s="12" t="s">
        <v>213</v>
      </c>
      <c r="B4645" s="12" t="s">
        <v>574</v>
      </c>
      <c r="C4645" s="12" t="s">
        <v>565</v>
      </c>
      <c r="D4645" s="13">
        <v>169</v>
      </c>
      <c r="E4645" s="13">
        <v>165.92228499999999</v>
      </c>
      <c r="F4645" s="13">
        <v>175.46960000000001</v>
      </c>
      <c r="G4645" s="13">
        <v>184.05726300000001</v>
      </c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</row>
    <row r="4646" spans="1:19" x14ac:dyDescent="0.2">
      <c r="A4646" s="12" t="s">
        <v>213</v>
      </c>
      <c r="B4646" s="12" t="s">
        <v>574</v>
      </c>
      <c r="C4646" s="12" t="s">
        <v>566</v>
      </c>
      <c r="D4646" s="13">
        <v>410</v>
      </c>
      <c r="E4646" s="13">
        <v>407.93770999999998</v>
      </c>
      <c r="F4646" s="13">
        <v>437.51917700000001</v>
      </c>
      <c r="G4646" s="13">
        <v>469.95992200000001</v>
      </c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</row>
    <row r="4647" spans="1:19" x14ac:dyDescent="0.2">
      <c r="A4647" s="12" t="s">
        <v>284</v>
      </c>
      <c r="B4647" s="12" t="s">
        <v>553</v>
      </c>
      <c r="C4647" s="12" t="s">
        <v>554</v>
      </c>
      <c r="D4647" s="13">
        <v>11560</v>
      </c>
      <c r="E4647" s="13">
        <v>12672.618666</v>
      </c>
      <c r="F4647" s="13">
        <v>14552.814472</v>
      </c>
      <c r="G4647" s="13">
        <v>16142.594579000001</v>
      </c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</row>
    <row r="4648" spans="1:19" x14ac:dyDescent="0.2">
      <c r="A4648" s="12" t="s">
        <v>284</v>
      </c>
      <c r="B4648" s="12" t="s">
        <v>553</v>
      </c>
      <c r="C4648" s="12" t="s">
        <v>555</v>
      </c>
      <c r="D4648" s="13">
        <v>4954</v>
      </c>
      <c r="E4648" s="13">
        <v>4935.52531</v>
      </c>
      <c r="F4648" s="13">
        <v>5277.6969580000004</v>
      </c>
      <c r="G4648" s="13">
        <v>5640.3961470000004</v>
      </c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</row>
    <row r="4649" spans="1:19" x14ac:dyDescent="0.2">
      <c r="A4649" s="12" t="s">
        <v>284</v>
      </c>
      <c r="B4649" s="12" t="s">
        <v>553</v>
      </c>
      <c r="C4649" s="12" t="s">
        <v>556</v>
      </c>
      <c r="D4649" s="13">
        <v>-34</v>
      </c>
      <c r="E4649" s="13">
        <v>-34.439934000000001</v>
      </c>
      <c r="F4649" s="13">
        <v>-19.110572999999999</v>
      </c>
      <c r="G4649" s="13">
        <v>-28.419509000000001</v>
      </c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</row>
    <row r="4650" spans="1:19" x14ac:dyDescent="0.2">
      <c r="A4650" s="12" t="s">
        <v>284</v>
      </c>
      <c r="B4650" s="12" t="s">
        <v>553</v>
      </c>
      <c r="C4650" s="12" t="s">
        <v>557</v>
      </c>
      <c r="D4650" s="13">
        <v>16019</v>
      </c>
      <c r="E4650" s="13">
        <v>18264.05486</v>
      </c>
      <c r="F4650" s="13">
        <v>19568.681186999998</v>
      </c>
      <c r="G4650" s="13">
        <v>21335.855059000001</v>
      </c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</row>
    <row r="4651" spans="1:19" x14ac:dyDescent="0.2">
      <c r="A4651" s="12" t="s">
        <v>284</v>
      </c>
      <c r="B4651" s="12" t="s">
        <v>553</v>
      </c>
      <c r="C4651" s="12" t="s">
        <v>558</v>
      </c>
      <c r="D4651" s="13">
        <v>-11087</v>
      </c>
      <c r="E4651" s="13">
        <v>-12181.529049000001</v>
      </c>
      <c r="F4651" s="13">
        <v>-13641.855313</v>
      </c>
      <c r="G4651" s="13">
        <v>-15264.536672</v>
      </c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</row>
    <row r="4652" spans="1:19" x14ac:dyDescent="0.2">
      <c r="A4652" s="12" t="s">
        <v>284</v>
      </c>
      <c r="B4652" s="12" t="s">
        <v>553</v>
      </c>
      <c r="C4652" s="12" t="s">
        <v>560</v>
      </c>
      <c r="D4652" s="13">
        <v>0</v>
      </c>
      <c r="E4652" s="13">
        <v>0</v>
      </c>
      <c r="F4652" s="13">
        <v>0</v>
      </c>
      <c r="G4652" s="13">
        <v>0</v>
      </c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</row>
    <row r="4653" spans="1:19" x14ac:dyDescent="0.2">
      <c r="A4653" s="12" t="s">
        <v>284</v>
      </c>
      <c r="B4653" s="12" t="s">
        <v>553</v>
      </c>
      <c r="C4653" s="12" t="s">
        <v>561</v>
      </c>
      <c r="D4653" s="13">
        <v>3956</v>
      </c>
      <c r="E4653" s="13">
        <v>4547.8934209999998</v>
      </c>
      <c r="F4653" s="13">
        <v>4750.3393609999994</v>
      </c>
      <c r="G4653" s="13">
        <v>5240.7321739999998</v>
      </c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</row>
    <row r="4654" spans="1:19" x14ac:dyDescent="0.2">
      <c r="A4654" s="12" t="s">
        <v>284</v>
      </c>
      <c r="B4654" s="12" t="s">
        <v>553</v>
      </c>
      <c r="C4654" s="12" t="s">
        <v>562</v>
      </c>
      <c r="D4654" s="13">
        <v>3535</v>
      </c>
      <c r="E4654" s="13">
        <v>4100.12673</v>
      </c>
      <c r="F4654" s="13">
        <v>4284.3108569999986</v>
      </c>
      <c r="G4654" s="13">
        <v>4745.9988970000004</v>
      </c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</row>
    <row r="4655" spans="1:19" x14ac:dyDescent="0.2">
      <c r="A4655" s="12" t="s">
        <v>284</v>
      </c>
      <c r="B4655" s="12" t="s">
        <v>553</v>
      </c>
      <c r="C4655" s="12" t="s">
        <v>563</v>
      </c>
      <c r="D4655" s="13">
        <v>0</v>
      </c>
      <c r="E4655" s="13">
        <v>0</v>
      </c>
      <c r="F4655" s="13">
        <v>0</v>
      </c>
      <c r="G4655" s="13">
        <v>0</v>
      </c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</row>
    <row r="4656" spans="1:19" x14ac:dyDescent="0.2">
      <c r="A4656" s="12" t="s">
        <v>284</v>
      </c>
      <c r="B4656" s="12" t="s">
        <v>553</v>
      </c>
      <c r="C4656" s="12" t="s">
        <v>564</v>
      </c>
      <c r="D4656" s="13">
        <v>122</v>
      </c>
      <c r="E4656" s="13">
        <v>123.76939400000001</v>
      </c>
      <c r="F4656" s="13">
        <v>126.27889500000001</v>
      </c>
      <c r="G4656" s="13">
        <v>130.73272499999999</v>
      </c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</row>
    <row r="4657" spans="1:19" x14ac:dyDescent="0.2">
      <c r="A4657" s="12" t="s">
        <v>284</v>
      </c>
      <c r="B4657" s="12" t="s">
        <v>553</v>
      </c>
      <c r="C4657" s="12" t="s">
        <v>565</v>
      </c>
      <c r="D4657" s="13">
        <v>209</v>
      </c>
      <c r="E4657" s="13">
        <v>218.462681</v>
      </c>
      <c r="F4657" s="13">
        <v>229.26260300000001</v>
      </c>
      <c r="G4657" s="13">
        <v>240.48702</v>
      </c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</row>
    <row r="4658" spans="1:19" x14ac:dyDescent="0.2">
      <c r="A4658" s="12" t="s">
        <v>284</v>
      </c>
      <c r="B4658" s="12" t="s">
        <v>553</v>
      </c>
      <c r="C4658" s="12" t="s">
        <v>566</v>
      </c>
      <c r="D4658" s="13">
        <v>90</v>
      </c>
      <c r="E4658" s="13">
        <v>105.534612</v>
      </c>
      <c r="F4658" s="13">
        <v>110.48700599999999</v>
      </c>
      <c r="G4658" s="13">
        <v>123.513531</v>
      </c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</row>
    <row r="4659" spans="1:19" x14ac:dyDescent="0.2">
      <c r="A4659" s="12" t="s">
        <v>284</v>
      </c>
      <c r="B4659" s="12" t="s">
        <v>567</v>
      </c>
      <c r="C4659" s="12" t="s">
        <v>554</v>
      </c>
      <c r="D4659" s="13">
        <v>1486</v>
      </c>
      <c r="E4659" s="13">
        <v>1444.633096</v>
      </c>
      <c r="F4659" s="13">
        <v>1398.6892459999999</v>
      </c>
      <c r="G4659" s="13">
        <v>1406.0040750000001</v>
      </c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</row>
    <row r="4660" spans="1:19" x14ac:dyDescent="0.2">
      <c r="A4660" s="12" t="s">
        <v>284</v>
      </c>
      <c r="B4660" s="12" t="s">
        <v>567</v>
      </c>
      <c r="C4660" s="12" t="s">
        <v>555</v>
      </c>
      <c r="D4660" s="13">
        <v>8486</v>
      </c>
      <c r="E4660" s="13">
        <v>9168.1335240000008</v>
      </c>
      <c r="F4660" s="13">
        <v>10417.065401</v>
      </c>
      <c r="G4660" s="13">
        <v>10869.779270000001</v>
      </c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</row>
    <row r="4661" spans="1:19" x14ac:dyDescent="0.2">
      <c r="A4661" s="12" t="s">
        <v>284</v>
      </c>
      <c r="B4661" s="12" t="s">
        <v>567</v>
      </c>
      <c r="C4661" s="12" t="s">
        <v>556</v>
      </c>
      <c r="D4661" s="13">
        <v>0</v>
      </c>
      <c r="E4661" s="13">
        <v>0</v>
      </c>
      <c r="F4661" s="13">
        <v>0</v>
      </c>
      <c r="G4661" s="13">
        <v>0</v>
      </c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</row>
    <row r="4662" spans="1:19" x14ac:dyDescent="0.2">
      <c r="A4662" s="12" t="s">
        <v>284</v>
      </c>
      <c r="B4662" s="12" t="s">
        <v>567</v>
      </c>
      <c r="C4662" s="12" t="s">
        <v>557</v>
      </c>
      <c r="D4662" s="13">
        <v>9961</v>
      </c>
      <c r="E4662" s="13">
        <v>10642.333822000001</v>
      </c>
      <c r="F4662" s="13">
        <v>11787.471122000001</v>
      </c>
      <c r="G4662" s="13">
        <v>12323.407504999999</v>
      </c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</row>
    <row r="4663" spans="1:19" x14ac:dyDescent="0.2">
      <c r="A4663" s="12" t="s">
        <v>284</v>
      </c>
      <c r="B4663" s="12" t="s">
        <v>567</v>
      </c>
      <c r="C4663" s="12" t="s">
        <v>558</v>
      </c>
      <c r="D4663" s="13">
        <v>0</v>
      </c>
      <c r="E4663" s="13">
        <v>0</v>
      </c>
      <c r="F4663" s="13">
        <v>0</v>
      </c>
      <c r="G4663" s="13">
        <v>0</v>
      </c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</row>
    <row r="4664" spans="1:19" x14ac:dyDescent="0.2">
      <c r="A4664" s="12" t="s">
        <v>284</v>
      </c>
      <c r="B4664" s="12" t="s">
        <v>567</v>
      </c>
      <c r="C4664" s="12" t="s">
        <v>560</v>
      </c>
      <c r="D4664" s="13">
        <v>-10074</v>
      </c>
      <c r="E4664" s="13">
        <v>-10835.434639999999</v>
      </c>
      <c r="F4664" s="13">
        <v>-12133.595866</v>
      </c>
      <c r="G4664" s="13">
        <v>-12800.694267999999</v>
      </c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</row>
    <row r="4665" spans="1:19" x14ac:dyDescent="0.2">
      <c r="A4665" s="12" t="s">
        <v>284</v>
      </c>
      <c r="B4665" s="12" t="s">
        <v>567</v>
      </c>
      <c r="C4665" s="12" t="s">
        <v>561</v>
      </c>
      <c r="D4665" s="13">
        <v>0</v>
      </c>
      <c r="E4665" s="13">
        <v>0</v>
      </c>
      <c r="F4665" s="13">
        <v>0</v>
      </c>
      <c r="G4665" s="13">
        <v>0</v>
      </c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</row>
    <row r="4666" spans="1:19" x14ac:dyDescent="0.2">
      <c r="A4666" s="12" t="s">
        <v>284</v>
      </c>
      <c r="B4666" s="12" t="s">
        <v>567</v>
      </c>
      <c r="C4666" s="12" t="s">
        <v>562</v>
      </c>
      <c r="D4666" s="13">
        <v>0</v>
      </c>
      <c r="E4666" s="13">
        <v>0</v>
      </c>
      <c r="F4666" s="13">
        <v>0</v>
      </c>
      <c r="G4666" s="13">
        <v>0</v>
      </c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</row>
    <row r="4667" spans="1:19" x14ac:dyDescent="0.2">
      <c r="A4667" s="12" t="s">
        <v>284</v>
      </c>
      <c r="B4667" s="12" t="s">
        <v>567</v>
      </c>
      <c r="C4667" s="12" t="s">
        <v>563</v>
      </c>
      <c r="D4667" s="13">
        <v>0</v>
      </c>
      <c r="E4667" s="13">
        <v>0</v>
      </c>
      <c r="F4667" s="13">
        <v>0</v>
      </c>
      <c r="G4667" s="13">
        <v>0</v>
      </c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</row>
    <row r="4668" spans="1:19" x14ac:dyDescent="0.2">
      <c r="A4668" s="12" t="s">
        <v>284</v>
      </c>
      <c r="B4668" s="12" t="s">
        <v>567</v>
      </c>
      <c r="C4668" s="12" t="s">
        <v>564</v>
      </c>
      <c r="D4668" s="13">
        <v>0</v>
      </c>
      <c r="E4668" s="13">
        <v>0</v>
      </c>
      <c r="F4668" s="13">
        <v>0</v>
      </c>
      <c r="G4668" s="13">
        <v>0</v>
      </c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</row>
    <row r="4669" spans="1:19" x14ac:dyDescent="0.2">
      <c r="A4669" s="12" t="s">
        <v>284</v>
      </c>
      <c r="B4669" s="12" t="s">
        <v>567</v>
      </c>
      <c r="C4669" s="12" t="s">
        <v>565</v>
      </c>
      <c r="D4669" s="13">
        <v>0</v>
      </c>
      <c r="E4669" s="13">
        <v>0</v>
      </c>
      <c r="F4669" s="13">
        <v>0</v>
      </c>
      <c r="G4669" s="13">
        <v>0</v>
      </c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</row>
    <row r="4670" spans="1:19" x14ac:dyDescent="0.2">
      <c r="A4670" s="12" t="s">
        <v>284</v>
      </c>
      <c r="B4670" s="12" t="s">
        <v>567</v>
      </c>
      <c r="C4670" s="12" t="s">
        <v>566</v>
      </c>
      <c r="D4670" s="13">
        <v>0</v>
      </c>
      <c r="E4670" s="13">
        <v>0</v>
      </c>
      <c r="F4670" s="13">
        <v>0</v>
      </c>
      <c r="G4670" s="13">
        <v>0</v>
      </c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</row>
    <row r="4671" spans="1:19" x14ac:dyDescent="0.2">
      <c r="A4671" s="12" t="s">
        <v>284</v>
      </c>
      <c r="B4671" s="12" t="s">
        <v>568</v>
      </c>
      <c r="C4671" s="12" t="s">
        <v>554</v>
      </c>
      <c r="D4671" s="13">
        <v>0</v>
      </c>
      <c r="E4671" s="13">
        <v>0</v>
      </c>
      <c r="F4671" s="13">
        <v>0</v>
      </c>
      <c r="G4671" s="13">
        <v>0</v>
      </c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</row>
    <row r="4672" spans="1:19" x14ac:dyDescent="0.2">
      <c r="A4672" s="12" t="s">
        <v>284</v>
      </c>
      <c r="B4672" s="12" t="s">
        <v>568</v>
      </c>
      <c r="C4672" s="12" t="s">
        <v>555</v>
      </c>
      <c r="D4672" s="13">
        <v>1803</v>
      </c>
      <c r="E4672" s="13">
        <v>1661.1886019999999</v>
      </c>
      <c r="F4672" s="13">
        <v>1862.3518979999999</v>
      </c>
      <c r="G4672" s="13">
        <v>2006.467433</v>
      </c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</row>
    <row r="4673" spans="1:19" x14ac:dyDescent="0.2">
      <c r="A4673" s="12" t="s">
        <v>284</v>
      </c>
      <c r="B4673" s="12" t="s">
        <v>568</v>
      </c>
      <c r="C4673" s="12" t="s">
        <v>556</v>
      </c>
      <c r="D4673" s="13">
        <v>-2553</v>
      </c>
      <c r="E4673" s="13">
        <v>-2853.324799</v>
      </c>
      <c r="F4673" s="13">
        <v>-2652.7218010000001</v>
      </c>
      <c r="G4673" s="13">
        <v>-2731.5641009999999</v>
      </c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</row>
    <row r="4674" spans="1:19" x14ac:dyDescent="0.2">
      <c r="A4674" s="12" t="s">
        <v>284</v>
      </c>
      <c r="B4674" s="12" t="s">
        <v>568</v>
      </c>
      <c r="C4674" s="12" t="s">
        <v>557</v>
      </c>
      <c r="D4674" s="13">
        <v>-901</v>
      </c>
      <c r="E4674" s="13">
        <v>-1389.3490389999999</v>
      </c>
      <c r="F4674" s="13">
        <v>-963.21197600000005</v>
      </c>
      <c r="G4674" s="13">
        <v>-977.76722699999993</v>
      </c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</row>
    <row r="4675" spans="1:19" x14ac:dyDescent="0.2">
      <c r="A4675" s="12" t="s">
        <v>284</v>
      </c>
      <c r="B4675" s="12" t="s">
        <v>568</v>
      </c>
      <c r="C4675" s="12" t="s">
        <v>558</v>
      </c>
      <c r="D4675" s="13">
        <v>-78</v>
      </c>
      <c r="E4675" s="13">
        <v>-73.613247000000001</v>
      </c>
      <c r="F4675" s="13">
        <v>-73.568205000000006</v>
      </c>
      <c r="G4675" s="13">
        <v>-69.354371</v>
      </c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</row>
    <row r="4676" spans="1:19" x14ac:dyDescent="0.2">
      <c r="A4676" s="12" t="s">
        <v>284</v>
      </c>
      <c r="B4676" s="12" t="s">
        <v>568</v>
      </c>
      <c r="C4676" s="12" t="s">
        <v>560</v>
      </c>
      <c r="D4676" s="13">
        <v>10051</v>
      </c>
      <c r="E4676" s="13">
        <v>10964.593204000001</v>
      </c>
      <c r="F4676" s="13">
        <v>11840.673497</v>
      </c>
      <c r="G4676" s="13">
        <v>12286.129392999999</v>
      </c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</row>
    <row r="4677" spans="1:19" x14ac:dyDescent="0.2">
      <c r="A4677" s="12" t="s">
        <v>284</v>
      </c>
      <c r="B4677" s="12" t="s">
        <v>568</v>
      </c>
      <c r="C4677" s="12" t="s">
        <v>561</v>
      </c>
      <c r="D4677" s="13">
        <v>8101</v>
      </c>
      <c r="E4677" s="13">
        <v>8351.3411629999991</v>
      </c>
      <c r="F4677" s="13">
        <v>9142.154552</v>
      </c>
      <c r="G4677" s="13">
        <v>9361.142890000001</v>
      </c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</row>
    <row r="4678" spans="1:19" x14ac:dyDescent="0.2">
      <c r="A4678" s="12" t="s">
        <v>284</v>
      </c>
      <c r="B4678" s="12" t="s">
        <v>568</v>
      </c>
      <c r="C4678" s="12" t="s">
        <v>562</v>
      </c>
      <c r="D4678" s="13">
        <v>1115</v>
      </c>
      <c r="E4678" s="13">
        <v>978.90700400000003</v>
      </c>
      <c r="F4678" s="13">
        <v>1042.724964</v>
      </c>
      <c r="G4678" s="13">
        <v>1073.956981</v>
      </c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</row>
    <row r="4679" spans="1:19" x14ac:dyDescent="0.2">
      <c r="A4679" s="12" t="s">
        <v>284</v>
      </c>
      <c r="B4679" s="12" t="s">
        <v>568</v>
      </c>
      <c r="C4679" s="12" t="s">
        <v>563</v>
      </c>
      <c r="D4679" s="13">
        <v>3621</v>
      </c>
      <c r="E4679" s="13">
        <v>3945.4343039999999</v>
      </c>
      <c r="F4679" s="13">
        <v>4512.2453059999998</v>
      </c>
      <c r="G4679" s="13">
        <v>4633.1088650000002</v>
      </c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</row>
    <row r="4680" spans="1:19" x14ac:dyDescent="0.2">
      <c r="A4680" s="12" t="s">
        <v>284</v>
      </c>
      <c r="B4680" s="12" t="s">
        <v>568</v>
      </c>
      <c r="C4680" s="12" t="s">
        <v>564</v>
      </c>
      <c r="D4680" s="13">
        <v>1258</v>
      </c>
      <c r="E4680" s="13">
        <v>1262.8065220000001</v>
      </c>
      <c r="F4680" s="13">
        <v>1234.4824390000001</v>
      </c>
      <c r="G4680" s="13">
        <v>1253.0359920000001</v>
      </c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</row>
    <row r="4681" spans="1:19" x14ac:dyDescent="0.2">
      <c r="A4681" s="12" t="s">
        <v>284</v>
      </c>
      <c r="B4681" s="12" t="s">
        <v>568</v>
      </c>
      <c r="C4681" s="12" t="s">
        <v>565</v>
      </c>
      <c r="D4681" s="13">
        <v>92</v>
      </c>
      <c r="E4681" s="13">
        <v>108.68968</v>
      </c>
      <c r="F4681" s="13">
        <v>125.642489</v>
      </c>
      <c r="G4681" s="13">
        <v>130.649483</v>
      </c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</row>
    <row r="4682" spans="1:19" x14ac:dyDescent="0.2">
      <c r="A4682" s="12" t="s">
        <v>284</v>
      </c>
      <c r="B4682" s="12" t="s">
        <v>568</v>
      </c>
      <c r="C4682" s="12" t="s">
        <v>566</v>
      </c>
      <c r="D4682" s="13">
        <v>2016</v>
      </c>
      <c r="E4682" s="13">
        <v>2055.5036570000002</v>
      </c>
      <c r="F4682" s="13">
        <v>2227.059358</v>
      </c>
      <c r="G4682" s="13">
        <v>2270.3915689999999</v>
      </c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</row>
    <row r="4683" spans="1:19" x14ac:dyDescent="0.2">
      <c r="A4683" s="12" t="s">
        <v>284</v>
      </c>
      <c r="B4683" s="12" t="s">
        <v>569</v>
      </c>
      <c r="C4683" s="12" t="s">
        <v>554</v>
      </c>
      <c r="D4683" s="13">
        <v>975</v>
      </c>
      <c r="E4683" s="13">
        <v>1162.370197</v>
      </c>
      <c r="F4683" s="13">
        <v>1181.044799</v>
      </c>
      <c r="G4683" s="13">
        <v>1253.6643389999999</v>
      </c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</row>
    <row r="4684" spans="1:19" x14ac:dyDescent="0.2">
      <c r="A4684" s="12" t="s">
        <v>284</v>
      </c>
      <c r="B4684" s="12" t="s">
        <v>569</v>
      </c>
      <c r="C4684" s="12" t="s">
        <v>555</v>
      </c>
      <c r="D4684" s="13">
        <v>1248</v>
      </c>
      <c r="E4684" s="13">
        <v>1163.539336</v>
      </c>
      <c r="F4684" s="13">
        <v>989.505674</v>
      </c>
      <c r="G4684" s="13">
        <v>1184.681701</v>
      </c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</row>
    <row r="4685" spans="1:19" x14ac:dyDescent="0.2">
      <c r="A4685" s="12" t="s">
        <v>284</v>
      </c>
      <c r="B4685" s="12" t="s">
        <v>569</v>
      </c>
      <c r="C4685" s="12" t="s">
        <v>556</v>
      </c>
      <c r="D4685" s="13">
        <v>0</v>
      </c>
      <c r="E4685" s="13">
        <v>0</v>
      </c>
      <c r="F4685" s="13">
        <v>0</v>
      </c>
      <c r="G4685" s="13">
        <v>0</v>
      </c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</row>
    <row r="4686" spans="1:19" x14ac:dyDescent="0.2">
      <c r="A4686" s="12" t="s">
        <v>284</v>
      </c>
      <c r="B4686" s="12" t="s">
        <v>569</v>
      </c>
      <c r="C4686" s="12" t="s">
        <v>557</v>
      </c>
      <c r="D4686" s="13">
        <v>2223</v>
      </c>
      <c r="E4686" s="13">
        <v>2325.909533</v>
      </c>
      <c r="F4686" s="13">
        <v>2170.5504729999998</v>
      </c>
      <c r="G4686" s="13">
        <v>2438.346039</v>
      </c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</row>
    <row r="4687" spans="1:19" x14ac:dyDescent="0.2">
      <c r="A4687" s="12" t="s">
        <v>284</v>
      </c>
      <c r="B4687" s="12" t="s">
        <v>569</v>
      </c>
      <c r="C4687" s="12" t="s">
        <v>558</v>
      </c>
      <c r="D4687" s="13">
        <v>-586</v>
      </c>
      <c r="E4687" s="13">
        <v>-553.79494399999999</v>
      </c>
      <c r="F4687" s="13">
        <v>-484.036115</v>
      </c>
      <c r="G4687" s="13">
        <v>-521.28572800000006</v>
      </c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</row>
    <row r="4688" spans="1:19" x14ac:dyDescent="0.2">
      <c r="A4688" s="12" t="s">
        <v>284</v>
      </c>
      <c r="B4688" s="12" t="s">
        <v>569</v>
      </c>
      <c r="C4688" s="12" t="s">
        <v>560</v>
      </c>
      <c r="D4688" s="13">
        <v>0</v>
      </c>
      <c r="E4688" s="13">
        <v>0</v>
      </c>
      <c r="F4688" s="13">
        <v>0</v>
      </c>
      <c r="G4688" s="13">
        <v>0</v>
      </c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</row>
    <row r="4689" spans="1:19" x14ac:dyDescent="0.2">
      <c r="A4689" s="12" t="s">
        <v>284</v>
      </c>
      <c r="B4689" s="12" t="s">
        <v>569</v>
      </c>
      <c r="C4689" s="12" t="s">
        <v>561</v>
      </c>
      <c r="D4689" s="13">
        <v>1316</v>
      </c>
      <c r="E4689" s="13">
        <v>1622.3985949999999</v>
      </c>
      <c r="F4689" s="13">
        <v>1648.095955</v>
      </c>
      <c r="G4689" s="13">
        <v>1907.198987</v>
      </c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</row>
    <row r="4690" spans="1:19" x14ac:dyDescent="0.2">
      <c r="A4690" s="12" t="s">
        <v>284</v>
      </c>
      <c r="B4690" s="12" t="s">
        <v>569</v>
      </c>
      <c r="C4690" s="12" t="s">
        <v>562</v>
      </c>
      <c r="D4690" s="13">
        <v>301</v>
      </c>
      <c r="E4690" s="13">
        <v>516.80750999999998</v>
      </c>
      <c r="F4690" s="13">
        <v>491.166089</v>
      </c>
      <c r="G4690" s="13">
        <v>617.81401800000003</v>
      </c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</row>
    <row r="4691" spans="1:19" x14ac:dyDescent="0.2">
      <c r="A4691" s="12" t="s">
        <v>284</v>
      </c>
      <c r="B4691" s="12" t="s">
        <v>569</v>
      </c>
      <c r="C4691" s="12" t="s">
        <v>563</v>
      </c>
      <c r="D4691" s="13">
        <v>199</v>
      </c>
      <c r="E4691" s="13">
        <v>259.22032899999999</v>
      </c>
      <c r="F4691" s="13">
        <v>302.42762800000003</v>
      </c>
      <c r="G4691" s="13">
        <v>337.243583</v>
      </c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</row>
    <row r="4692" spans="1:19" x14ac:dyDescent="0.2">
      <c r="A4692" s="12" t="s">
        <v>284</v>
      </c>
      <c r="B4692" s="12" t="s">
        <v>569</v>
      </c>
      <c r="C4692" s="12" t="s">
        <v>564</v>
      </c>
      <c r="D4692" s="13">
        <v>17</v>
      </c>
      <c r="E4692" s="13">
        <v>21.970882</v>
      </c>
      <c r="F4692" s="13">
        <v>21.70561</v>
      </c>
      <c r="G4692" s="13">
        <v>24.345723</v>
      </c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</row>
    <row r="4693" spans="1:19" x14ac:dyDescent="0.2">
      <c r="A4693" s="12" t="s">
        <v>284</v>
      </c>
      <c r="B4693" s="12" t="s">
        <v>569</v>
      </c>
      <c r="C4693" s="12" t="s">
        <v>565</v>
      </c>
      <c r="D4693" s="13">
        <v>17</v>
      </c>
      <c r="E4693" s="13">
        <v>21.970882</v>
      </c>
      <c r="F4693" s="13">
        <v>21.70561</v>
      </c>
      <c r="G4693" s="13">
        <v>24.345723</v>
      </c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</row>
    <row r="4694" spans="1:19" x14ac:dyDescent="0.2">
      <c r="A4694" s="12" t="s">
        <v>284</v>
      </c>
      <c r="B4694" s="12" t="s">
        <v>569</v>
      </c>
      <c r="C4694" s="12" t="s">
        <v>566</v>
      </c>
      <c r="D4694" s="13">
        <v>782</v>
      </c>
      <c r="E4694" s="13">
        <v>802.428988</v>
      </c>
      <c r="F4694" s="13">
        <v>811.09102000000007</v>
      </c>
      <c r="G4694" s="13">
        <v>903.44994000000008</v>
      </c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</row>
    <row r="4695" spans="1:19" x14ac:dyDescent="0.2">
      <c r="A4695" s="12" t="s">
        <v>284</v>
      </c>
      <c r="B4695" s="12" t="s">
        <v>570</v>
      </c>
      <c r="C4695" s="12" t="s">
        <v>554</v>
      </c>
      <c r="D4695" s="13">
        <v>469</v>
      </c>
      <c r="E4695" s="13">
        <v>513.94908899999996</v>
      </c>
      <c r="F4695" s="13">
        <v>500.30181700000003</v>
      </c>
      <c r="G4695" s="13">
        <v>522.94909299999995</v>
      </c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</row>
    <row r="4696" spans="1:19" x14ac:dyDescent="0.2">
      <c r="A4696" s="12" t="s">
        <v>284</v>
      </c>
      <c r="B4696" s="12" t="s">
        <v>570</v>
      </c>
      <c r="C4696" s="12" t="s">
        <v>555</v>
      </c>
      <c r="D4696" s="13">
        <v>0</v>
      </c>
      <c r="E4696" s="13">
        <v>0</v>
      </c>
      <c r="F4696" s="13">
        <v>0</v>
      </c>
      <c r="G4696" s="13">
        <v>0</v>
      </c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</row>
    <row r="4697" spans="1:19" x14ac:dyDescent="0.2">
      <c r="A4697" s="12" t="s">
        <v>284</v>
      </c>
      <c r="B4697" s="12" t="s">
        <v>570</v>
      </c>
      <c r="C4697" s="12" t="s">
        <v>556</v>
      </c>
      <c r="D4697" s="13">
        <v>0</v>
      </c>
      <c r="E4697" s="13">
        <v>0</v>
      </c>
      <c r="F4697" s="13">
        <v>0</v>
      </c>
      <c r="G4697" s="13">
        <v>0</v>
      </c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</row>
    <row r="4698" spans="1:19" x14ac:dyDescent="0.2">
      <c r="A4698" s="12" t="s">
        <v>284</v>
      </c>
      <c r="B4698" s="12" t="s">
        <v>570</v>
      </c>
      <c r="C4698" s="12" t="s">
        <v>557</v>
      </c>
      <c r="D4698" s="13">
        <v>469</v>
      </c>
      <c r="E4698" s="13">
        <v>513.94908899999996</v>
      </c>
      <c r="F4698" s="13">
        <v>500.30181700000003</v>
      </c>
      <c r="G4698" s="13">
        <v>522.94909299999995</v>
      </c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</row>
    <row r="4699" spans="1:19" x14ac:dyDescent="0.2">
      <c r="A4699" s="12" t="s">
        <v>284</v>
      </c>
      <c r="B4699" s="12" t="s">
        <v>570</v>
      </c>
      <c r="C4699" s="12" t="s">
        <v>558</v>
      </c>
      <c r="D4699" s="13">
        <v>-469</v>
      </c>
      <c r="E4699" s="13">
        <v>-513.94908899999996</v>
      </c>
      <c r="F4699" s="13">
        <v>-500.30181700000003</v>
      </c>
      <c r="G4699" s="13">
        <v>-522.94909299999995</v>
      </c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</row>
    <row r="4700" spans="1:19" x14ac:dyDescent="0.2">
      <c r="A4700" s="12" t="s">
        <v>284</v>
      </c>
      <c r="B4700" s="12" t="s">
        <v>570</v>
      </c>
      <c r="C4700" s="12" t="s">
        <v>560</v>
      </c>
      <c r="D4700" s="13">
        <v>0</v>
      </c>
      <c r="E4700" s="13">
        <v>0</v>
      </c>
      <c r="F4700" s="13">
        <v>0</v>
      </c>
      <c r="G4700" s="13">
        <v>0</v>
      </c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</row>
    <row r="4701" spans="1:19" x14ac:dyDescent="0.2">
      <c r="A4701" s="12" t="s">
        <v>284</v>
      </c>
      <c r="B4701" s="12" t="s">
        <v>570</v>
      </c>
      <c r="C4701" s="12" t="s">
        <v>561</v>
      </c>
      <c r="D4701" s="13">
        <v>0</v>
      </c>
      <c r="E4701" s="13">
        <v>0</v>
      </c>
      <c r="F4701" s="13">
        <v>0</v>
      </c>
      <c r="G4701" s="13">
        <v>0</v>
      </c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</row>
    <row r="4702" spans="1:19" x14ac:dyDescent="0.2">
      <c r="A4702" s="12" t="s">
        <v>284</v>
      </c>
      <c r="B4702" s="12" t="s">
        <v>570</v>
      </c>
      <c r="C4702" s="12" t="s">
        <v>562</v>
      </c>
      <c r="D4702" s="13">
        <v>0</v>
      </c>
      <c r="E4702" s="13">
        <v>0</v>
      </c>
      <c r="F4702" s="13">
        <v>0</v>
      </c>
      <c r="G4702" s="13">
        <v>0</v>
      </c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</row>
    <row r="4703" spans="1:19" x14ac:dyDescent="0.2">
      <c r="A4703" s="12" t="s">
        <v>284</v>
      </c>
      <c r="B4703" s="12" t="s">
        <v>570</v>
      </c>
      <c r="C4703" s="12" t="s">
        <v>563</v>
      </c>
      <c r="D4703" s="13">
        <v>0</v>
      </c>
      <c r="E4703" s="13">
        <v>0</v>
      </c>
      <c r="F4703" s="13">
        <v>0</v>
      </c>
      <c r="G4703" s="13">
        <v>0</v>
      </c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</row>
    <row r="4704" spans="1:19" x14ac:dyDescent="0.2">
      <c r="A4704" s="12" t="s">
        <v>284</v>
      </c>
      <c r="B4704" s="12" t="s">
        <v>570</v>
      </c>
      <c r="C4704" s="12" t="s">
        <v>564</v>
      </c>
      <c r="D4704" s="13">
        <v>0</v>
      </c>
      <c r="E4704" s="13">
        <v>0</v>
      </c>
      <c r="F4704" s="13">
        <v>0</v>
      </c>
      <c r="G4704" s="13">
        <v>0</v>
      </c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</row>
    <row r="4705" spans="1:19" x14ac:dyDescent="0.2">
      <c r="A4705" s="12" t="s">
        <v>284</v>
      </c>
      <c r="B4705" s="12" t="s">
        <v>570</v>
      </c>
      <c r="C4705" s="12" t="s">
        <v>565</v>
      </c>
      <c r="D4705" s="13">
        <v>0</v>
      </c>
      <c r="E4705" s="13">
        <v>0</v>
      </c>
      <c r="F4705" s="13">
        <v>0</v>
      </c>
      <c r="G4705" s="13">
        <v>0</v>
      </c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</row>
    <row r="4706" spans="1:19" x14ac:dyDescent="0.2">
      <c r="A4706" s="12" t="s">
        <v>284</v>
      </c>
      <c r="B4706" s="12" t="s">
        <v>570</v>
      </c>
      <c r="C4706" s="12" t="s">
        <v>566</v>
      </c>
      <c r="D4706" s="13">
        <v>0</v>
      </c>
      <c r="E4706" s="13">
        <v>0</v>
      </c>
      <c r="F4706" s="13">
        <v>0</v>
      </c>
      <c r="G4706" s="13">
        <v>0</v>
      </c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</row>
    <row r="4707" spans="1:19" x14ac:dyDescent="0.2">
      <c r="A4707" s="12" t="s">
        <v>284</v>
      </c>
      <c r="B4707" s="12" t="s">
        <v>571</v>
      </c>
      <c r="C4707" s="12" t="s">
        <v>554</v>
      </c>
      <c r="D4707" s="13">
        <v>9341</v>
      </c>
      <c r="E4707" s="13">
        <v>9718.9312419999987</v>
      </c>
      <c r="F4707" s="13">
        <v>10387.127361000001</v>
      </c>
      <c r="G4707" s="13">
        <v>10314.696953000001</v>
      </c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</row>
    <row r="4708" spans="1:19" x14ac:dyDescent="0.2">
      <c r="A4708" s="12" t="s">
        <v>284</v>
      </c>
      <c r="B4708" s="12" t="s">
        <v>571</v>
      </c>
      <c r="C4708" s="12" t="s">
        <v>555</v>
      </c>
      <c r="D4708" s="13">
        <v>14</v>
      </c>
      <c r="E4708" s="13">
        <v>7.907718</v>
      </c>
      <c r="F4708" s="13">
        <v>8.5462299999999995</v>
      </c>
      <c r="G4708" s="13">
        <v>12.802979000000001</v>
      </c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</row>
    <row r="4709" spans="1:19" x14ac:dyDescent="0.2">
      <c r="A4709" s="12" t="s">
        <v>284</v>
      </c>
      <c r="B4709" s="12" t="s">
        <v>571</v>
      </c>
      <c r="C4709" s="12" t="s">
        <v>556</v>
      </c>
      <c r="D4709" s="13">
        <v>-2</v>
      </c>
      <c r="E4709" s="13">
        <v>-2.4508860000000001</v>
      </c>
      <c r="F4709" s="13">
        <v>-2.9404149999999998</v>
      </c>
      <c r="G4709" s="13">
        <v>-2.3738739999999998</v>
      </c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</row>
    <row r="4710" spans="1:19" x14ac:dyDescent="0.2">
      <c r="A4710" s="12" t="s">
        <v>284</v>
      </c>
      <c r="B4710" s="12" t="s">
        <v>571</v>
      </c>
      <c r="C4710" s="12" t="s">
        <v>557</v>
      </c>
      <c r="D4710" s="13">
        <v>9356</v>
      </c>
      <c r="E4710" s="13">
        <v>9723.0865029999986</v>
      </c>
      <c r="F4710" s="13">
        <v>10388.812037</v>
      </c>
      <c r="G4710" s="13">
        <v>10330.813746</v>
      </c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</row>
    <row r="4711" spans="1:19" x14ac:dyDescent="0.2">
      <c r="A4711" s="12" t="s">
        <v>284</v>
      </c>
      <c r="B4711" s="12" t="s">
        <v>571</v>
      </c>
      <c r="C4711" s="12" t="s">
        <v>558</v>
      </c>
      <c r="D4711" s="13">
        <v>-1842</v>
      </c>
      <c r="E4711" s="13">
        <v>-1992.4836749999999</v>
      </c>
      <c r="F4711" s="13">
        <v>-2468.7315210000002</v>
      </c>
      <c r="G4711" s="13">
        <v>-2202.1601919999998</v>
      </c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</row>
    <row r="4712" spans="1:19" x14ac:dyDescent="0.2">
      <c r="A4712" s="12" t="s">
        <v>284</v>
      </c>
      <c r="B4712" s="12" t="s">
        <v>571</v>
      </c>
      <c r="C4712" s="12" t="s">
        <v>560</v>
      </c>
      <c r="D4712" s="13">
        <v>0</v>
      </c>
      <c r="E4712" s="13">
        <v>0</v>
      </c>
      <c r="F4712" s="13">
        <v>0</v>
      </c>
      <c r="G4712" s="13">
        <v>0</v>
      </c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</row>
    <row r="4713" spans="1:19" x14ac:dyDescent="0.2">
      <c r="A4713" s="12" t="s">
        <v>284</v>
      </c>
      <c r="B4713" s="12" t="s">
        <v>571</v>
      </c>
      <c r="C4713" s="12" t="s">
        <v>561</v>
      </c>
      <c r="D4713" s="13">
        <v>7343</v>
      </c>
      <c r="E4713" s="13">
        <v>7596.1027320000003</v>
      </c>
      <c r="F4713" s="13">
        <v>7825.2729870000012</v>
      </c>
      <c r="G4713" s="13">
        <v>8010.6901279999993</v>
      </c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</row>
    <row r="4714" spans="1:19" x14ac:dyDescent="0.2">
      <c r="A4714" s="12" t="s">
        <v>284</v>
      </c>
      <c r="B4714" s="12" t="s">
        <v>571</v>
      </c>
      <c r="C4714" s="12" t="s">
        <v>562</v>
      </c>
      <c r="D4714" s="13">
        <v>2637</v>
      </c>
      <c r="E4714" s="13">
        <v>2865.2237270000001</v>
      </c>
      <c r="F4714" s="13">
        <v>3086.4338240000002</v>
      </c>
      <c r="G4714" s="13">
        <v>3288.4382439999999</v>
      </c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</row>
    <row r="4715" spans="1:19" x14ac:dyDescent="0.2">
      <c r="A4715" s="12" t="s">
        <v>284</v>
      </c>
      <c r="B4715" s="12" t="s">
        <v>571</v>
      </c>
      <c r="C4715" s="12" t="s">
        <v>563</v>
      </c>
      <c r="D4715" s="13">
        <v>80</v>
      </c>
      <c r="E4715" s="13">
        <v>112.13894999999999</v>
      </c>
      <c r="F4715" s="13">
        <v>138.32184899999999</v>
      </c>
      <c r="G4715" s="13">
        <v>139.093602</v>
      </c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</row>
    <row r="4716" spans="1:19" x14ac:dyDescent="0.2">
      <c r="A4716" s="12" t="s">
        <v>284</v>
      </c>
      <c r="B4716" s="12" t="s">
        <v>571</v>
      </c>
      <c r="C4716" s="12" t="s">
        <v>564</v>
      </c>
      <c r="D4716" s="13">
        <v>4507</v>
      </c>
      <c r="E4716" s="13">
        <v>4494.1499649999996</v>
      </c>
      <c r="F4716" s="13">
        <v>4472.1213310000003</v>
      </c>
      <c r="G4716" s="13">
        <v>4450.2030350000005</v>
      </c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</row>
    <row r="4717" spans="1:19" x14ac:dyDescent="0.2">
      <c r="A4717" s="12" t="s">
        <v>284</v>
      </c>
      <c r="B4717" s="12" t="s">
        <v>571</v>
      </c>
      <c r="C4717" s="12" t="s">
        <v>565</v>
      </c>
      <c r="D4717" s="13">
        <v>118</v>
      </c>
      <c r="E4717" s="13">
        <v>121.683628</v>
      </c>
      <c r="F4717" s="13">
        <v>125.38170100000001</v>
      </c>
      <c r="G4717" s="13">
        <v>129.60265799999999</v>
      </c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</row>
    <row r="4718" spans="1:19" x14ac:dyDescent="0.2">
      <c r="A4718" s="12" t="s">
        <v>284</v>
      </c>
      <c r="B4718" s="12" t="s">
        <v>571</v>
      </c>
      <c r="C4718" s="12" t="s">
        <v>566</v>
      </c>
      <c r="D4718" s="13">
        <v>3</v>
      </c>
      <c r="E4718" s="13">
        <v>2.90646</v>
      </c>
      <c r="F4718" s="13">
        <v>3.014278</v>
      </c>
      <c r="G4718" s="13">
        <v>3.3525879999999999</v>
      </c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</row>
    <row r="4719" spans="1:19" x14ac:dyDescent="0.2">
      <c r="A4719" s="12" t="s">
        <v>284</v>
      </c>
      <c r="B4719" s="12" t="s">
        <v>572</v>
      </c>
      <c r="C4719" s="12" t="s">
        <v>554</v>
      </c>
      <c r="D4719" s="13">
        <v>0</v>
      </c>
      <c r="E4719" s="13">
        <v>0</v>
      </c>
      <c r="F4719" s="13">
        <v>0</v>
      </c>
      <c r="G4719" s="13">
        <v>0</v>
      </c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</row>
    <row r="4720" spans="1:19" x14ac:dyDescent="0.2">
      <c r="A4720" s="12" t="s">
        <v>284</v>
      </c>
      <c r="B4720" s="12" t="s">
        <v>572</v>
      </c>
      <c r="C4720" s="12" t="s">
        <v>555</v>
      </c>
      <c r="D4720" s="13">
        <v>34</v>
      </c>
      <c r="E4720" s="13">
        <v>27.348157</v>
      </c>
      <c r="F4720" s="13">
        <v>20.324590000000001</v>
      </c>
      <c r="G4720" s="13">
        <v>27.504002</v>
      </c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</row>
    <row r="4721" spans="1:19" x14ac:dyDescent="0.2">
      <c r="A4721" s="12" t="s">
        <v>284</v>
      </c>
      <c r="B4721" s="12" t="s">
        <v>572</v>
      </c>
      <c r="C4721" s="12" t="s">
        <v>556</v>
      </c>
      <c r="D4721" s="13">
        <v>-34</v>
      </c>
      <c r="E4721" s="13">
        <v>-33.233868000000001</v>
      </c>
      <c r="F4721" s="13">
        <v>-32.002957000000002</v>
      </c>
      <c r="G4721" s="13">
        <v>-49.651198000000001</v>
      </c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</row>
    <row r="4722" spans="1:19" x14ac:dyDescent="0.2">
      <c r="A4722" s="12" t="s">
        <v>284</v>
      </c>
      <c r="B4722" s="12" t="s">
        <v>572</v>
      </c>
      <c r="C4722" s="12" t="s">
        <v>557</v>
      </c>
      <c r="D4722" s="13">
        <v>0</v>
      </c>
      <c r="E4722" s="13">
        <v>-5.8857110000000006</v>
      </c>
      <c r="F4722" s="13">
        <v>-11.678362999999999</v>
      </c>
      <c r="G4722" s="13">
        <v>-22.147200999999999</v>
      </c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</row>
    <row r="4723" spans="1:19" x14ac:dyDescent="0.2">
      <c r="A4723" s="12" t="s">
        <v>284</v>
      </c>
      <c r="B4723" s="12" t="s">
        <v>572</v>
      </c>
      <c r="C4723" s="12" t="s">
        <v>558</v>
      </c>
      <c r="D4723" s="13">
        <v>5532</v>
      </c>
      <c r="E4723" s="13">
        <v>5891.2064719999998</v>
      </c>
      <c r="F4723" s="13">
        <v>6558.7233070000002</v>
      </c>
      <c r="G4723" s="13">
        <v>7152.3941679999998</v>
      </c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</row>
    <row r="4724" spans="1:19" x14ac:dyDescent="0.2">
      <c r="A4724" s="12" t="s">
        <v>284</v>
      </c>
      <c r="B4724" s="12" t="s">
        <v>572</v>
      </c>
      <c r="C4724" s="12" t="s">
        <v>560</v>
      </c>
      <c r="D4724" s="13">
        <v>0</v>
      </c>
      <c r="E4724" s="13">
        <v>0</v>
      </c>
      <c r="F4724" s="13">
        <v>0</v>
      </c>
      <c r="G4724" s="13">
        <v>0</v>
      </c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</row>
    <row r="4725" spans="1:19" x14ac:dyDescent="0.2">
      <c r="A4725" s="12" t="s">
        <v>284</v>
      </c>
      <c r="B4725" s="12" t="s">
        <v>572</v>
      </c>
      <c r="C4725" s="12" t="s">
        <v>561</v>
      </c>
      <c r="D4725" s="13">
        <v>4190</v>
      </c>
      <c r="E4725" s="13">
        <v>4514.276323</v>
      </c>
      <c r="F4725" s="13">
        <v>5167.0324570000002</v>
      </c>
      <c r="G4725" s="13">
        <v>5791.1704680000003</v>
      </c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</row>
    <row r="4726" spans="1:19" x14ac:dyDescent="0.2">
      <c r="A4726" s="12" t="s">
        <v>284</v>
      </c>
      <c r="B4726" s="12" t="s">
        <v>572</v>
      </c>
      <c r="C4726" s="12" t="s">
        <v>562</v>
      </c>
      <c r="D4726" s="13">
        <v>1817</v>
      </c>
      <c r="E4726" s="13">
        <v>1987.3338189999999</v>
      </c>
      <c r="F4726" s="13">
        <v>2119.9348540000001</v>
      </c>
      <c r="G4726" s="13">
        <v>2302.7987029999999</v>
      </c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</row>
    <row r="4727" spans="1:19" x14ac:dyDescent="0.2">
      <c r="A4727" s="12" t="s">
        <v>284</v>
      </c>
      <c r="B4727" s="12" t="s">
        <v>572</v>
      </c>
      <c r="C4727" s="12" t="s">
        <v>563</v>
      </c>
      <c r="D4727" s="13">
        <v>54</v>
      </c>
      <c r="E4727" s="13">
        <v>81.330194000000006</v>
      </c>
      <c r="F4727" s="13">
        <v>112.28158999999999</v>
      </c>
      <c r="G4727" s="13">
        <v>125.474887</v>
      </c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</row>
    <row r="4728" spans="1:19" x14ac:dyDescent="0.2">
      <c r="A4728" s="12" t="s">
        <v>284</v>
      </c>
      <c r="B4728" s="12" t="s">
        <v>572</v>
      </c>
      <c r="C4728" s="12" t="s">
        <v>564</v>
      </c>
      <c r="D4728" s="13">
        <v>1114</v>
      </c>
      <c r="E4728" s="13">
        <v>1150.8183770000001</v>
      </c>
      <c r="F4728" s="13">
        <v>1267.1808109999999</v>
      </c>
      <c r="G4728" s="13">
        <v>1387.475702</v>
      </c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</row>
    <row r="4729" spans="1:19" x14ac:dyDescent="0.2">
      <c r="A4729" s="12" t="s">
        <v>284</v>
      </c>
      <c r="B4729" s="12" t="s">
        <v>572</v>
      </c>
      <c r="C4729" s="12" t="s">
        <v>565</v>
      </c>
      <c r="D4729" s="13">
        <v>238</v>
      </c>
      <c r="E4729" s="13">
        <v>279.61016699999999</v>
      </c>
      <c r="F4729" s="13">
        <v>422.03160000000003</v>
      </c>
      <c r="G4729" s="13">
        <v>494.15058699999997</v>
      </c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</row>
    <row r="4730" spans="1:19" x14ac:dyDescent="0.2">
      <c r="A4730" s="12" t="s">
        <v>284</v>
      </c>
      <c r="B4730" s="12" t="s">
        <v>572</v>
      </c>
      <c r="C4730" s="12" t="s">
        <v>566</v>
      </c>
      <c r="D4730" s="13">
        <v>966</v>
      </c>
      <c r="E4730" s="13">
        <v>1015.183766</v>
      </c>
      <c r="F4730" s="13">
        <v>1245.603601</v>
      </c>
      <c r="G4730" s="13">
        <v>1481.270589</v>
      </c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</row>
    <row r="4731" spans="1:19" x14ac:dyDescent="0.2">
      <c r="A4731" s="12" t="s">
        <v>284</v>
      </c>
      <c r="B4731" s="12" t="s">
        <v>573</v>
      </c>
      <c r="C4731" s="12" t="s">
        <v>554</v>
      </c>
      <c r="D4731" s="13">
        <v>0</v>
      </c>
      <c r="E4731" s="13">
        <v>0</v>
      </c>
      <c r="F4731" s="13">
        <v>0</v>
      </c>
      <c r="G4731" s="13">
        <v>0</v>
      </c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</row>
    <row r="4732" spans="1:19" x14ac:dyDescent="0.2">
      <c r="A4732" s="12" t="s">
        <v>284</v>
      </c>
      <c r="B4732" s="12" t="s">
        <v>573</v>
      </c>
      <c r="C4732" s="12" t="s">
        <v>555</v>
      </c>
      <c r="D4732" s="13">
        <v>0</v>
      </c>
      <c r="E4732" s="13">
        <v>0</v>
      </c>
      <c r="F4732" s="13">
        <v>0</v>
      </c>
      <c r="G4732" s="13">
        <v>0</v>
      </c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</row>
    <row r="4733" spans="1:19" x14ac:dyDescent="0.2">
      <c r="A4733" s="12" t="s">
        <v>284</v>
      </c>
      <c r="B4733" s="12" t="s">
        <v>573</v>
      </c>
      <c r="C4733" s="12" t="s">
        <v>556</v>
      </c>
      <c r="D4733" s="13">
        <v>0</v>
      </c>
      <c r="E4733" s="13">
        <v>0</v>
      </c>
      <c r="F4733" s="13">
        <v>0</v>
      </c>
      <c r="G4733" s="13">
        <v>0</v>
      </c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</row>
    <row r="4734" spans="1:19" x14ac:dyDescent="0.2">
      <c r="A4734" s="12" t="s">
        <v>284</v>
      </c>
      <c r="B4734" s="12" t="s">
        <v>573</v>
      </c>
      <c r="C4734" s="12" t="s">
        <v>557</v>
      </c>
      <c r="D4734" s="13">
        <v>0</v>
      </c>
      <c r="E4734" s="13">
        <v>0</v>
      </c>
      <c r="F4734" s="13">
        <v>0</v>
      </c>
      <c r="G4734" s="13">
        <v>0</v>
      </c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</row>
    <row r="4735" spans="1:19" x14ac:dyDescent="0.2">
      <c r="A4735" s="12" t="s">
        <v>284</v>
      </c>
      <c r="B4735" s="12" t="s">
        <v>573</v>
      </c>
      <c r="C4735" s="12" t="s">
        <v>558</v>
      </c>
      <c r="D4735" s="13">
        <v>0</v>
      </c>
      <c r="E4735" s="13">
        <v>0</v>
      </c>
      <c r="F4735" s="13">
        <v>0</v>
      </c>
      <c r="G4735" s="13">
        <v>0</v>
      </c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</row>
    <row r="4736" spans="1:19" x14ac:dyDescent="0.2">
      <c r="A4736" s="12" t="s">
        <v>284</v>
      </c>
      <c r="B4736" s="12" t="s">
        <v>573</v>
      </c>
      <c r="C4736" s="12" t="s">
        <v>560</v>
      </c>
      <c r="D4736" s="13">
        <v>0</v>
      </c>
      <c r="E4736" s="13">
        <v>0</v>
      </c>
      <c r="F4736" s="13">
        <v>0</v>
      </c>
      <c r="G4736" s="13">
        <v>0</v>
      </c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</row>
    <row r="4737" spans="1:19" x14ac:dyDescent="0.2">
      <c r="A4737" s="12" t="s">
        <v>284</v>
      </c>
      <c r="B4737" s="12" t="s">
        <v>573</v>
      </c>
      <c r="C4737" s="12" t="s">
        <v>561</v>
      </c>
      <c r="D4737" s="13">
        <v>0</v>
      </c>
      <c r="E4737" s="13">
        <v>0</v>
      </c>
      <c r="F4737" s="13">
        <v>0</v>
      </c>
      <c r="G4737" s="13">
        <v>0</v>
      </c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</row>
    <row r="4738" spans="1:19" x14ac:dyDescent="0.2">
      <c r="A4738" s="12" t="s">
        <v>284</v>
      </c>
      <c r="B4738" s="12" t="s">
        <v>573</v>
      </c>
      <c r="C4738" s="12" t="s">
        <v>562</v>
      </c>
      <c r="D4738" s="13">
        <v>0</v>
      </c>
      <c r="E4738" s="13">
        <v>0</v>
      </c>
      <c r="F4738" s="13">
        <v>0</v>
      </c>
      <c r="G4738" s="13">
        <v>0</v>
      </c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</row>
    <row r="4739" spans="1:19" x14ac:dyDescent="0.2">
      <c r="A4739" s="12" t="s">
        <v>284</v>
      </c>
      <c r="B4739" s="12" t="s">
        <v>573</v>
      </c>
      <c r="C4739" s="12" t="s">
        <v>563</v>
      </c>
      <c r="D4739" s="13">
        <v>0</v>
      </c>
      <c r="E4739" s="13">
        <v>0</v>
      </c>
      <c r="F4739" s="13">
        <v>0</v>
      </c>
      <c r="G4739" s="13">
        <v>0</v>
      </c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</row>
    <row r="4740" spans="1:19" x14ac:dyDescent="0.2">
      <c r="A4740" s="12" t="s">
        <v>284</v>
      </c>
      <c r="B4740" s="12" t="s">
        <v>573</v>
      </c>
      <c r="C4740" s="12" t="s">
        <v>564</v>
      </c>
      <c r="D4740" s="13">
        <v>0</v>
      </c>
      <c r="E4740" s="13">
        <v>0</v>
      </c>
      <c r="F4740" s="13">
        <v>0</v>
      </c>
      <c r="G4740" s="13">
        <v>0</v>
      </c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</row>
    <row r="4741" spans="1:19" x14ac:dyDescent="0.2">
      <c r="A4741" s="12" t="s">
        <v>284</v>
      </c>
      <c r="B4741" s="12" t="s">
        <v>573</v>
      </c>
      <c r="C4741" s="12" t="s">
        <v>565</v>
      </c>
      <c r="D4741" s="13">
        <v>0</v>
      </c>
      <c r="E4741" s="13">
        <v>0</v>
      </c>
      <c r="F4741" s="13">
        <v>0</v>
      </c>
      <c r="G4741" s="13">
        <v>0</v>
      </c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</row>
    <row r="4742" spans="1:19" x14ac:dyDescent="0.2">
      <c r="A4742" s="12" t="s">
        <v>284</v>
      </c>
      <c r="B4742" s="12" t="s">
        <v>573</v>
      </c>
      <c r="C4742" s="12" t="s">
        <v>566</v>
      </c>
      <c r="D4742" s="13">
        <v>0</v>
      </c>
      <c r="E4742" s="13">
        <v>0</v>
      </c>
      <c r="F4742" s="13">
        <v>0</v>
      </c>
      <c r="G4742" s="13">
        <v>0</v>
      </c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</row>
    <row r="4743" spans="1:19" x14ac:dyDescent="0.2">
      <c r="A4743" s="12" t="s">
        <v>284</v>
      </c>
      <c r="B4743" s="12" t="s">
        <v>574</v>
      </c>
      <c r="C4743" s="12" t="s">
        <v>554</v>
      </c>
      <c r="D4743" s="13">
        <v>23831</v>
      </c>
      <c r="E4743" s="13">
        <v>25512.502291000001</v>
      </c>
      <c r="F4743" s="13">
        <v>28019.977695000001</v>
      </c>
      <c r="G4743" s="13">
        <v>29639.909037000001</v>
      </c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</row>
    <row r="4744" spans="1:19" x14ac:dyDescent="0.2">
      <c r="A4744" s="12" t="s">
        <v>284</v>
      </c>
      <c r="B4744" s="12" t="s">
        <v>574</v>
      </c>
      <c r="C4744" s="12" t="s">
        <v>555</v>
      </c>
      <c r="D4744" s="13">
        <v>16540</v>
      </c>
      <c r="E4744" s="13">
        <v>16963.642641999999</v>
      </c>
      <c r="F4744" s="13">
        <v>18575.490755999999</v>
      </c>
      <c r="G4744" s="13">
        <v>19741.631527000001</v>
      </c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</row>
    <row r="4745" spans="1:19" x14ac:dyDescent="0.2">
      <c r="A4745" s="12" t="s">
        <v>284</v>
      </c>
      <c r="B4745" s="12" t="s">
        <v>574</v>
      </c>
      <c r="C4745" s="12" t="s">
        <v>556</v>
      </c>
      <c r="D4745" s="13">
        <v>-2624</v>
      </c>
      <c r="E4745" s="13">
        <v>-2923.4494869999999</v>
      </c>
      <c r="F4745" s="13">
        <v>-2706.7757459999998</v>
      </c>
      <c r="G4745" s="13">
        <v>-2812.0086820000001</v>
      </c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</row>
    <row r="4746" spans="1:19" x14ac:dyDescent="0.2">
      <c r="A4746" s="12" t="s">
        <v>284</v>
      </c>
      <c r="B4746" s="12" t="s">
        <v>574</v>
      </c>
      <c r="C4746" s="12" t="s">
        <v>557</v>
      </c>
      <c r="D4746" s="13">
        <v>37128</v>
      </c>
      <c r="E4746" s="13">
        <v>40074.099048999997</v>
      </c>
      <c r="F4746" s="13">
        <v>43440.926293999997</v>
      </c>
      <c r="G4746" s="13">
        <v>45951.457009999998</v>
      </c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</row>
    <row r="4747" spans="1:19" x14ac:dyDescent="0.2">
      <c r="A4747" s="12" t="s">
        <v>284</v>
      </c>
      <c r="B4747" s="12" t="s">
        <v>574</v>
      </c>
      <c r="C4747" s="12" t="s">
        <v>558</v>
      </c>
      <c r="D4747" s="13">
        <v>-8530</v>
      </c>
      <c r="E4747" s="13">
        <v>-9424.1635369999985</v>
      </c>
      <c r="F4747" s="13">
        <v>-10609.769666</v>
      </c>
      <c r="G4747" s="13">
        <v>-11427.891890000001</v>
      </c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</row>
    <row r="4748" spans="1:19" x14ac:dyDescent="0.2">
      <c r="A4748" s="12" t="s">
        <v>284</v>
      </c>
      <c r="B4748" s="12" t="s">
        <v>574</v>
      </c>
      <c r="C4748" s="12" t="s">
        <v>560</v>
      </c>
      <c r="D4748" s="13">
        <v>-23</v>
      </c>
      <c r="E4748" s="13">
        <v>129.15855999999999</v>
      </c>
      <c r="F4748" s="13">
        <v>-292.92237</v>
      </c>
      <c r="G4748" s="13">
        <v>-514.56487500000003</v>
      </c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</row>
    <row r="4749" spans="1:19" x14ac:dyDescent="0.2">
      <c r="A4749" s="12" t="s">
        <v>284</v>
      </c>
      <c r="B4749" s="12" t="s">
        <v>574</v>
      </c>
      <c r="C4749" s="12" t="s">
        <v>561</v>
      </c>
      <c r="D4749" s="13">
        <v>24907</v>
      </c>
      <c r="E4749" s="13">
        <v>26632.012242000001</v>
      </c>
      <c r="F4749" s="13">
        <v>28532.895315000002</v>
      </c>
      <c r="G4749" s="13">
        <v>30310.934641</v>
      </c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</row>
    <row r="4750" spans="1:19" x14ac:dyDescent="0.2">
      <c r="A4750" s="12" t="s">
        <v>284</v>
      </c>
      <c r="B4750" s="12" t="s">
        <v>574</v>
      </c>
      <c r="C4750" s="12" t="s">
        <v>562</v>
      </c>
      <c r="D4750" s="13">
        <v>9405</v>
      </c>
      <c r="E4750" s="13">
        <v>10448.398784000001</v>
      </c>
      <c r="F4750" s="13">
        <v>11024.570583999999</v>
      </c>
      <c r="G4750" s="13">
        <v>12029.006842999999</v>
      </c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</row>
    <row r="4751" spans="1:19" x14ac:dyDescent="0.2">
      <c r="A4751" s="12" t="s">
        <v>284</v>
      </c>
      <c r="B4751" s="12" t="s">
        <v>574</v>
      </c>
      <c r="C4751" s="12" t="s">
        <v>563</v>
      </c>
      <c r="D4751" s="13">
        <v>3954</v>
      </c>
      <c r="E4751" s="13">
        <v>4398.1237810000002</v>
      </c>
      <c r="F4751" s="13">
        <v>5065.2763729999997</v>
      </c>
      <c r="G4751" s="13">
        <v>5234.9209369999999</v>
      </c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</row>
    <row r="4752" spans="1:19" x14ac:dyDescent="0.2">
      <c r="A4752" s="12" t="s">
        <v>284</v>
      </c>
      <c r="B4752" s="12" t="s">
        <v>574</v>
      </c>
      <c r="C4752" s="12" t="s">
        <v>564</v>
      </c>
      <c r="D4752" s="13">
        <v>7018</v>
      </c>
      <c r="E4752" s="13">
        <v>7053.515136</v>
      </c>
      <c r="F4752" s="13">
        <v>7121.7690860000002</v>
      </c>
      <c r="G4752" s="13">
        <v>7245.7931760000001</v>
      </c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</row>
    <row r="4753" spans="1:19" x14ac:dyDescent="0.2">
      <c r="A4753" s="12" t="s">
        <v>284</v>
      </c>
      <c r="B4753" s="12" t="s">
        <v>574</v>
      </c>
      <c r="C4753" s="12" t="s">
        <v>565</v>
      </c>
      <c r="D4753" s="13">
        <v>674</v>
      </c>
      <c r="E4753" s="13">
        <v>750.41704100000004</v>
      </c>
      <c r="F4753" s="13">
        <v>924.02400899999998</v>
      </c>
      <c r="G4753" s="13">
        <v>1019.235471</v>
      </c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</row>
    <row r="4754" spans="1:19" x14ac:dyDescent="0.2">
      <c r="A4754" s="12" t="s">
        <v>284</v>
      </c>
      <c r="B4754" s="12" t="s">
        <v>574</v>
      </c>
      <c r="C4754" s="12" t="s">
        <v>566</v>
      </c>
      <c r="D4754" s="13">
        <v>3856</v>
      </c>
      <c r="E4754" s="13">
        <v>3981.557483</v>
      </c>
      <c r="F4754" s="13">
        <v>4397.255255</v>
      </c>
      <c r="G4754" s="13">
        <v>4781.9782129999994</v>
      </c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</row>
    <row r="4755" spans="1:19" x14ac:dyDescent="0.2">
      <c r="A4755" s="12" t="s">
        <v>282</v>
      </c>
      <c r="B4755" s="12" t="s">
        <v>553</v>
      </c>
      <c r="C4755" s="12" t="s">
        <v>554</v>
      </c>
      <c r="D4755" s="13">
        <v>12254</v>
      </c>
      <c r="E4755" s="13">
        <v>13346.883204</v>
      </c>
      <c r="F4755" s="13">
        <v>14586.977948</v>
      </c>
      <c r="G4755" s="13">
        <v>16549.479291</v>
      </c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</row>
    <row r="4756" spans="1:19" x14ac:dyDescent="0.2">
      <c r="A4756" s="12" t="s">
        <v>282</v>
      </c>
      <c r="B4756" s="12" t="s">
        <v>553</v>
      </c>
      <c r="C4756" s="12" t="s">
        <v>555</v>
      </c>
      <c r="D4756" s="13">
        <v>273</v>
      </c>
      <c r="E4756" s="13">
        <v>438.60943600000002</v>
      </c>
      <c r="F4756" s="13">
        <v>399.94506200000001</v>
      </c>
      <c r="G4756" s="13">
        <v>477.43059699999998</v>
      </c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</row>
    <row r="4757" spans="1:19" x14ac:dyDescent="0.2">
      <c r="A4757" s="12" t="s">
        <v>282</v>
      </c>
      <c r="B4757" s="12" t="s">
        <v>553</v>
      </c>
      <c r="C4757" s="12" t="s">
        <v>556</v>
      </c>
      <c r="D4757" s="13">
        <v>-9300</v>
      </c>
      <c r="E4757" s="13">
        <v>-9946.0962639999998</v>
      </c>
      <c r="F4757" s="13">
        <v>-10609.279468000001</v>
      </c>
      <c r="G4757" s="13">
        <v>-11851.631621</v>
      </c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</row>
    <row r="4758" spans="1:19" x14ac:dyDescent="0.2">
      <c r="A4758" s="12" t="s">
        <v>282</v>
      </c>
      <c r="B4758" s="12" t="s">
        <v>553</v>
      </c>
      <c r="C4758" s="12" t="s">
        <v>557</v>
      </c>
      <c r="D4758" s="13">
        <v>3103</v>
      </c>
      <c r="E4758" s="13">
        <v>3518.4948909999998</v>
      </c>
      <c r="F4758" s="13">
        <v>3895.5509900000002</v>
      </c>
      <c r="G4758" s="13">
        <v>4115.6973340000004</v>
      </c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</row>
    <row r="4759" spans="1:19" x14ac:dyDescent="0.2">
      <c r="A4759" s="12" t="s">
        <v>282</v>
      </c>
      <c r="B4759" s="12" t="s">
        <v>553</v>
      </c>
      <c r="C4759" s="12" t="s">
        <v>558</v>
      </c>
      <c r="D4759" s="13">
        <v>-2352</v>
      </c>
      <c r="E4759" s="13">
        <v>-2590.6248289999999</v>
      </c>
      <c r="F4759" s="13">
        <v>-2878.9738470000002</v>
      </c>
      <c r="G4759" s="13">
        <v>-2908.0414810000002</v>
      </c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</row>
    <row r="4760" spans="1:19" x14ac:dyDescent="0.2">
      <c r="A4760" s="12" t="s">
        <v>282</v>
      </c>
      <c r="B4760" s="12" t="s">
        <v>553</v>
      </c>
      <c r="C4760" s="12" t="s">
        <v>560</v>
      </c>
      <c r="D4760" s="13">
        <v>0</v>
      </c>
      <c r="E4760" s="13">
        <v>0</v>
      </c>
      <c r="F4760" s="13">
        <v>0</v>
      </c>
      <c r="G4760" s="13">
        <v>0</v>
      </c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</row>
    <row r="4761" spans="1:19" x14ac:dyDescent="0.2">
      <c r="A4761" s="12" t="s">
        <v>282</v>
      </c>
      <c r="B4761" s="12" t="s">
        <v>553</v>
      </c>
      <c r="C4761" s="12" t="s">
        <v>561</v>
      </c>
      <c r="D4761" s="13">
        <v>522</v>
      </c>
      <c r="E4761" s="13">
        <v>535.27099999999996</v>
      </c>
      <c r="F4761" s="13">
        <v>622.68319099999997</v>
      </c>
      <c r="G4761" s="13">
        <v>723.42299100000002</v>
      </c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</row>
    <row r="4762" spans="1:19" x14ac:dyDescent="0.2">
      <c r="A4762" s="12" t="s">
        <v>282</v>
      </c>
      <c r="B4762" s="12" t="s">
        <v>553</v>
      </c>
      <c r="C4762" s="12" t="s">
        <v>562</v>
      </c>
      <c r="D4762" s="13">
        <v>522</v>
      </c>
      <c r="E4762" s="13">
        <v>535.27099999999996</v>
      </c>
      <c r="F4762" s="13">
        <v>622.68319099999997</v>
      </c>
      <c r="G4762" s="13">
        <v>723.42299100000002</v>
      </c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</row>
    <row r="4763" spans="1:19" x14ac:dyDescent="0.2">
      <c r="A4763" s="12" t="s">
        <v>282</v>
      </c>
      <c r="B4763" s="12" t="s">
        <v>553</v>
      </c>
      <c r="C4763" s="12" t="s">
        <v>563</v>
      </c>
      <c r="D4763" s="13">
        <v>0</v>
      </c>
      <c r="E4763" s="13">
        <v>0</v>
      </c>
      <c r="F4763" s="13">
        <v>0</v>
      </c>
      <c r="G4763" s="13">
        <v>0</v>
      </c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</row>
    <row r="4764" spans="1:19" x14ac:dyDescent="0.2">
      <c r="A4764" s="12" t="s">
        <v>282</v>
      </c>
      <c r="B4764" s="12" t="s">
        <v>553</v>
      </c>
      <c r="C4764" s="12" t="s">
        <v>564</v>
      </c>
      <c r="D4764" s="13">
        <v>0</v>
      </c>
      <c r="E4764" s="13">
        <v>0</v>
      </c>
      <c r="F4764" s="13">
        <v>0</v>
      </c>
      <c r="G4764" s="13">
        <v>0</v>
      </c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</row>
    <row r="4765" spans="1:19" x14ac:dyDescent="0.2">
      <c r="A4765" s="12" t="s">
        <v>282</v>
      </c>
      <c r="B4765" s="12" t="s">
        <v>553</v>
      </c>
      <c r="C4765" s="12" t="s">
        <v>565</v>
      </c>
      <c r="D4765" s="13">
        <v>0</v>
      </c>
      <c r="E4765" s="13">
        <v>0</v>
      </c>
      <c r="F4765" s="13">
        <v>0</v>
      </c>
      <c r="G4765" s="13">
        <v>0</v>
      </c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</row>
    <row r="4766" spans="1:19" x14ac:dyDescent="0.2">
      <c r="A4766" s="12" t="s">
        <v>282</v>
      </c>
      <c r="B4766" s="12" t="s">
        <v>553</v>
      </c>
      <c r="C4766" s="12" t="s">
        <v>566</v>
      </c>
      <c r="D4766" s="13">
        <v>0</v>
      </c>
      <c r="E4766" s="13">
        <v>0</v>
      </c>
      <c r="F4766" s="13">
        <v>0</v>
      </c>
      <c r="G4766" s="13">
        <v>0</v>
      </c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</row>
    <row r="4767" spans="1:19" x14ac:dyDescent="0.2">
      <c r="A4767" s="12" t="s">
        <v>282</v>
      </c>
      <c r="B4767" s="12" t="s">
        <v>567</v>
      </c>
      <c r="C4767" s="12" t="s">
        <v>554</v>
      </c>
      <c r="D4767" s="13">
        <v>1518</v>
      </c>
      <c r="E4767" s="13">
        <v>1413.9057270000001</v>
      </c>
      <c r="F4767" s="13">
        <v>1322.066225</v>
      </c>
      <c r="G4767" s="13">
        <v>1312.3315889999999</v>
      </c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</row>
    <row r="4768" spans="1:19" x14ac:dyDescent="0.2">
      <c r="A4768" s="12" t="s">
        <v>282</v>
      </c>
      <c r="B4768" s="12" t="s">
        <v>567</v>
      </c>
      <c r="C4768" s="12" t="s">
        <v>555</v>
      </c>
      <c r="D4768" s="13">
        <v>722</v>
      </c>
      <c r="E4768" s="13">
        <v>683.029314</v>
      </c>
      <c r="F4768" s="13">
        <v>690.7359570000001</v>
      </c>
      <c r="G4768" s="13">
        <v>853.29826800000001</v>
      </c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</row>
    <row r="4769" spans="1:19" x14ac:dyDescent="0.2">
      <c r="A4769" s="12" t="s">
        <v>282</v>
      </c>
      <c r="B4769" s="12" t="s">
        <v>567</v>
      </c>
      <c r="C4769" s="12" t="s">
        <v>556</v>
      </c>
      <c r="D4769" s="13">
        <v>-182</v>
      </c>
      <c r="E4769" s="13">
        <v>-253.71152599999999</v>
      </c>
      <c r="F4769" s="13">
        <v>-89.812570999999991</v>
      </c>
      <c r="G4769" s="13">
        <v>-124.02411499999999</v>
      </c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</row>
    <row r="4770" spans="1:19" x14ac:dyDescent="0.2">
      <c r="A4770" s="12" t="s">
        <v>282</v>
      </c>
      <c r="B4770" s="12" t="s">
        <v>567</v>
      </c>
      <c r="C4770" s="12" t="s">
        <v>557</v>
      </c>
      <c r="D4770" s="13">
        <v>2063</v>
      </c>
      <c r="E4770" s="13">
        <v>1874.397665</v>
      </c>
      <c r="F4770" s="13">
        <v>2017.074284</v>
      </c>
      <c r="G4770" s="13">
        <v>2073.9507819999999</v>
      </c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</row>
    <row r="4771" spans="1:19" x14ac:dyDescent="0.2">
      <c r="A4771" s="12" t="s">
        <v>282</v>
      </c>
      <c r="B4771" s="12" t="s">
        <v>567</v>
      </c>
      <c r="C4771" s="12" t="s">
        <v>558</v>
      </c>
      <c r="D4771" s="13">
        <v>0</v>
      </c>
      <c r="E4771" s="13">
        <v>0</v>
      </c>
      <c r="F4771" s="13">
        <v>0</v>
      </c>
      <c r="G4771" s="13">
        <v>0</v>
      </c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</row>
    <row r="4772" spans="1:19" x14ac:dyDescent="0.2">
      <c r="A4772" s="12" t="s">
        <v>282</v>
      </c>
      <c r="B4772" s="12" t="s">
        <v>567</v>
      </c>
      <c r="C4772" s="12" t="s">
        <v>560</v>
      </c>
      <c r="D4772" s="13">
        <v>-2000</v>
      </c>
      <c r="E4772" s="13">
        <v>-1794.20786</v>
      </c>
      <c r="F4772" s="13">
        <v>-1929.2117909999999</v>
      </c>
      <c r="G4772" s="13">
        <v>-1980.0348120000001</v>
      </c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</row>
    <row r="4773" spans="1:19" x14ac:dyDescent="0.2">
      <c r="A4773" s="12" t="s">
        <v>282</v>
      </c>
      <c r="B4773" s="12" t="s">
        <v>567</v>
      </c>
      <c r="C4773" s="12" t="s">
        <v>561</v>
      </c>
      <c r="D4773" s="13">
        <v>87</v>
      </c>
      <c r="E4773" s="13">
        <v>80.171585000000007</v>
      </c>
      <c r="F4773" s="13">
        <v>67.012396999999993</v>
      </c>
      <c r="G4773" s="13">
        <v>24.704138</v>
      </c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</row>
    <row r="4774" spans="1:19" x14ac:dyDescent="0.2">
      <c r="A4774" s="12" t="s">
        <v>282</v>
      </c>
      <c r="B4774" s="12" t="s">
        <v>567</v>
      </c>
      <c r="C4774" s="12" t="s">
        <v>562</v>
      </c>
      <c r="D4774" s="13">
        <v>0</v>
      </c>
      <c r="E4774" s="13">
        <v>0</v>
      </c>
      <c r="F4774" s="13">
        <v>0</v>
      </c>
      <c r="G4774" s="13">
        <v>0</v>
      </c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</row>
    <row r="4775" spans="1:19" x14ac:dyDescent="0.2">
      <c r="A4775" s="12" t="s">
        <v>282</v>
      </c>
      <c r="B4775" s="12" t="s">
        <v>567</v>
      </c>
      <c r="C4775" s="12" t="s">
        <v>563</v>
      </c>
      <c r="D4775" s="13">
        <v>0</v>
      </c>
      <c r="E4775" s="13">
        <v>0</v>
      </c>
      <c r="F4775" s="13">
        <v>0</v>
      </c>
      <c r="G4775" s="13">
        <v>0</v>
      </c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</row>
    <row r="4776" spans="1:19" x14ac:dyDescent="0.2">
      <c r="A4776" s="12" t="s">
        <v>282</v>
      </c>
      <c r="B4776" s="12" t="s">
        <v>567</v>
      </c>
      <c r="C4776" s="12" t="s">
        <v>564</v>
      </c>
      <c r="D4776" s="13">
        <v>0</v>
      </c>
      <c r="E4776" s="13">
        <v>0</v>
      </c>
      <c r="F4776" s="13">
        <v>0</v>
      </c>
      <c r="G4776" s="13">
        <v>0</v>
      </c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</row>
    <row r="4777" spans="1:19" x14ac:dyDescent="0.2">
      <c r="A4777" s="12" t="s">
        <v>282</v>
      </c>
      <c r="B4777" s="12" t="s">
        <v>567</v>
      </c>
      <c r="C4777" s="12" t="s">
        <v>565</v>
      </c>
      <c r="D4777" s="13">
        <v>0</v>
      </c>
      <c r="E4777" s="13">
        <v>0</v>
      </c>
      <c r="F4777" s="13">
        <v>0</v>
      </c>
      <c r="G4777" s="13">
        <v>0</v>
      </c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</row>
    <row r="4778" spans="1:19" x14ac:dyDescent="0.2">
      <c r="A4778" s="12" t="s">
        <v>282</v>
      </c>
      <c r="B4778" s="12" t="s">
        <v>567</v>
      </c>
      <c r="C4778" s="12" t="s">
        <v>566</v>
      </c>
      <c r="D4778" s="13">
        <v>87</v>
      </c>
      <c r="E4778" s="13">
        <v>80.171585000000007</v>
      </c>
      <c r="F4778" s="13">
        <v>67.012396999999993</v>
      </c>
      <c r="G4778" s="13">
        <v>24.704138</v>
      </c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</row>
    <row r="4779" spans="1:19" x14ac:dyDescent="0.2">
      <c r="A4779" s="12" t="s">
        <v>282</v>
      </c>
      <c r="B4779" s="12" t="s">
        <v>568</v>
      </c>
      <c r="C4779" s="12" t="s">
        <v>554</v>
      </c>
      <c r="D4779" s="13">
        <v>0</v>
      </c>
      <c r="E4779" s="13">
        <v>0</v>
      </c>
      <c r="F4779" s="13">
        <v>0</v>
      </c>
      <c r="G4779" s="13">
        <v>0</v>
      </c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</row>
    <row r="4780" spans="1:19" x14ac:dyDescent="0.2">
      <c r="A4780" s="12" t="s">
        <v>282</v>
      </c>
      <c r="B4780" s="12" t="s">
        <v>568</v>
      </c>
      <c r="C4780" s="12" t="s">
        <v>555</v>
      </c>
      <c r="D4780" s="13">
        <v>958</v>
      </c>
      <c r="E4780" s="13">
        <v>1022.424934</v>
      </c>
      <c r="F4780" s="13">
        <v>1247.074294</v>
      </c>
      <c r="G4780" s="13">
        <v>1229.7390789999999</v>
      </c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</row>
    <row r="4781" spans="1:19" x14ac:dyDescent="0.2">
      <c r="A4781" s="12" t="s">
        <v>282</v>
      </c>
      <c r="B4781" s="12" t="s">
        <v>568</v>
      </c>
      <c r="C4781" s="12" t="s">
        <v>556</v>
      </c>
      <c r="D4781" s="13">
        <v>-152</v>
      </c>
      <c r="E4781" s="13">
        <v>-35.523420000000002</v>
      </c>
      <c r="F4781" s="13">
        <v>-153.346993</v>
      </c>
      <c r="G4781" s="13">
        <v>-173.156665</v>
      </c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</row>
    <row r="4782" spans="1:19" x14ac:dyDescent="0.2">
      <c r="A4782" s="12" t="s">
        <v>282</v>
      </c>
      <c r="B4782" s="12" t="s">
        <v>568</v>
      </c>
      <c r="C4782" s="12" t="s">
        <v>557</v>
      </c>
      <c r="D4782" s="13">
        <v>767</v>
      </c>
      <c r="E4782" s="13">
        <v>974.70198300000004</v>
      </c>
      <c r="F4782" s="13">
        <v>1035.560399</v>
      </c>
      <c r="G4782" s="13">
        <v>965.35414800000001</v>
      </c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</row>
    <row r="4783" spans="1:19" x14ac:dyDescent="0.2">
      <c r="A4783" s="12" t="s">
        <v>282</v>
      </c>
      <c r="B4783" s="12" t="s">
        <v>568</v>
      </c>
      <c r="C4783" s="12" t="s">
        <v>558</v>
      </c>
      <c r="D4783" s="13">
        <v>-133</v>
      </c>
      <c r="E4783" s="13">
        <v>-142.831028</v>
      </c>
      <c r="F4783" s="13">
        <v>-130.47107099999999</v>
      </c>
      <c r="G4783" s="13">
        <v>-140.66370599999999</v>
      </c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</row>
    <row r="4784" spans="1:19" x14ac:dyDescent="0.2">
      <c r="A4784" s="12" t="s">
        <v>282</v>
      </c>
      <c r="B4784" s="12" t="s">
        <v>568</v>
      </c>
      <c r="C4784" s="12" t="s">
        <v>560</v>
      </c>
      <c r="D4784" s="13">
        <v>1954</v>
      </c>
      <c r="E4784" s="13">
        <v>1742.0102999999999</v>
      </c>
      <c r="F4784" s="13">
        <v>1864.146227</v>
      </c>
      <c r="G4784" s="13">
        <v>1912.9569750000001</v>
      </c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</row>
    <row r="4785" spans="1:19" x14ac:dyDescent="0.2">
      <c r="A4785" s="12" t="s">
        <v>282</v>
      </c>
      <c r="B4785" s="12" t="s">
        <v>568</v>
      </c>
      <c r="C4785" s="12" t="s">
        <v>561</v>
      </c>
      <c r="D4785" s="13">
        <v>2568</v>
      </c>
      <c r="E4785" s="13">
        <v>2603.6859610000001</v>
      </c>
      <c r="F4785" s="13">
        <v>2845.717396</v>
      </c>
      <c r="G4785" s="13">
        <v>2806.8703860000001</v>
      </c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</row>
    <row r="4786" spans="1:19" x14ac:dyDescent="0.2">
      <c r="A4786" s="12" t="s">
        <v>282</v>
      </c>
      <c r="B4786" s="12" t="s">
        <v>568</v>
      </c>
      <c r="C4786" s="12" t="s">
        <v>562</v>
      </c>
      <c r="D4786" s="13">
        <v>261</v>
      </c>
      <c r="E4786" s="13">
        <v>249.17865399999999</v>
      </c>
      <c r="F4786" s="13">
        <v>289.65261700000002</v>
      </c>
      <c r="G4786" s="13">
        <v>254.16128499999999</v>
      </c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</row>
    <row r="4787" spans="1:19" x14ac:dyDescent="0.2">
      <c r="A4787" s="12" t="s">
        <v>282</v>
      </c>
      <c r="B4787" s="12" t="s">
        <v>568</v>
      </c>
      <c r="C4787" s="12" t="s">
        <v>563</v>
      </c>
      <c r="D4787" s="13">
        <v>1769</v>
      </c>
      <c r="E4787" s="13">
        <v>1872.626109</v>
      </c>
      <c r="F4787" s="13">
        <v>2058.3232579999999</v>
      </c>
      <c r="G4787" s="13">
        <v>2060.440196</v>
      </c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</row>
    <row r="4788" spans="1:19" x14ac:dyDescent="0.2">
      <c r="A4788" s="12" t="s">
        <v>282</v>
      </c>
      <c r="B4788" s="12" t="s">
        <v>568</v>
      </c>
      <c r="C4788" s="12" t="s">
        <v>564</v>
      </c>
      <c r="D4788" s="13">
        <v>380</v>
      </c>
      <c r="E4788" s="13">
        <v>395.06180899999998</v>
      </c>
      <c r="F4788" s="13">
        <v>403.73911900000002</v>
      </c>
      <c r="G4788" s="13">
        <v>410.42860899999999</v>
      </c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</row>
    <row r="4789" spans="1:19" x14ac:dyDescent="0.2">
      <c r="A4789" s="12" t="s">
        <v>282</v>
      </c>
      <c r="B4789" s="12" t="s">
        <v>568</v>
      </c>
      <c r="C4789" s="12" t="s">
        <v>565</v>
      </c>
      <c r="D4789" s="13">
        <v>20</v>
      </c>
      <c r="E4789" s="13">
        <v>21.919208000000001</v>
      </c>
      <c r="F4789" s="13">
        <v>21.195114</v>
      </c>
      <c r="G4789" s="13">
        <v>21.227076</v>
      </c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</row>
    <row r="4790" spans="1:19" x14ac:dyDescent="0.2">
      <c r="A4790" s="12" t="s">
        <v>282</v>
      </c>
      <c r="B4790" s="12" t="s">
        <v>568</v>
      </c>
      <c r="C4790" s="12" t="s">
        <v>566</v>
      </c>
      <c r="D4790" s="13">
        <v>138</v>
      </c>
      <c r="E4790" s="13">
        <v>64.900181000000003</v>
      </c>
      <c r="F4790" s="13">
        <v>72.807283999999996</v>
      </c>
      <c r="G4790" s="13">
        <v>60.613220000000013</v>
      </c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</row>
    <row r="4791" spans="1:19" x14ac:dyDescent="0.2">
      <c r="A4791" s="12" t="s">
        <v>282</v>
      </c>
      <c r="B4791" s="12" t="s">
        <v>569</v>
      </c>
      <c r="C4791" s="12" t="s">
        <v>554</v>
      </c>
      <c r="D4791" s="13">
        <v>2513</v>
      </c>
      <c r="E4791" s="13">
        <v>2506.211354</v>
      </c>
      <c r="F4791" s="13">
        <v>2440.319743</v>
      </c>
      <c r="G4791" s="13">
        <v>2494.165407</v>
      </c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</row>
    <row r="4792" spans="1:19" x14ac:dyDescent="0.2">
      <c r="A4792" s="12" t="s">
        <v>282</v>
      </c>
      <c r="B4792" s="12" t="s">
        <v>569</v>
      </c>
      <c r="C4792" s="12" t="s">
        <v>555</v>
      </c>
      <c r="D4792" s="13">
        <v>0</v>
      </c>
      <c r="E4792" s="13">
        <v>0</v>
      </c>
      <c r="F4792" s="13">
        <v>0</v>
      </c>
      <c r="G4792" s="13">
        <v>0</v>
      </c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</row>
    <row r="4793" spans="1:19" x14ac:dyDescent="0.2">
      <c r="A4793" s="12" t="s">
        <v>282</v>
      </c>
      <c r="B4793" s="12" t="s">
        <v>569</v>
      </c>
      <c r="C4793" s="12" t="s">
        <v>556</v>
      </c>
      <c r="D4793" s="13">
        <v>-796</v>
      </c>
      <c r="E4793" s="13">
        <v>-717.89573699999994</v>
      </c>
      <c r="F4793" s="13">
        <v>-689.07576100000006</v>
      </c>
      <c r="G4793" s="13">
        <v>-682.63569600000005</v>
      </c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</row>
    <row r="4794" spans="1:19" x14ac:dyDescent="0.2">
      <c r="A4794" s="12" t="s">
        <v>282</v>
      </c>
      <c r="B4794" s="12" t="s">
        <v>569</v>
      </c>
      <c r="C4794" s="12" t="s">
        <v>557</v>
      </c>
      <c r="D4794" s="13">
        <v>1716</v>
      </c>
      <c r="E4794" s="13">
        <v>1785.83943</v>
      </c>
      <c r="F4794" s="13">
        <v>1748.304609</v>
      </c>
      <c r="G4794" s="13">
        <v>1806.381856</v>
      </c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</row>
    <row r="4795" spans="1:19" x14ac:dyDescent="0.2">
      <c r="A4795" s="12" t="s">
        <v>282</v>
      </c>
      <c r="B4795" s="12" t="s">
        <v>569</v>
      </c>
      <c r="C4795" s="12" t="s">
        <v>558</v>
      </c>
      <c r="D4795" s="13">
        <v>-537</v>
      </c>
      <c r="E4795" s="13">
        <v>-637.12976100000003</v>
      </c>
      <c r="F4795" s="13">
        <v>-608.27292399999999</v>
      </c>
      <c r="G4795" s="13">
        <v>-647.89653499999997</v>
      </c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</row>
    <row r="4796" spans="1:19" x14ac:dyDescent="0.2">
      <c r="A4796" s="12" t="s">
        <v>282</v>
      </c>
      <c r="B4796" s="12" t="s">
        <v>569</v>
      </c>
      <c r="C4796" s="12" t="s">
        <v>560</v>
      </c>
      <c r="D4796" s="13">
        <v>0</v>
      </c>
      <c r="E4796" s="13">
        <v>0</v>
      </c>
      <c r="F4796" s="13">
        <v>0</v>
      </c>
      <c r="G4796" s="13">
        <v>0</v>
      </c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</row>
    <row r="4797" spans="1:19" x14ac:dyDescent="0.2">
      <c r="A4797" s="12" t="s">
        <v>282</v>
      </c>
      <c r="B4797" s="12" t="s">
        <v>569</v>
      </c>
      <c r="C4797" s="12" t="s">
        <v>561</v>
      </c>
      <c r="D4797" s="13">
        <v>731</v>
      </c>
      <c r="E4797" s="13">
        <v>784.63803500000006</v>
      </c>
      <c r="F4797" s="13">
        <v>773.49662899999998</v>
      </c>
      <c r="G4797" s="13">
        <v>848.63633800000002</v>
      </c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</row>
    <row r="4798" spans="1:19" x14ac:dyDescent="0.2">
      <c r="A4798" s="12" t="s">
        <v>282</v>
      </c>
      <c r="B4798" s="12" t="s">
        <v>569</v>
      </c>
      <c r="C4798" s="12" t="s">
        <v>562</v>
      </c>
      <c r="D4798" s="13">
        <v>581</v>
      </c>
      <c r="E4798" s="13">
        <v>602.48340099999996</v>
      </c>
      <c r="F4798" s="13">
        <v>580.86809900000003</v>
      </c>
      <c r="G4798" s="13">
        <v>656.28180000000009</v>
      </c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</row>
    <row r="4799" spans="1:19" x14ac:dyDescent="0.2">
      <c r="A4799" s="12" t="s">
        <v>282</v>
      </c>
      <c r="B4799" s="12" t="s">
        <v>569</v>
      </c>
      <c r="C4799" s="12" t="s">
        <v>563</v>
      </c>
      <c r="D4799" s="13">
        <v>2</v>
      </c>
      <c r="E4799" s="13">
        <v>1.900363</v>
      </c>
      <c r="F4799" s="13">
        <v>2.3660109999999999</v>
      </c>
      <c r="G4799" s="13">
        <v>2.6781280000000001</v>
      </c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</row>
    <row r="4800" spans="1:19" x14ac:dyDescent="0.2">
      <c r="A4800" s="12" t="s">
        <v>282</v>
      </c>
      <c r="B4800" s="12" t="s">
        <v>569</v>
      </c>
      <c r="C4800" s="12" t="s">
        <v>564</v>
      </c>
      <c r="D4800" s="13">
        <v>2</v>
      </c>
      <c r="E4800" s="13">
        <v>3.0392990000000002</v>
      </c>
      <c r="F4800" s="13">
        <v>4.013998</v>
      </c>
      <c r="G4800" s="13">
        <v>5.7969010000000001</v>
      </c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</row>
    <row r="4801" spans="1:19" x14ac:dyDescent="0.2">
      <c r="A4801" s="12" t="s">
        <v>282</v>
      </c>
      <c r="B4801" s="12" t="s">
        <v>569</v>
      </c>
      <c r="C4801" s="12" t="s">
        <v>565</v>
      </c>
      <c r="D4801" s="13">
        <v>4</v>
      </c>
      <c r="E4801" s="13">
        <v>3.8628</v>
      </c>
      <c r="F4801" s="13">
        <v>4.2488990000000006</v>
      </c>
      <c r="G4801" s="13">
        <v>2.0123980000000001</v>
      </c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</row>
    <row r="4802" spans="1:19" x14ac:dyDescent="0.2">
      <c r="A4802" s="12" t="s">
        <v>282</v>
      </c>
      <c r="B4802" s="12" t="s">
        <v>569</v>
      </c>
      <c r="C4802" s="12" t="s">
        <v>566</v>
      </c>
      <c r="D4802" s="13">
        <v>142</v>
      </c>
      <c r="E4802" s="13">
        <v>173.352172</v>
      </c>
      <c r="F4802" s="13">
        <v>181.999618</v>
      </c>
      <c r="G4802" s="13">
        <v>181.86711</v>
      </c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</row>
    <row r="4803" spans="1:19" x14ac:dyDescent="0.2">
      <c r="A4803" s="12" t="s">
        <v>282</v>
      </c>
      <c r="B4803" s="12" t="s">
        <v>570</v>
      </c>
      <c r="C4803" s="12" t="s">
        <v>554</v>
      </c>
      <c r="D4803" s="13">
        <v>0</v>
      </c>
      <c r="E4803" s="13">
        <v>0</v>
      </c>
      <c r="F4803" s="13">
        <v>0</v>
      </c>
      <c r="G4803" s="13">
        <v>0</v>
      </c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</row>
    <row r="4804" spans="1:19" x14ac:dyDescent="0.2">
      <c r="A4804" s="12" t="s">
        <v>282</v>
      </c>
      <c r="B4804" s="12" t="s">
        <v>570</v>
      </c>
      <c r="C4804" s="12" t="s">
        <v>555</v>
      </c>
      <c r="D4804" s="13">
        <v>0</v>
      </c>
      <c r="E4804" s="13">
        <v>0</v>
      </c>
      <c r="F4804" s="13">
        <v>0</v>
      </c>
      <c r="G4804" s="13">
        <v>0</v>
      </c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</row>
    <row r="4805" spans="1:19" x14ac:dyDescent="0.2">
      <c r="A4805" s="12" t="s">
        <v>282</v>
      </c>
      <c r="B4805" s="12" t="s">
        <v>570</v>
      </c>
      <c r="C4805" s="12" t="s">
        <v>556</v>
      </c>
      <c r="D4805" s="13">
        <v>0</v>
      </c>
      <c r="E4805" s="13">
        <v>0</v>
      </c>
      <c r="F4805" s="13">
        <v>0</v>
      </c>
      <c r="G4805" s="13">
        <v>0</v>
      </c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</row>
    <row r="4806" spans="1:19" x14ac:dyDescent="0.2">
      <c r="A4806" s="12" t="s">
        <v>282</v>
      </c>
      <c r="B4806" s="12" t="s">
        <v>570</v>
      </c>
      <c r="C4806" s="12" t="s">
        <v>557</v>
      </c>
      <c r="D4806" s="13">
        <v>0</v>
      </c>
      <c r="E4806" s="13">
        <v>0</v>
      </c>
      <c r="F4806" s="13">
        <v>0</v>
      </c>
      <c r="G4806" s="13">
        <v>0</v>
      </c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</row>
    <row r="4807" spans="1:19" x14ac:dyDescent="0.2">
      <c r="A4807" s="12" t="s">
        <v>282</v>
      </c>
      <c r="B4807" s="12" t="s">
        <v>570</v>
      </c>
      <c r="C4807" s="12" t="s">
        <v>558</v>
      </c>
      <c r="D4807" s="13">
        <v>0</v>
      </c>
      <c r="E4807" s="13">
        <v>0</v>
      </c>
      <c r="F4807" s="13">
        <v>0</v>
      </c>
      <c r="G4807" s="13">
        <v>0</v>
      </c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</row>
    <row r="4808" spans="1:19" x14ac:dyDescent="0.2">
      <c r="A4808" s="12" t="s">
        <v>282</v>
      </c>
      <c r="B4808" s="12" t="s">
        <v>570</v>
      </c>
      <c r="C4808" s="12" t="s">
        <v>560</v>
      </c>
      <c r="D4808" s="13">
        <v>0</v>
      </c>
      <c r="E4808" s="13">
        <v>0</v>
      </c>
      <c r="F4808" s="13">
        <v>0</v>
      </c>
      <c r="G4808" s="13">
        <v>0</v>
      </c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</row>
    <row r="4809" spans="1:19" x14ac:dyDescent="0.2">
      <c r="A4809" s="12" t="s">
        <v>282</v>
      </c>
      <c r="B4809" s="12" t="s">
        <v>570</v>
      </c>
      <c r="C4809" s="12" t="s">
        <v>561</v>
      </c>
      <c r="D4809" s="13">
        <v>0</v>
      </c>
      <c r="E4809" s="13">
        <v>0</v>
      </c>
      <c r="F4809" s="13">
        <v>0</v>
      </c>
      <c r="G4809" s="13">
        <v>0</v>
      </c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</row>
    <row r="4810" spans="1:19" x14ac:dyDescent="0.2">
      <c r="A4810" s="12" t="s">
        <v>282</v>
      </c>
      <c r="B4810" s="12" t="s">
        <v>570</v>
      </c>
      <c r="C4810" s="12" t="s">
        <v>562</v>
      </c>
      <c r="D4810" s="13">
        <v>0</v>
      </c>
      <c r="E4810" s="13">
        <v>0</v>
      </c>
      <c r="F4810" s="13">
        <v>0</v>
      </c>
      <c r="G4810" s="13">
        <v>0</v>
      </c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</row>
    <row r="4811" spans="1:19" x14ac:dyDescent="0.2">
      <c r="A4811" s="12" t="s">
        <v>282</v>
      </c>
      <c r="B4811" s="12" t="s">
        <v>570</v>
      </c>
      <c r="C4811" s="12" t="s">
        <v>563</v>
      </c>
      <c r="D4811" s="13">
        <v>0</v>
      </c>
      <c r="E4811" s="13">
        <v>0</v>
      </c>
      <c r="F4811" s="13">
        <v>0</v>
      </c>
      <c r="G4811" s="13">
        <v>0</v>
      </c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</row>
    <row r="4812" spans="1:19" x14ac:dyDescent="0.2">
      <c r="A4812" s="12" t="s">
        <v>282</v>
      </c>
      <c r="B4812" s="12" t="s">
        <v>570</v>
      </c>
      <c r="C4812" s="12" t="s">
        <v>564</v>
      </c>
      <c r="D4812" s="13">
        <v>0</v>
      </c>
      <c r="E4812" s="13">
        <v>0</v>
      </c>
      <c r="F4812" s="13">
        <v>0</v>
      </c>
      <c r="G4812" s="13">
        <v>0</v>
      </c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</row>
    <row r="4813" spans="1:19" x14ac:dyDescent="0.2">
      <c r="A4813" s="12" t="s">
        <v>282</v>
      </c>
      <c r="B4813" s="12" t="s">
        <v>570</v>
      </c>
      <c r="C4813" s="12" t="s">
        <v>565</v>
      </c>
      <c r="D4813" s="13">
        <v>0</v>
      </c>
      <c r="E4813" s="13">
        <v>0</v>
      </c>
      <c r="F4813" s="13">
        <v>0</v>
      </c>
      <c r="G4813" s="13">
        <v>0</v>
      </c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</row>
    <row r="4814" spans="1:19" x14ac:dyDescent="0.2">
      <c r="A4814" s="12" t="s">
        <v>282</v>
      </c>
      <c r="B4814" s="12" t="s">
        <v>570</v>
      </c>
      <c r="C4814" s="12" t="s">
        <v>566</v>
      </c>
      <c r="D4814" s="13">
        <v>0</v>
      </c>
      <c r="E4814" s="13">
        <v>0</v>
      </c>
      <c r="F4814" s="13">
        <v>0</v>
      </c>
      <c r="G4814" s="13">
        <v>0</v>
      </c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</row>
    <row r="4815" spans="1:19" x14ac:dyDescent="0.2">
      <c r="A4815" s="12" t="s">
        <v>282</v>
      </c>
      <c r="B4815" s="12" t="s">
        <v>571</v>
      </c>
      <c r="C4815" s="12" t="s">
        <v>554</v>
      </c>
      <c r="D4815" s="13">
        <v>2213</v>
      </c>
      <c r="E4815" s="13">
        <v>2320.22064</v>
      </c>
      <c r="F4815" s="13">
        <v>2522.5230729999998</v>
      </c>
      <c r="G4815" s="13">
        <v>2632.376585</v>
      </c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</row>
    <row r="4816" spans="1:19" x14ac:dyDescent="0.2">
      <c r="A4816" s="12" t="s">
        <v>282</v>
      </c>
      <c r="B4816" s="12" t="s">
        <v>571</v>
      </c>
      <c r="C4816" s="12" t="s">
        <v>555</v>
      </c>
      <c r="D4816" s="13">
        <v>0</v>
      </c>
      <c r="E4816" s="13">
        <v>0</v>
      </c>
      <c r="F4816" s="13">
        <v>0</v>
      </c>
      <c r="G4816" s="13">
        <v>0</v>
      </c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</row>
    <row r="4817" spans="1:19" x14ac:dyDescent="0.2">
      <c r="A4817" s="12" t="s">
        <v>282</v>
      </c>
      <c r="B4817" s="12" t="s">
        <v>571</v>
      </c>
      <c r="C4817" s="12" t="s">
        <v>556</v>
      </c>
      <c r="D4817" s="13">
        <v>-16</v>
      </c>
      <c r="E4817" s="13">
        <v>-20.702235000000002</v>
      </c>
      <c r="F4817" s="13">
        <v>-30.537735999999999</v>
      </c>
      <c r="G4817" s="13">
        <v>-31.692731999999999</v>
      </c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</row>
    <row r="4818" spans="1:19" x14ac:dyDescent="0.2">
      <c r="A4818" s="12" t="s">
        <v>282</v>
      </c>
      <c r="B4818" s="12" t="s">
        <v>571</v>
      </c>
      <c r="C4818" s="12" t="s">
        <v>557</v>
      </c>
      <c r="D4818" s="13">
        <v>2195</v>
      </c>
      <c r="E4818" s="13">
        <v>2297.5213090000002</v>
      </c>
      <c r="F4818" s="13">
        <v>2491.985337000001</v>
      </c>
      <c r="G4818" s="13">
        <v>2601.240413</v>
      </c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</row>
    <row r="4819" spans="1:19" x14ac:dyDescent="0.2">
      <c r="A4819" s="12" t="s">
        <v>282</v>
      </c>
      <c r="B4819" s="12" t="s">
        <v>571</v>
      </c>
      <c r="C4819" s="12" t="s">
        <v>558</v>
      </c>
      <c r="D4819" s="13">
        <v>-1456</v>
      </c>
      <c r="E4819" s="13">
        <v>-1528.879735</v>
      </c>
      <c r="F4819" s="13">
        <v>-1698.3339169999999</v>
      </c>
      <c r="G4819" s="13">
        <v>-1747.479709</v>
      </c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</row>
    <row r="4820" spans="1:19" x14ac:dyDescent="0.2">
      <c r="A4820" s="12" t="s">
        <v>282</v>
      </c>
      <c r="B4820" s="12" t="s">
        <v>571</v>
      </c>
      <c r="C4820" s="12" t="s">
        <v>560</v>
      </c>
      <c r="D4820" s="13">
        <v>0</v>
      </c>
      <c r="E4820" s="13">
        <v>0</v>
      </c>
      <c r="F4820" s="13">
        <v>0</v>
      </c>
      <c r="G4820" s="13">
        <v>0</v>
      </c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</row>
    <row r="4821" spans="1:19" x14ac:dyDescent="0.2">
      <c r="A4821" s="12" t="s">
        <v>282</v>
      </c>
      <c r="B4821" s="12" t="s">
        <v>571</v>
      </c>
      <c r="C4821" s="12" t="s">
        <v>561</v>
      </c>
      <c r="D4821" s="13">
        <v>733</v>
      </c>
      <c r="E4821" s="13">
        <v>764.63754900000004</v>
      </c>
      <c r="F4821" s="13">
        <v>794.41440199999988</v>
      </c>
      <c r="G4821" s="13">
        <v>850.21968499999991</v>
      </c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</row>
    <row r="4822" spans="1:19" x14ac:dyDescent="0.2">
      <c r="A4822" s="12" t="s">
        <v>282</v>
      </c>
      <c r="B4822" s="12" t="s">
        <v>571</v>
      </c>
      <c r="C4822" s="12" t="s">
        <v>562</v>
      </c>
      <c r="D4822" s="13">
        <v>338</v>
      </c>
      <c r="E4822" s="13">
        <v>348.19271800000001</v>
      </c>
      <c r="F4822" s="13">
        <v>351.625744</v>
      </c>
      <c r="G4822" s="13">
        <v>355.80963400000002</v>
      </c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</row>
    <row r="4823" spans="1:19" x14ac:dyDescent="0.2">
      <c r="A4823" s="12" t="s">
        <v>282</v>
      </c>
      <c r="B4823" s="12" t="s">
        <v>571</v>
      </c>
      <c r="C4823" s="12" t="s">
        <v>563</v>
      </c>
      <c r="D4823" s="13">
        <v>243</v>
      </c>
      <c r="E4823" s="13">
        <v>269.39480600000002</v>
      </c>
      <c r="F4823" s="13">
        <v>302.87102700000003</v>
      </c>
      <c r="G4823" s="13">
        <v>356.22076099999998</v>
      </c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</row>
    <row r="4824" spans="1:19" x14ac:dyDescent="0.2">
      <c r="A4824" s="12" t="s">
        <v>282</v>
      </c>
      <c r="B4824" s="12" t="s">
        <v>571</v>
      </c>
      <c r="C4824" s="12" t="s">
        <v>564</v>
      </c>
      <c r="D4824" s="13">
        <v>131</v>
      </c>
      <c r="E4824" s="13">
        <v>125.294235</v>
      </c>
      <c r="F4824" s="13">
        <v>110.768472</v>
      </c>
      <c r="G4824" s="13">
        <v>100.362557</v>
      </c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</row>
    <row r="4825" spans="1:19" x14ac:dyDescent="0.2">
      <c r="A4825" s="12" t="s">
        <v>282</v>
      </c>
      <c r="B4825" s="12" t="s">
        <v>571</v>
      </c>
      <c r="C4825" s="12" t="s">
        <v>565</v>
      </c>
      <c r="D4825" s="13">
        <v>11</v>
      </c>
      <c r="E4825" s="13">
        <v>11.038008</v>
      </c>
      <c r="F4825" s="13">
        <v>17.099549</v>
      </c>
      <c r="G4825" s="13">
        <v>23.654612</v>
      </c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</row>
    <row r="4826" spans="1:19" x14ac:dyDescent="0.2">
      <c r="A4826" s="12" t="s">
        <v>282</v>
      </c>
      <c r="B4826" s="12" t="s">
        <v>571</v>
      </c>
      <c r="C4826" s="12" t="s">
        <v>566</v>
      </c>
      <c r="D4826" s="13">
        <v>10</v>
      </c>
      <c r="E4826" s="13">
        <v>10.717781</v>
      </c>
      <c r="F4826" s="13">
        <v>12.049606000000001</v>
      </c>
      <c r="G4826" s="13">
        <v>14.172121000000001</v>
      </c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</row>
    <row r="4827" spans="1:19" x14ac:dyDescent="0.2">
      <c r="A4827" s="12" t="s">
        <v>282</v>
      </c>
      <c r="B4827" s="12" t="s">
        <v>572</v>
      </c>
      <c r="C4827" s="12" t="s">
        <v>554</v>
      </c>
      <c r="D4827" s="13">
        <v>0</v>
      </c>
      <c r="E4827" s="13">
        <v>0</v>
      </c>
      <c r="F4827" s="13">
        <v>0</v>
      </c>
      <c r="G4827" s="13">
        <v>0</v>
      </c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</row>
    <row r="4828" spans="1:19" x14ac:dyDescent="0.2">
      <c r="A4828" s="12" t="s">
        <v>282</v>
      </c>
      <c r="B4828" s="12" t="s">
        <v>572</v>
      </c>
      <c r="C4828" s="12" t="s">
        <v>555</v>
      </c>
      <c r="D4828" s="13">
        <v>6</v>
      </c>
      <c r="E4828" s="13">
        <v>3.501827</v>
      </c>
      <c r="F4828" s="13">
        <v>2.8705660000000002</v>
      </c>
      <c r="G4828" s="13">
        <v>3.2144740000000001</v>
      </c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</row>
    <row r="4829" spans="1:19" x14ac:dyDescent="0.2">
      <c r="A4829" s="12" t="s">
        <v>282</v>
      </c>
      <c r="B4829" s="12" t="s">
        <v>572</v>
      </c>
      <c r="C4829" s="12" t="s">
        <v>556</v>
      </c>
      <c r="D4829" s="13">
        <v>0</v>
      </c>
      <c r="E4829" s="13">
        <v>0</v>
      </c>
      <c r="F4829" s="13">
        <v>0</v>
      </c>
      <c r="G4829" s="13">
        <v>0</v>
      </c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</row>
    <row r="4830" spans="1:19" x14ac:dyDescent="0.2">
      <c r="A4830" s="12" t="s">
        <v>282</v>
      </c>
      <c r="B4830" s="12" t="s">
        <v>572</v>
      </c>
      <c r="C4830" s="12" t="s">
        <v>557</v>
      </c>
      <c r="D4830" s="13">
        <v>6</v>
      </c>
      <c r="E4830" s="13">
        <v>3.501827</v>
      </c>
      <c r="F4830" s="13">
        <v>2.8705660000000002</v>
      </c>
      <c r="G4830" s="13">
        <v>3.2144740000000001</v>
      </c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</row>
    <row r="4831" spans="1:19" x14ac:dyDescent="0.2">
      <c r="A4831" s="12" t="s">
        <v>282</v>
      </c>
      <c r="B4831" s="12" t="s">
        <v>572</v>
      </c>
      <c r="C4831" s="12" t="s">
        <v>558</v>
      </c>
      <c r="D4831" s="13">
        <v>1193</v>
      </c>
      <c r="E4831" s="13">
        <v>1292.724029</v>
      </c>
      <c r="F4831" s="13">
        <v>1430.5293650000001</v>
      </c>
      <c r="G4831" s="13">
        <v>1560.4575809999999</v>
      </c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</row>
    <row r="4832" spans="1:19" x14ac:dyDescent="0.2">
      <c r="A4832" s="12" t="s">
        <v>282</v>
      </c>
      <c r="B4832" s="12" t="s">
        <v>572</v>
      </c>
      <c r="C4832" s="12" t="s">
        <v>560</v>
      </c>
      <c r="D4832" s="13">
        <v>0</v>
      </c>
      <c r="E4832" s="13">
        <v>0</v>
      </c>
      <c r="F4832" s="13">
        <v>0</v>
      </c>
      <c r="G4832" s="13">
        <v>0</v>
      </c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</row>
    <row r="4833" spans="1:19" x14ac:dyDescent="0.2">
      <c r="A4833" s="12" t="s">
        <v>282</v>
      </c>
      <c r="B4833" s="12" t="s">
        <v>572</v>
      </c>
      <c r="C4833" s="12" t="s">
        <v>561</v>
      </c>
      <c r="D4833" s="13">
        <v>1135</v>
      </c>
      <c r="E4833" s="13">
        <v>1211.632392</v>
      </c>
      <c r="F4833" s="13">
        <v>1351.8828980000001</v>
      </c>
      <c r="G4833" s="13">
        <v>1482.3110380000001</v>
      </c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</row>
    <row r="4834" spans="1:19" x14ac:dyDescent="0.2">
      <c r="A4834" s="12" t="s">
        <v>282</v>
      </c>
      <c r="B4834" s="12" t="s">
        <v>572</v>
      </c>
      <c r="C4834" s="12" t="s">
        <v>562</v>
      </c>
      <c r="D4834" s="13">
        <v>474</v>
      </c>
      <c r="E4834" s="13">
        <v>554.56776500000001</v>
      </c>
      <c r="F4834" s="13">
        <v>655.69453399999998</v>
      </c>
      <c r="G4834" s="13">
        <v>730.82331099999999</v>
      </c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</row>
    <row r="4835" spans="1:19" x14ac:dyDescent="0.2">
      <c r="A4835" s="12" t="s">
        <v>282</v>
      </c>
      <c r="B4835" s="12" t="s">
        <v>572</v>
      </c>
      <c r="C4835" s="12" t="s">
        <v>563</v>
      </c>
      <c r="D4835" s="13">
        <v>1</v>
      </c>
      <c r="E4835" s="13">
        <v>1.186866</v>
      </c>
      <c r="F4835" s="13">
        <v>1.29087</v>
      </c>
      <c r="G4835" s="13">
        <v>1.4377009999999999</v>
      </c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</row>
    <row r="4836" spans="1:19" x14ac:dyDescent="0.2">
      <c r="A4836" s="12" t="s">
        <v>282</v>
      </c>
      <c r="B4836" s="12" t="s">
        <v>572</v>
      </c>
      <c r="C4836" s="12" t="s">
        <v>564</v>
      </c>
      <c r="D4836" s="13">
        <v>433</v>
      </c>
      <c r="E4836" s="13">
        <v>421.88780500000001</v>
      </c>
      <c r="F4836" s="13">
        <v>428.40944500000001</v>
      </c>
      <c r="G4836" s="13">
        <v>452.60356000000002</v>
      </c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</row>
    <row r="4837" spans="1:19" x14ac:dyDescent="0.2">
      <c r="A4837" s="12" t="s">
        <v>282</v>
      </c>
      <c r="B4837" s="12" t="s">
        <v>572</v>
      </c>
      <c r="C4837" s="12" t="s">
        <v>565</v>
      </c>
      <c r="D4837" s="13">
        <v>218</v>
      </c>
      <c r="E4837" s="13">
        <v>225.859275</v>
      </c>
      <c r="F4837" s="13">
        <v>258.35736300000002</v>
      </c>
      <c r="G4837" s="13">
        <v>289.42998799999998</v>
      </c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</row>
    <row r="4838" spans="1:19" x14ac:dyDescent="0.2">
      <c r="A4838" s="12" t="s">
        <v>282</v>
      </c>
      <c r="B4838" s="12" t="s">
        <v>572</v>
      </c>
      <c r="C4838" s="12" t="s">
        <v>566</v>
      </c>
      <c r="D4838" s="13">
        <v>8</v>
      </c>
      <c r="E4838" s="13">
        <v>8.1306820000000002</v>
      </c>
      <c r="F4838" s="13">
        <v>8.1306820000000002</v>
      </c>
      <c r="G4838" s="13">
        <v>8.0164790000000004</v>
      </c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</row>
    <row r="4839" spans="1:19" x14ac:dyDescent="0.2">
      <c r="A4839" s="12" t="s">
        <v>282</v>
      </c>
      <c r="B4839" s="12" t="s">
        <v>573</v>
      </c>
      <c r="C4839" s="12" t="s">
        <v>554</v>
      </c>
      <c r="D4839" s="13">
        <v>0</v>
      </c>
      <c r="E4839" s="13">
        <v>0</v>
      </c>
      <c r="F4839" s="13">
        <v>0</v>
      </c>
      <c r="G4839" s="13">
        <v>0</v>
      </c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</row>
    <row r="4840" spans="1:19" x14ac:dyDescent="0.2">
      <c r="A4840" s="12" t="s">
        <v>282</v>
      </c>
      <c r="B4840" s="12" t="s">
        <v>573</v>
      </c>
      <c r="C4840" s="12" t="s">
        <v>555</v>
      </c>
      <c r="D4840" s="13">
        <v>0</v>
      </c>
      <c r="E4840" s="13">
        <v>0</v>
      </c>
      <c r="F4840" s="13">
        <v>0</v>
      </c>
      <c r="G4840" s="13">
        <v>0</v>
      </c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</row>
    <row r="4841" spans="1:19" x14ac:dyDescent="0.2">
      <c r="A4841" s="12" t="s">
        <v>282</v>
      </c>
      <c r="B4841" s="12" t="s">
        <v>573</v>
      </c>
      <c r="C4841" s="12" t="s">
        <v>556</v>
      </c>
      <c r="D4841" s="13">
        <v>0</v>
      </c>
      <c r="E4841" s="13">
        <v>0</v>
      </c>
      <c r="F4841" s="13">
        <v>0</v>
      </c>
      <c r="G4841" s="13">
        <v>0</v>
      </c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</row>
    <row r="4842" spans="1:19" x14ac:dyDescent="0.2">
      <c r="A4842" s="12" t="s">
        <v>282</v>
      </c>
      <c r="B4842" s="12" t="s">
        <v>573</v>
      </c>
      <c r="C4842" s="12" t="s">
        <v>557</v>
      </c>
      <c r="D4842" s="13">
        <v>0</v>
      </c>
      <c r="E4842" s="13">
        <v>0</v>
      </c>
      <c r="F4842" s="13">
        <v>0</v>
      </c>
      <c r="G4842" s="13">
        <v>0</v>
      </c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</row>
    <row r="4843" spans="1:19" x14ac:dyDescent="0.2">
      <c r="A4843" s="12" t="s">
        <v>282</v>
      </c>
      <c r="B4843" s="12" t="s">
        <v>573</v>
      </c>
      <c r="C4843" s="12" t="s">
        <v>558</v>
      </c>
      <c r="D4843" s="13">
        <v>0</v>
      </c>
      <c r="E4843" s="13">
        <v>0</v>
      </c>
      <c r="F4843" s="13">
        <v>0</v>
      </c>
      <c r="G4843" s="13">
        <v>0</v>
      </c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</row>
    <row r="4844" spans="1:19" x14ac:dyDescent="0.2">
      <c r="A4844" s="12" t="s">
        <v>282</v>
      </c>
      <c r="B4844" s="12" t="s">
        <v>573</v>
      </c>
      <c r="C4844" s="12" t="s">
        <v>560</v>
      </c>
      <c r="D4844" s="13">
        <v>0</v>
      </c>
      <c r="E4844" s="13">
        <v>0</v>
      </c>
      <c r="F4844" s="13">
        <v>0</v>
      </c>
      <c r="G4844" s="13">
        <v>0</v>
      </c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</row>
    <row r="4845" spans="1:19" x14ac:dyDescent="0.2">
      <c r="A4845" s="12" t="s">
        <v>282</v>
      </c>
      <c r="B4845" s="12" t="s">
        <v>573</v>
      </c>
      <c r="C4845" s="12" t="s">
        <v>561</v>
      </c>
      <c r="D4845" s="13">
        <v>0</v>
      </c>
      <c r="E4845" s="13">
        <v>0</v>
      </c>
      <c r="F4845" s="13">
        <v>0</v>
      </c>
      <c r="G4845" s="13">
        <v>0</v>
      </c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</row>
    <row r="4846" spans="1:19" x14ac:dyDescent="0.2">
      <c r="A4846" s="12" t="s">
        <v>282</v>
      </c>
      <c r="B4846" s="12" t="s">
        <v>573</v>
      </c>
      <c r="C4846" s="12" t="s">
        <v>562</v>
      </c>
      <c r="D4846" s="13">
        <v>0</v>
      </c>
      <c r="E4846" s="13">
        <v>0</v>
      </c>
      <c r="F4846" s="13">
        <v>0</v>
      </c>
      <c r="G4846" s="13">
        <v>0</v>
      </c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</row>
    <row r="4847" spans="1:19" x14ac:dyDescent="0.2">
      <c r="A4847" s="12" t="s">
        <v>282</v>
      </c>
      <c r="B4847" s="12" t="s">
        <v>573</v>
      </c>
      <c r="C4847" s="12" t="s">
        <v>563</v>
      </c>
      <c r="D4847" s="13">
        <v>0</v>
      </c>
      <c r="E4847" s="13">
        <v>0</v>
      </c>
      <c r="F4847" s="13">
        <v>0</v>
      </c>
      <c r="G4847" s="13">
        <v>0</v>
      </c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</row>
    <row r="4848" spans="1:19" x14ac:dyDescent="0.2">
      <c r="A4848" s="12" t="s">
        <v>282</v>
      </c>
      <c r="B4848" s="12" t="s">
        <v>573</v>
      </c>
      <c r="C4848" s="12" t="s">
        <v>564</v>
      </c>
      <c r="D4848" s="13">
        <v>0</v>
      </c>
      <c r="E4848" s="13">
        <v>0</v>
      </c>
      <c r="F4848" s="13">
        <v>0</v>
      </c>
      <c r="G4848" s="13">
        <v>0</v>
      </c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</row>
    <row r="4849" spans="1:19" x14ac:dyDescent="0.2">
      <c r="A4849" s="12" t="s">
        <v>282</v>
      </c>
      <c r="B4849" s="12" t="s">
        <v>573</v>
      </c>
      <c r="C4849" s="12" t="s">
        <v>565</v>
      </c>
      <c r="D4849" s="13">
        <v>0</v>
      </c>
      <c r="E4849" s="13">
        <v>0</v>
      </c>
      <c r="F4849" s="13">
        <v>0</v>
      </c>
      <c r="G4849" s="13">
        <v>0</v>
      </c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</row>
    <row r="4850" spans="1:19" x14ac:dyDescent="0.2">
      <c r="A4850" s="12" t="s">
        <v>282</v>
      </c>
      <c r="B4850" s="12" t="s">
        <v>573</v>
      </c>
      <c r="C4850" s="12" t="s">
        <v>566</v>
      </c>
      <c r="D4850" s="13">
        <v>0</v>
      </c>
      <c r="E4850" s="13">
        <v>0</v>
      </c>
      <c r="F4850" s="13">
        <v>0</v>
      </c>
      <c r="G4850" s="13">
        <v>0</v>
      </c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</row>
    <row r="4851" spans="1:19" x14ac:dyDescent="0.2">
      <c r="A4851" s="12" t="s">
        <v>282</v>
      </c>
      <c r="B4851" s="12" t="s">
        <v>574</v>
      </c>
      <c r="C4851" s="12" t="s">
        <v>554</v>
      </c>
      <c r="D4851" s="13">
        <v>18497</v>
      </c>
      <c r="E4851" s="13">
        <v>19587.220924000001</v>
      </c>
      <c r="F4851" s="13">
        <v>20871.886987999998</v>
      </c>
      <c r="G4851" s="13">
        <v>22988.352873</v>
      </c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</row>
    <row r="4852" spans="1:19" x14ac:dyDescent="0.2">
      <c r="A4852" s="12" t="s">
        <v>282</v>
      </c>
      <c r="B4852" s="12" t="s">
        <v>574</v>
      </c>
      <c r="C4852" s="12" t="s">
        <v>555</v>
      </c>
      <c r="D4852" s="13">
        <v>1959</v>
      </c>
      <c r="E4852" s="13">
        <v>2147.5655109999998</v>
      </c>
      <c r="F4852" s="13">
        <v>2340.6258800000001</v>
      </c>
      <c r="G4852" s="13">
        <v>2563.6824190000002</v>
      </c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</row>
    <row r="4853" spans="1:19" x14ac:dyDescent="0.2">
      <c r="A4853" s="12" t="s">
        <v>282</v>
      </c>
      <c r="B4853" s="12" t="s">
        <v>574</v>
      </c>
      <c r="C4853" s="12" t="s">
        <v>556</v>
      </c>
      <c r="D4853" s="13">
        <v>-10447</v>
      </c>
      <c r="E4853" s="13">
        <v>-10973.929182</v>
      </c>
      <c r="F4853" s="13">
        <v>-11572.052529000001</v>
      </c>
      <c r="G4853" s="13">
        <v>-12863.14083</v>
      </c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</row>
    <row r="4854" spans="1:19" x14ac:dyDescent="0.2">
      <c r="A4854" s="12" t="s">
        <v>282</v>
      </c>
      <c r="B4854" s="12" t="s">
        <v>574</v>
      </c>
      <c r="C4854" s="12" t="s">
        <v>557</v>
      </c>
      <c r="D4854" s="13">
        <v>9850</v>
      </c>
      <c r="E4854" s="13">
        <v>10454.457101</v>
      </c>
      <c r="F4854" s="13">
        <v>11191.346192999999</v>
      </c>
      <c r="G4854" s="13">
        <v>11565.839002999999</v>
      </c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</row>
    <row r="4855" spans="1:19" x14ac:dyDescent="0.2">
      <c r="A4855" s="12" t="s">
        <v>282</v>
      </c>
      <c r="B4855" s="12" t="s">
        <v>574</v>
      </c>
      <c r="C4855" s="12" t="s">
        <v>558</v>
      </c>
      <c r="D4855" s="13">
        <v>-3285</v>
      </c>
      <c r="E4855" s="13">
        <v>-3606.7413219999999</v>
      </c>
      <c r="F4855" s="13">
        <v>-3885.5223930000002</v>
      </c>
      <c r="G4855" s="13">
        <v>-3883.6238520000002</v>
      </c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</row>
    <row r="4856" spans="1:19" x14ac:dyDescent="0.2">
      <c r="A4856" s="12" t="s">
        <v>282</v>
      </c>
      <c r="B4856" s="12" t="s">
        <v>574</v>
      </c>
      <c r="C4856" s="12" t="s">
        <v>560</v>
      </c>
      <c r="D4856" s="13">
        <v>-47</v>
      </c>
      <c r="E4856" s="13">
        <v>-52.197560000000003</v>
      </c>
      <c r="F4856" s="13">
        <v>-65.065563999999995</v>
      </c>
      <c r="G4856" s="13">
        <v>-67.077832000000001</v>
      </c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</row>
    <row r="4857" spans="1:19" x14ac:dyDescent="0.2">
      <c r="A4857" s="12" t="s">
        <v>282</v>
      </c>
      <c r="B4857" s="12" t="s">
        <v>574</v>
      </c>
      <c r="C4857" s="12" t="s">
        <v>561</v>
      </c>
      <c r="D4857" s="13">
        <v>5775</v>
      </c>
      <c r="E4857" s="13">
        <v>5980.0365220000003</v>
      </c>
      <c r="F4857" s="13">
        <v>6455.2069090000005</v>
      </c>
      <c r="G4857" s="13">
        <v>6736.1645760000001</v>
      </c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</row>
    <row r="4858" spans="1:19" x14ac:dyDescent="0.2">
      <c r="A4858" s="12" t="s">
        <v>282</v>
      </c>
      <c r="B4858" s="12" t="s">
        <v>574</v>
      </c>
      <c r="C4858" s="12" t="s">
        <v>562</v>
      </c>
      <c r="D4858" s="13">
        <v>2176</v>
      </c>
      <c r="E4858" s="13">
        <v>2289.6935330000001</v>
      </c>
      <c r="F4858" s="13">
        <v>2500.5241850000002</v>
      </c>
      <c r="G4858" s="13">
        <v>2720.4990210000001</v>
      </c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</row>
    <row r="4859" spans="1:19" x14ac:dyDescent="0.2">
      <c r="A4859" s="12" t="s">
        <v>282</v>
      </c>
      <c r="B4859" s="12" t="s">
        <v>574</v>
      </c>
      <c r="C4859" s="12" t="s">
        <v>563</v>
      </c>
      <c r="D4859" s="13">
        <v>2015</v>
      </c>
      <c r="E4859" s="13">
        <v>2145.1081439999998</v>
      </c>
      <c r="F4859" s="13">
        <v>2364.851165</v>
      </c>
      <c r="G4859" s="13">
        <v>2420.7767859999999</v>
      </c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</row>
    <row r="4860" spans="1:19" x14ac:dyDescent="0.2">
      <c r="A4860" s="12" t="s">
        <v>282</v>
      </c>
      <c r="B4860" s="12" t="s">
        <v>574</v>
      </c>
      <c r="C4860" s="12" t="s">
        <v>564</v>
      </c>
      <c r="D4860" s="13">
        <v>947</v>
      </c>
      <c r="E4860" s="13">
        <v>945.2831480000001</v>
      </c>
      <c r="F4860" s="13">
        <v>946.93103500000007</v>
      </c>
      <c r="G4860" s="13">
        <v>969.19162600000004</v>
      </c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</row>
    <row r="4861" spans="1:19" x14ac:dyDescent="0.2">
      <c r="A4861" s="12" t="s">
        <v>282</v>
      </c>
      <c r="B4861" s="12" t="s">
        <v>574</v>
      </c>
      <c r="C4861" s="12" t="s">
        <v>565</v>
      </c>
      <c r="D4861" s="13">
        <v>253</v>
      </c>
      <c r="E4861" s="13">
        <v>262.67929199999998</v>
      </c>
      <c r="F4861" s="13">
        <v>300.90092800000002</v>
      </c>
      <c r="G4861" s="13">
        <v>336.32407400000011</v>
      </c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</row>
    <row r="4862" spans="1:19" x14ac:dyDescent="0.2">
      <c r="A4862" s="12" t="s">
        <v>282</v>
      </c>
      <c r="B4862" s="12" t="s">
        <v>574</v>
      </c>
      <c r="C4862" s="12" t="s">
        <v>566</v>
      </c>
      <c r="D4862" s="13">
        <v>385</v>
      </c>
      <c r="E4862" s="13">
        <v>337.272401</v>
      </c>
      <c r="F4862" s="13">
        <v>341.99958700000002</v>
      </c>
      <c r="G4862" s="13">
        <v>289.37306899999999</v>
      </c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</row>
    <row r="4863" spans="1:19" x14ac:dyDescent="0.2">
      <c r="A4863" s="12" t="s">
        <v>307</v>
      </c>
      <c r="B4863" s="12" t="s">
        <v>553</v>
      </c>
      <c r="C4863" s="12" t="s">
        <v>554</v>
      </c>
      <c r="D4863" s="13">
        <v>0</v>
      </c>
      <c r="E4863" s="13">
        <v>0</v>
      </c>
      <c r="F4863" s="13">
        <v>0</v>
      </c>
      <c r="G4863" s="13">
        <v>0</v>
      </c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</row>
    <row r="4864" spans="1:19" x14ac:dyDescent="0.2">
      <c r="A4864" s="12" t="s">
        <v>307</v>
      </c>
      <c r="B4864" s="12" t="s">
        <v>553</v>
      </c>
      <c r="C4864" s="12" t="s">
        <v>555</v>
      </c>
      <c r="D4864" s="13">
        <v>21</v>
      </c>
      <c r="E4864" s="13">
        <v>24.873778999999999</v>
      </c>
      <c r="F4864" s="13">
        <v>30.139558999999998</v>
      </c>
      <c r="G4864" s="13">
        <v>37.476537</v>
      </c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</row>
    <row r="4865" spans="1:19" x14ac:dyDescent="0.2">
      <c r="A4865" s="12" t="s">
        <v>307</v>
      </c>
      <c r="B4865" s="12" t="s">
        <v>553</v>
      </c>
      <c r="C4865" s="12" t="s">
        <v>556</v>
      </c>
      <c r="D4865" s="13">
        <v>0</v>
      </c>
      <c r="E4865" s="13">
        <v>0</v>
      </c>
      <c r="F4865" s="13">
        <v>0</v>
      </c>
      <c r="G4865" s="13">
        <v>0</v>
      </c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</row>
    <row r="4866" spans="1:19" x14ac:dyDescent="0.2">
      <c r="A4866" s="12" t="s">
        <v>307</v>
      </c>
      <c r="B4866" s="12" t="s">
        <v>553</v>
      </c>
      <c r="C4866" s="12" t="s">
        <v>557</v>
      </c>
      <c r="D4866" s="13">
        <v>21</v>
      </c>
      <c r="E4866" s="13">
        <v>24.873778999999999</v>
      </c>
      <c r="F4866" s="13">
        <v>30.139558999999998</v>
      </c>
      <c r="G4866" s="13">
        <v>37.476537</v>
      </c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</row>
    <row r="4867" spans="1:19" x14ac:dyDescent="0.2">
      <c r="A4867" s="12" t="s">
        <v>307</v>
      </c>
      <c r="B4867" s="12" t="s">
        <v>553</v>
      </c>
      <c r="C4867" s="12" t="s">
        <v>558</v>
      </c>
      <c r="D4867" s="13">
        <v>0</v>
      </c>
      <c r="E4867" s="13">
        <v>0</v>
      </c>
      <c r="F4867" s="13">
        <v>0</v>
      </c>
      <c r="G4867" s="13">
        <v>0</v>
      </c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</row>
    <row r="4868" spans="1:19" x14ac:dyDescent="0.2">
      <c r="A4868" s="12" t="s">
        <v>307</v>
      </c>
      <c r="B4868" s="12" t="s">
        <v>553</v>
      </c>
      <c r="C4868" s="12" t="s">
        <v>560</v>
      </c>
      <c r="D4868" s="13">
        <v>0</v>
      </c>
      <c r="E4868" s="13">
        <v>0</v>
      </c>
      <c r="F4868" s="13">
        <v>0</v>
      </c>
      <c r="G4868" s="13">
        <v>0</v>
      </c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</row>
    <row r="4869" spans="1:19" x14ac:dyDescent="0.2">
      <c r="A4869" s="12" t="s">
        <v>307</v>
      </c>
      <c r="B4869" s="12" t="s">
        <v>553</v>
      </c>
      <c r="C4869" s="12" t="s">
        <v>561</v>
      </c>
      <c r="D4869" s="13">
        <v>21</v>
      </c>
      <c r="E4869" s="13">
        <v>24.873778999999999</v>
      </c>
      <c r="F4869" s="13">
        <v>30.139558999999998</v>
      </c>
      <c r="G4869" s="13">
        <v>37.476537</v>
      </c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</row>
    <row r="4870" spans="1:19" x14ac:dyDescent="0.2">
      <c r="A4870" s="12" t="s">
        <v>307</v>
      </c>
      <c r="B4870" s="12" t="s">
        <v>553</v>
      </c>
      <c r="C4870" s="12" t="s">
        <v>562</v>
      </c>
      <c r="D4870" s="13">
        <v>21</v>
      </c>
      <c r="E4870" s="13">
        <v>24.873778999999999</v>
      </c>
      <c r="F4870" s="13">
        <v>30.139558999999998</v>
      </c>
      <c r="G4870" s="13">
        <v>37.476537</v>
      </c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</row>
    <row r="4871" spans="1:19" x14ac:dyDescent="0.2">
      <c r="A4871" s="12" t="s">
        <v>307</v>
      </c>
      <c r="B4871" s="12" t="s">
        <v>553</v>
      </c>
      <c r="C4871" s="12" t="s">
        <v>563</v>
      </c>
      <c r="D4871" s="13">
        <v>0</v>
      </c>
      <c r="E4871" s="13">
        <v>0</v>
      </c>
      <c r="F4871" s="13">
        <v>0</v>
      </c>
      <c r="G4871" s="13">
        <v>0</v>
      </c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</row>
    <row r="4872" spans="1:19" x14ac:dyDescent="0.2">
      <c r="A4872" s="12" t="s">
        <v>307</v>
      </c>
      <c r="B4872" s="12" t="s">
        <v>553</v>
      </c>
      <c r="C4872" s="12" t="s">
        <v>564</v>
      </c>
      <c r="D4872" s="13">
        <v>0</v>
      </c>
      <c r="E4872" s="13">
        <v>0</v>
      </c>
      <c r="F4872" s="13">
        <v>0</v>
      </c>
      <c r="G4872" s="13">
        <v>0</v>
      </c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</row>
    <row r="4873" spans="1:19" x14ac:dyDescent="0.2">
      <c r="A4873" s="12" t="s">
        <v>307</v>
      </c>
      <c r="B4873" s="12" t="s">
        <v>553</v>
      </c>
      <c r="C4873" s="12" t="s">
        <v>565</v>
      </c>
      <c r="D4873" s="13">
        <v>0</v>
      </c>
      <c r="E4873" s="13">
        <v>0</v>
      </c>
      <c r="F4873" s="13">
        <v>0</v>
      </c>
      <c r="G4873" s="13">
        <v>0</v>
      </c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</row>
    <row r="4874" spans="1:19" x14ac:dyDescent="0.2">
      <c r="A4874" s="12" t="s">
        <v>307</v>
      </c>
      <c r="B4874" s="12" t="s">
        <v>553</v>
      </c>
      <c r="C4874" s="12" t="s">
        <v>566</v>
      </c>
      <c r="D4874" s="13">
        <v>0</v>
      </c>
      <c r="E4874" s="13">
        <v>0</v>
      </c>
      <c r="F4874" s="13">
        <v>0</v>
      </c>
      <c r="G4874" s="13">
        <v>0</v>
      </c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</row>
    <row r="4875" spans="1:19" x14ac:dyDescent="0.2">
      <c r="A4875" s="12" t="s">
        <v>307</v>
      </c>
      <c r="B4875" s="12" t="s">
        <v>567</v>
      </c>
      <c r="C4875" s="12" t="s">
        <v>554</v>
      </c>
      <c r="D4875" s="13">
        <v>0</v>
      </c>
      <c r="E4875" s="13">
        <v>0</v>
      </c>
      <c r="F4875" s="13">
        <v>0</v>
      </c>
      <c r="G4875" s="13">
        <v>0</v>
      </c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</row>
    <row r="4876" spans="1:19" x14ac:dyDescent="0.2">
      <c r="A4876" s="12" t="s">
        <v>307</v>
      </c>
      <c r="B4876" s="12" t="s">
        <v>567</v>
      </c>
      <c r="C4876" s="12" t="s">
        <v>555</v>
      </c>
      <c r="D4876" s="13">
        <v>0</v>
      </c>
      <c r="E4876" s="13">
        <v>0</v>
      </c>
      <c r="F4876" s="13">
        <v>0</v>
      </c>
      <c r="G4876" s="13">
        <v>0</v>
      </c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</row>
    <row r="4877" spans="1:19" x14ac:dyDescent="0.2">
      <c r="A4877" s="12" t="s">
        <v>307</v>
      </c>
      <c r="B4877" s="12" t="s">
        <v>567</v>
      </c>
      <c r="C4877" s="12" t="s">
        <v>556</v>
      </c>
      <c r="D4877" s="13">
        <v>0</v>
      </c>
      <c r="E4877" s="13">
        <v>0</v>
      </c>
      <c r="F4877" s="13">
        <v>0</v>
      </c>
      <c r="G4877" s="13">
        <v>0</v>
      </c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</row>
    <row r="4878" spans="1:19" x14ac:dyDescent="0.2">
      <c r="A4878" s="12" t="s">
        <v>307</v>
      </c>
      <c r="B4878" s="12" t="s">
        <v>567</v>
      </c>
      <c r="C4878" s="12" t="s">
        <v>557</v>
      </c>
      <c r="D4878" s="13">
        <v>0</v>
      </c>
      <c r="E4878" s="13">
        <v>0</v>
      </c>
      <c r="F4878" s="13">
        <v>0</v>
      </c>
      <c r="G4878" s="13">
        <v>0</v>
      </c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</row>
    <row r="4879" spans="1:19" x14ac:dyDescent="0.2">
      <c r="A4879" s="12" t="s">
        <v>307</v>
      </c>
      <c r="B4879" s="12" t="s">
        <v>567</v>
      </c>
      <c r="C4879" s="12" t="s">
        <v>558</v>
      </c>
      <c r="D4879" s="13">
        <v>0</v>
      </c>
      <c r="E4879" s="13">
        <v>0</v>
      </c>
      <c r="F4879" s="13">
        <v>0</v>
      </c>
      <c r="G4879" s="13">
        <v>0</v>
      </c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</row>
    <row r="4880" spans="1:19" x14ac:dyDescent="0.2">
      <c r="A4880" s="12" t="s">
        <v>307</v>
      </c>
      <c r="B4880" s="12" t="s">
        <v>567</v>
      </c>
      <c r="C4880" s="12" t="s">
        <v>560</v>
      </c>
      <c r="D4880" s="13">
        <v>0</v>
      </c>
      <c r="E4880" s="13">
        <v>0</v>
      </c>
      <c r="F4880" s="13">
        <v>0</v>
      </c>
      <c r="G4880" s="13">
        <v>0</v>
      </c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</row>
    <row r="4881" spans="1:19" x14ac:dyDescent="0.2">
      <c r="A4881" s="12" t="s">
        <v>307</v>
      </c>
      <c r="B4881" s="12" t="s">
        <v>567</v>
      </c>
      <c r="C4881" s="12" t="s">
        <v>561</v>
      </c>
      <c r="D4881" s="13">
        <v>0</v>
      </c>
      <c r="E4881" s="13">
        <v>0</v>
      </c>
      <c r="F4881" s="13">
        <v>0</v>
      </c>
      <c r="G4881" s="13">
        <v>0</v>
      </c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</row>
    <row r="4882" spans="1:19" x14ac:dyDescent="0.2">
      <c r="A4882" s="12" t="s">
        <v>307</v>
      </c>
      <c r="B4882" s="12" t="s">
        <v>567</v>
      </c>
      <c r="C4882" s="12" t="s">
        <v>562</v>
      </c>
      <c r="D4882" s="13">
        <v>0</v>
      </c>
      <c r="E4882" s="13">
        <v>0</v>
      </c>
      <c r="F4882" s="13">
        <v>0</v>
      </c>
      <c r="G4882" s="13">
        <v>0</v>
      </c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</row>
    <row r="4883" spans="1:19" x14ac:dyDescent="0.2">
      <c r="A4883" s="12" t="s">
        <v>307</v>
      </c>
      <c r="B4883" s="12" t="s">
        <v>567</v>
      </c>
      <c r="C4883" s="12" t="s">
        <v>563</v>
      </c>
      <c r="D4883" s="13">
        <v>0</v>
      </c>
      <c r="E4883" s="13">
        <v>0</v>
      </c>
      <c r="F4883" s="13">
        <v>0</v>
      </c>
      <c r="G4883" s="13">
        <v>0</v>
      </c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</row>
    <row r="4884" spans="1:19" x14ac:dyDescent="0.2">
      <c r="A4884" s="12" t="s">
        <v>307</v>
      </c>
      <c r="B4884" s="12" t="s">
        <v>567</v>
      </c>
      <c r="C4884" s="12" t="s">
        <v>564</v>
      </c>
      <c r="D4884" s="13">
        <v>0</v>
      </c>
      <c r="E4884" s="13">
        <v>0</v>
      </c>
      <c r="F4884" s="13">
        <v>0</v>
      </c>
      <c r="G4884" s="13">
        <v>0</v>
      </c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</row>
    <row r="4885" spans="1:19" x14ac:dyDescent="0.2">
      <c r="A4885" s="12" t="s">
        <v>307</v>
      </c>
      <c r="B4885" s="12" t="s">
        <v>567</v>
      </c>
      <c r="C4885" s="12" t="s">
        <v>565</v>
      </c>
      <c r="D4885" s="13">
        <v>0</v>
      </c>
      <c r="E4885" s="13">
        <v>0</v>
      </c>
      <c r="F4885" s="13">
        <v>0</v>
      </c>
      <c r="G4885" s="13">
        <v>0</v>
      </c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</row>
    <row r="4886" spans="1:19" x14ac:dyDescent="0.2">
      <c r="A4886" s="12" t="s">
        <v>307</v>
      </c>
      <c r="B4886" s="12" t="s">
        <v>567</v>
      </c>
      <c r="C4886" s="12" t="s">
        <v>566</v>
      </c>
      <c r="D4886" s="13">
        <v>0</v>
      </c>
      <c r="E4886" s="13">
        <v>0</v>
      </c>
      <c r="F4886" s="13">
        <v>0</v>
      </c>
      <c r="G4886" s="13">
        <v>0</v>
      </c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</row>
    <row r="4887" spans="1:19" x14ac:dyDescent="0.2">
      <c r="A4887" s="12" t="s">
        <v>307</v>
      </c>
      <c r="B4887" s="12" t="s">
        <v>568</v>
      </c>
      <c r="C4887" s="12" t="s">
        <v>554</v>
      </c>
      <c r="D4887" s="13">
        <v>0</v>
      </c>
      <c r="E4887" s="13">
        <v>0</v>
      </c>
      <c r="F4887" s="13">
        <v>0</v>
      </c>
      <c r="G4887" s="13">
        <v>0</v>
      </c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</row>
    <row r="4888" spans="1:19" x14ac:dyDescent="0.2">
      <c r="A4888" s="12" t="s">
        <v>307</v>
      </c>
      <c r="B4888" s="12" t="s">
        <v>568</v>
      </c>
      <c r="C4888" s="12" t="s">
        <v>555</v>
      </c>
      <c r="D4888" s="13">
        <v>225</v>
      </c>
      <c r="E4888" s="13">
        <v>247.45383000000001</v>
      </c>
      <c r="F4888" s="13">
        <v>244.110704</v>
      </c>
      <c r="G4888" s="13">
        <v>241.053854</v>
      </c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</row>
    <row r="4889" spans="1:19" x14ac:dyDescent="0.2">
      <c r="A4889" s="12" t="s">
        <v>307</v>
      </c>
      <c r="B4889" s="12" t="s">
        <v>568</v>
      </c>
      <c r="C4889" s="12" t="s">
        <v>556</v>
      </c>
      <c r="D4889" s="13">
        <v>0</v>
      </c>
      <c r="E4889" s="13">
        <v>0</v>
      </c>
      <c r="F4889" s="13">
        <v>0</v>
      </c>
      <c r="G4889" s="13">
        <v>0</v>
      </c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</row>
    <row r="4890" spans="1:19" x14ac:dyDescent="0.2">
      <c r="A4890" s="12" t="s">
        <v>307</v>
      </c>
      <c r="B4890" s="12" t="s">
        <v>568</v>
      </c>
      <c r="C4890" s="12" t="s">
        <v>557</v>
      </c>
      <c r="D4890" s="13">
        <v>207</v>
      </c>
      <c r="E4890" s="13">
        <v>224.521513</v>
      </c>
      <c r="F4890" s="13">
        <v>216.673406</v>
      </c>
      <c r="G4890" s="13">
        <v>210.29141300000001</v>
      </c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</row>
    <row r="4891" spans="1:19" x14ac:dyDescent="0.2">
      <c r="A4891" s="12" t="s">
        <v>307</v>
      </c>
      <c r="B4891" s="12" t="s">
        <v>568</v>
      </c>
      <c r="C4891" s="12" t="s">
        <v>558</v>
      </c>
      <c r="D4891" s="13">
        <v>-9</v>
      </c>
      <c r="E4891" s="13">
        <v>-15.652799999999999</v>
      </c>
      <c r="F4891" s="13">
        <v>-19.86279</v>
      </c>
      <c r="G4891" s="13">
        <v>-16.165310000000002</v>
      </c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</row>
    <row r="4892" spans="1:19" x14ac:dyDescent="0.2">
      <c r="A4892" s="12" t="s">
        <v>307</v>
      </c>
      <c r="B4892" s="12" t="s">
        <v>568</v>
      </c>
      <c r="C4892" s="12" t="s">
        <v>560</v>
      </c>
      <c r="D4892" s="13">
        <v>0</v>
      </c>
      <c r="E4892" s="13">
        <v>0</v>
      </c>
      <c r="F4892" s="13">
        <v>0</v>
      </c>
      <c r="G4892" s="13">
        <v>0</v>
      </c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</row>
    <row r="4893" spans="1:19" x14ac:dyDescent="0.2">
      <c r="A4893" s="12" t="s">
        <v>307</v>
      </c>
      <c r="B4893" s="12" t="s">
        <v>568</v>
      </c>
      <c r="C4893" s="12" t="s">
        <v>561</v>
      </c>
      <c r="D4893" s="13">
        <v>190</v>
      </c>
      <c r="E4893" s="13">
        <v>201.35496900000001</v>
      </c>
      <c r="F4893" s="13">
        <v>193.47826599999999</v>
      </c>
      <c r="G4893" s="13">
        <v>186.40267900000001</v>
      </c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</row>
    <row r="4894" spans="1:19" x14ac:dyDescent="0.2">
      <c r="A4894" s="12" t="s">
        <v>307</v>
      </c>
      <c r="B4894" s="12" t="s">
        <v>568</v>
      </c>
      <c r="C4894" s="12" t="s">
        <v>562</v>
      </c>
      <c r="D4894" s="13">
        <v>9</v>
      </c>
      <c r="E4894" s="13">
        <v>11.974494999999999</v>
      </c>
      <c r="F4894" s="13">
        <v>10.358976</v>
      </c>
      <c r="G4894" s="13">
        <v>10.559118</v>
      </c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</row>
    <row r="4895" spans="1:19" x14ac:dyDescent="0.2">
      <c r="A4895" s="12" t="s">
        <v>307</v>
      </c>
      <c r="B4895" s="12" t="s">
        <v>568</v>
      </c>
      <c r="C4895" s="12" t="s">
        <v>563</v>
      </c>
      <c r="D4895" s="13">
        <v>144</v>
      </c>
      <c r="E4895" s="13">
        <v>151.069637</v>
      </c>
      <c r="F4895" s="13">
        <v>147.255605</v>
      </c>
      <c r="G4895" s="13">
        <v>140.65458699999999</v>
      </c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</row>
    <row r="4896" spans="1:19" x14ac:dyDescent="0.2">
      <c r="A4896" s="12" t="s">
        <v>307</v>
      </c>
      <c r="B4896" s="12" t="s">
        <v>568</v>
      </c>
      <c r="C4896" s="12" t="s">
        <v>564</v>
      </c>
      <c r="D4896" s="13">
        <v>18</v>
      </c>
      <c r="E4896" s="13">
        <v>16.863098999999998</v>
      </c>
      <c r="F4896" s="13">
        <v>16.411327</v>
      </c>
      <c r="G4896" s="13">
        <v>15.62039</v>
      </c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</row>
    <row r="4897" spans="1:19" x14ac:dyDescent="0.2">
      <c r="A4897" s="12" t="s">
        <v>307</v>
      </c>
      <c r="B4897" s="12" t="s">
        <v>568</v>
      </c>
      <c r="C4897" s="12" t="s">
        <v>565</v>
      </c>
      <c r="D4897" s="13">
        <v>8</v>
      </c>
      <c r="E4897" s="13">
        <v>11.696538</v>
      </c>
      <c r="F4897" s="13">
        <v>9.7000279999999997</v>
      </c>
      <c r="G4897" s="13">
        <v>10.412785</v>
      </c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</row>
    <row r="4898" spans="1:19" x14ac:dyDescent="0.2">
      <c r="A4898" s="12" t="s">
        <v>307</v>
      </c>
      <c r="B4898" s="12" t="s">
        <v>568</v>
      </c>
      <c r="C4898" s="12" t="s">
        <v>566</v>
      </c>
      <c r="D4898" s="13">
        <v>11</v>
      </c>
      <c r="E4898" s="13">
        <v>9.7511990000000015</v>
      </c>
      <c r="F4898" s="13">
        <v>9.7523339999999994</v>
      </c>
      <c r="G4898" s="13">
        <v>9.1557909999999989</v>
      </c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</row>
    <row r="4899" spans="1:19" x14ac:dyDescent="0.2">
      <c r="A4899" s="12" t="s">
        <v>307</v>
      </c>
      <c r="B4899" s="12" t="s">
        <v>569</v>
      </c>
      <c r="C4899" s="12" t="s">
        <v>554</v>
      </c>
      <c r="D4899" s="13">
        <v>0</v>
      </c>
      <c r="E4899" s="13">
        <v>0</v>
      </c>
      <c r="F4899" s="13">
        <v>0</v>
      </c>
      <c r="G4899" s="13">
        <v>0</v>
      </c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</row>
    <row r="4900" spans="1:19" x14ac:dyDescent="0.2">
      <c r="A4900" s="12" t="s">
        <v>307</v>
      </c>
      <c r="B4900" s="12" t="s">
        <v>569</v>
      </c>
      <c r="C4900" s="12" t="s">
        <v>555</v>
      </c>
      <c r="D4900" s="13">
        <v>0</v>
      </c>
      <c r="E4900" s="13">
        <v>0</v>
      </c>
      <c r="F4900" s="13">
        <v>0</v>
      </c>
      <c r="G4900" s="13">
        <v>0</v>
      </c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</row>
    <row r="4901" spans="1:19" x14ac:dyDescent="0.2">
      <c r="A4901" s="12" t="s">
        <v>307</v>
      </c>
      <c r="B4901" s="12" t="s">
        <v>569</v>
      </c>
      <c r="C4901" s="12" t="s">
        <v>556</v>
      </c>
      <c r="D4901" s="13">
        <v>0</v>
      </c>
      <c r="E4901" s="13">
        <v>0</v>
      </c>
      <c r="F4901" s="13">
        <v>0</v>
      </c>
      <c r="G4901" s="13">
        <v>0</v>
      </c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</row>
    <row r="4902" spans="1:19" x14ac:dyDescent="0.2">
      <c r="A4902" s="12" t="s">
        <v>307</v>
      </c>
      <c r="B4902" s="12" t="s">
        <v>569</v>
      </c>
      <c r="C4902" s="12" t="s">
        <v>557</v>
      </c>
      <c r="D4902" s="13">
        <v>0</v>
      </c>
      <c r="E4902" s="13">
        <v>0</v>
      </c>
      <c r="F4902" s="13">
        <v>0</v>
      </c>
      <c r="G4902" s="13">
        <v>0</v>
      </c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</row>
    <row r="4903" spans="1:19" x14ac:dyDescent="0.2">
      <c r="A4903" s="12" t="s">
        <v>307</v>
      </c>
      <c r="B4903" s="12" t="s">
        <v>569</v>
      </c>
      <c r="C4903" s="12" t="s">
        <v>558</v>
      </c>
      <c r="D4903" s="13">
        <v>0</v>
      </c>
      <c r="E4903" s="13">
        <v>0</v>
      </c>
      <c r="F4903" s="13">
        <v>0</v>
      </c>
      <c r="G4903" s="13">
        <v>0</v>
      </c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</row>
    <row r="4904" spans="1:19" x14ac:dyDescent="0.2">
      <c r="A4904" s="12" t="s">
        <v>307</v>
      </c>
      <c r="B4904" s="12" t="s">
        <v>569</v>
      </c>
      <c r="C4904" s="12" t="s">
        <v>560</v>
      </c>
      <c r="D4904" s="13">
        <v>0</v>
      </c>
      <c r="E4904" s="13">
        <v>0</v>
      </c>
      <c r="F4904" s="13">
        <v>0</v>
      </c>
      <c r="G4904" s="13">
        <v>0</v>
      </c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</row>
    <row r="4905" spans="1:19" x14ac:dyDescent="0.2">
      <c r="A4905" s="12" t="s">
        <v>307</v>
      </c>
      <c r="B4905" s="12" t="s">
        <v>569</v>
      </c>
      <c r="C4905" s="12" t="s">
        <v>561</v>
      </c>
      <c r="D4905" s="13">
        <v>0</v>
      </c>
      <c r="E4905" s="13">
        <v>0</v>
      </c>
      <c r="F4905" s="13">
        <v>0</v>
      </c>
      <c r="G4905" s="13">
        <v>0</v>
      </c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</row>
    <row r="4906" spans="1:19" x14ac:dyDescent="0.2">
      <c r="A4906" s="12" t="s">
        <v>307</v>
      </c>
      <c r="B4906" s="12" t="s">
        <v>569</v>
      </c>
      <c r="C4906" s="12" t="s">
        <v>562</v>
      </c>
      <c r="D4906" s="13">
        <v>0</v>
      </c>
      <c r="E4906" s="13">
        <v>0</v>
      </c>
      <c r="F4906" s="13">
        <v>0</v>
      </c>
      <c r="G4906" s="13">
        <v>0</v>
      </c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</row>
    <row r="4907" spans="1:19" x14ac:dyDescent="0.2">
      <c r="A4907" s="12" t="s">
        <v>307</v>
      </c>
      <c r="B4907" s="12" t="s">
        <v>569</v>
      </c>
      <c r="C4907" s="12" t="s">
        <v>563</v>
      </c>
      <c r="D4907" s="13">
        <v>0</v>
      </c>
      <c r="E4907" s="13">
        <v>0</v>
      </c>
      <c r="F4907" s="13">
        <v>0</v>
      </c>
      <c r="G4907" s="13">
        <v>0</v>
      </c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</row>
    <row r="4908" spans="1:19" x14ac:dyDescent="0.2">
      <c r="A4908" s="12" t="s">
        <v>307</v>
      </c>
      <c r="B4908" s="12" t="s">
        <v>569</v>
      </c>
      <c r="C4908" s="12" t="s">
        <v>564</v>
      </c>
      <c r="D4908" s="13">
        <v>0</v>
      </c>
      <c r="E4908" s="13">
        <v>0</v>
      </c>
      <c r="F4908" s="13">
        <v>0</v>
      </c>
      <c r="G4908" s="13">
        <v>0</v>
      </c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</row>
    <row r="4909" spans="1:19" x14ac:dyDescent="0.2">
      <c r="A4909" s="12" t="s">
        <v>307</v>
      </c>
      <c r="B4909" s="12" t="s">
        <v>569</v>
      </c>
      <c r="C4909" s="12" t="s">
        <v>565</v>
      </c>
      <c r="D4909" s="13">
        <v>0</v>
      </c>
      <c r="E4909" s="13">
        <v>0</v>
      </c>
      <c r="F4909" s="13">
        <v>0</v>
      </c>
      <c r="G4909" s="13">
        <v>0</v>
      </c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</row>
    <row r="4910" spans="1:19" x14ac:dyDescent="0.2">
      <c r="A4910" s="12" t="s">
        <v>307</v>
      </c>
      <c r="B4910" s="12" t="s">
        <v>569</v>
      </c>
      <c r="C4910" s="12" t="s">
        <v>566</v>
      </c>
      <c r="D4910" s="13">
        <v>0</v>
      </c>
      <c r="E4910" s="13">
        <v>0</v>
      </c>
      <c r="F4910" s="13">
        <v>0</v>
      </c>
      <c r="G4910" s="13">
        <v>0</v>
      </c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</row>
    <row r="4911" spans="1:19" x14ac:dyDescent="0.2">
      <c r="A4911" s="12" t="s">
        <v>307</v>
      </c>
      <c r="B4911" s="12" t="s">
        <v>570</v>
      </c>
      <c r="C4911" s="12" t="s">
        <v>554</v>
      </c>
      <c r="D4911" s="13">
        <v>0</v>
      </c>
      <c r="E4911" s="13">
        <v>0</v>
      </c>
      <c r="F4911" s="13">
        <v>0</v>
      </c>
      <c r="G4911" s="13">
        <v>0</v>
      </c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</row>
    <row r="4912" spans="1:19" x14ac:dyDescent="0.2">
      <c r="A4912" s="12" t="s">
        <v>307</v>
      </c>
      <c r="B4912" s="12" t="s">
        <v>570</v>
      </c>
      <c r="C4912" s="12" t="s">
        <v>555</v>
      </c>
      <c r="D4912" s="13">
        <v>0</v>
      </c>
      <c r="E4912" s="13">
        <v>0</v>
      </c>
      <c r="F4912" s="13">
        <v>0</v>
      </c>
      <c r="G4912" s="13">
        <v>0</v>
      </c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</row>
    <row r="4913" spans="1:19" x14ac:dyDescent="0.2">
      <c r="A4913" s="12" t="s">
        <v>307</v>
      </c>
      <c r="B4913" s="12" t="s">
        <v>570</v>
      </c>
      <c r="C4913" s="12" t="s">
        <v>556</v>
      </c>
      <c r="D4913" s="13">
        <v>0</v>
      </c>
      <c r="E4913" s="13">
        <v>0</v>
      </c>
      <c r="F4913" s="13">
        <v>0</v>
      </c>
      <c r="G4913" s="13">
        <v>0</v>
      </c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</row>
    <row r="4914" spans="1:19" x14ac:dyDescent="0.2">
      <c r="A4914" s="12" t="s">
        <v>307</v>
      </c>
      <c r="B4914" s="12" t="s">
        <v>570</v>
      </c>
      <c r="C4914" s="12" t="s">
        <v>557</v>
      </c>
      <c r="D4914" s="13">
        <v>0</v>
      </c>
      <c r="E4914" s="13">
        <v>0</v>
      </c>
      <c r="F4914" s="13">
        <v>0</v>
      </c>
      <c r="G4914" s="13">
        <v>0</v>
      </c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</row>
    <row r="4915" spans="1:19" x14ac:dyDescent="0.2">
      <c r="A4915" s="12" t="s">
        <v>307</v>
      </c>
      <c r="B4915" s="12" t="s">
        <v>570</v>
      </c>
      <c r="C4915" s="12" t="s">
        <v>558</v>
      </c>
      <c r="D4915" s="13">
        <v>0</v>
      </c>
      <c r="E4915" s="13">
        <v>0</v>
      </c>
      <c r="F4915" s="13">
        <v>0</v>
      </c>
      <c r="G4915" s="13">
        <v>0</v>
      </c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</row>
    <row r="4916" spans="1:19" x14ac:dyDescent="0.2">
      <c r="A4916" s="12" t="s">
        <v>307</v>
      </c>
      <c r="B4916" s="12" t="s">
        <v>570</v>
      </c>
      <c r="C4916" s="12" t="s">
        <v>560</v>
      </c>
      <c r="D4916" s="13">
        <v>0</v>
      </c>
      <c r="E4916" s="13">
        <v>0</v>
      </c>
      <c r="F4916" s="13">
        <v>0</v>
      </c>
      <c r="G4916" s="13">
        <v>0</v>
      </c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</row>
    <row r="4917" spans="1:19" x14ac:dyDescent="0.2">
      <c r="A4917" s="12" t="s">
        <v>307</v>
      </c>
      <c r="B4917" s="12" t="s">
        <v>570</v>
      </c>
      <c r="C4917" s="12" t="s">
        <v>561</v>
      </c>
      <c r="D4917" s="13">
        <v>0</v>
      </c>
      <c r="E4917" s="13">
        <v>0</v>
      </c>
      <c r="F4917" s="13">
        <v>0</v>
      </c>
      <c r="G4917" s="13">
        <v>0</v>
      </c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</row>
    <row r="4918" spans="1:19" x14ac:dyDescent="0.2">
      <c r="A4918" s="12" t="s">
        <v>307</v>
      </c>
      <c r="B4918" s="12" t="s">
        <v>570</v>
      </c>
      <c r="C4918" s="12" t="s">
        <v>562</v>
      </c>
      <c r="D4918" s="13">
        <v>0</v>
      </c>
      <c r="E4918" s="13">
        <v>0</v>
      </c>
      <c r="F4918" s="13">
        <v>0</v>
      </c>
      <c r="G4918" s="13">
        <v>0</v>
      </c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</row>
    <row r="4919" spans="1:19" x14ac:dyDescent="0.2">
      <c r="A4919" s="12" t="s">
        <v>307</v>
      </c>
      <c r="B4919" s="12" t="s">
        <v>570</v>
      </c>
      <c r="C4919" s="12" t="s">
        <v>563</v>
      </c>
      <c r="D4919" s="13">
        <v>0</v>
      </c>
      <c r="E4919" s="13">
        <v>0</v>
      </c>
      <c r="F4919" s="13">
        <v>0</v>
      </c>
      <c r="G4919" s="13">
        <v>0</v>
      </c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</row>
    <row r="4920" spans="1:19" x14ac:dyDescent="0.2">
      <c r="A4920" s="12" t="s">
        <v>307</v>
      </c>
      <c r="B4920" s="12" t="s">
        <v>570</v>
      </c>
      <c r="C4920" s="12" t="s">
        <v>564</v>
      </c>
      <c r="D4920" s="13">
        <v>0</v>
      </c>
      <c r="E4920" s="13">
        <v>0</v>
      </c>
      <c r="F4920" s="13">
        <v>0</v>
      </c>
      <c r="G4920" s="13">
        <v>0</v>
      </c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</row>
    <row r="4921" spans="1:19" x14ac:dyDescent="0.2">
      <c r="A4921" s="12" t="s">
        <v>307</v>
      </c>
      <c r="B4921" s="12" t="s">
        <v>570</v>
      </c>
      <c r="C4921" s="12" t="s">
        <v>565</v>
      </c>
      <c r="D4921" s="13">
        <v>0</v>
      </c>
      <c r="E4921" s="13">
        <v>0</v>
      </c>
      <c r="F4921" s="13">
        <v>0</v>
      </c>
      <c r="G4921" s="13">
        <v>0</v>
      </c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</row>
    <row r="4922" spans="1:19" x14ac:dyDescent="0.2">
      <c r="A4922" s="12" t="s">
        <v>307</v>
      </c>
      <c r="B4922" s="12" t="s">
        <v>570</v>
      </c>
      <c r="C4922" s="12" t="s">
        <v>566</v>
      </c>
      <c r="D4922" s="13">
        <v>0</v>
      </c>
      <c r="E4922" s="13">
        <v>0</v>
      </c>
      <c r="F4922" s="13">
        <v>0</v>
      </c>
      <c r="G4922" s="13">
        <v>0</v>
      </c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</row>
    <row r="4923" spans="1:19" x14ac:dyDescent="0.2">
      <c r="A4923" s="12" t="s">
        <v>307</v>
      </c>
      <c r="B4923" s="12" t="s">
        <v>571</v>
      </c>
      <c r="C4923" s="12" t="s">
        <v>554</v>
      </c>
      <c r="D4923" s="13">
        <v>941</v>
      </c>
      <c r="E4923" s="13">
        <v>952.19374900000014</v>
      </c>
      <c r="F4923" s="13">
        <v>980.78887300000008</v>
      </c>
      <c r="G4923" s="13">
        <v>1010.855038</v>
      </c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</row>
    <row r="4924" spans="1:19" x14ac:dyDescent="0.2">
      <c r="A4924" s="12" t="s">
        <v>307</v>
      </c>
      <c r="B4924" s="12" t="s">
        <v>571</v>
      </c>
      <c r="C4924" s="12" t="s">
        <v>555</v>
      </c>
      <c r="D4924" s="13">
        <v>0</v>
      </c>
      <c r="E4924" s="13">
        <v>0.163855</v>
      </c>
      <c r="F4924" s="13">
        <v>0.478325</v>
      </c>
      <c r="G4924" s="13">
        <v>0.78073800000000004</v>
      </c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</row>
    <row r="4925" spans="1:19" x14ac:dyDescent="0.2">
      <c r="A4925" s="12" t="s">
        <v>307</v>
      </c>
      <c r="B4925" s="12" t="s">
        <v>571</v>
      </c>
      <c r="C4925" s="12" t="s">
        <v>556</v>
      </c>
      <c r="D4925" s="13">
        <v>0</v>
      </c>
      <c r="E4925" s="13">
        <v>0</v>
      </c>
      <c r="F4925" s="13">
        <v>0</v>
      </c>
      <c r="G4925" s="13">
        <v>0</v>
      </c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</row>
    <row r="4926" spans="1:19" x14ac:dyDescent="0.2">
      <c r="A4926" s="12" t="s">
        <v>307</v>
      </c>
      <c r="B4926" s="12" t="s">
        <v>571</v>
      </c>
      <c r="C4926" s="12" t="s">
        <v>557</v>
      </c>
      <c r="D4926" s="13">
        <v>941</v>
      </c>
      <c r="E4926" s="13">
        <v>952.35760399999992</v>
      </c>
      <c r="F4926" s="13">
        <v>981.26719900000001</v>
      </c>
      <c r="G4926" s="13">
        <v>1011.635776</v>
      </c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</row>
    <row r="4927" spans="1:19" x14ac:dyDescent="0.2">
      <c r="A4927" s="12" t="s">
        <v>307</v>
      </c>
      <c r="B4927" s="12" t="s">
        <v>571</v>
      </c>
      <c r="C4927" s="12" t="s">
        <v>558</v>
      </c>
      <c r="D4927" s="13">
        <v>-205</v>
      </c>
      <c r="E4927" s="13">
        <v>-205.314537</v>
      </c>
      <c r="F4927" s="13">
        <v>-221.845812</v>
      </c>
      <c r="G4927" s="13">
        <v>-238.14688699999999</v>
      </c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</row>
    <row r="4928" spans="1:19" x14ac:dyDescent="0.2">
      <c r="A4928" s="12" t="s">
        <v>307</v>
      </c>
      <c r="B4928" s="12" t="s">
        <v>571</v>
      </c>
      <c r="C4928" s="12" t="s">
        <v>560</v>
      </c>
      <c r="D4928" s="13">
        <v>0</v>
      </c>
      <c r="E4928" s="13">
        <v>0</v>
      </c>
      <c r="F4928" s="13">
        <v>0</v>
      </c>
      <c r="G4928" s="13">
        <v>0</v>
      </c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</row>
    <row r="4929" spans="1:19" x14ac:dyDescent="0.2">
      <c r="A4929" s="12" t="s">
        <v>307</v>
      </c>
      <c r="B4929" s="12" t="s">
        <v>571</v>
      </c>
      <c r="C4929" s="12" t="s">
        <v>561</v>
      </c>
      <c r="D4929" s="13">
        <v>433</v>
      </c>
      <c r="E4929" s="13">
        <v>438.16751900000003</v>
      </c>
      <c r="F4929" s="13">
        <v>444.59628800000002</v>
      </c>
      <c r="G4929" s="13">
        <v>452.40541100000002</v>
      </c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</row>
    <row r="4930" spans="1:19" x14ac:dyDescent="0.2">
      <c r="A4930" s="12" t="s">
        <v>307</v>
      </c>
      <c r="B4930" s="12" t="s">
        <v>571</v>
      </c>
      <c r="C4930" s="12" t="s">
        <v>562</v>
      </c>
      <c r="D4930" s="13">
        <v>10</v>
      </c>
      <c r="E4930" s="13">
        <v>9.4645170000000007</v>
      </c>
      <c r="F4930" s="13">
        <v>10.586838999999999</v>
      </c>
      <c r="G4930" s="13">
        <v>15.390786</v>
      </c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</row>
    <row r="4931" spans="1:19" x14ac:dyDescent="0.2">
      <c r="A4931" s="12" t="s">
        <v>307</v>
      </c>
      <c r="B4931" s="12" t="s">
        <v>571</v>
      </c>
      <c r="C4931" s="12" t="s">
        <v>563</v>
      </c>
      <c r="D4931" s="13">
        <v>0</v>
      </c>
      <c r="E4931" s="13">
        <v>0</v>
      </c>
      <c r="F4931" s="13">
        <v>0</v>
      </c>
      <c r="G4931" s="13">
        <v>0</v>
      </c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</row>
    <row r="4932" spans="1:19" x14ac:dyDescent="0.2">
      <c r="A4932" s="12" t="s">
        <v>307</v>
      </c>
      <c r="B4932" s="12" t="s">
        <v>571</v>
      </c>
      <c r="C4932" s="12" t="s">
        <v>564</v>
      </c>
      <c r="D4932" s="13">
        <v>423</v>
      </c>
      <c r="E4932" s="13">
        <v>428.70299799999998</v>
      </c>
      <c r="F4932" s="13">
        <v>434.00944900000002</v>
      </c>
      <c r="G4932" s="13">
        <v>437.01462500000002</v>
      </c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</row>
    <row r="4933" spans="1:19" x14ac:dyDescent="0.2">
      <c r="A4933" s="12" t="s">
        <v>307</v>
      </c>
      <c r="B4933" s="12" t="s">
        <v>571</v>
      </c>
      <c r="C4933" s="12" t="s">
        <v>565</v>
      </c>
      <c r="D4933" s="13">
        <v>0</v>
      </c>
      <c r="E4933" s="13">
        <v>0</v>
      </c>
      <c r="F4933" s="13">
        <v>0</v>
      </c>
      <c r="G4933" s="13">
        <v>0</v>
      </c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</row>
    <row r="4934" spans="1:19" x14ac:dyDescent="0.2">
      <c r="A4934" s="12" t="s">
        <v>307</v>
      </c>
      <c r="B4934" s="12" t="s">
        <v>571</v>
      </c>
      <c r="C4934" s="12" t="s">
        <v>566</v>
      </c>
      <c r="D4934" s="13">
        <v>0</v>
      </c>
      <c r="E4934" s="13">
        <v>0</v>
      </c>
      <c r="F4934" s="13">
        <v>0</v>
      </c>
      <c r="G4934" s="13">
        <v>0</v>
      </c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</row>
    <row r="4935" spans="1:19" x14ac:dyDescent="0.2">
      <c r="A4935" s="12" t="s">
        <v>307</v>
      </c>
      <c r="B4935" s="12" t="s">
        <v>572</v>
      </c>
      <c r="C4935" s="12" t="s">
        <v>554</v>
      </c>
      <c r="D4935" s="13">
        <v>0</v>
      </c>
      <c r="E4935" s="13">
        <v>0</v>
      </c>
      <c r="F4935" s="13">
        <v>0</v>
      </c>
      <c r="G4935" s="13">
        <v>0</v>
      </c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</row>
    <row r="4936" spans="1:19" x14ac:dyDescent="0.2">
      <c r="A4936" s="12" t="s">
        <v>307</v>
      </c>
      <c r="B4936" s="12" t="s">
        <v>572</v>
      </c>
      <c r="C4936" s="12" t="s">
        <v>555</v>
      </c>
      <c r="D4936" s="13">
        <v>0</v>
      </c>
      <c r="E4936" s="13">
        <v>1.0367980000000001</v>
      </c>
      <c r="F4936" s="13">
        <v>1.1375999999999999</v>
      </c>
      <c r="G4936" s="13">
        <v>3.3094809999999999</v>
      </c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</row>
    <row r="4937" spans="1:19" x14ac:dyDescent="0.2">
      <c r="A4937" s="12" t="s">
        <v>307</v>
      </c>
      <c r="B4937" s="12" t="s">
        <v>572</v>
      </c>
      <c r="C4937" s="12" t="s">
        <v>556</v>
      </c>
      <c r="D4937" s="13">
        <v>0</v>
      </c>
      <c r="E4937" s="13">
        <v>-6.5519000000000008E-2</v>
      </c>
      <c r="F4937" s="13">
        <v>-7.6680999999999999E-2</v>
      </c>
      <c r="G4937" s="13">
        <v>-0.121681</v>
      </c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</row>
    <row r="4938" spans="1:19" x14ac:dyDescent="0.2">
      <c r="A4938" s="12" t="s">
        <v>307</v>
      </c>
      <c r="B4938" s="12" t="s">
        <v>572</v>
      </c>
      <c r="C4938" s="12" t="s">
        <v>557</v>
      </c>
      <c r="D4938" s="13">
        <v>0</v>
      </c>
      <c r="E4938" s="13">
        <v>0.971279</v>
      </c>
      <c r="F4938" s="13">
        <v>1.060918</v>
      </c>
      <c r="G4938" s="13">
        <v>3.1878000000000002</v>
      </c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</row>
    <row r="4939" spans="1:19" x14ac:dyDescent="0.2">
      <c r="A4939" s="12" t="s">
        <v>307</v>
      </c>
      <c r="B4939" s="12" t="s">
        <v>572</v>
      </c>
      <c r="C4939" s="12" t="s">
        <v>558</v>
      </c>
      <c r="D4939" s="13">
        <v>42</v>
      </c>
      <c r="E4939" s="13">
        <v>44.555703999999999</v>
      </c>
      <c r="F4939" s="13">
        <v>46.561214</v>
      </c>
      <c r="G4939" s="13">
        <v>45.732542000000002</v>
      </c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</row>
    <row r="4940" spans="1:19" x14ac:dyDescent="0.2">
      <c r="A4940" s="12" t="s">
        <v>307</v>
      </c>
      <c r="B4940" s="12" t="s">
        <v>572</v>
      </c>
      <c r="C4940" s="12" t="s">
        <v>560</v>
      </c>
      <c r="D4940" s="13">
        <v>0</v>
      </c>
      <c r="E4940" s="13">
        <v>0</v>
      </c>
      <c r="F4940" s="13">
        <v>0</v>
      </c>
      <c r="G4940" s="13">
        <v>0</v>
      </c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</row>
    <row r="4941" spans="1:19" x14ac:dyDescent="0.2">
      <c r="A4941" s="12" t="s">
        <v>307</v>
      </c>
      <c r="B4941" s="12" t="s">
        <v>572</v>
      </c>
      <c r="C4941" s="12" t="s">
        <v>561</v>
      </c>
      <c r="D4941" s="13">
        <v>32</v>
      </c>
      <c r="E4941" s="13">
        <v>35.281841</v>
      </c>
      <c r="F4941" s="13">
        <v>36.993119999999998</v>
      </c>
      <c r="G4941" s="13">
        <v>37.726782</v>
      </c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</row>
    <row r="4942" spans="1:19" x14ac:dyDescent="0.2">
      <c r="A4942" s="12" t="s">
        <v>307</v>
      </c>
      <c r="B4942" s="12" t="s">
        <v>572</v>
      </c>
      <c r="C4942" s="12" t="s">
        <v>562</v>
      </c>
      <c r="D4942" s="13">
        <v>16</v>
      </c>
      <c r="E4942" s="13">
        <v>17.868534</v>
      </c>
      <c r="F4942" s="13">
        <v>18.812331</v>
      </c>
      <c r="G4942" s="13">
        <v>19.650728999999998</v>
      </c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</row>
    <row r="4943" spans="1:19" x14ac:dyDescent="0.2">
      <c r="A4943" s="12" t="s">
        <v>307</v>
      </c>
      <c r="B4943" s="12" t="s">
        <v>572</v>
      </c>
      <c r="C4943" s="12" t="s">
        <v>563</v>
      </c>
      <c r="D4943" s="13">
        <v>0</v>
      </c>
      <c r="E4943" s="13">
        <v>0</v>
      </c>
      <c r="F4943" s="13">
        <v>0</v>
      </c>
      <c r="G4943" s="13">
        <v>1.139E-3</v>
      </c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</row>
    <row r="4944" spans="1:19" x14ac:dyDescent="0.2">
      <c r="A4944" s="12" t="s">
        <v>307</v>
      </c>
      <c r="B4944" s="12" t="s">
        <v>572</v>
      </c>
      <c r="C4944" s="12" t="s">
        <v>564</v>
      </c>
      <c r="D4944" s="13">
        <v>11</v>
      </c>
      <c r="E4944" s="13">
        <v>11.957291</v>
      </c>
      <c r="F4944" s="13">
        <v>12.458807</v>
      </c>
      <c r="G4944" s="13">
        <v>12.278917</v>
      </c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</row>
    <row r="4945" spans="1:19" x14ac:dyDescent="0.2">
      <c r="A4945" s="12" t="s">
        <v>307</v>
      </c>
      <c r="B4945" s="12" t="s">
        <v>572</v>
      </c>
      <c r="C4945" s="12" t="s">
        <v>565</v>
      </c>
      <c r="D4945" s="13">
        <v>5</v>
      </c>
      <c r="E4945" s="13">
        <v>5.456016</v>
      </c>
      <c r="F4945" s="13">
        <v>5.7219819999999997</v>
      </c>
      <c r="G4945" s="13">
        <v>5.7960010000000004</v>
      </c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</row>
    <row r="4946" spans="1:19" x14ac:dyDescent="0.2">
      <c r="A4946" s="12" t="s">
        <v>307</v>
      </c>
      <c r="B4946" s="12" t="s">
        <v>572</v>
      </c>
      <c r="C4946" s="12" t="s">
        <v>566</v>
      </c>
      <c r="D4946" s="13">
        <v>0</v>
      </c>
      <c r="E4946" s="13">
        <v>0</v>
      </c>
      <c r="F4946" s="13">
        <v>0</v>
      </c>
      <c r="G4946" s="13">
        <v>0</v>
      </c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</row>
    <row r="4947" spans="1:19" x14ac:dyDescent="0.2">
      <c r="A4947" s="12" t="s">
        <v>307</v>
      </c>
      <c r="B4947" s="12" t="s">
        <v>573</v>
      </c>
      <c r="C4947" s="12" t="s">
        <v>554</v>
      </c>
      <c r="D4947" s="13">
        <v>0</v>
      </c>
      <c r="E4947" s="13">
        <v>0</v>
      </c>
      <c r="F4947" s="13">
        <v>0</v>
      </c>
      <c r="G4947" s="13">
        <v>0</v>
      </c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</row>
    <row r="4948" spans="1:19" x14ac:dyDescent="0.2">
      <c r="A4948" s="12" t="s">
        <v>307</v>
      </c>
      <c r="B4948" s="12" t="s">
        <v>573</v>
      </c>
      <c r="C4948" s="12" t="s">
        <v>555</v>
      </c>
      <c r="D4948" s="13">
        <v>0</v>
      </c>
      <c r="E4948" s="13">
        <v>0</v>
      </c>
      <c r="F4948" s="13">
        <v>0</v>
      </c>
      <c r="G4948" s="13">
        <v>0</v>
      </c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</row>
    <row r="4949" spans="1:19" x14ac:dyDescent="0.2">
      <c r="A4949" s="12" t="s">
        <v>307</v>
      </c>
      <c r="B4949" s="12" t="s">
        <v>573</v>
      </c>
      <c r="C4949" s="12" t="s">
        <v>556</v>
      </c>
      <c r="D4949" s="13">
        <v>0</v>
      </c>
      <c r="E4949" s="13">
        <v>0</v>
      </c>
      <c r="F4949" s="13">
        <v>0</v>
      </c>
      <c r="G4949" s="13">
        <v>0</v>
      </c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</row>
    <row r="4950" spans="1:19" x14ac:dyDescent="0.2">
      <c r="A4950" s="12" t="s">
        <v>307</v>
      </c>
      <c r="B4950" s="12" t="s">
        <v>573</v>
      </c>
      <c r="C4950" s="12" t="s">
        <v>557</v>
      </c>
      <c r="D4950" s="13">
        <v>0</v>
      </c>
      <c r="E4950" s="13">
        <v>0</v>
      </c>
      <c r="F4950" s="13">
        <v>0</v>
      </c>
      <c r="G4950" s="13">
        <v>0</v>
      </c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</row>
    <row r="4951" spans="1:19" x14ac:dyDescent="0.2">
      <c r="A4951" s="12" t="s">
        <v>307</v>
      </c>
      <c r="B4951" s="12" t="s">
        <v>573</v>
      </c>
      <c r="C4951" s="12" t="s">
        <v>558</v>
      </c>
      <c r="D4951" s="13">
        <v>0</v>
      </c>
      <c r="E4951" s="13">
        <v>0</v>
      </c>
      <c r="F4951" s="13">
        <v>0</v>
      </c>
      <c r="G4951" s="13">
        <v>0</v>
      </c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</row>
    <row r="4952" spans="1:19" x14ac:dyDescent="0.2">
      <c r="A4952" s="12" t="s">
        <v>307</v>
      </c>
      <c r="B4952" s="12" t="s">
        <v>573</v>
      </c>
      <c r="C4952" s="12" t="s">
        <v>560</v>
      </c>
      <c r="D4952" s="13">
        <v>0</v>
      </c>
      <c r="E4952" s="13">
        <v>0</v>
      </c>
      <c r="F4952" s="13">
        <v>0</v>
      </c>
      <c r="G4952" s="13">
        <v>0</v>
      </c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</row>
    <row r="4953" spans="1:19" x14ac:dyDescent="0.2">
      <c r="A4953" s="12" t="s">
        <v>307</v>
      </c>
      <c r="B4953" s="12" t="s">
        <v>573</v>
      </c>
      <c r="C4953" s="12" t="s">
        <v>561</v>
      </c>
      <c r="D4953" s="13">
        <v>0</v>
      </c>
      <c r="E4953" s="13">
        <v>0</v>
      </c>
      <c r="F4953" s="13">
        <v>0</v>
      </c>
      <c r="G4953" s="13">
        <v>0</v>
      </c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</row>
    <row r="4954" spans="1:19" x14ac:dyDescent="0.2">
      <c r="A4954" s="12" t="s">
        <v>307</v>
      </c>
      <c r="B4954" s="12" t="s">
        <v>573</v>
      </c>
      <c r="C4954" s="12" t="s">
        <v>562</v>
      </c>
      <c r="D4954" s="13">
        <v>0</v>
      </c>
      <c r="E4954" s="13">
        <v>0</v>
      </c>
      <c r="F4954" s="13">
        <v>0</v>
      </c>
      <c r="G4954" s="13">
        <v>0</v>
      </c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</row>
    <row r="4955" spans="1:19" x14ac:dyDescent="0.2">
      <c r="A4955" s="12" t="s">
        <v>307</v>
      </c>
      <c r="B4955" s="12" t="s">
        <v>573</v>
      </c>
      <c r="C4955" s="12" t="s">
        <v>563</v>
      </c>
      <c r="D4955" s="13">
        <v>0</v>
      </c>
      <c r="E4955" s="13">
        <v>0</v>
      </c>
      <c r="F4955" s="13">
        <v>0</v>
      </c>
      <c r="G4955" s="13">
        <v>0</v>
      </c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</row>
    <row r="4956" spans="1:19" x14ac:dyDescent="0.2">
      <c r="A4956" s="12" t="s">
        <v>307</v>
      </c>
      <c r="B4956" s="12" t="s">
        <v>573</v>
      </c>
      <c r="C4956" s="12" t="s">
        <v>564</v>
      </c>
      <c r="D4956" s="13">
        <v>0</v>
      </c>
      <c r="E4956" s="13">
        <v>0</v>
      </c>
      <c r="F4956" s="13">
        <v>0</v>
      </c>
      <c r="G4956" s="13">
        <v>0</v>
      </c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</row>
    <row r="4957" spans="1:19" x14ac:dyDescent="0.2">
      <c r="A4957" s="12" t="s">
        <v>307</v>
      </c>
      <c r="B4957" s="12" t="s">
        <v>573</v>
      </c>
      <c r="C4957" s="12" t="s">
        <v>565</v>
      </c>
      <c r="D4957" s="13">
        <v>0</v>
      </c>
      <c r="E4957" s="13">
        <v>0</v>
      </c>
      <c r="F4957" s="13">
        <v>0</v>
      </c>
      <c r="G4957" s="13">
        <v>0</v>
      </c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</row>
    <row r="4958" spans="1:19" x14ac:dyDescent="0.2">
      <c r="A4958" s="12" t="s">
        <v>307</v>
      </c>
      <c r="B4958" s="12" t="s">
        <v>573</v>
      </c>
      <c r="C4958" s="12" t="s">
        <v>566</v>
      </c>
      <c r="D4958" s="13">
        <v>0</v>
      </c>
      <c r="E4958" s="13">
        <v>0</v>
      </c>
      <c r="F4958" s="13">
        <v>0</v>
      </c>
      <c r="G4958" s="13">
        <v>0</v>
      </c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</row>
    <row r="4959" spans="1:19" x14ac:dyDescent="0.2">
      <c r="A4959" s="12" t="s">
        <v>307</v>
      </c>
      <c r="B4959" s="12" t="s">
        <v>574</v>
      </c>
      <c r="C4959" s="12" t="s">
        <v>554</v>
      </c>
      <c r="D4959" s="13">
        <v>941</v>
      </c>
      <c r="E4959" s="13">
        <v>952.19375000000002</v>
      </c>
      <c r="F4959" s="13">
        <v>980.78887399999996</v>
      </c>
      <c r="G4959" s="13">
        <v>1010.855038</v>
      </c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</row>
    <row r="4960" spans="1:19" x14ac:dyDescent="0.2">
      <c r="A4960" s="12" t="s">
        <v>307</v>
      </c>
      <c r="B4960" s="12" t="s">
        <v>574</v>
      </c>
      <c r="C4960" s="12" t="s">
        <v>555</v>
      </c>
      <c r="D4960" s="13">
        <v>247</v>
      </c>
      <c r="E4960" s="13">
        <v>273.528254</v>
      </c>
      <c r="F4960" s="13">
        <v>275.86618399999998</v>
      </c>
      <c r="G4960" s="13">
        <v>282.62060600000001</v>
      </c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</row>
    <row r="4961" spans="1:19" x14ac:dyDescent="0.2">
      <c r="A4961" s="12" t="s">
        <v>307</v>
      </c>
      <c r="B4961" s="12" t="s">
        <v>574</v>
      </c>
      <c r="C4961" s="12" t="s">
        <v>556</v>
      </c>
      <c r="D4961" s="13">
        <v>0</v>
      </c>
      <c r="E4961" s="13">
        <v>-6.5519000000000008E-2</v>
      </c>
      <c r="F4961" s="13">
        <v>-7.6680999999999999E-2</v>
      </c>
      <c r="G4961" s="13">
        <v>-0.121681</v>
      </c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</row>
    <row r="4962" spans="1:19" x14ac:dyDescent="0.2">
      <c r="A4962" s="12" t="s">
        <v>307</v>
      </c>
      <c r="B4962" s="12" t="s">
        <v>574</v>
      </c>
      <c r="C4962" s="12" t="s">
        <v>557</v>
      </c>
      <c r="D4962" s="13">
        <v>1169</v>
      </c>
      <c r="E4962" s="13">
        <v>1202.7241710000001</v>
      </c>
      <c r="F4962" s="13">
        <v>1229.141083</v>
      </c>
      <c r="G4962" s="13">
        <v>1262.5915210000001</v>
      </c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</row>
    <row r="4963" spans="1:19" x14ac:dyDescent="0.2">
      <c r="A4963" s="12" t="s">
        <v>307</v>
      </c>
      <c r="B4963" s="12" t="s">
        <v>574</v>
      </c>
      <c r="C4963" s="12" t="s">
        <v>558</v>
      </c>
      <c r="D4963" s="13">
        <v>-172</v>
      </c>
      <c r="E4963" s="13">
        <v>-176.41163499999999</v>
      </c>
      <c r="F4963" s="13">
        <v>-195.147389</v>
      </c>
      <c r="G4963" s="13">
        <v>-208.57965200000001</v>
      </c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</row>
    <row r="4964" spans="1:19" x14ac:dyDescent="0.2">
      <c r="A4964" s="12" t="s">
        <v>307</v>
      </c>
      <c r="B4964" s="12" t="s">
        <v>574</v>
      </c>
      <c r="C4964" s="12" t="s">
        <v>560</v>
      </c>
      <c r="D4964" s="13">
        <v>0</v>
      </c>
      <c r="E4964" s="13">
        <v>0</v>
      </c>
      <c r="F4964" s="13">
        <v>0</v>
      </c>
      <c r="G4964" s="13">
        <v>0</v>
      </c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</row>
    <row r="4965" spans="1:19" x14ac:dyDescent="0.2">
      <c r="A4965" s="12" t="s">
        <v>307</v>
      </c>
      <c r="B4965" s="12" t="s">
        <v>574</v>
      </c>
      <c r="C4965" s="12" t="s">
        <v>561</v>
      </c>
      <c r="D4965" s="13">
        <v>676</v>
      </c>
      <c r="E4965" s="13">
        <v>699.67810800000007</v>
      </c>
      <c r="F4965" s="13">
        <v>705.20723400000008</v>
      </c>
      <c r="G4965" s="13">
        <v>714.01140399999997</v>
      </c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</row>
    <row r="4966" spans="1:19" x14ac:dyDescent="0.2">
      <c r="A4966" s="12" t="s">
        <v>307</v>
      </c>
      <c r="B4966" s="12" t="s">
        <v>574</v>
      </c>
      <c r="C4966" s="12" t="s">
        <v>562</v>
      </c>
      <c r="D4966" s="13">
        <v>56</v>
      </c>
      <c r="E4966" s="13">
        <v>64.181319999999999</v>
      </c>
      <c r="F4966" s="13">
        <v>69.897700999999998</v>
      </c>
      <c r="G4966" s="13">
        <v>83.077168999999998</v>
      </c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</row>
    <row r="4967" spans="1:19" x14ac:dyDescent="0.2">
      <c r="A4967" s="12" t="s">
        <v>307</v>
      </c>
      <c r="B4967" s="12" t="s">
        <v>574</v>
      </c>
      <c r="C4967" s="12" t="s">
        <v>563</v>
      </c>
      <c r="D4967" s="13">
        <v>144</v>
      </c>
      <c r="E4967" s="13">
        <v>151.06964199999999</v>
      </c>
      <c r="F4967" s="13">
        <v>147.25560100000001</v>
      </c>
      <c r="G4967" s="13">
        <v>140.65572599999999</v>
      </c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</row>
    <row r="4968" spans="1:19" x14ac:dyDescent="0.2">
      <c r="A4968" s="12" t="s">
        <v>307</v>
      </c>
      <c r="B4968" s="12" t="s">
        <v>574</v>
      </c>
      <c r="C4968" s="12" t="s">
        <v>564</v>
      </c>
      <c r="D4968" s="13">
        <v>453</v>
      </c>
      <c r="E4968" s="13">
        <v>457.52338900000001</v>
      </c>
      <c r="F4968" s="13">
        <v>462.87958300000003</v>
      </c>
      <c r="G4968" s="13">
        <v>464.91393199999999</v>
      </c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</row>
    <row r="4969" spans="1:19" x14ac:dyDescent="0.2">
      <c r="A4969" s="12" t="s">
        <v>307</v>
      </c>
      <c r="B4969" s="12" t="s">
        <v>574</v>
      </c>
      <c r="C4969" s="12" t="s">
        <v>565</v>
      </c>
      <c r="D4969" s="13">
        <v>13</v>
      </c>
      <c r="E4969" s="13">
        <v>17.152557999999999</v>
      </c>
      <c r="F4969" s="13">
        <v>15.422010999999999</v>
      </c>
      <c r="G4969" s="13">
        <v>16.208786</v>
      </c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</row>
    <row r="4970" spans="1:19" x14ac:dyDescent="0.2">
      <c r="A4970" s="12" t="s">
        <v>307</v>
      </c>
      <c r="B4970" s="12" t="s">
        <v>574</v>
      </c>
      <c r="C4970" s="12" t="s">
        <v>566</v>
      </c>
      <c r="D4970" s="13">
        <v>11</v>
      </c>
      <c r="E4970" s="13">
        <v>9.7511949999999992</v>
      </c>
      <c r="F4970" s="13">
        <v>9.7523339999999994</v>
      </c>
      <c r="G4970" s="13">
        <v>9.1557909999999989</v>
      </c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</row>
    <row r="4971" spans="1:19" x14ac:dyDescent="0.2">
      <c r="A4971" s="12" t="s">
        <v>344</v>
      </c>
      <c r="B4971" s="12" t="s">
        <v>553</v>
      </c>
      <c r="C4971" s="12" t="s">
        <v>554</v>
      </c>
      <c r="D4971" s="13">
        <v>0</v>
      </c>
      <c r="E4971" s="13">
        <v>0</v>
      </c>
      <c r="F4971" s="13">
        <v>0</v>
      </c>
      <c r="G4971" s="13">
        <v>0</v>
      </c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</row>
    <row r="4972" spans="1:19" x14ac:dyDescent="0.2">
      <c r="A4972" s="12" t="s">
        <v>344</v>
      </c>
      <c r="B4972" s="12" t="s">
        <v>553</v>
      </c>
      <c r="C4972" s="12" t="s">
        <v>555</v>
      </c>
      <c r="D4972" s="13">
        <v>275</v>
      </c>
      <c r="E4972" s="13">
        <v>302.32792799999999</v>
      </c>
      <c r="F4972" s="13">
        <v>297.39275800000001</v>
      </c>
      <c r="G4972" s="13">
        <v>280.63707199999999</v>
      </c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</row>
    <row r="4973" spans="1:19" x14ac:dyDescent="0.2">
      <c r="A4973" s="12" t="s">
        <v>344</v>
      </c>
      <c r="B4973" s="12" t="s">
        <v>553</v>
      </c>
      <c r="C4973" s="12" t="s">
        <v>556</v>
      </c>
      <c r="D4973" s="13">
        <v>0</v>
      </c>
      <c r="E4973" s="13">
        <v>0</v>
      </c>
      <c r="F4973" s="13">
        <v>0</v>
      </c>
      <c r="G4973" s="13">
        <v>0</v>
      </c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</row>
    <row r="4974" spans="1:19" x14ac:dyDescent="0.2">
      <c r="A4974" s="12" t="s">
        <v>344</v>
      </c>
      <c r="B4974" s="12" t="s">
        <v>553</v>
      </c>
      <c r="C4974" s="12" t="s">
        <v>557</v>
      </c>
      <c r="D4974" s="13">
        <v>280</v>
      </c>
      <c r="E4974" s="13">
        <v>293.74832500000002</v>
      </c>
      <c r="F4974" s="13">
        <v>297.55283600000001</v>
      </c>
      <c r="G4974" s="13">
        <v>277.34258299999999</v>
      </c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</row>
    <row r="4975" spans="1:19" x14ac:dyDescent="0.2">
      <c r="A4975" s="12" t="s">
        <v>344</v>
      </c>
      <c r="B4975" s="12" t="s">
        <v>553</v>
      </c>
      <c r="C4975" s="12" t="s">
        <v>558</v>
      </c>
      <c r="D4975" s="13">
        <v>-279</v>
      </c>
      <c r="E4975" s="13">
        <v>-292.99788699999999</v>
      </c>
      <c r="F4975" s="13">
        <v>-296.86719299999999</v>
      </c>
      <c r="G4975" s="13">
        <v>-276.20843400000001</v>
      </c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</row>
    <row r="4976" spans="1:19" x14ac:dyDescent="0.2">
      <c r="A4976" s="12" t="s">
        <v>344</v>
      </c>
      <c r="B4976" s="12" t="s">
        <v>553</v>
      </c>
      <c r="C4976" s="12" t="s">
        <v>560</v>
      </c>
      <c r="D4976" s="13">
        <v>0</v>
      </c>
      <c r="E4976" s="13">
        <v>0</v>
      </c>
      <c r="F4976" s="13">
        <v>0</v>
      </c>
      <c r="G4976" s="13">
        <v>0</v>
      </c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</row>
    <row r="4977" spans="1:19" x14ac:dyDescent="0.2">
      <c r="A4977" s="12" t="s">
        <v>344</v>
      </c>
      <c r="B4977" s="12" t="s">
        <v>553</v>
      </c>
      <c r="C4977" s="12" t="s">
        <v>561</v>
      </c>
      <c r="D4977" s="13">
        <v>1</v>
      </c>
      <c r="E4977" s="13">
        <v>0.71862199999999998</v>
      </c>
      <c r="F4977" s="13">
        <v>0.65340900000000002</v>
      </c>
      <c r="G4977" s="13">
        <v>1.10416</v>
      </c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</row>
    <row r="4978" spans="1:19" x14ac:dyDescent="0.2">
      <c r="A4978" s="12" t="s">
        <v>344</v>
      </c>
      <c r="B4978" s="12" t="s">
        <v>553</v>
      </c>
      <c r="C4978" s="12" t="s">
        <v>562</v>
      </c>
      <c r="D4978" s="13">
        <v>1</v>
      </c>
      <c r="E4978" s="13">
        <v>0.71862199999999998</v>
      </c>
      <c r="F4978" s="13">
        <v>0.65340900000000002</v>
      </c>
      <c r="G4978" s="13">
        <v>1.10416</v>
      </c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</row>
    <row r="4979" spans="1:19" x14ac:dyDescent="0.2">
      <c r="A4979" s="12" t="s">
        <v>344</v>
      </c>
      <c r="B4979" s="12" t="s">
        <v>553</v>
      </c>
      <c r="C4979" s="12" t="s">
        <v>563</v>
      </c>
      <c r="D4979" s="13">
        <v>0</v>
      </c>
      <c r="E4979" s="13">
        <v>0</v>
      </c>
      <c r="F4979" s="13">
        <v>0</v>
      </c>
      <c r="G4979" s="13">
        <v>0</v>
      </c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</row>
    <row r="4980" spans="1:19" x14ac:dyDescent="0.2">
      <c r="A4980" s="12" t="s">
        <v>344</v>
      </c>
      <c r="B4980" s="12" t="s">
        <v>553</v>
      </c>
      <c r="C4980" s="12" t="s">
        <v>564</v>
      </c>
      <c r="D4980" s="13">
        <v>0</v>
      </c>
      <c r="E4980" s="13">
        <v>0</v>
      </c>
      <c r="F4980" s="13">
        <v>0</v>
      </c>
      <c r="G4980" s="13">
        <v>0</v>
      </c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</row>
    <row r="4981" spans="1:19" x14ac:dyDescent="0.2">
      <c r="A4981" s="12" t="s">
        <v>344</v>
      </c>
      <c r="B4981" s="12" t="s">
        <v>553</v>
      </c>
      <c r="C4981" s="12" t="s">
        <v>565</v>
      </c>
      <c r="D4981" s="13">
        <v>0</v>
      </c>
      <c r="E4981" s="13">
        <v>0</v>
      </c>
      <c r="F4981" s="13">
        <v>0</v>
      </c>
      <c r="G4981" s="13">
        <v>0</v>
      </c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</row>
    <row r="4982" spans="1:19" x14ac:dyDescent="0.2">
      <c r="A4982" s="12" t="s">
        <v>344</v>
      </c>
      <c r="B4982" s="12" t="s">
        <v>553</v>
      </c>
      <c r="C4982" s="12" t="s">
        <v>566</v>
      </c>
      <c r="D4982" s="13">
        <v>0</v>
      </c>
      <c r="E4982" s="13">
        <v>0</v>
      </c>
      <c r="F4982" s="13">
        <v>0</v>
      </c>
      <c r="G4982" s="13">
        <v>0</v>
      </c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</row>
    <row r="4983" spans="1:19" x14ac:dyDescent="0.2">
      <c r="A4983" s="12" t="s">
        <v>344</v>
      </c>
      <c r="B4983" s="12" t="s">
        <v>567</v>
      </c>
      <c r="C4983" s="12" t="s">
        <v>554</v>
      </c>
      <c r="D4983" s="13">
        <v>0</v>
      </c>
      <c r="E4983" s="13">
        <v>0.126391</v>
      </c>
      <c r="F4983" s="13">
        <v>9.3215000000000006E-2</v>
      </c>
      <c r="G4983" s="13">
        <v>8.1844E-2</v>
      </c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</row>
    <row r="4984" spans="1:19" x14ac:dyDescent="0.2">
      <c r="A4984" s="12" t="s">
        <v>344</v>
      </c>
      <c r="B4984" s="12" t="s">
        <v>567</v>
      </c>
      <c r="C4984" s="12" t="s">
        <v>555</v>
      </c>
      <c r="D4984" s="13">
        <v>0</v>
      </c>
      <c r="E4984" s="13">
        <v>0</v>
      </c>
      <c r="F4984" s="13">
        <v>0</v>
      </c>
      <c r="G4984" s="13">
        <v>0</v>
      </c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</row>
    <row r="4985" spans="1:19" x14ac:dyDescent="0.2">
      <c r="A4985" s="12" t="s">
        <v>344</v>
      </c>
      <c r="B4985" s="12" t="s">
        <v>567</v>
      </c>
      <c r="C4985" s="12" t="s">
        <v>556</v>
      </c>
      <c r="D4985" s="13">
        <v>0</v>
      </c>
      <c r="E4985" s="13">
        <v>0</v>
      </c>
      <c r="F4985" s="13">
        <v>0</v>
      </c>
      <c r="G4985" s="13">
        <v>0</v>
      </c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</row>
    <row r="4986" spans="1:19" x14ac:dyDescent="0.2">
      <c r="A4986" s="12" t="s">
        <v>344</v>
      </c>
      <c r="B4986" s="12" t="s">
        <v>567</v>
      </c>
      <c r="C4986" s="12" t="s">
        <v>557</v>
      </c>
      <c r="D4986" s="13">
        <v>0</v>
      </c>
      <c r="E4986" s="13">
        <v>0.126391</v>
      </c>
      <c r="F4986" s="13">
        <v>9.3215000000000006E-2</v>
      </c>
      <c r="G4986" s="13">
        <v>8.1844E-2</v>
      </c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</row>
    <row r="4987" spans="1:19" x14ac:dyDescent="0.2">
      <c r="A4987" s="12" t="s">
        <v>344</v>
      </c>
      <c r="B4987" s="12" t="s">
        <v>567</v>
      </c>
      <c r="C4987" s="12" t="s">
        <v>558</v>
      </c>
      <c r="D4987" s="13">
        <v>0</v>
      </c>
      <c r="E4987" s="13">
        <v>0</v>
      </c>
      <c r="F4987" s="13">
        <v>0</v>
      </c>
      <c r="G4987" s="13">
        <v>0</v>
      </c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</row>
    <row r="4988" spans="1:19" x14ac:dyDescent="0.2">
      <c r="A4988" s="12" t="s">
        <v>344</v>
      </c>
      <c r="B4988" s="12" t="s">
        <v>567</v>
      </c>
      <c r="C4988" s="12" t="s">
        <v>560</v>
      </c>
      <c r="D4988" s="13">
        <v>0</v>
      </c>
      <c r="E4988" s="13">
        <v>0</v>
      </c>
      <c r="F4988" s="13">
        <v>0</v>
      </c>
      <c r="G4988" s="13">
        <v>0</v>
      </c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</row>
    <row r="4989" spans="1:19" x14ac:dyDescent="0.2">
      <c r="A4989" s="12" t="s">
        <v>344</v>
      </c>
      <c r="B4989" s="12" t="s">
        <v>567</v>
      </c>
      <c r="C4989" s="12" t="s">
        <v>561</v>
      </c>
      <c r="D4989" s="13">
        <v>0</v>
      </c>
      <c r="E4989" s="13">
        <v>0</v>
      </c>
      <c r="F4989" s="13">
        <v>0</v>
      </c>
      <c r="G4989" s="13">
        <v>0</v>
      </c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</row>
    <row r="4990" spans="1:19" x14ac:dyDescent="0.2">
      <c r="A4990" s="12" t="s">
        <v>344</v>
      </c>
      <c r="B4990" s="12" t="s">
        <v>567</v>
      </c>
      <c r="C4990" s="12" t="s">
        <v>562</v>
      </c>
      <c r="D4990" s="13">
        <v>0</v>
      </c>
      <c r="E4990" s="13">
        <v>0</v>
      </c>
      <c r="F4990" s="13">
        <v>0</v>
      </c>
      <c r="G4990" s="13">
        <v>0</v>
      </c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</row>
    <row r="4991" spans="1:19" x14ac:dyDescent="0.2">
      <c r="A4991" s="12" t="s">
        <v>344</v>
      </c>
      <c r="B4991" s="12" t="s">
        <v>567</v>
      </c>
      <c r="C4991" s="12" t="s">
        <v>563</v>
      </c>
      <c r="D4991" s="13">
        <v>0</v>
      </c>
      <c r="E4991" s="13">
        <v>0</v>
      </c>
      <c r="F4991" s="13">
        <v>0</v>
      </c>
      <c r="G4991" s="13">
        <v>0</v>
      </c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</row>
    <row r="4992" spans="1:19" x14ac:dyDescent="0.2">
      <c r="A4992" s="12" t="s">
        <v>344</v>
      </c>
      <c r="B4992" s="12" t="s">
        <v>567</v>
      </c>
      <c r="C4992" s="12" t="s">
        <v>564</v>
      </c>
      <c r="D4992" s="13">
        <v>0</v>
      </c>
      <c r="E4992" s="13">
        <v>0</v>
      </c>
      <c r="F4992" s="13">
        <v>0</v>
      </c>
      <c r="G4992" s="13">
        <v>0</v>
      </c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</row>
    <row r="4993" spans="1:19" x14ac:dyDescent="0.2">
      <c r="A4993" s="12" t="s">
        <v>344</v>
      </c>
      <c r="B4993" s="12" t="s">
        <v>567</v>
      </c>
      <c r="C4993" s="12" t="s">
        <v>565</v>
      </c>
      <c r="D4993" s="13">
        <v>0</v>
      </c>
      <c r="E4993" s="13">
        <v>0</v>
      </c>
      <c r="F4993" s="13">
        <v>0</v>
      </c>
      <c r="G4993" s="13">
        <v>0</v>
      </c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</row>
    <row r="4994" spans="1:19" x14ac:dyDescent="0.2">
      <c r="A4994" s="12" t="s">
        <v>344</v>
      </c>
      <c r="B4994" s="12" t="s">
        <v>567</v>
      </c>
      <c r="C4994" s="12" t="s">
        <v>566</v>
      </c>
      <c r="D4994" s="13">
        <v>0</v>
      </c>
      <c r="E4994" s="13">
        <v>0</v>
      </c>
      <c r="F4994" s="13">
        <v>0</v>
      </c>
      <c r="G4994" s="13">
        <v>0</v>
      </c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</row>
    <row r="4995" spans="1:19" x14ac:dyDescent="0.2">
      <c r="A4995" s="12" t="s">
        <v>344</v>
      </c>
      <c r="B4995" s="12" t="s">
        <v>568</v>
      </c>
      <c r="C4995" s="12" t="s">
        <v>554</v>
      </c>
      <c r="D4995" s="13">
        <v>0</v>
      </c>
      <c r="E4995" s="13">
        <v>0</v>
      </c>
      <c r="F4995" s="13">
        <v>0</v>
      </c>
      <c r="G4995" s="13">
        <v>0</v>
      </c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</row>
    <row r="4996" spans="1:19" x14ac:dyDescent="0.2">
      <c r="A4996" s="12" t="s">
        <v>344</v>
      </c>
      <c r="B4996" s="12" t="s">
        <v>568</v>
      </c>
      <c r="C4996" s="12" t="s">
        <v>555</v>
      </c>
      <c r="D4996" s="13">
        <v>499</v>
      </c>
      <c r="E4996" s="13">
        <v>544.05548899999997</v>
      </c>
      <c r="F4996" s="13">
        <v>577.90331700000002</v>
      </c>
      <c r="G4996" s="13">
        <v>570.49062100000003</v>
      </c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</row>
    <row r="4997" spans="1:19" x14ac:dyDescent="0.2">
      <c r="A4997" s="12" t="s">
        <v>344</v>
      </c>
      <c r="B4997" s="12" t="s">
        <v>568</v>
      </c>
      <c r="C4997" s="12" t="s">
        <v>556</v>
      </c>
      <c r="D4997" s="13">
        <v>0</v>
      </c>
      <c r="E4997" s="13">
        <v>0</v>
      </c>
      <c r="F4997" s="13">
        <v>0</v>
      </c>
      <c r="G4997" s="13">
        <v>0</v>
      </c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</row>
    <row r="4998" spans="1:19" x14ac:dyDescent="0.2">
      <c r="A4998" s="12" t="s">
        <v>344</v>
      </c>
      <c r="B4998" s="12" t="s">
        <v>568</v>
      </c>
      <c r="C4998" s="12" t="s">
        <v>557</v>
      </c>
      <c r="D4998" s="13">
        <v>486</v>
      </c>
      <c r="E4998" s="13">
        <v>537.93823899999995</v>
      </c>
      <c r="F4998" s="13">
        <v>543.66664800000001</v>
      </c>
      <c r="G4998" s="13">
        <v>532.71383300000002</v>
      </c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</row>
    <row r="4999" spans="1:19" x14ac:dyDescent="0.2">
      <c r="A4999" s="12" t="s">
        <v>344</v>
      </c>
      <c r="B4999" s="12" t="s">
        <v>568</v>
      </c>
      <c r="C4999" s="12" t="s">
        <v>558</v>
      </c>
      <c r="D4999" s="13">
        <v>-7</v>
      </c>
      <c r="E4999" s="13">
        <v>-14.594296999999999</v>
      </c>
      <c r="F4999" s="13">
        <v>-46.377015999999998</v>
      </c>
      <c r="G4999" s="13">
        <v>-20.344653999999998</v>
      </c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</row>
    <row r="5000" spans="1:19" x14ac:dyDescent="0.2">
      <c r="A5000" s="12" t="s">
        <v>344</v>
      </c>
      <c r="B5000" s="12" t="s">
        <v>568</v>
      </c>
      <c r="C5000" s="12" t="s">
        <v>560</v>
      </c>
      <c r="D5000" s="13">
        <v>0</v>
      </c>
      <c r="E5000" s="13">
        <v>0</v>
      </c>
      <c r="F5000" s="13">
        <v>0</v>
      </c>
      <c r="G5000" s="13">
        <v>0</v>
      </c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</row>
    <row r="5001" spans="1:19" x14ac:dyDescent="0.2">
      <c r="A5001" s="12" t="s">
        <v>344</v>
      </c>
      <c r="B5001" s="12" t="s">
        <v>568</v>
      </c>
      <c r="C5001" s="12" t="s">
        <v>561</v>
      </c>
      <c r="D5001" s="13">
        <v>481</v>
      </c>
      <c r="E5001" s="13">
        <v>524.088346</v>
      </c>
      <c r="F5001" s="13">
        <v>497.70263899999998</v>
      </c>
      <c r="G5001" s="13">
        <v>513.45428900000002</v>
      </c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</row>
    <row r="5002" spans="1:19" x14ac:dyDescent="0.2">
      <c r="A5002" s="12" t="s">
        <v>344</v>
      </c>
      <c r="B5002" s="12" t="s">
        <v>568</v>
      </c>
      <c r="C5002" s="12" t="s">
        <v>562</v>
      </c>
      <c r="D5002" s="13">
        <v>72</v>
      </c>
      <c r="E5002" s="13">
        <v>81.000101999999998</v>
      </c>
      <c r="F5002" s="13">
        <v>72.158585000000002</v>
      </c>
      <c r="G5002" s="13">
        <v>68.822702000000007</v>
      </c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</row>
    <row r="5003" spans="1:19" x14ac:dyDescent="0.2">
      <c r="A5003" s="12" t="s">
        <v>344</v>
      </c>
      <c r="B5003" s="12" t="s">
        <v>568</v>
      </c>
      <c r="C5003" s="12" t="s">
        <v>563</v>
      </c>
      <c r="D5003" s="13">
        <v>226</v>
      </c>
      <c r="E5003" s="13">
        <v>253.53125499999999</v>
      </c>
      <c r="F5003" s="13">
        <v>239.009164</v>
      </c>
      <c r="G5003" s="13">
        <v>249.074365</v>
      </c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</row>
    <row r="5004" spans="1:19" x14ac:dyDescent="0.2">
      <c r="A5004" s="12" t="s">
        <v>344</v>
      </c>
      <c r="B5004" s="12" t="s">
        <v>568</v>
      </c>
      <c r="C5004" s="12" t="s">
        <v>564</v>
      </c>
      <c r="D5004" s="13">
        <v>118</v>
      </c>
      <c r="E5004" s="13">
        <v>119.080539</v>
      </c>
      <c r="F5004" s="13">
        <v>122.057479</v>
      </c>
      <c r="G5004" s="13">
        <v>125.18942300000001</v>
      </c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</row>
    <row r="5005" spans="1:19" x14ac:dyDescent="0.2">
      <c r="A5005" s="12" t="s">
        <v>344</v>
      </c>
      <c r="B5005" s="12" t="s">
        <v>568</v>
      </c>
      <c r="C5005" s="12" t="s">
        <v>565</v>
      </c>
      <c r="D5005" s="13">
        <v>6</v>
      </c>
      <c r="E5005" s="13">
        <v>7.3810020000000014</v>
      </c>
      <c r="F5005" s="13">
        <v>7.4854210000000014</v>
      </c>
      <c r="G5005" s="13">
        <v>8.0325730000000011</v>
      </c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</row>
    <row r="5006" spans="1:19" x14ac:dyDescent="0.2">
      <c r="A5006" s="12" t="s">
        <v>344</v>
      </c>
      <c r="B5006" s="12" t="s">
        <v>568</v>
      </c>
      <c r="C5006" s="12" t="s">
        <v>566</v>
      </c>
      <c r="D5006" s="13">
        <v>58</v>
      </c>
      <c r="E5006" s="13">
        <v>63.095444000000008</v>
      </c>
      <c r="F5006" s="13">
        <v>56.991990000000001</v>
      </c>
      <c r="G5006" s="13">
        <v>62.335226000000013</v>
      </c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</row>
    <row r="5007" spans="1:19" x14ac:dyDescent="0.2">
      <c r="A5007" s="12" t="s">
        <v>344</v>
      </c>
      <c r="B5007" s="12" t="s">
        <v>569</v>
      </c>
      <c r="C5007" s="12" t="s">
        <v>554</v>
      </c>
      <c r="D5007" s="13">
        <v>3</v>
      </c>
      <c r="E5007" s="13">
        <v>3.4973719999999999</v>
      </c>
      <c r="F5007" s="13">
        <v>2.4515009999999999</v>
      </c>
      <c r="G5007" s="13">
        <v>1.640522</v>
      </c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</row>
    <row r="5008" spans="1:19" x14ac:dyDescent="0.2">
      <c r="A5008" s="12" t="s">
        <v>344</v>
      </c>
      <c r="B5008" s="12" t="s">
        <v>569</v>
      </c>
      <c r="C5008" s="12" t="s">
        <v>555</v>
      </c>
      <c r="D5008" s="13">
        <v>25</v>
      </c>
      <c r="E5008" s="13">
        <v>24.970279999999999</v>
      </c>
      <c r="F5008" s="13">
        <v>5.5655429999999999</v>
      </c>
      <c r="G5008" s="13">
        <v>30.327860000000001</v>
      </c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</row>
    <row r="5009" spans="1:19" x14ac:dyDescent="0.2">
      <c r="A5009" s="12" t="s">
        <v>344</v>
      </c>
      <c r="B5009" s="12" t="s">
        <v>569</v>
      </c>
      <c r="C5009" s="12" t="s">
        <v>556</v>
      </c>
      <c r="D5009" s="13">
        <v>0</v>
      </c>
      <c r="E5009" s="13">
        <v>0</v>
      </c>
      <c r="F5009" s="13">
        <v>0</v>
      </c>
      <c r="G5009" s="13">
        <v>0</v>
      </c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</row>
    <row r="5010" spans="1:19" x14ac:dyDescent="0.2">
      <c r="A5010" s="12" t="s">
        <v>344</v>
      </c>
      <c r="B5010" s="12" t="s">
        <v>569</v>
      </c>
      <c r="C5010" s="12" t="s">
        <v>557</v>
      </c>
      <c r="D5010" s="13">
        <v>28</v>
      </c>
      <c r="E5010" s="13">
        <v>28.467652999999999</v>
      </c>
      <c r="F5010" s="13">
        <v>8.0170479999999991</v>
      </c>
      <c r="G5010" s="13">
        <v>31.968382999999999</v>
      </c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</row>
    <row r="5011" spans="1:19" x14ac:dyDescent="0.2">
      <c r="A5011" s="12" t="s">
        <v>344</v>
      </c>
      <c r="B5011" s="12" t="s">
        <v>569</v>
      </c>
      <c r="C5011" s="12" t="s">
        <v>558</v>
      </c>
      <c r="D5011" s="13">
        <v>-25</v>
      </c>
      <c r="E5011" s="13">
        <v>-24.939088999999999</v>
      </c>
      <c r="F5011" s="13">
        <v>-5.5655429999999999</v>
      </c>
      <c r="G5011" s="13">
        <v>-30.327860000000001</v>
      </c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</row>
    <row r="5012" spans="1:19" x14ac:dyDescent="0.2">
      <c r="A5012" s="12" t="s">
        <v>344</v>
      </c>
      <c r="B5012" s="12" t="s">
        <v>569</v>
      </c>
      <c r="C5012" s="12" t="s">
        <v>560</v>
      </c>
      <c r="D5012" s="13">
        <v>0</v>
      </c>
      <c r="E5012" s="13">
        <v>0</v>
      </c>
      <c r="F5012" s="13">
        <v>0</v>
      </c>
      <c r="G5012" s="13">
        <v>0</v>
      </c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</row>
    <row r="5013" spans="1:19" x14ac:dyDescent="0.2">
      <c r="A5013" s="12" t="s">
        <v>344</v>
      </c>
      <c r="B5013" s="12" t="s">
        <v>569</v>
      </c>
      <c r="C5013" s="12" t="s">
        <v>561</v>
      </c>
      <c r="D5013" s="13">
        <v>3</v>
      </c>
      <c r="E5013" s="13">
        <v>3.450342</v>
      </c>
      <c r="F5013" s="13">
        <v>2.3974829999999998</v>
      </c>
      <c r="G5013" s="13">
        <v>1.49604</v>
      </c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</row>
    <row r="5014" spans="1:19" x14ac:dyDescent="0.2">
      <c r="A5014" s="12" t="s">
        <v>344</v>
      </c>
      <c r="B5014" s="12" t="s">
        <v>569</v>
      </c>
      <c r="C5014" s="12" t="s">
        <v>562</v>
      </c>
      <c r="D5014" s="13">
        <v>3</v>
      </c>
      <c r="E5014" s="13">
        <v>3.450342</v>
      </c>
      <c r="F5014" s="13">
        <v>2.3974829999999998</v>
      </c>
      <c r="G5014" s="13">
        <v>1.49604</v>
      </c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</row>
    <row r="5015" spans="1:19" x14ac:dyDescent="0.2">
      <c r="A5015" s="12" t="s">
        <v>344</v>
      </c>
      <c r="B5015" s="12" t="s">
        <v>569</v>
      </c>
      <c r="C5015" s="12" t="s">
        <v>563</v>
      </c>
      <c r="D5015" s="13">
        <v>0</v>
      </c>
      <c r="E5015" s="13">
        <v>0</v>
      </c>
      <c r="F5015" s="13">
        <v>0</v>
      </c>
      <c r="G5015" s="13">
        <v>0</v>
      </c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</row>
    <row r="5016" spans="1:19" x14ac:dyDescent="0.2">
      <c r="A5016" s="12" t="s">
        <v>344</v>
      </c>
      <c r="B5016" s="12" t="s">
        <v>569</v>
      </c>
      <c r="C5016" s="12" t="s">
        <v>564</v>
      </c>
      <c r="D5016" s="13">
        <v>0</v>
      </c>
      <c r="E5016" s="13">
        <v>0</v>
      </c>
      <c r="F5016" s="13">
        <v>0</v>
      </c>
      <c r="G5016" s="13">
        <v>0</v>
      </c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</row>
    <row r="5017" spans="1:19" x14ac:dyDescent="0.2">
      <c r="A5017" s="12" t="s">
        <v>344</v>
      </c>
      <c r="B5017" s="12" t="s">
        <v>569</v>
      </c>
      <c r="C5017" s="12" t="s">
        <v>565</v>
      </c>
      <c r="D5017" s="13">
        <v>0</v>
      </c>
      <c r="E5017" s="13">
        <v>0</v>
      </c>
      <c r="F5017" s="13">
        <v>0</v>
      </c>
      <c r="G5017" s="13">
        <v>0</v>
      </c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</row>
    <row r="5018" spans="1:19" x14ac:dyDescent="0.2">
      <c r="A5018" s="12" t="s">
        <v>344</v>
      </c>
      <c r="B5018" s="12" t="s">
        <v>569</v>
      </c>
      <c r="C5018" s="12" t="s">
        <v>566</v>
      </c>
      <c r="D5018" s="13">
        <v>0</v>
      </c>
      <c r="E5018" s="13">
        <v>0</v>
      </c>
      <c r="F5018" s="13">
        <v>0</v>
      </c>
      <c r="G5018" s="13">
        <v>0</v>
      </c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</row>
    <row r="5019" spans="1:19" x14ac:dyDescent="0.2">
      <c r="A5019" s="12" t="s">
        <v>344</v>
      </c>
      <c r="B5019" s="12" t="s">
        <v>570</v>
      </c>
      <c r="C5019" s="12" t="s">
        <v>554</v>
      </c>
      <c r="D5019" s="13">
        <v>0</v>
      </c>
      <c r="E5019" s="13">
        <v>0</v>
      </c>
      <c r="F5019" s="13">
        <v>0</v>
      </c>
      <c r="G5019" s="13">
        <v>0</v>
      </c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</row>
    <row r="5020" spans="1:19" x14ac:dyDescent="0.2">
      <c r="A5020" s="12" t="s">
        <v>344</v>
      </c>
      <c r="B5020" s="12" t="s">
        <v>570</v>
      </c>
      <c r="C5020" s="12" t="s">
        <v>555</v>
      </c>
      <c r="D5020" s="13">
        <v>0</v>
      </c>
      <c r="E5020" s="13">
        <v>0</v>
      </c>
      <c r="F5020" s="13">
        <v>0</v>
      </c>
      <c r="G5020" s="13">
        <v>0</v>
      </c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</row>
    <row r="5021" spans="1:19" x14ac:dyDescent="0.2">
      <c r="A5021" s="12" t="s">
        <v>344</v>
      </c>
      <c r="B5021" s="12" t="s">
        <v>570</v>
      </c>
      <c r="C5021" s="12" t="s">
        <v>556</v>
      </c>
      <c r="D5021" s="13">
        <v>0</v>
      </c>
      <c r="E5021" s="13">
        <v>0</v>
      </c>
      <c r="F5021" s="13">
        <v>0</v>
      </c>
      <c r="G5021" s="13">
        <v>0</v>
      </c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</row>
    <row r="5022" spans="1:19" x14ac:dyDescent="0.2">
      <c r="A5022" s="12" t="s">
        <v>344</v>
      </c>
      <c r="B5022" s="12" t="s">
        <v>570</v>
      </c>
      <c r="C5022" s="12" t="s">
        <v>557</v>
      </c>
      <c r="D5022" s="13">
        <v>0</v>
      </c>
      <c r="E5022" s="13">
        <v>0</v>
      </c>
      <c r="F5022" s="13">
        <v>0</v>
      </c>
      <c r="G5022" s="13">
        <v>0</v>
      </c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</row>
    <row r="5023" spans="1:19" x14ac:dyDescent="0.2">
      <c r="A5023" s="12" t="s">
        <v>344</v>
      </c>
      <c r="B5023" s="12" t="s">
        <v>570</v>
      </c>
      <c r="C5023" s="12" t="s">
        <v>558</v>
      </c>
      <c r="D5023" s="13">
        <v>0</v>
      </c>
      <c r="E5023" s="13">
        <v>0</v>
      </c>
      <c r="F5023" s="13">
        <v>0</v>
      </c>
      <c r="G5023" s="13">
        <v>0</v>
      </c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</row>
    <row r="5024" spans="1:19" x14ac:dyDescent="0.2">
      <c r="A5024" s="12" t="s">
        <v>344</v>
      </c>
      <c r="B5024" s="12" t="s">
        <v>570</v>
      </c>
      <c r="C5024" s="12" t="s">
        <v>560</v>
      </c>
      <c r="D5024" s="13">
        <v>0</v>
      </c>
      <c r="E5024" s="13">
        <v>0</v>
      </c>
      <c r="F5024" s="13">
        <v>0</v>
      </c>
      <c r="G5024" s="13">
        <v>0</v>
      </c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</row>
    <row r="5025" spans="1:19" x14ac:dyDescent="0.2">
      <c r="A5025" s="12" t="s">
        <v>344</v>
      </c>
      <c r="B5025" s="12" t="s">
        <v>570</v>
      </c>
      <c r="C5025" s="12" t="s">
        <v>561</v>
      </c>
      <c r="D5025" s="13">
        <v>0</v>
      </c>
      <c r="E5025" s="13">
        <v>0</v>
      </c>
      <c r="F5025" s="13">
        <v>0</v>
      </c>
      <c r="G5025" s="13">
        <v>0</v>
      </c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</row>
    <row r="5026" spans="1:19" x14ac:dyDescent="0.2">
      <c r="A5026" s="12" t="s">
        <v>344</v>
      </c>
      <c r="B5026" s="12" t="s">
        <v>570</v>
      </c>
      <c r="C5026" s="12" t="s">
        <v>562</v>
      </c>
      <c r="D5026" s="13">
        <v>0</v>
      </c>
      <c r="E5026" s="13">
        <v>0</v>
      </c>
      <c r="F5026" s="13">
        <v>0</v>
      </c>
      <c r="G5026" s="13">
        <v>0</v>
      </c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</row>
    <row r="5027" spans="1:19" x14ac:dyDescent="0.2">
      <c r="A5027" s="12" t="s">
        <v>344</v>
      </c>
      <c r="B5027" s="12" t="s">
        <v>570</v>
      </c>
      <c r="C5027" s="12" t="s">
        <v>563</v>
      </c>
      <c r="D5027" s="13">
        <v>0</v>
      </c>
      <c r="E5027" s="13">
        <v>0</v>
      </c>
      <c r="F5027" s="13">
        <v>0</v>
      </c>
      <c r="G5027" s="13">
        <v>0</v>
      </c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</row>
    <row r="5028" spans="1:19" x14ac:dyDescent="0.2">
      <c r="A5028" s="12" t="s">
        <v>344</v>
      </c>
      <c r="B5028" s="12" t="s">
        <v>570</v>
      </c>
      <c r="C5028" s="12" t="s">
        <v>564</v>
      </c>
      <c r="D5028" s="13">
        <v>0</v>
      </c>
      <c r="E5028" s="13">
        <v>0</v>
      </c>
      <c r="F5028" s="13">
        <v>0</v>
      </c>
      <c r="G5028" s="13">
        <v>0</v>
      </c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</row>
    <row r="5029" spans="1:19" x14ac:dyDescent="0.2">
      <c r="A5029" s="12" t="s">
        <v>344</v>
      </c>
      <c r="B5029" s="12" t="s">
        <v>570</v>
      </c>
      <c r="C5029" s="12" t="s">
        <v>565</v>
      </c>
      <c r="D5029" s="13">
        <v>0</v>
      </c>
      <c r="E5029" s="13">
        <v>0</v>
      </c>
      <c r="F5029" s="13">
        <v>0</v>
      </c>
      <c r="G5029" s="13">
        <v>0</v>
      </c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</row>
    <row r="5030" spans="1:19" x14ac:dyDescent="0.2">
      <c r="A5030" s="12" t="s">
        <v>344</v>
      </c>
      <c r="B5030" s="12" t="s">
        <v>570</v>
      </c>
      <c r="C5030" s="12" t="s">
        <v>566</v>
      </c>
      <c r="D5030" s="13">
        <v>0</v>
      </c>
      <c r="E5030" s="13">
        <v>0</v>
      </c>
      <c r="F5030" s="13">
        <v>0</v>
      </c>
      <c r="G5030" s="13">
        <v>0</v>
      </c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</row>
    <row r="5031" spans="1:19" x14ac:dyDescent="0.2">
      <c r="A5031" s="12" t="s">
        <v>344</v>
      </c>
      <c r="B5031" s="12" t="s">
        <v>571</v>
      </c>
      <c r="C5031" s="12" t="s">
        <v>554</v>
      </c>
      <c r="D5031" s="13">
        <v>87</v>
      </c>
      <c r="E5031" s="13">
        <v>93.46780600000001</v>
      </c>
      <c r="F5031" s="13">
        <v>88.05811300000002</v>
      </c>
      <c r="G5031" s="13">
        <v>99.62114600000001</v>
      </c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</row>
    <row r="5032" spans="1:19" x14ac:dyDescent="0.2">
      <c r="A5032" s="12" t="s">
        <v>344</v>
      </c>
      <c r="B5032" s="12" t="s">
        <v>571</v>
      </c>
      <c r="C5032" s="12" t="s">
        <v>555</v>
      </c>
      <c r="D5032" s="13">
        <v>0</v>
      </c>
      <c r="E5032" s="13">
        <v>0</v>
      </c>
      <c r="F5032" s="13">
        <v>0</v>
      </c>
      <c r="G5032" s="13">
        <v>0</v>
      </c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</row>
    <row r="5033" spans="1:19" x14ac:dyDescent="0.2">
      <c r="A5033" s="12" t="s">
        <v>344</v>
      </c>
      <c r="B5033" s="12" t="s">
        <v>571</v>
      </c>
      <c r="C5033" s="12" t="s">
        <v>556</v>
      </c>
      <c r="D5033" s="13">
        <v>0</v>
      </c>
      <c r="E5033" s="13">
        <v>0</v>
      </c>
      <c r="F5033" s="13">
        <v>0</v>
      </c>
      <c r="G5033" s="13">
        <v>0</v>
      </c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</row>
    <row r="5034" spans="1:19" x14ac:dyDescent="0.2">
      <c r="A5034" s="12" t="s">
        <v>344</v>
      </c>
      <c r="B5034" s="12" t="s">
        <v>571</v>
      </c>
      <c r="C5034" s="12" t="s">
        <v>557</v>
      </c>
      <c r="D5034" s="13">
        <v>87</v>
      </c>
      <c r="E5034" s="13">
        <v>93.467805999999996</v>
      </c>
      <c r="F5034" s="13">
        <v>88.05811300000002</v>
      </c>
      <c r="G5034" s="13">
        <v>99.62114600000001</v>
      </c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</row>
    <row r="5035" spans="1:19" x14ac:dyDescent="0.2">
      <c r="A5035" s="12" t="s">
        <v>344</v>
      </c>
      <c r="B5035" s="12" t="s">
        <v>571</v>
      </c>
      <c r="C5035" s="12" t="s">
        <v>558</v>
      </c>
      <c r="D5035" s="13">
        <v>-33</v>
      </c>
      <c r="E5035" s="13">
        <v>-37.280633000000002</v>
      </c>
      <c r="F5035" s="13">
        <v>-32.066166000000003</v>
      </c>
      <c r="G5035" s="13">
        <v>-43.388838</v>
      </c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</row>
    <row r="5036" spans="1:19" x14ac:dyDescent="0.2">
      <c r="A5036" s="12" t="s">
        <v>344</v>
      </c>
      <c r="B5036" s="12" t="s">
        <v>571</v>
      </c>
      <c r="C5036" s="12" t="s">
        <v>560</v>
      </c>
      <c r="D5036" s="13">
        <v>0</v>
      </c>
      <c r="E5036" s="13">
        <v>0</v>
      </c>
      <c r="F5036" s="13">
        <v>0</v>
      </c>
      <c r="G5036" s="13">
        <v>0</v>
      </c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</row>
    <row r="5037" spans="1:19" x14ac:dyDescent="0.2">
      <c r="A5037" s="12" t="s">
        <v>344</v>
      </c>
      <c r="B5037" s="12" t="s">
        <v>571</v>
      </c>
      <c r="C5037" s="12" t="s">
        <v>561</v>
      </c>
      <c r="D5037" s="13">
        <v>52</v>
      </c>
      <c r="E5037" s="13">
        <v>54.693516000000002</v>
      </c>
      <c r="F5037" s="13">
        <v>54.463079</v>
      </c>
      <c r="G5037" s="13">
        <v>54.628633999999998</v>
      </c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</row>
    <row r="5038" spans="1:19" x14ac:dyDescent="0.2">
      <c r="A5038" s="12" t="s">
        <v>344</v>
      </c>
      <c r="B5038" s="12" t="s">
        <v>571</v>
      </c>
      <c r="C5038" s="12" t="s">
        <v>562</v>
      </c>
      <c r="D5038" s="13">
        <v>4</v>
      </c>
      <c r="E5038" s="13">
        <v>4.5322990000000001</v>
      </c>
      <c r="F5038" s="13">
        <v>4.308954</v>
      </c>
      <c r="G5038" s="13">
        <v>4.2998519999999996</v>
      </c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</row>
    <row r="5039" spans="1:19" x14ac:dyDescent="0.2">
      <c r="A5039" s="12" t="s">
        <v>344</v>
      </c>
      <c r="B5039" s="12" t="s">
        <v>571</v>
      </c>
      <c r="C5039" s="12" t="s">
        <v>563</v>
      </c>
      <c r="D5039" s="13">
        <v>0</v>
      </c>
      <c r="E5039" s="13">
        <v>0</v>
      </c>
      <c r="F5039" s="13">
        <v>0</v>
      </c>
      <c r="G5039" s="13">
        <v>0</v>
      </c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</row>
    <row r="5040" spans="1:19" x14ac:dyDescent="0.2">
      <c r="A5040" s="12" t="s">
        <v>344</v>
      </c>
      <c r="B5040" s="12" t="s">
        <v>571</v>
      </c>
      <c r="C5040" s="12" t="s">
        <v>564</v>
      </c>
      <c r="D5040" s="13">
        <v>20</v>
      </c>
      <c r="E5040" s="13">
        <v>21.728576</v>
      </c>
      <c r="F5040" s="13">
        <v>21.489321</v>
      </c>
      <c r="G5040" s="13">
        <v>21.500679000000002</v>
      </c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</row>
    <row r="5041" spans="1:19" x14ac:dyDescent="0.2">
      <c r="A5041" s="12" t="s">
        <v>344</v>
      </c>
      <c r="B5041" s="12" t="s">
        <v>571</v>
      </c>
      <c r="C5041" s="12" t="s">
        <v>565</v>
      </c>
      <c r="D5041" s="13">
        <v>28</v>
      </c>
      <c r="E5041" s="13">
        <v>28.432642999999999</v>
      </c>
      <c r="F5041" s="13">
        <v>28.664804</v>
      </c>
      <c r="G5041" s="13">
        <v>28.828098000000001</v>
      </c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</row>
    <row r="5042" spans="1:19" x14ac:dyDescent="0.2">
      <c r="A5042" s="12" t="s">
        <v>344</v>
      </c>
      <c r="B5042" s="12" t="s">
        <v>571</v>
      </c>
      <c r="C5042" s="12" t="s">
        <v>566</v>
      </c>
      <c r="D5042" s="13">
        <v>0</v>
      </c>
      <c r="E5042" s="13">
        <v>0</v>
      </c>
      <c r="F5042" s="13">
        <v>0</v>
      </c>
      <c r="G5042" s="13">
        <v>0</v>
      </c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</row>
    <row r="5043" spans="1:19" x14ac:dyDescent="0.2">
      <c r="A5043" s="12" t="s">
        <v>344</v>
      </c>
      <c r="B5043" s="12" t="s">
        <v>572</v>
      </c>
      <c r="C5043" s="12" t="s">
        <v>554</v>
      </c>
      <c r="D5043" s="13">
        <v>0</v>
      </c>
      <c r="E5043" s="13">
        <v>0</v>
      </c>
      <c r="F5043" s="13">
        <v>0</v>
      </c>
      <c r="G5043" s="13">
        <v>0</v>
      </c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</row>
    <row r="5044" spans="1:19" x14ac:dyDescent="0.2">
      <c r="A5044" s="12" t="s">
        <v>344</v>
      </c>
      <c r="B5044" s="12" t="s">
        <v>572</v>
      </c>
      <c r="C5044" s="12" t="s">
        <v>555</v>
      </c>
      <c r="D5044" s="13">
        <v>3</v>
      </c>
      <c r="E5044" s="13">
        <v>2.476944</v>
      </c>
      <c r="F5044" s="13">
        <v>6.723147</v>
      </c>
      <c r="G5044" s="13">
        <v>8.3199799999999993</v>
      </c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</row>
    <row r="5045" spans="1:19" x14ac:dyDescent="0.2">
      <c r="A5045" s="12" t="s">
        <v>344</v>
      </c>
      <c r="B5045" s="12" t="s">
        <v>572</v>
      </c>
      <c r="C5045" s="12" t="s">
        <v>556</v>
      </c>
      <c r="D5045" s="13">
        <v>-2</v>
      </c>
      <c r="E5045" s="13">
        <v>-3.0644490000000002</v>
      </c>
      <c r="F5045" s="13">
        <v>-1.6943729999999999</v>
      </c>
      <c r="G5045" s="13">
        <v>-1.6618539999999999</v>
      </c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</row>
    <row r="5046" spans="1:19" x14ac:dyDescent="0.2">
      <c r="A5046" s="12" t="s">
        <v>344</v>
      </c>
      <c r="B5046" s="12" t="s">
        <v>572</v>
      </c>
      <c r="C5046" s="12" t="s">
        <v>557</v>
      </c>
      <c r="D5046" s="13">
        <v>1</v>
      </c>
      <c r="E5046" s="13">
        <v>-0.58750400000000003</v>
      </c>
      <c r="F5046" s="13">
        <v>5.0287740000000003</v>
      </c>
      <c r="G5046" s="13">
        <v>6.6581299999999999</v>
      </c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</row>
    <row r="5047" spans="1:19" x14ac:dyDescent="0.2">
      <c r="A5047" s="12" t="s">
        <v>344</v>
      </c>
      <c r="B5047" s="12" t="s">
        <v>572</v>
      </c>
      <c r="C5047" s="12" t="s">
        <v>558</v>
      </c>
      <c r="D5047" s="13">
        <v>138</v>
      </c>
      <c r="E5047" s="13">
        <v>147.11560700000001</v>
      </c>
      <c r="F5047" s="13">
        <v>147.92832300000001</v>
      </c>
      <c r="G5047" s="13">
        <v>152.08759499999999</v>
      </c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</row>
    <row r="5048" spans="1:19" x14ac:dyDescent="0.2">
      <c r="A5048" s="12" t="s">
        <v>344</v>
      </c>
      <c r="B5048" s="12" t="s">
        <v>572</v>
      </c>
      <c r="C5048" s="12" t="s">
        <v>560</v>
      </c>
      <c r="D5048" s="13">
        <v>0</v>
      </c>
      <c r="E5048" s="13">
        <v>0</v>
      </c>
      <c r="F5048" s="13">
        <v>0</v>
      </c>
      <c r="G5048" s="13">
        <v>0</v>
      </c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</row>
    <row r="5049" spans="1:19" x14ac:dyDescent="0.2">
      <c r="A5049" s="12" t="s">
        <v>344</v>
      </c>
      <c r="B5049" s="12" t="s">
        <v>572</v>
      </c>
      <c r="C5049" s="12" t="s">
        <v>561</v>
      </c>
      <c r="D5049" s="13">
        <v>118</v>
      </c>
      <c r="E5049" s="13">
        <v>124.341207</v>
      </c>
      <c r="F5049" s="13">
        <v>129.66632200000001</v>
      </c>
      <c r="G5049" s="13">
        <v>134.432885</v>
      </c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</row>
    <row r="5050" spans="1:19" x14ac:dyDescent="0.2">
      <c r="A5050" s="12" t="s">
        <v>344</v>
      </c>
      <c r="B5050" s="12" t="s">
        <v>572</v>
      </c>
      <c r="C5050" s="12" t="s">
        <v>562</v>
      </c>
      <c r="D5050" s="13">
        <v>43</v>
      </c>
      <c r="E5050" s="13">
        <v>46.215410000000013</v>
      </c>
      <c r="F5050" s="13">
        <v>47.225470999999999</v>
      </c>
      <c r="G5050" s="13">
        <v>49.061177999999998</v>
      </c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</row>
    <row r="5051" spans="1:19" x14ac:dyDescent="0.2">
      <c r="A5051" s="12" t="s">
        <v>344</v>
      </c>
      <c r="B5051" s="12" t="s">
        <v>572</v>
      </c>
      <c r="C5051" s="12" t="s">
        <v>563</v>
      </c>
      <c r="D5051" s="13">
        <v>1</v>
      </c>
      <c r="E5051" s="13">
        <v>1.1241730000000001</v>
      </c>
      <c r="F5051" s="13">
        <v>1.1485860000000001</v>
      </c>
      <c r="G5051" s="13">
        <v>1.334781</v>
      </c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</row>
    <row r="5052" spans="1:19" x14ac:dyDescent="0.2">
      <c r="A5052" s="12" t="s">
        <v>344</v>
      </c>
      <c r="B5052" s="12" t="s">
        <v>572</v>
      </c>
      <c r="C5052" s="12" t="s">
        <v>564</v>
      </c>
      <c r="D5052" s="13">
        <v>42</v>
      </c>
      <c r="E5052" s="13">
        <v>43.407083999999998</v>
      </c>
      <c r="F5052" s="13">
        <v>44.564613000000001</v>
      </c>
      <c r="G5052" s="13">
        <v>45.732608999999997</v>
      </c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</row>
    <row r="5053" spans="1:19" x14ac:dyDescent="0.2">
      <c r="A5053" s="12" t="s">
        <v>344</v>
      </c>
      <c r="B5053" s="12" t="s">
        <v>572</v>
      </c>
      <c r="C5053" s="12" t="s">
        <v>565</v>
      </c>
      <c r="D5053" s="13">
        <v>20</v>
      </c>
      <c r="E5053" s="13">
        <v>21.019134000000001</v>
      </c>
      <c r="F5053" s="13">
        <v>22.514344999999999</v>
      </c>
      <c r="G5053" s="13">
        <v>23.52148</v>
      </c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</row>
    <row r="5054" spans="1:19" x14ac:dyDescent="0.2">
      <c r="A5054" s="12" t="s">
        <v>344</v>
      </c>
      <c r="B5054" s="12" t="s">
        <v>572</v>
      </c>
      <c r="C5054" s="12" t="s">
        <v>566</v>
      </c>
      <c r="D5054" s="13">
        <v>13</v>
      </c>
      <c r="E5054" s="13">
        <v>12.575400999999999</v>
      </c>
      <c r="F5054" s="13">
        <v>14.213307</v>
      </c>
      <c r="G5054" s="13">
        <v>14.782833</v>
      </c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</row>
    <row r="5055" spans="1:19" x14ac:dyDescent="0.2">
      <c r="A5055" s="12" t="s">
        <v>344</v>
      </c>
      <c r="B5055" s="12" t="s">
        <v>573</v>
      </c>
      <c r="C5055" s="12" t="s">
        <v>554</v>
      </c>
      <c r="D5055" s="13">
        <v>0</v>
      </c>
      <c r="E5055" s="13">
        <v>0</v>
      </c>
      <c r="F5055" s="13">
        <v>0</v>
      </c>
      <c r="G5055" s="13">
        <v>0</v>
      </c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</row>
    <row r="5056" spans="1:19" x14ac:dyDescent="0.2">
      <c r="A5056" s="12" t="s">
        <v>344</v>
      </c>
      <c r="B5056" s="12" t="s">
        <v>573</v>
      </c>
      <c r="C5056" s="12" t="s">
        <v>555</v>
      </c>
      <c r="D5056" s="13">
        <v>0</v>
      </c>
      <c r="E5056" s="13">
        <v>0</v>
      </c>
      <c r="F5056" s="13">
        <v>0</v>
      </c>
      <c r="G5056" s="13">
        <v>0</v>
      </c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</row>
    <row r="5057" spans="1:19" x14ac:dyDescent="0.2">
      <c r="A5057" s="12" t="s">
        <v>344</v>
      </c>
      <c r="B5057" s="12" t="s">
        <v>573</v>
      </c>
      <c r="C5057" s="12" t="s">
        <v>556</v>
      </c>
      <c r="D5057" s="13">
        <v>0</v>
      </c>
      <c r="E5057" s="13">
        <v>0</v>
      </c>
      <c r="F5057" s="13">
        <v>0</v>
      </c>
      <c r="G5057" s="13">
        <v>0</v>
      </c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</row>
    <row r="5058" spans="1:19" x14ac:dyDescent="0.2">
      <c r="A5058" s="12" t="s">
        <v>344</v>
      </c>
      <c r="B5058" s="12" t="s">
        <v>573</v>
      </c>
      <c r="C5058" s="12" t="s">
        <v>557</v>
      </c>
      <c r="D5058" s="13">
        <v>0</v>
      </c>
      <c r="E5058" s="13">
        <v>0</v>
      </c>
      <c r="F5058" s="13">
        <v>0</v>
      </c>
      <c r="G5058" s="13">
        <v>0</v>
      </c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</row>
    <row r="5059" spans="1:19" x14ac:dyDescent="0.2">
      <c r="A5059" s="12" t="s">
        <v>344</v>
      </c>
      <c r="B5059" s="12" t="s">
        <v>573</v>
      </c>
      <c r="C5059" s="12" t="s">
        <v>558</v>
      </c>
      <c r="D5059" s="13">
        <v>0</v>
      </c>
      <c r="E5059" s="13">
        <v>0</v>
      </c>
      <c r="F5059" s="13">
        <v>0</v>
      </c>
      <c r="G5059" s="13">
        <v>0</v>
      </c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</row>
    <row r="5060" spans="1:19" x14ac:dyDescent="0.2">
      <c r="A5060" s="12" t="s">
        <v>344</v>
      </c>
      <c r="B5060" s="12" t="s">
        <v>573</v>
      </c>
      <c r="C5060" s="12" t="s">
        <v>560</v>
      </c>
      <c r="D5060" s="13">
        <v>0</v>
      </c>
      <c r="E5060" s="13">
        <v>0</v>
      </c>
      <c r="F5060" s="13">
        <v>0</v>
      </c>
      <c r="G5060" s="13">
        <v>0</v>
      </c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</row>
    <row r="5061" spans="1:19" x14ac:dyDescent="0.2">
      <c r="A5061" s="12" t="s">
        <v>344</v>
      </c>
      <c r="B5061" s="12" t="s">
        <v>573</v>
      </c>
      <c r="C5061" s="12" t="s">
        <v>561</v>
      </c>
      <c r="D5061" s="13">
        <v>0</v>
      </c>
      <c r="E5061" s="13">
        <v>0</v>
      </c>
      <c r="F5061" s="13">
        <v>0</v>
      </c>
      <c r="G5061" s="13">
        <v>0</v>
      </c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</row>
    <row r="5062" spans="1:19" x14ac:dyDescent="0.2">
      <c r="A5062" s="12" t="s">
        <v>344</v>
      </c>
      <c r="B5062" s="12" t="s">
        <v>573</v>
      </c>
      <c r="C5062" s="12" t="s">
        <v>562</v>
      </c>
      <c r="D5062" s="13">
        <v>0</v>
      </c>
      <c r="E5062" s="13">
        <v>0</v>
      </c>
      <c r="F5062" s="13">
        <v>0</v>
      </c>
      <c r="G5062" s="13">
        <v>0</v>
      </c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</row>
    <row r="5063" spans="1:19" x14ac:dyDescent="0.2">
      <c r="A5063" s="12" t="s">
        <v>344</v>
      </c>
      <c r="B5063" s="12" t="s">
        <v>573</v>
      </c>
      <c r="C5063" s="12" t="s">
        <v>563</v>
      </c>
      <c r="D5063" s="13">
        <v>0</v>
      </c>
      <c r="E5063" s="13">
        <v>0</v>
      </c>
      <c r="F5063" s="13">
        <v>0</v>
      </c>
      <c r="G5063" s="13">
        <v>0</v>
      </c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</row>
    <row r="5064" spans="1:19" x14ac:dyDescent="0.2">
      <c r="A5064" s="12" t="s">
        <v>344</v>
      </c>
      <c r="B5064" s="12" t="s">
        <v>573</v>
      </c>
      <c r="C5064" s="12" t="s">
        <v>564</v>
      </c>
      <c r="D5064" s="13">
        <v>0</v>
      </c>
      <c r="E5064" s="13">
        <v>0</v>
      </c>
      <c r="F5064" s="13">
        <v>0</v>
      </c>
      <c r="G5064" s="13">
        <v>0</v>
      </c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</row>
    <row r="5065" spans="1:19" x14ac:dyDescent="0.2">
      <c r="A5065" s="12" t="s">
        <v>344</v>
      </c>
      <c r="B5065" s="12" t="s">
        <v>573</v>
      </c>
      <c r="C5065" s="12" t="s">
        <v>565</v>
      </c>
      <c r="D5065" s="13">
        <v>0</v>
      </c>
      <c r="E5065" s="13">
        <v>0</v>
      </c>
      <c r="F5065" s="13">
        <v>0</v>
      </c>
      <c r="G5065" s="13">
        <v>0</v>
      </c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</row>
    <row r="5066" spans="1:19" x14ac:dyDescent="0.2">
      <c r="A5066" s="12" t="s">
        <v>344</v>
      </c>
      <c r="B5066" s="12" t="s">
        <v>573</v>
      </c>
      <c r="C5066" s="12" t="s">
        <v>566</v>
      </c>
      <c r="D5066" s="13">
        <v>0</v>
      </c>
      <c r="E5066" s="13">
        <v>0</v>
      </c>
      <c r="F5066" s="13">
        <v>0</v>
      </c>
      <c r="G5066" s="13">
        <v>0</v>
      </c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</row>
    <row r="5067" spans="1:19" x14ac:dyDescent="0.2">
      <c r="A5067" s="12" t="s">
        <v>344</v>
      </c>
      <c r="B5067" s="12" t="s">
        <v>574</v>
      </c>
      <c r="C5067" s="12" t="s">
        <v>554</v>
      </c>
      <c r="D5067" s="13">
        <v>90</v>
      </c>
      <c r="E5067" s="13">
        <v>97.091570000000004</v>
      </c>
      <c r="F5067" s="13">
        <v>90.602829</v>
      </c>
      <c r="G5067" s="13">
        <v>101.343512</v>
      </c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</row>
    <row r="5068" spans="1:19" x14ac:dyDescent="0.2">
      <c r="A5068" s="12" t="s">
        <v>344</v>
      </c>
      <c r="B5068" s="12" t="s">
        <v>574</v>
      </c>
      <c r="C5068" s="12" t="s">
        <v>555</v>
      </c>
      <c r="D5068" s="13">
        <v>802</v>
      </c>
      <c r="E5068" s="13">
        <v>873.83063700000002</v>
      </c>
      <c r="F5068" s="13">
        <v>887.58476899999994</v>
      </c>
      <c r="G5068" s="13">
        <v>889.77553300000011</v>
      </c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</row>
    <row r="5069" spans="1:19" x14ac:dyDescent="0.2">
      <c r="A5069" s="12" t="s">
        <v>344</v>
      </c>
      <c r="B5069" s="12" t="s">
        <v>574</v>
      </c>
      <c r="C5069" s="12" t="s">
        <v>556</v>
      </c>
      <c r="D5069" s="13">
        <v>-2</v>
      </c>
      <c r="E5069" s="13">
        <v>-3.0644490000000002</v>
      </c>
      <c r="F5069" s="13">
        <v>-1.6943729999999999</v>
      </c>
      <c r="G5069" s="13">
        <v>-1.6618539999999999</v>
      </c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</row>
    <row r="5070" spans="1:19" x14ac:dyDescent="0.2">
      <c r="A5070" s="12" t="s">
        <v>344</v>
      </c>
      <c r="B5070" s="12" t="s">
        <v>574</v>
      </c>
      <c r="C5070" s="12" t="s">
        <v>557</v>
      </c>
      <c r="D5070" s="13">
        <v>882</v>
      </c>
      <c r="E5070" s="13">
        <v>953.16090900000006</v>
      </c>
      <c r="F5070" s="13">
        <v>942.41663000000005</v>
      </c>
      <c r="G5070" s="13">
        <v>948.38592700000004</v>
      </c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</row>
    <row r="5071" spans="1:19" x14ac:dyDescent="0.2">
      <c r="A5071" s="12" t="s">
        <v>344</v>
      </c>
      <c r="B5071" s="12" t="s">
        <v>574</v>
      </c>
      <c r="C5071" s="12" t="s">
        <v>558</v>
      </c>
      <c r="D5071" s="13">
        <v>-207</v>
      </c>
      <c r="E5071" s="13">
        <v>-222.69629800000001</v>
      </c>
      <c r="F5071" s="13">
        <v>-232.947598</v>
      </c>
      <c r="G5071" s="13">
        <v>-218.182186</v>
      </c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</row>
    <row r="5072" spans="1:19" x14ac:dyDescent="0.2">
      <c r="A5072" s="12" t="s">
        <v>344</v>
      </c>
      <c r="B5072" s="12" t="s">
        <v>574</v>
      </c>
      <c r="C5072" s="12" t="s">
        <v>560</v>
      </c>
      <c r="D5072" s="13">
        <v>0</v>
      </c>
      <c r="E5072" s="13">
        <v>0</v>
      </c>
      <c r="F5072" s="13">
        <v>0</v>
      </c>
      <c r="G5072" s="13">
        <v>0</v>
      </c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</row>
    <row r="5073" spans="1:19" x14ac:dyDescent="0.2">
      <c r="A5073" s="12" t="s">
        <v>344</v>
      </c>
      <c r="B5073" s="12" t="s">
        <v>574</v>
      </c>
      <c r="C5073" s="12" t="s">
        <v>561</v>
      </c>
      <c r="D5073" s="13">
        <v>654</v>
      </c>
      <c r="E5073" s="13">
        <v>707.29202500000008</v>
      </c>
      <c r="F5073" s="13">
        <v>684.8829320000001</v>
      </c>
      <c r="G5073" s="13">
        <v>705.11601199999996</v>
      </c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</row>
    <row r="5074" spans="1:19" x14ac:dyDescent="0.2">
      <c r="A5074" s="12" t="s">
        <v>344</v>
      </c>
      <c r="B5074" s="12" t="s">
        <v>574</v>
      </c>
      <c r="C5074" s="12" t="s">
        <v>562</v>
      </c>
      <c r="D5074" s="13">
        <v>122</v>
      </c>
      <c r="E5074" s="13">
        <v>135.91677100000001</v>
      </c>
      <c r="F5074" s="13">
        <v>126.74390200000001</v>
      </c>
      <c r="G5074" s="13">
        <v>124.783931</v>
      </c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</row>
    <row r="5075" spans="1:19" x14ac:dyDescent="0.2">
      <c r="A5075" s="12" t="s">
        <v>344</v>
      </c>
      <c r="B5075" s="12" t="s">
        <v>574</v>
      </c>
      <c r="C5075" s="12" t="s">
        <v>563</v>
      </c>
      <c r="D5075" s="13">
        <v>227</v>
      </c>
      <c r="E5075" s="13">
        <v>254.65542400000001</v>
      </c>
      <c r="F5075" s="13">
        <v>240.157749</v>
      </c>
      <c r="G5075" s="13">
        <v>250.40914599999999</v>
      </c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</row>
    <row r="5076" spans="1:19" x14ac:dyDescent="0.2">
      <c r="A5076" s="12" t="s">
        <v>344</v>
      </c>
      <c r="B5076" s="12" t="s">
        <v>574</v>
      </c>
      <c r="C5076" s="12" t="s">
        <v>564</v>
      </c>
      <c r="D5076" s="13">
        <v>180</v>
      </c>
      <c r="E5076" s="13">
        <v>184.21619799999999</v>
      </c>
      <c r="F5076" s="13">
        <v>188.111413</v>
      </c>
      <c r="G5076" s="13">
        <v>192.42271500000001</v>
      </c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</row>
    <row r="5077" spans="1:19" x14ac:dyDescent="0.2">
      <c r="A5077" s="12" t="s">
        <v>344</v>
      </c>
      <c r="B5077" s="12" t="s">
        <v>574</v>
      </c>
      <c r="C5077" s="12" t="s">
        <v>565</v>
      </c>
      <c r="D5077" s="13">
        <v>54</v>
      </c>
      <c r="E5077" s="13">
        <v>56.832783000000013</v>
      </c>
      <c r="F5077" s="13">
        <v>58.664571000000002</v>
      </c>
      <c r="G5077" s="13">
        <v>60.382151</v>
      </c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</row>
    <row r="5078" spans="1:19" x14ac:dyDescent="0.2">
      <c r="A5078" s="12" t="s">
        <v>344</v>
      </c>
      <c r="B5078" s="12" t="s">
        <v>574</v>
      </c>
      <c r="C5078" s="12" t="s">
        <v>566</v>
      </c>
      <c r="D5078" s="13">
        <v>71</v>
      </c>
      <c r="E5078" s="13">
        <v>75.670845</v>
      </c>
      <c r="F5078" s="13">
        <v>71.205293000000012</v>
      </c>
      <c r="G5078" s="13">
        <v>77.118059000000017</v>
      </c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</row>
    <row r="5079" spans="1:19" x14ac:dyDescent="0.2">
      <c r="A5079" s="12" t="s">
        <v>454</v>
      </c>
      <c r="B5079" s="12" t="s">
        <v>553</v>
      </c>
      <c r="C5079" s="12" t="s">
        <v>554</v>
      </c>
      <c r="D5079" s="13">
        <v>0</v>
      </c>
      <c r="E5079" s="13">
        <v>0</v>
      </c>
      <c r="F5079" s="13">
        <v>0</v>
      </c>
      <c r="G5079" s="13">
        <v>0</v>
      </c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</row>
    <row r="5080" spans="1:19" x14ac:dyDescent="0.2">
      <c r="A5080" s="12" t="s">
        <v>454</v>
      </c>
      <c r="B5080" s="12" t="s">
        <v>553</v>
      </c>
      <c r="C5080" s="12" t="s">
        <v>555</v>
      </c>
      <c r="D5080" s="13">
        <v>15</v>
      </c>
      <c r="E5080" s="13">
        <v>21.791532</v>
      </c>
      <c r="F5080" s="13">
        <v>23.076101000000001</v>
      </c>
      <c r="G5080" s="13">
        <v>3.4591509999999999</v>
      </c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</row>
    <row r="5081" spans="1:19" x14ac:dyDescent="0.2">
      <c r="A5081" s="12" t="s">
        <v>454</v>
      </c>
      <c r="B5081" s="12" t="s">
        <v>553</v>
      </c>
      <c r="C5081" s="12" t="s">
        <v>556</v>
      </c>
      <c r="D5081" s="13">
        <v>0</v>
      </c>
      <c r="E5081" s="13">
        <v>0</v>
      </c>
      <c r="F5081" s="13">
        <v>0</v>
      </c>
      <c r="G5081" s="13">
        <v>0</v>
      </c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</row>
    <row r="5082" spans="1:19" x14ac:dyDescent="0.2">
      <c r="A5082" s="12" t="s">
        <v>454</v>
      </c>
      <c r="B5082" s="12" t="s">
        <v>553</v>
      </c>
      <c r="C5082" s="12" t="s">
        <v>557</v>
      </c>
      <c r="D5082" s="13">
        <v>15</v>
      </c>
      <c r="E5082" s="13">
        <v>21.791532</v>
      </c>
      <c r="F5082" s="13">
        <v>23.076101000000001</v>
      </c>
      <c r="G5082" s="13">
        <v>3.4591509999999999</v>
      </c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</row>
    <row r="5083" spans="1:19" x14ac:dyDescent="0.2">
      <c r="A5083" s="12" t="s">
        <v>454</v>
      </c>
      <c r="B5083" s="12" t="s">
        <v>553</v>
      </c>
      <c r="C5083" s="12" t="s">
        <v>558</v>
      </c>
      <c r="D5083" s="13">
        <v>-2</v>
      </c>
      <c r="E5083" s="13">
        <v>-7.0080250000000008</v>
      </c>
      <c r="F5083" s="13">
        <v>-9.7475319999999996</v>
      </c>
      <c r="G5083" s="13">
        <v>-1.46116</v>
      </c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</row>
    <row r="5084" spans="1:19" x14ac:dyDescent="0.2">
      <c r="A5084" s="12" t="s">
        <v>454</v>
      </c>
      <c r="B5084" s="12" t="s">
        <v>553</v>
      </c>
      <c r="C5084" s="12" t="s">
        <v>560</v>
      </c>
      <c r="D5084" s="13">
        <v>0</v>
      </c>
      <c r="E5084" s="13">
        <v>0</v>
      </c>
      <c r="F5084" s="13">
        <v>0</v>
      </c>
      <c r="G5084" s="13">
        <v>0</v>
      </c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</row>
    <row r="5085" spans="1:19" x14ac:dyDescent="0.2">
      <c r="A5085" s="12" t="s">
        <v>454</v>
      </c>
      <c r="B5085" s="12" t="s">
        <v>553</v>
      </c>
      <c r="C5085" s="12" t="s">
        <v>561</v>
      </c>
      <c r="D5085" s="13">
        <v>13</v>
      </c>
      <c r="E5085" s="13">
        <v>14.783481999999999</v>
      </c>
      <c r="F5085" s="13">
        <v>13.32854</v>
      </c>
      <c r="G5085" s="13">
        <v>1.9979659999999999</v>
      </c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</row>
    <row r="5086" spans="1:19" x14ac:dyDescent="0.2">
      <c r="A5086" s="12" t="s">
        <v>454</v>
      </c>
      <c r="B5086" s="12" t="s">
        <v>553</v>
      </c>
      <c r="C5086" s="12" t="s">
        <v>562</v>
      </c>
      <c r="D5086" s="13">
        <v>13</v>
      </c>
      <c r="E5086" s="13">
        <v>14.783481999999999</v>
      </c>
      <c r="F5086" s="13">
        <v>13.32854</v>
      </c>
      <c r="G5086" s="13">
        <v>1.9979659999999999</v>
      </c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</row>
    <row r="5087" spans="1:19" x14ac:dyDescent="0.2">
      <c r="A5087" s="12" t="s">
        <v>454</v>
      </c>
      <c r="B5087" s="12" t="s">
        <v>553</v>
      </c>
      <c r="C5087" s="12" t="s">
        <v>563</v>
      </c>
      <c r="D5087" s="13">
        <v>0</v>
      </c>
      <c r="E5087" s="13">
        <v>0</v>
      </c>
      <c r="F5087" s="13">
        <v>0</v>
      </c>
      <c r="G5087" s="13">
        <v>0</v>
      </c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</row>
    <row r="5088" spans="1:19" x14ac:dyDescent="0.2">
      <c r="A5088" s="12" t="s">
        <v>454</v>
      </c>
      <c r="B5088" s="12" t="s">
        <v>553</v>
      </c>
      <c r="C5088" s="12" t="s">
        <v>564</v>
      </c>
      <c r="D5088" s="13">
        <v>0</v>
      </c>
      <c r="E5088" s="13">
        <v>0</v>
      </c>
      <c r="F5088" s="13">
        <v>0</v>
      </c>
      <c r="G5088" s="13">
        <v>0</v>
      </c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</row>
    <row r="5089" spans="1:19" x14ac:dyDescent="0.2">
      <c r="A5089" s="12" t="s">
        <v>454</v>
      </c>
      <c r="B5089" s="12" t="s">
        <v>553</v>
      </c>
      <c r="C5089" s="12" t="s">
        <v>565</v>
      </c>
      <c r="D5089" s="13">
        <v>0</v>
      </c>
      <c r="E5089" s="13">
        <v>0</v>
      </c>
      <c r="F5089" s="13">
        <v>0</v>
      </c>
      <c r="G5089" s="13">
        <v>0</v>
      </c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</row>
    <row r="5090" spans="1:19" x14ac:dyDescent="0.2">
      <c r="A5090" s="12" t="s">
        <v>454</v>
      </c>
      <c r="B5090" s="12" t="s">
        <v>553</v>
      </c>
      <c r="C5090" s="12" t="s">
        <v>566</v>
      </c>
      <c r="D5090" s="13">
        <v>0</v>
      </c>
      <c r="E5090" s="13">
        <v>0</v>
      </c>
      <c r="F5090" s="13">
        <v>0</v>
      </c>
      <c r="G5090" s="13">
        <v>0</v>
      </c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</row>
    <row r="5091" spans="1:19" x14ac:dyDescent="0.2">
      <c r="A5091" s="12" t="s">
        <v>454</v>
      </c>
      <c r="B5091" s="12" t="s">
        <v>567</v>
      </c>
      <c r="C5091" s="12" t="s">
        <v>554</v>
      </c>
      <c r="D5091" s="13">
        <v>0</v>
      </c>
      <c r="E5091" s="13">
        <v>0</v>
      </c>
      <c r="F5091" s="13">
        <v>0</v>
      </c>
      <c r="G5091" s="13">
        <v>0</v>
      </c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</row>
    <row r="5092" spans="1:19" x14ac:dyDescent="0.2">
      <c r="A5092" s="12" t="s">
        <v>454</v>
      </c>
      <c r="B5092" s="12" t="s">
        <v>567</v>
      </c>
      <c r="C5092" s="12" t="s">
        <v>555</v>
      </c>
      <c r="D5092" s="13">
        <v>33</v>
      </c>
      <c r="E5092" s="13">
        <v>38.197884999999999</v>
      </c>
      <c r="F5092" s="13">
        <v>27.168555999999999</v>
      </c>
      <c r="G5092" s="13">
        <v>52.936057000000012</v>
      </c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</row>
    <row r="5093" spans="1:19" x14ac:dyDescent="0.2">
      <c r="A5093" s="12" t="s">
        <v>454</v>
      </c>
      <c r="B5093" s="12" t="s">
        <v>567</v>
      </c>
      <c r="C5093" s="12" t="s">
        <v>556</v>
      </c>
      <c r="D5093" s="13">
        <v>0</v>
      </c>
      <c r="E5093" s="13">
        <v>0</v>
      </c>
      <c r="F5093" s="13">
        <v>0</v>
      </c>
      <c r="G5093" s="13">
        <v>0</v>
      </c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</row>
    <row r="5094" spans="1:19" x14ac:dyDescent="0.2">
      <c r="A5094" s="12" t="s">
        <v>454</v>
      </c>
      <c r="B5094" s="12" t="s">
        <v>567</v>
      </c>
      <c r="C5094" s="12" t="s">
        <v>557</v>
      </c>
      <c r="D5094" s="13">
        <v>35</v>
      </c>
      <c r="E5094" s="13">
        <v>38.197884999999999</v>
      </c>
      <c r="F5094" s="13">
        <v>27.002887999999999</v>
      </c>
      <c r="G5094" s="13">
        <v>52.936057000000012</v>
      </c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</row>
    <row r="5095" spans="1:19" x14ac:dyDescent="0.2">
      <c r="A5095" s="12" t="s">
        <v>454</v>
      </c>
      <c r="B5095" s="12" t="s">
        <v>567</v>
      </c>
      <c r="C5095" s="12" t="s">
        <v>558</v>
      </c>
      <c r="D5095" s="13">
        <v>0</v>
      </c>
      <c r="E5095" s="13">
        <v>0</v>
      </c>
      <c r="F5095" s="13">
        <v>0</v>
      </c>
      <c r="G5095" s="13">
        <v>0</v>
      </c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</row>
    <row r="5096" spans="1:19" x14ac:dyDescent="0.2">
      <c r="A5096" s="12" t="s">
        <v>454</v>
      </c>
      <c r="B5096" s="12" t="s">
        <v>567</v>
      </c>
      <c r="C5096" s="12" t="s">
        <v>560</v>
      </c>
      <c r="D5096" s="13">
        <v>-35</v>
      </c>
      <c r="E5096" s="13">
        <v>-38.197884999999999</v>
      </c>
      <c r="F5096" s="13">
        <v>-27.002929999999999</v>
      </c>
      <c r="G5096" s="13">
        <v>-52.936057000000012</v>
      </c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</row>
    <row r="5097" spans="1:19" x14ac:dyDescent="0.2">
      <c r="A5097" s="12" t="s">
        <v>454</v>
      </c>
      <c r="B5097" s="12" t="s">
        <v>567</v>
      </c>
      <c r="C5097" s="12" t="s">
        <v>561</v>
      </c>
      <c r="D5097" s="13">
        <v>0</v>
      </c>
      <c r="E5097" s="13">
        <v>0</v>
      </c>
      <c r="F5097" s="13">
        <v>0</v>
      </c>
      <c r="G5097" s="13">
        <v>0</v>
      </c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</row>
    <row r="5098" spans="1:19" x14ac:dyDescent="0.2">
      <c r="A5098" s="12" t="s">
        <v>454</v>
      </c>
      <c r="B5098" s="12" t="s">
        <v>567</v>
      </c>
      <c r="C5098" s="12" t="s">
        <v>562</v>
      </c>
      <c r="D5098" s="13">
        <v>0</v>
      </c>
      <c r="E5098" s="13">
        <v>0</v>
      </c>
      <c r="F5098" s="13">
        <v>0</v>
      </c>
      <c r="G5098" s="13">
        <v>0</v>
      </c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</row>
    <row r="5099" spans="1:19" x14ac:dyDescent="0.2">
      <c r="A5099" s="12" t="s">
        <v>454</v>
      </c>
      <c r="B5099" s="12" t="s">
        <v>567</v>
      </c>
      <c r="C5099" s="12" t="s">
        <v>563</v>
      </c>
      <c r="D5099" s="13">
        <v>0</v>
      </c>
      <c r="E5099" s="13">
        <v>0</v>
      </c>
      <c r="F5099" s="13">
        <v>0</v>
      </c>
      <c r="G5099" s="13">
        <v>0</v>
      </c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</row>
    <row r="5100" spans="1:19" x14ac:dyDescent="0.2">
      <c r="A5100" s="12" t="s">
        <v>454</v>
      </c>
      <c r="B5100" s="12" t="s">
        <v>567</v>
      </c>
      <c r="C5100" s="12" t="s">
        <v>564</v>
      </c>
      <c r="D5100" s="13">
        <v>0</v>
      </c>
      <c r="E5100" s="13">
        <v>0</v>
      </c>
      <c r="F5100" s="13">
        <v>0</v>
      </c>
      <c r="G5100" s="13">
        <v>0</v>
      </c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</row>
    <row r="5101" spans="1:19" x14ac:dyDescent="0.2">
      <c r="A5101" s="12" t="s">
        <v>454</v>
      </c>
      <c r="B5101" s="12" t="s">
        <v>567</v>
      </c>
      <c r="C5101" s="12" t="s">
        <v>565</v>
      </c>
      <c r="D5101" s="13">
        <v>0</v>
      </c>
      <c r="E5101" s="13">
        <v>0</v>
      </c>
      <c r="F5101" s="13">
        <v>0</v>
      </c>
      <c r="G5101" s="13">
        <v>0</v>
      </c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</row>
    <row r="5102" spans="1:19" x14ac:dyDescent="0.2">
      <c r="A5102" s="12" t="s">
        <v>454</v>
      </c>
      <c r="B5102" s="12" t="s">
        <v>567</v>
      </c>
      <c r="C5102" s="12" t="s">
        <v>566</v>
      </c>
      <c r="D5102" s="13">
        <v>0</v>
      </c>
      <c r="E5102" s="13">
        <v>0</v>
      </c>
      <c r="F5102" s="13">
        <v>0</v>
      </c>
      <c r="G5102" s="13">
        <v>0</v>
      </c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</row>
    <row r="5103" spans="1:19" x14ac:dyDescent="0.2">
      <c r="A5103" s="12" t="s">
        <v>454</v>
      </c>
      <c r="B5103" s="12" t="s">
        <v>568</v>
      </c>
      <c r="C5103" s="12" t="s">
        <v>554</v>
      </c>
      <c r="D5103" s="13">
        <v>0</v>
      </c>
      <c r="E5103" s="13">
        <v>0</v>
      </c>
      <c r="F5103" s="13">
        <v>0</v>
      </c>
      <c r="G5103" s="13">
        <v>0</v>
      </c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</row>
    <row r="5104" spans="1:19" x14ac:dyDescent="0.2">
      <c r="A5104" s="12" t="s">
        <v>454</v>
      </c>
      <c r="B5104" s="12" t="s">
        <v>568</v>
      </c>
      <c r="C5104" s="12" t="s">
        <v>555</v>
      </c>
      <c r="D5104" s="13">
        <v>75</v>
      </c>
      <c r="E5104" s="13">
        <v>83.022322000000003</v>
      </c>
      <c r="F5104" s="13">
        <v>110.583206</v>
      </c>
      <c r="G5104" s="13">
        <v>96.398478000000011</v>
      </c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</row>
    <row r="5105" spans="1:19" x14ac:dyDescent="0.2">
      <c r="A5105" s="12" t="s">
        <v>454</v>
      </c>
      <c r="B5105" s="12" t="s">
        <v>568</v>
      </c>
      <c r="C5105" s="12" t="s">
        <v>556</v>
      </c>
      <c r="D5105" s="13">
        <v>-2</v>
      </c>
      <c r="E5105" s="13">
        <v>-3.2523019999999998</v>
      </c>
      <c r="F5105" s="13">
        <v>-0.55698300000000001</v>
      </c>
      <c r="G5105" s="13">
        <v>-2.6719780000000002</v>
      </c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</row>
    <row r="5106" spans="1:19" x14ac:dyDescent="0.2">
      <c r="A5106" s="12" t="s">
        <v>454</v>
      </c>
      <c r="B5106" s="12" t="s">
        <v>568</v>
      </c>
      <c r="C5106" s="12" t="s">
        <v>557</v>
      </c>
      <c r="D5106" s="13">
        <v>60</v>
      </c>
      <c r="E5106" s="13">
        <v>64.666180999999995</v>
      </c>
      <c r="F5106" s="13">
        <v>97.331063</v>
      </c>
      <c r="G5106" s="13">
        <v>77.418496000000005</v>
      </c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</row>
    <row r="5107" spans="1:19" x14ac:dyDescent="0.2">
      <c r="A5107" s="12" t="s">
        <v>454</v>
      </c>
      <c r="B5107" s="12" t="s">
        <v>568</v>
      </c>
      <c r="C5107" s="12" t="s">
        <v>558</v>
      </c>
      <c r="D5107" s="13">
        <v>-39</v>
      </c>
      <c r="E5107" s="13">
        <v>-39.516727000000003</v>
      </c>
      <c r="F5107" s="13">
        <v>-41.472121000000008</v>
      </c>
      <c r="G5107" s="13">
        <v>-47.827368999999997</v>
      </c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</row>
    <row r="5108" spans="1:19" x14ac:dyDescent="0.2">
      <c r="A5108" s="12" t="s">
        <v>454</v>
      </c>
      <c r="B5108" s="12" t="s">
        <v>568</v>
      </c>
      <c r="C5108" s="12" t="s">
        <v>560</v>
      </c>
      <c r="D5108" s="13">
        <v>33</v>
      </c>
      <c r="E5108" s="13">
        <v>37.414082000000001</v>
      </c>
      <c r="F5108" s="13">
        <v>26.017378000000001</v>
      </c>
      <c r="G5108" s="13">
        <v>51.373640000000002</v>
      </c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</row>
    <row r="5109" spans="1:19" x14ac:dyDescent="0.2">
      <c r="A5109" s="12" t="s">
        <v>454</v>
      </c>
      <c r="B5109" s="12" t="s">
        <v>568</v>
      </c>
      <c r="C5109" s="12" t="s">
        <v>561</v>
      </c>
      <c r="D5109" s="13">
        <v>49</v>
      </c>
      <c r="E5109" s="13">
        <v>68.226255000000009</v>
      </c>
      <c r="F5109" s="13">
        <v>81.558429000000004</v>
      </c>
      <c r="G5109" s="13">
        <v>88.481914000000003</v>
      </c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</row>
    <row r="5110" spans="1:19" x14ac:dyDescent="0.2">
      <c r="A5110" s="12" t="s">
        <v>454</v>
      </c>
      <c r="B5110" s="12" t="s">
        <v>568</v>
      </c>
      <c r="C5110" s="12" t="s">
        <v>562</v>
      </c>
      <c r="D5110" s="13">
        <v>1</v>
      </c>
      <c r="E5110" s="13">
        <v>1.124625</v>
      </c>
      <c r="F5110" s="13">
        <v>5.1286580000000006</v>
      </c>
      <c r="G5110" s="13">
        <v>5.4125949999999996</v>
      </c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</row>
    <row r="5111" spans="1:19" x14ac:dyDescent="0.2">
      <c r="A5111" s="12" t="s">
        <v>454</v>
      </c>
      <c r="B5111" s="12" t="s">
        <v>568</v>
      </c>
      <c r="C5111" s="12" t="s">
        <v>563</v>
      </c>
      <c r="D5111" s="13">
        <v>39</v>
      </c>
      <c r="E5111" s="13">
        <v>57.739317000000007</v>
      </c>
      <c r="F5111" s="13">
        <v>66.807725000000005</v>
      </c>
      <c r="G5111" s="13">
        <v>73.074183999999988</v>
      </c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</row>
    <row r="5112" spans="1:19" x14ac:dyDescent="0.2">
      <c r="A5112" s="12" t="s">
        <v>454</v>
      </c>
      <c r="B5112" s="12" t="s">
        <v>568</v>
      </c>
      <c r="C5112" s="12" t="s">
        <v>564</v>
      </c>
      <c r="D5112" s="13">
        <v>8</v>
      </c>
      <c r="E5112" s="13">
        <v>8.9418120000000005</v>
      </c>
      <c r="F5112" s="13">
        <v>9.1739650000000008</v>
      </c>
      <c r="G5112" s="13">
        <v>9.5310740000000003</v>
      </c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</row>
    <row r="5113" spans="1:19" x14ac:dyDescent="0.2">
      <c r="A5113" s="12" t="s">
        <v>454</v>
      </c>
      <c r="B5113" s="12" t="s">
        <v>568</v>
      </c>
      <c r="C5113" s="12" t="s">
        <v>565</v>
      </c>
      <c r="D5113" s="13">
        <v>0</v>
      </c>
      <c r="E5113" s="13">
        <v>0.37162899999999999</v>
      </c>
      <c r="F5113" s="13">
        <v>0.40048800000000001</v>
      </c>
      <c r="G5113" s="13">
        <v>0.41430099999999997</v>
      </c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</row>
    <row r="5114" spans="1:19" x14ac:dyDescent="0.2">
      <c r="A5114" s="12" t="s">
        <v>454</v>
      </c>
      <c r="B5114" s="12" t="s">
        <v>568</v>
      </c>
      <c r="C5114" s="12" t="s">
        <v>566</v>
      </c>
      <c r="D5114" s="13">
        <v>0</v>
      </c>
      <c r="E5114" s="13">
        <v>4.8876999999999997E-2</v>
      </c>
      <c r="F5114" s="13">
        <v>4.7586999999999997E-2</v>
      </c>
      <c r="G5114" s="13">
        <v>4.9759999999999999E-2</v>
      </c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</row>
    <row r="5115" spans="1:19" x14ac:dyDescent="0.2">
      <c r="A5115" s="12" t="s">
        <v>454</v>
      </c>
      <c r="B5115" s="12" t="s">
        <v>569</v>
      </c>
      <c r="C5115" s="12" t="s">
        <v>554</v>
      </c>
      <c r="D5115" s="13">
        <v>1</v>
      </c>
      <c r="E5115" s="13">
        <v>0.25434400000000001</v>
      </c>
      <c r="F5115" s="13">
        <v>0.17929600000000001</v>
      </c>
      <c r="G5115" s="13">
        <v>0.179283</v>
      </c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</row>
    <row r="5116" spans="1:19" x14ac:dyDescent="0.2">
      <c r="A5116" s="12" t="s">
        <v>454</v>
      </c>
      <c r="B5116" s="12" t="s">
        <v>569</v>
      </c>
      <c r="C5116" s="12" t="s">
        <v>555</v>
      </c>
      <c r="D5116" s="13">
        <v>0</v>
      </c>
      <c r="E5116" s="13">
        <v>0</v>
      </c>
      <c r="F5116" s="13">
        <v>0</v>
      </c>
      <c r="G5116" s="13">
        <v>0</v>
      </c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</row>
    <row r="5117" spans="1:19" x14ac:dyDescent="0.2">
      <c r="A5117" s="12" t="s">
        <v>454</v>
      </c>
      <c r="B5117" s="12" t="s">
        <v>569</v>
      </c>
      <c r="C5117" s="12" t="s">
        <v>556</v>
      </c>
      <c r="D5117" s="13">
        <v>0</v>
      </c>
      <c r="E5117" s="13">
        <v>0</v>
      </c>
      <c r="F5117" s="13">
        <v>0</v>
      </c>
      <c r="G5117" s="13">
        <v>0</v>
      </c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</row>
    <row r="5118" spans="1:19" x14ac:dyDescent="0.2">
      <c r="A5118" s="12" t="s">
        <v>454</v>
      </c>
      <c r="B5118" s="12" t="s">
        <v>569</v>
      </c>
      <c r="C5118" s="12" t="s">
        <v>557</v>
      </c>
      <c r="D5118" s="13">
        <v>1</v>
      </c>
      <c r="E5118" s="13">
        <v>0.25434400000000001</v>
      </c>
      <c r="F5118" s="13">
        <v>0.17929600000000001</v>
      </c>
      <c r="G5118" s="13">
        <v>0.179283</v>
      </c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</row>
    <row r="5119" spans="1:19" x14ac:dyDescent="0.2">
      <c r="A5119" s="12" t="s">
        <v>454</v>
      </c>
      <c r="B5119" s="12" t="s">
        <v>569</v>
      </c>
      <c r="C5119" s="12" t="s">
        <v>558</v>
      </c>
      <c r="D5119" s="13">
        <v>-1</v>
      </c>
      <c r="E5119" s="13">
        <v>-0.25425199999999998</v>
      </c>
      <c r="F5119" s="13">
        <v>-0.17929600000000001</v>
      </c>
      <c r="G5119" s="13">
        <v>-0.179283</v>
      </c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</row>
    <row r="5120" spans="1:19" x14ac:dyDescent="0.2">
      <c r="A5120" s="12" t="s">
        <v>454</v>
      </c>
      <c r="B5120" s="12" t="s">
        <v>569</v>
      </c>
      <c r="C5120" s="12" t="s">
        <v>560</v>
      </c>
      <c r="D5120" s="13">
        <v>0</v>
      </c>
      <c r="E5120" s="13">
        <v>0</v>
      </c>
      <c r="F5120" s="13">
        <v>0</v>
      </c>
      <c r="G5120" s="13">
        <v>0</v>
      </c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</row>
    <row r="5121" spans="1:19" x14ac:dyDescent="0.2">
      <c r="A5121" s="12" t="s">
        <v>454</v>
      </c>
      <c r="B5121" s="12" t="s">
        <v>569</v>
      </c>
      <c r="C5121" s="12" t="s">
        <v>561</v>
      </c>
      <c r="D5121" s="13">
        <v>0</v>
      </c>
      <c r="E5121" s="13">
        <v>0</v>
      </c>
      <c r="F5121" s="13">
        <v>0</v>
      </c>
      <c r="G5121" s="13">
        <v>0</v>
      </c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</row>
    <row r="5122" spans="1:19" x14ac:dyDescent="0.2">
      <c r="A5122" s="12" t="s">
        <v>454</v>
      </c>
      <c r="B5122" s="12" t="s">
        <v>569</v>
      </c>
      <c r="C5122" s="12" t="s">
        <v>562</v>
      </c>
      <c r="D5122" s="13">
        <v>0</v>
      </c>
      <c r="E5122" s="13">
        <v>0</v>
      </c>
      <c r="F5122" s="13">
        <v>0</v>
      </c>
      <c r="G5122" s="13">
        <v>0</v>
      </c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</row>
    <row r="5123" spans="1:19" x14ac:dyDescent="0.2">
      <c r="A5123" s="12" t="s">
        <v>454</v>
      </c>
      <c r="B5123" s="12" t="s">
        <v>569</v>
      </c>
      <c r="C5123" s="12" t="s">
        <v>563</v>
      </c>
      <c r="D5123" s="13">
        <v>0</v>
      </c>
      <c r="E5123" s="13">
        <v>0</v>
      </c>
      <c r="F5123" s="13">
        <v>0</v>
      </c>
      <c r="G5123" s="13">
        <v>0</v>
      </c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</row>
    <row r="5124" spans="1:19" x14ac:dyDescent="0.2">
      <c r="A5124" s="12" t="s">
        <v>454</v>
      </c>
      <c r="B5124" s="12" t="s">
        <v>569</v>
      </c>
      <c r="C5124" s="12" t="s">
        <v>564</v>
      </c>
      <c r="D5124" s="13">
        <v>0</v>
      </c>
      <c r="E5124" s="13">
        <v>0</v>
      </c>
      <c r="F5124" s="13">
        <v>0</v>
      </c>
      <c r="G5124" s="13">
        <v>0</v>
      </c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</row>
    <row r="5125" spans="1:19" x14ac:dyDescent="0.2">
      <c r="A5125" s="12" t="s">
        <v>454</v>
      </c>
      <c r="B5125" s="12" t="s">
        <v>569</v>
      </c>
      <c r="C5125" s="12" t="s">
        <v>565</v>
      </c>
      <c r="D5125" s="13">
        <v>0</v>
      </c>
      <c r="E5125" s="13">
        <v>0</v>
      </c>
      <c r="F5125" s="13">
        <v>0</v>
      </c>
      <c r="G5125" s="13">
        <v>0</v>
      </c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</row>
    <row r="5126" spans="1:19" x14ac:dyDescent="0.2">
      <c r="A5126" s="12" t="s">
        <v>454</v>
      </c>
      <c r="B5126" s="12" t="s">
        <v>569</v>
      </c>
      <c r="C5126" s="12" t="s">
        <v>566</v>
      </c>
      <c r="D5126" s="13">
        <v>0</v>
      </c>
      <c r="E5126" s="13">
        <v>0</v>
      </c>
      <c r="F5126" s="13">
        <v>0</v>
      </c>
      <c r="G5126" s="13">
        <v>0</v>
      </c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</row>
    <row r="5127" spans="1:19" x14ac:dyDescent="0.2">
      <c r="A5127" s="12" t="s">
        <v>454</v>
      </c>
      <c r="B5127" s="12" t="s">
        <v>570</v>
      </c>
      <c r="C5127" s="12" t="s">
        <v>554</v>
      </c>
      <c r="D5127" s="13">
        <v>0</v>
      </c>
      <c r="E5127" s="13">
        <v>0</v>
      </c>
      <c r="F5127" s="13">
        <v>0</v>
      </c>
      <c r="G5127" s="13">
        <v>0</v>
      </c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</row>
    <row r="5128" spans="1:19" x14ac:dyDescent="0.2">
      <c r="A5128" s="12" t="s">
        <v>454</v>
      </c>
      <c r="B5128" s="12" t="s">
        <v>570</v>
      </c>
      <c r="C5128" s="12" t="s">
        <v>555</v>
      </c>
      <c r="D5128" s="13">
        <v>0</v>
      </c>
      <c r="E5128" s="13">
        <v>0</v>
      </c>
      <c r="F5128" s="13">
        <v>0</v>
      </c>
      <c r="G5128" s="13">
        <v>0</v>
      </c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</row>
    <row r="5129" spans="1:19" x14ac:dyDescent="0.2">
      <c r="A5129" s="12" t="s">
        <v>454</v>
      </c>
      <c r="B5129" s="12" t="s">
        <v>570</v>
      </c>
      <c r="C5129" s="12" t="s">
        <v>556</v>
      </c>
      <c r="D5129" s="13">
        <v>0</v>
      </c>
      <c r="E5129" s="13">
        <v>0</v>
      </c>
      <c r="F5129" s="13">
        <v>0</v>
      </c>
      <c r="G5129" s="13">
        <v>0</v>
      </c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</row>
    <row r="5130" spans="1:19" x14ac:dyDescent="0.2">
      <c r="A5130" s="12" t="s">
        <v>454</v>
      </c>
      <c r="B5130" s="12" t="s">
        <v>570</v>
      </c>
      <c r="C5130" s="12" t="s">
        <v>557</v>
      </c>
      <c r="D5130" s="13">
        <v>0</v>
      </c>
      <c r="E5130" s="13">
        <v>0</v>
      </c>
      <c r="F5130" s="13">
        <v>0</v>
      </c>
      <c r="G5130" s="13">
        <v>0</v>
      </c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</row>
    <row r="5131" spans="1:19" x14ac:dyDescent="0.2">
      <c r="A5131" s="12" t="s">
        <v>454</v>
      </c>
      <c r="B5131" s="12" t="s">
        <v>570</v>
      </c>
      <c r="C5131" s="12" t="s">
        <v>558</v>
      </c>
      <c r="D5131" s="13">
        <v>0</v>
      </c>
      <c r="E5131" s="13">
        <v>0</v>
      </c>
      <c r="F5131" s="13">
        <v>0</v>
      </c>
      <c r="G5131" s="13">
        <v>0</v>
      </c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</row>
    <row r="5132" spans="1:19" x14ac:dyDescent="0.2">
      <c r="A5132" s="12" t="s">
        <v>454</v>
      </c>
      <c r="B5132" s="12" t="s">
        <v>570</v>
      </c>
      <c r="C5132" s="12" t="s">
        <v>560</v>
      </c>
      <c r="D5132" s="13">
        <v>0</v>
      </c>
      <c r="E5132" s="13">
        <v>0</v>
      </c>
      <c r="F5132" s="13">
        <v>0</v>
      </c>
      <c r="G5132" s="13">
        <v>0</v>
      </c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</row>
    <row r="5133" spans="1:19" x14ac:dyDescent="0.2">
      <c r="A5133" s="12" t="s">
        <v>454</v>
      </c>
      <c r="B5133" s="12" t="s">
        <v>570</v>
      </c>
      <c r="C5133" s="12" t="s">
        <v>561</v>
      </c>
      <c r="D5133" s="13">
        <v>0</v>
      </c>
      <c r="E5133" s="13">
        <v>0</v>
      </c>
      <c r="F5133" s="13">
        <v>0</v>
      </c>
      <c r="G5133" s="13">
        <v>0</v>
      </c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</row>
    <row r="5134" spans="1:19" x14ac:dyDescent="0.2">
      <c r="A5134" s="12" t="s">
        <v>454</v>
      </c>
      <c r="B5134" s="12" t="s">
        <v>570</v>
      </c>
      <c r="C5134" s="12" t="s">
        <v>562</v>
      </c>
      <c r="D5134" s="13">
        <v>0</v>
      </c>
      <c r="E5134" s="13">
        <v>0</v>
      </c>
      <c r="F5134" s="13">
        <v>0</v>
      </c>
      <c r="G5134" s="13">
        <v>0</v>
      </c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</row>
    <row r="5135" spans="1:19" x14ac:dyDescent="0.2">
      <c r="A5135" s="12" t="s">
        <v>454</v>
      </c>
      <c r="B5135" s="12" t="s">
        <v>570</v>
      </c>
      <c r="C5135" s="12" t="s">
        <v>563</v>
      </c>
      <c r="D5135" s="13">
        <v>0</v>
      </c>
      <c r="E5135" s="13">
        <v>0</v>
      </c>
      <c r="F5135" s="13">
        <v>0</v>
      </c>
      <c r="G5135" s="13">
        <v>0</v>
      </c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</row>
    <row r="5136" spans="1:19" x14ac:dyDescent="0.2">
      <c r="A5136" s="12" t="s">
        <v>454</v>
      </c>
      <c r="B5136" s="12" t="s">
        <v>570</v>
      </c>
      <c r="C5136" s="12" t="s">
        <v>564</v>
      </c>
      <c r="D5136" s="13">
        <v>0</v>
      </c>
      <c r="E5136" s="13">
        <v>0</v>
      </c>
      <c r="F5136" s="13">
        <v>0</v>
      </c>
      <c r="G5136" s="13">
        <v>0</v>
      </c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</row>
    <row r="5137" spans="1:19" x14ac:dyDescent="0.2">
      <c r="A5137" s="12" t="s">
        <v>454</v>
      </c>
      <c r="B5137" s="12" t="s">
        <v>570</v>
      </c>
      <c r="C5137" s="12" t="s">
        <v>565</v>
      </c>
      <c r="D5137" s="13">
        <v>0</v>
      </c>
      <c r="E5137" s="13">
        <v>0</v>
      </c>
      <c r="F5137" s="13">
        <v>0</v>
      </c>
      <c r="G5137" s="13">
        <v>0</v>
      </c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</row>
    <row r="5138" spans="1:19" x14ac:dyDescent="0.2">
      <c r="A5138" s="12" t="s">
        <v>454</v>
      </c>
      <c r="B5138" s="12" t="s">
        <v>570</v>
      </c>
      <c r="C5138" s="12" t="s">
        <v>566</v>
      </c>
      <c r="D5138" s="13">
        <v>0</v>
      </c>
      <c r="E5138" s="13">
        <v>0</v>
      </c>
      <c r="F5138" s="13">
        <v>0</v>
      </c>
      <c r="G5138" s="13">
        <v>0</v>
      </c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</row>
    <row r="5139" spans="1:19" x14ac:dyDescent="0.2">
      <c r="A5139" s="12" t="s">
        <v>454</v>
      </c>
      <c r="B5139" s="12" t="s">
        <v>571</v>
      </c>
      <c r="C5139" s="12" t="s">
        <v>554</v>
      </c>
      <c r="D5139" s="13">
        <v>85</v>
      </c>
      <c r="E5139" s="13">
        <v>85.662807000000001</v>
      </c>
      <c r="F5139" s="13">
        <v>83.774096</v>
      </c>
      <c r="G5139" s="13">
        <v>83.958456999999996</v>
      </c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</row>
    <row r="5140" spans="1:19" x14ac:dyDescent="0.2">
      <c r="A5140" s="12" t="s">
        <v>454</v>
      </c>
      <c r="B5140" s="12" t="s">
        <v>571</v>
      </c>
      <c r="C5140" s="12" t="s">
        <v>555</v>
      </c>
      <c r="D5140" s="13">
        <v>0</v>
      </c>
      <c r="E5140" s="13">
        <v>0</v>
      </c>
      <c r="F5140" s="13">
        <v>0</v>
      </c>
      <c r="G5140" s="13">
        <v>0</v>
      </c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</row>
    <row r="5141" spans="1:19" x14ac:dyDescent="0.2">
      <c r="A5141" s="12" t="s">
        <v>454</v>
      </c>
      <c r="B5141" s="12" t="s">
        <v>571</v>
      </c>
      <c r="C5141" s="12" t="s">
        <v>556</v>
      </c>
      <c r="D5141" s="13">
        <v>0</v>
      </c>
      <c r="E5141" s="13">
        <v>0</v>
      </c>
      <c r="F5141" s="13">
        <v>0</v>
      </c>
      <c r="G5141" s="13">
        <v>0</v>
      </c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</row>
    <row r="5142" spans="1:19" x14ac:dyDescent="0.2">
      <c r="A5142" s="12" t="s">
        <v>454</v>
      </c>
      <c r="B5142" s="12" t="s">
        <v>571</v>
      </c>
      <c r="C5142" s="12" t="s">
        <v>557</v>
      </c>
      <c r="D5142" s="13">
        <v>85</v>
      </c>
      <c r="E5142" s="13">
        <v>85.662807000000001</v>
      </c>
      <c r="F5142" s="13">
        <v>83.774096</v>
      </c>
      <c r="G5142" s="13">
        <v>83.958456999999996</v>
      </c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</row>
    <row r="5143" spans="1:19" x14ac:dyDescent="0.2">
      <c r="A5143" s="12" t="s">
        <v>454</v>
      </c>
      <c r="B5143" s="12" t="s">
        <v>571</v>
      </c>
      <c r="C5143" s="12" t="s">
        <v>558</v>
      </c>
      <c r="D5143" s="13">
        <v>-5</v>
      </c>
      <c r="E5143" s="13">
        <v>-6.5879210000000006</v>
      </c>
      <c r="F5143" s="13">
        <v>-6.4205040000000002</v>
      </c>
      <c r="G5143" s="13">
        <v>-6.3589660000000006</v>
      </c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</row>
    <row r="5144" spans="1:19" x14ac:dyDescent="0.2">
      <c r="A5144" s="12" t="s">
        <v>454</v>
      </c>
      <c r="B5144" s="12" t="s">
        <v>571</v>
      </c>
      <c r="C5144" s="12" t="s">
        <v>560</v>
      </c>
      <c r="D5144" s="13">
        <v>0</v>
      </c>
      <c r="E5144" s="13">
        <v>0</v>
      </c>
      <c r="F5144" s="13">
        <v>0</v>
      </c>
      <c r="G5144" s="13">
        <v>0</v>
      </c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</row>
    <row r="5145" spans="1:19" x14ac:dyDescent="0.2">
      <c r="A5145" s="12" t="s">
        <v>454</v>
      </c>
      <c r="B5145" s="12" t="s">
        <v>571</v>
      </c>
      <c r="C5145" s="12" t="s">
        <v>561</v>
      </c>
      <c r="D5145" s="13">
        <v>46</v>
      </c>
      <c r="E5145" s="13">
        <v>44.604472000000001</v>
      </c>
      <c r="F5145" s="13">
        <v>44.028790999999998</v>
      </c>
      <c r="G5145" s="13">
        <v>44.518307</v>
      </c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</row>
    <row r="5146" spans="1:19" x14ac:dyDescent="0.2">
      <c r="A5146" s="12" t="s">
        <v>454</v>
      </c>
      <c r="B5146" s="12" t="s">
        <v>571</v>
      </c>
      <c r="C5146" s="12" t="s">
        <v>562</v>
      </c>
      <c r="D5146" s="13">
        <v>4</v>
      </c>
      <c r="E5146" s="13">
        <v>2.3656799999999998</v>
      </c>
      <c r="F5146" s="13">
        <v>1.7883249999999999</v>
      </c>
      <c r="G5146" s="13">
        <v>1.8063659999999999</v>
      </c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</row>
    <row r="5147" spans="1:19" x14ac:dyDescent="0.2">
      <c r="A5147" s="12" t="s">
        <v>454</v>
      </c>
      <c r="B5147" s="12" t="s">
        <v>571</v>
      </c>
      <c r="C5147" s="12" t="s">
        <v>563</v>
      </c>
      <c r="D5147" s="13">
        <v>0</v>
      </c>
      <c r="E5147" s="13">
        <v>0</v>
      </c>
      <c r="F5147" s="13">
        <v>0</v>
      </c>
      <c r="G5147" s="13">
        <v>0</v>
      </c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</row>
    <row r="5148" spans="1:19" x14ac:dyDescent="0.2">
      <c r="A5148" s="12" t="s">
        <v>454</v>
      </c>
      <c r="B5148" s="12" t="s">
        <v>571</v>
      </c>
      <c r="C5148" s="12" t="s">
        <v>564</v>
      </c>
      <c r="D5148" s="13">
        <v>42</v>
      </c>
      <c r="E5148" s="13">
        <v>42.238790999999999</v>
      </c>
      <c r="F5148" s="13">
        <v>42.240465999999998</v>
      </c>
      <c r="G5148" s="13">
        <v>42.711942000000001</v>
      </c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</row>
    <row r="5149" spans="1:19" x14ac:dyDescent="0.2">
      <c r="A5149" s="12" t="s">
        <v>454</v>
      </c>
      <c r="B5149" s="12" t="s">
        <v>571</v>
      </c>
      <c r="C5149" s="12" t="s">
        <v>565</v>
      </c>
      <c r="D5149" s="13">
        <v>0</v>
      </c>
      <c r="E5149" s="13">
        <v>0</v>
      </c>
      <c r="F5149" s="13">
        <v>0</v>
      </c>
      <c r="G5149" s="13">
        <v>0</v>
      </c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</row>
    <row r="5150" spans="1:19" x14ac:dyDescent="0.2">
      <c r="A5150" s="12" t="s">
        <v>454</v>
      </c>
      <c r="B5150" s="12" t="s">
        <v>571</v>
      </c>
      <c r="C5150" s="12" t="s">
        <v>566</v>
      </c>
      <c r="D5150" s="13">
        <v>0</v>
      </c>
      <c r="E5150" s="13">
        <v>0</v>
      </c>
      <c r="F5150" s="13">
        <v>0</v>
      </c>
      <c r="G5150" s="13">
        <v>0</v>
      </c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</row>
    <row r="5151" spans="1:19" x14ac:dyDescent="0.2">
      <c r="A5151" s="12" t="s">
        <v>454</v>
      </c>
      <c r="B5151" s="12" t="s">
        <v>572</v>
      </c>
      <c r="C5151" s="12" t="s">
        <v>554</v>
      </c>
      <c r="D5151" s="13">
        <v>0</v>
      </c>
      <c r="E5151" s="13">
        <v>0</v>
      </c>
      <c r="F5151" s="13">
        <v>0</v>
      </c>
      <c r="G5151" s="13">
        <v>0</v>
      </c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</row>
    <row r="5152" spans="1:19" x14ac:dyDescent="0.2">
      <c r="A5152" s="12" t="s">
        <v>454</v>
      </c>
      <c r="B5152" s="12" t="s">
        <v>572</v>
      </c>
      <c r="C5152" s="12" t="s">
        <v>555</v>
      </c>
      <c r="D5152" s="13">
        <v>1</v>
      </c>
      <c r="E5152" s="13">
        <v>1.135778</v>
      </c>
      <c r="F5152" s="13">
        <v>1.748793</v>
      </c>
      <c r="G5152" s="13">
        <v>1.9450069999999999</v>
      </c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</row>
    <row r="5153" spans="1:19" x14ac:dyDescent="0.2">
      <c r="A5153" s="12" t="s">
        <v>454</v>
      </c>
      <c r="B5153" s="12" t="s">
        <v>572</v>
      </c>
      <c r="C5153" s="12" t="s">
        <v>556</v>
      </c>
      <c r="D5153" s="13">
        <v>0</v>
      </c>
      <c r="E5153" s="13">
        <v>0</v>
      </c>
      <c r="F5153" s="13">
        <v>0</v>
      </c>
      <c r="G5153" s="13">
        <v>0</v>
      </c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</row>
    <row r="5154" spans="1:19" x14ac:dyDescent="0.2">
      <c r="A5154" s="12" t="s">
        <v>454</v>
      </c>
      <c r="B5154" s="12" t="s">
        <v>572</v>
      </c>
      <c r="C5154" s="12" t="s">
        <v>557</v>
      </c>
      <c r="D5154" s="13">
        <v>1</v>
      </c>
      <c r="E5154" s="13">
        <v>1.135778</v>
      </c>
      <c r="F5154" s="13">
        <v>1.748793</v>
      </c>
      <c r="G5154" s="13">
        <v>1.9450069999999999</v>
      </c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</row>
    <row r="5155" spans="1:19" x14ac:dyDescent="0.2">
      <c r="A5155" s="12" t="s">
        <v>454</v>
      </c>
      <c r="B5155" s="12" t="s">
        <v>572</v>
      </c>
      <c r="C5155" s="12" t="s">
        <v>558</v>
      </c>
      <c r="D5155" s="13">
        <v>21</v>
      </c>
      <c r="E5155" s="13">
        <v>22.840685000000001</v>
      </c>
      <c r="F5155" s="13">
        <v>27.048814</v>
      </c>
      <c r="G5155" s="13">
        <v>28.340997000000002</v>
      </c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</row>
    <row r="5156" spans="1:19" x14ac:dyDescent="0.2">
      <c r="A5156" s="12" t="s">
        <v>454</v>
      </c>
      <c r="B5156" s="12" t="s">
        <v>572</v>
      </c>
      <c r="C5156" s="12" t="s">
        <v>560</v>
      </c>
      <c r="D5156" s="13">
        <v>0</v>
      </c>
      <c r="E5156" s="13">
        <v>0</v>
      </c>
      <c r="F5156" s="13">
        <v>0</v>
      </c>
      <c r="G5156" s="13">
        <v>0</v>
      </c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</row>
    <row r="5157" spans="1:19" x14ac:dyDescent="0.2">
      <c r="A5157" s="12" t="s">
        <v>454</v>
      </c>
      <c r="B5157" s="12" t="s">
        <v>572</v>
      </c>
      <c r="C5157" s="12" t="s">
        <v>561</v>
      </c>
      <c r="D5157" s="13">
        <v>16</v>
      </c>
      <c r="E5157" s="13">
        <v>19.440982999999999</v>
      </c>
      <c r="F5157" s="13">
        <v>24.441168999999999</v>
      </c>
      <c r="G5157" s="13">
        <v>25.698758000000002</v>
      </c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</row>
    <row r="5158" spans="1:19" x14ac:dyDescent="0.2">
      <c r="A5158" s="12" t="s">
        <v>454</v>
      </c>
      <c r="B5158" s="12" t="s">
        <v>572</v>
      </c>
      <c r="C5158" s="12" t="s">
        <v>562</v>
      </c>
      <c r="D5158" s="13">
        <v>7</v>
      </c>
      <c r="E5158" s="13">
        <v>6.915019</v>
      </c>
      <c r="F5158" s="13">
        <v>6.3007359999999997</v>
      </c>
      <c r="G5158" s="13">
        <v>6.6249289999999998</v>
      </c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</row>
    <row r="5159" spans="1:19" x14ac:dyDescent="0.2">
      <c r="A5159" s="12" t="s">
        <v>454</v>
      </c>
      <c r="B5159" s="12" t="s">
        <v>572</v>
      </c>
      <c r="C5159" s="12" t="s">
        <v>563</v>
      </c>
      <c r="D5159" s="13">
        <v>0</v>
      </c>
      <c r="E5159" s="13">
        <v>0</v>
      </c>
      <c r="F5159" s="13">
        <v>0</v>
      </c>
      <c r="G5159" s="13">
        <v>0</v>
      </c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</row>
    <row r="5160" spans="1:19" x14ac:dyDescent="0.2">
      <c r="A5160" s="12" t="s">
        <v>454</v>
      </c>
      <c r="B5160" s="12" t="s">
        <v>572</v>
      </c>
      <c r="C5160" s="12" t="s">
        <v>564</v>
      </c>
      <c r="D5160" s="13">
        <v>5</v>
      </c>
      <c r="E5160" s="13">
        <v>9.0102240000000009</v>
      </c>
      <c r="F5160" s="13">
        <v>10.603548</v>
      </c>
      <c r="G5160" s="13">
        <v>11.149139</v>
      </c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</row>
    <row r="5161" spans="1:19" x14ac:dyDescent="0.2">
      <c r="A5161" s="12" t="s">
        <v>454</v>
      </c>
      <c r="B5161" s="12" t="s">
        <v>572</v>
      </c>
      <c r="C5161" s="12" t="s">
        <v>565</v>
      </c>
      <c r="D5161" s="13">
        <v>4</v>
      </c>
      <c r="E5161" s="13">
        <v>3.084784</v>
      </c>
      <c r="F5161" s="13">
        <v>5.2858559999999999</v>
      </c>
      <c r="G5161" s="13">
        <v>5.55783</v>
      </c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</row>
    <row r="5162" spans="1:19" x14ac:dyDescent="0.2">
      <c r="A5162" s="12" t="s">
        <v>454</v>
      </c>
      <c r="B5162" s="12" t="s">
        <v>572</v>
      </c>
      <c r="C5162" s="12" t="s">
        <v>566</v>
      </c>
      <c r="D5162" s="13">
        <v>0</v>
      </c>
      <c r="E5162" s="13">
        <v>0.430952</v>
      </c>
      <c r="F5162" s="13">
        <v>2.2510330000000009</v>
      </c>
      <c r="G5162" s="13">
        <v>2.3668610000000001</v>
      </c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</row>
    <row r="5163" spans="1:19" x14ac:dyDescent="0.2">
      <c r="A5163" s="12" t="s">
        <v>454</v>
      </c>
      <c r="B5163" s="12" t="s">
        <v>573</v>
      </c>
      <c r="C5163" s="12" t="s">
        <v>554</v>
      </c>
      <c r="D5163" s="13">
        <v>0</v>
      </c>
      <c r="E5163" s="13">
        <v>0.39213999999999999</v>
      </c>
      <c r="F5163" s="13">
        <v>0.39213999999999999</v>
      </c>
      <c r="G5163" s="13">
        <v>0.39213999999999999</v>
      </c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</row>
    <row r="5164" spans="1:19" x14ac:dyDescent="0.2">
      <c r="A5164" s="12" t="s">
        <v>454</v>
      </c>
      <c r="B5164" s="12" t="s">
        <v>573</v>
      </c>
      <c r="C5164" s="12" t="s">
        <v>555</v>
      </c>
      <c r="D5164" s="13">
        <v>0</v>
      </c>
      <c r="E5164" s="13">
        <v>0</v>
      </c>
      <c r="F5164" s="13">
        <v>0</v>
      </c>
      <c r="G5164" s="13">
        <v>0</v>
      </c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</row>
    <row r="5165" spans="1:19" x14ac:dyDescent="0.2">
      <c r="A5165" s="12" t="s">
        <v>454</v>
      </c>
      <c r="B5165" s="12" t="s">
        <v>573</v>
      </c>
      <c r="C5165" s="12" t="s">
        <v>556</v>
      </c>
      <c r="D5165" s="13">
        <v>0</v>
      </c>
      <c r="E5165" s="13">
        <v>0</v>
      </c>
      <c r="F5165" s="13">
        <v>0</v>
      </c>
      <c r="G5165" s="13">
        <v>0</v>
      </c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</row>
    <row r="5166" spans="1:19" x14ac:dyDescent="0.2">
      <c r="A5166" s="12" t="s">
        <v>454</v>
      </c>
      <c r="B5166" s="12" t="s">
        <v>573</v>
      </c>
      <c r="C5166" s="12" t="s">
        <v>557</v>
      </c>
      <c r="D5166" s="13">
        <v>0</v>
      </c>
      <c r="E5166" s="13">
        <v>0.39213999999999999</v>
      </c>
      <c r="F5166" s="13">
        <v>0.39213999999999999</v>
      </c>
      <c r="G5166" s="13">
        <v>0.39213999999999999</v>
      </c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</row>
    <row r="5167" spans="1:19" x14ac:dyDescent="0.2">
      <c r="A5167" s="12" t="s">
        <v>454</v>
      </c>
      <c r="B5167" s="12" t="s">
        <v>573</v>
      </c>
      <c r="C5167" s="12" t="s">
        <v>558</v>
      </c>
      <c r="D5167" s="13">
        <v>0</v>
      </c>
      <c r="E5167" s="13">
        <v>0</v>
      </c>
      <c r="F5167" s="13">
        <v>0</v>
      </c>
      <c r="G5167" s="13">
        <v>0</v>
      </c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</row>
    <row r="5168" spans="1:19" x14ac:dyDescent="0.2">
      <c r="A5168" s="12" t="s">
        <v>454</v>
      </c>
      <c r="B5168" s="12" t="s">
        <v>573</v>
      </c>
      <c r="C5168" s="12" t="s">
        <v>560</v>
      </c>
      <c r="D5168" s="13">
        <v>0</v>
      </c>
      <c r="E5168" s="13">
        <v>0</v>
      </c>
      <c r="F5168" s="13">
        <v>0</v>
      </c>
      <c r="G5168" s="13">
        <v>0</v>
      </c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</row>
    <row r="5169" spans="1:19" x14ac:dyDescent="0.2">
      <c r="A5169" s="12" t="s">
        <v>454</v>
      </c>
      <c r="B5169" s="12" t="s">
        <v>573</v>
      </c>
      <c r="C5169" s="12" t="s">
        <v>561</v>
      </c>
      <c r="D5169" s="13">
        <v>0</v>
      </c>
      <c r="E5169" s="13">
        <v>0</v>
      </c>
      <c r="F5169" s="13">
        <v>0</v>
      </c>
      <c r="G5169" s="13">
        <v>0</v>
      </c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</row>
    <row r="5170" spans="1:19" x14ac:dyDescent="0.2">
      <c r="A5170" s="12" t="s">
        <v>454</v>
      </c>
      <c r="B5170" s="12" t="s">
        <v>573</v>
      </c>
      <c r="C5170" s="12" t="s">
        <v>562</v>
      </c>
      <c r="D5170" s="13">
        <v>0</v>
      </c>
      <c r="E5170" s="13">
        <v>0</v>
      </c>
      <c r="F5170" s="13">
        <v>0</v>
      </c>
      <c r="G5170" s="13">
        <v>0</v>
      </c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</row>
    <row r="5171" spans="1:19" x14ac:dyDescent="0.2">
      <c r="A5171" s="12" t="s">
        <v>454</v>
      </c>
      <c r="B5171" s="12" t="s">
        <v>573</v>
      </c>
      <c r="C5171" s="12" t="s">
        <v>563</v>
      </c>
      <c r="D5171" s="13">
        <v>0</v>
      </c>
      <c r="E5171" s="13">
        <v>0</v>
      </c>
      <c r="F5171" s="13">
        <v>0</v>
      </c>
      <c r="G5171" s="13">
        <v>0</v>
      </c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</row>
    <row r="5172" spans="1:19" x14ac:dyDescent="0.2">
      <c r="A5172" s="12" t="s">
        <v>454</v>
      </c>
      <c r="B5172" s="12" t="s">
        <v>573</v>
      </c>
      <c r="C5172" s="12" t="s">
        <v>564</v>
      </c>
      <c r="D5172" s="13">
        <v>0</v>
      </c>
      <c r="E5172" s="13">
        <v>0</v>
      </c>
      <c r="F5172" s="13">
        <v>0</v>
      </c>
      <c r="G5172" s="13">
        <v>0</v>
      </c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</row>
    <row r="5173" spans="1:19" x14ac:dyDescent="0.2">
      <c r="A5173" s="12" t="s">
        <v>454</v>
      </c>
      <c r="B5173" s="12" t="s">
        <v>573</v>
      </c>
      <c r="C5173" s="12" t="s">
        <v>565</v>
      </c>
      <c r="D5173" s="13">
        <v>0</v>
      </c>
      <c r="E5173" s="13">
        <v>0</v>
      </c>
      <c r="F5173" s="13">
        <v>0</v>
      </c>
      <c r="G5173" s="13">
        <v>0</v>
      </c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</row>
    <row r="5174" spans="1:19" x14ac:dyDescent="0.2">
      <c r="A5174" s="12" t="s">
        <v>454</v>
      </c>
      <c r="B5174" s="12" t="s">
        <v>573</v>
      </c>
      <c r="C5174" s="12" t="s">
        <v>566</v>
      </c>
      <c r="D5174" s="13">
        <v>0</v>
      </c>
      <c r="E5174" s="13">
        <v>0</v>
      </c>
      <c r="F5174" s="13">
        <v>0</v>
      </c>
      <c r="G5174" s="13">
        <v>0</v>
      </c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</row>
    <row r="5175" spans="1:19" x14ac:dyDescent="0.2">
      <c r="A5175" s="12" t="s">
        <v>454</v>
      </c>
      <c r="B5175" s="12" t="s">
        <v>574</v>
      </c>
      <c r="C5175" s="12" t="s">
        <v>554</v>
      </c>
      <c r="D5175" s="13">
        <v>86</v>
      </c>
      <c r="E5175" s="13">
        <v>86.309291000000002</v>
      </c>
      <c r="F5175" s="13">
        <v>84.345531000000008</v>
      </c>
      <c r="G5175" s="13">
        <v>84.529880000000006</v>
      </c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</row>
    <row r="5176" spans="1:19" x14ac:dyDescent="0.2">
      <c r="A5176" s="12" t="s">
        <v>454</v>
      </c>
      <c r="B5176" s="12" t="s">
        <v>574</v>
      </c>
      <c r="C5176" s="12" t="s">
        <v>555</v>
      </c>
      <c r="D5176" s="13">
        <v>124</v>
      </c>
      <c r="E5176" s="13">
        <v>144.14751699999999</v>
      </c>
      <c r="F5176" s="13">
        <v>162.57665900000001</v>
      </c>
      <c r="G5176" s="13">
        <v>154.73869400000001</v>
      </c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</row>
    <row r="5177" spans="1:19" x14ac:dyDescent="0.2">
      <c r="A5177" s="12" t="s">
        <v>454</v>
      </c>
      <c r="B5177" s="12" t="s">
        <v>574</v>
      </c>
      <c r="C5177" s="12" t="s">
        <v>556</v>
      </c>
      <c r="D5177" s="13">
        <v>-2</v>
      </c>
      <c r="E5177" s="13">
        <v>-3.2523019999999998</v>
      </c>
      <c r="F5177" s="13">
        <v>-0.55698300000000001</v>
      </c>
      <c r="G5177" s="13">
        <v>-2.6719780000000002</v>
      </c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</row>
    <row r="5178" spans="1:19" x14ac:dyDescent="0.2">
      <c r="A5178" s="12" t="s">
        <v>454</v>
      </c>
      <c r="B5178" s="12" t="s">
        <v>574</v>
      </c>
      <c r="C5178" s="12" t="s">
        <v>557</v>
      </c>
      <c r="D5178" s="13">
        <v>197</v>
      </c>
      <c r="E5178" s="13">
        <v>212.10067100000001</v>
      </c>
      <c r="F5178" s="13">
        <v>233.50437199999999</v>
      </c>
      <c r="G5178" s="13">
        <v>220.288591</v>
      </c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</row>
    <row r="5179" spans="1:19" x14ac:dyDescent="0.2">
      <c r="A5179" s="12" t="s">
        <v>454</v>
      </c>
      <c r="B5179" s="12" t="s">
        <v>574</v>
      </c>
      <c r="C5179" s="12" t="s">
        <v>558</v>
      </c>
      <c r="D5179" s="13">
        <v>-26</v>
      </c>
      <c r="E5179" s="13">
        <v>-30.526239</v>
      </c>
      <c r="F5179" s="13">
        <v>-30.77064</v>
      </c>
      <c r="G5179" s="13">
        <v>-27.485776000000001</v>
      </c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</row>
    <row r="5180" spans="1:19" x14ac:dyDescent="0.2">
      <c r="A5180" s="12" t="s">
        <v>454</v>
      </c>
      <c r="B5180" s="12" t="s">
        <v>574</v>
      </c>
      <c r="C5180" s="12" t="s">
        <v>560</v>
      </c>
      <c r="D5180" s="13">
        <v>-2</v>
      </c>
      <c r="E5180" s="13">
        <v>-0.783802</v>
      </c>
      <c r="F5180" s="13">
        <v>-0.98555200000000009</v>
      </c>
      <c r="G5180" s="13">
        <v>-1.5624130000000001</v>
      </c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</row>
    <row r="5181" spans="1:19" x14ac:dyDescent="0.2">
      <c r="A5181" s="12" t="s">
        <v>454</v>
      </c>
      <c r="B5181" s="12" t="s">
        <v>574</v>
      </c>
      <c r="C5181" s="12" t="s">
        <v>561</v>
      </c>
      <c r="D5181" s="13">
        <v>124</v>
      </c>
      <c r="E5181" s="13">
        <v>147.05520000000001</v>
      </c>
      <c r="F5181" s="13">
        <v>163.35692800000001</v>
      </c>
      <c r="G5181" s="13">
        <v>160.69694999999999</v>
      </c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</row>
    <row r="5182" spans="1:19" x14ac:dyDescent="0.2">
      <c r="A5182" s="12" t="s">
        <v>454</v>
      </c>
      <c r="B5182" s="12" t="s">
        <v>574</v>
      </c>
      <c r="C5182" s="12" t="s">
        <v>562</v>
      </c>
      <c r="D5182" s="13">
        <v>26</v>
      </c>
      <c r="E5182" s="13">
        <v>25.18881</v>
      </c>
      <c r="F5182" s="13">
        <v>26.546258999999999</v>
      </c>
      <c r="G5182" s="13">
        <v>15.841855000000001</v>
      </c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</row>
    <row r="5183" spans="1:19" x14ac:dyDescent="0.2">
      <c r="A5183" s="12" t="s">
        <v>454</v>
      </c>
      <c r="B5183" s="12" t="s">
        <v>574</v>
      </c>
      <c r="C5183" s="12" t="s">
        <v>563</v>
      </c>
      <c r="D5183" s="13">
        <v>39</v>
      </c>
      <c r="E5183" s="13">
        <v>57.739320999999997</v>
      </c>
      <c r="F5183" s="13">
        <v>66.807729000000009</v>
      </c>
      <c r="G5183" s="13">
        <v>73.074183999999988</v>
      </c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</row>
    <row r="5184" spans="1:19" x14ac:dyDescent="0.2">
      <c r="A5184" s="12" t="s">
        <v>454</v>
      </c>
      <c r="B5184" s="12" t="s">
        <v>574</v>
      </c>
      <c r="C5184" s="12" t="s">
        <v>564</v>
      </c>
      <c r="D5184" s="13">
        <v>55</v>
      </c>
      <c r="E5184" s="13">
        <v>60.190826999999999</v>
      </c>
      <c r="F5184" s="13">
        <v>62.017980000000001</v>
      </c>
      <c r="G5184" s="13">
        <v>63.392158999999999</v>
      </c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</row>
    <row r="5185" spans="1:19" x14ac:dyDescent="0.2">
      <c r="A5185" s="12" t="s">
        <v>454</v>
      </c>
      <c r="B5185" s="12" t="s">
        <v>574</v>
      </c>
      <c r="C5185" s="12" t="s">
        <v>565</v>
      </c>
      <c r="D5185" s="13">
        <v>5</v>
      </c>
      <c r="E5185" s="13">
        <v>3.456413</v>
      </c>
      <c r="F5185" s="13">
        <v>5.6863440000000001</v>
      </c>
      <c r="G5185" s="13">
        <v>5.9721310000000001</v>
      </c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</row>
    <row r="5186" spans="1:19" x14ac:dyDescent="0.2">
      <c r="A5186" s="12" t="s">
        <v>454</v>
      </c>
      <c r="B5186" s="12" t="s">
        <v>574</v>
      </c>
      <c r="C5186" s="12" t="s">
        <v>566</v>
      </c>
      <c r="D5186" s="13">
        <v>0</v>
      </c>
      <c r="E5186" s="13">
        <v>0.47982900000000001</v>
      </c>
      <c r="F5186" s="13">
        <v>2.2986200000000001</v>
      </c>
      <c r="G5186" s="13">
        <v>2.4166210000000001</v>
      </c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</row>
    <row r="5187" spans="1:19" x14ac:dyDescent="0.2">
      <c r="A5187" s="12" t="s">
        <v>456</v>
      </c>
      <c r="B5187" s="12" t="s">
        <v>553</v>
      </c>
      <c r="C5187" s="12" t="s">
        <v>554</v>
      </c>
      <c r="D5187" s="13">
        <v>0</v>
      </c>
      <c r="E5187" s="13">
        <v>0</v>
      </c>
      <c r="F5187" s="13">
        <v>0</v>
      </c>
      <c r="G5187" s="13">
        <v>0</v>
      </c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</row>
    <row r="5188" spans="1:19" x14ac:dyDescent="0.2">
      <c r="A5188" s="12" t="s">
        <v>456</v>
      </c>
      <c r="B5188" s="12" t="s">
        <v>553</v>
      </c>
      <c r="C5188" s="12" t="s">
        <v>555</v>
      </c>
      <c r="D5188" s="13">
        <v>18</v>
      </c>
      <c r="E5188" s="13">
        <v>19.439321</v>
      </c>
      <c r="F5188" s="13">
        <v>17.404523000000001</v>
      </c>
      <c r="G5188" s="13">
        <v>14.084398999999999</v>
      </c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</row>
    <row r="5189" spans="1:19" x14ac:dyDescent="0.2">
      <c r="A5189" s="12" t="s">
        <v>456</v>
      </c>
      <c r="B5189" s="12" t="s">
        <v>553</v>
      </c>
      <c r="C5189" s="12" t="s">
        <v>556</v>
      </c>
      <c r="D5189" s="13">
        <v>0</v>
      </c>
      <c r="E5189" s="13">
        <v>0</v>
      </c>
      <c r="F5189" s="13">
        <v>0</v>
      </c>
      <c r="G5189" s="13">
        <v>0</v>
      </c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</row>
    <row r="5190" spans="1:19" x14ac:dyDescent="0.2">
      <c r="A5190" s="12" t="s">
        <v>456</v>
      </c>
      <c r="B5190" s="12" t="s">
        <v>553</v>
      </c>
      <c r="C5190" s="12" t="s">
        <v>557</v>
      </c>
      <c r="D5190" s="13">
        <v>18</v>
      </c>
      <c r="E5190" s="13">
        <v>19.439321</v>
      </c>
      <c r="F5190" s="13">
        <v>17.404523000000001</v>
      </c>
      <c r="G5190" s="13">
        <v>14.084398999999999</v>
      </c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</row>
    <row r="5191" spans="1:19" x14ac:dyDescent="0.2">
      <c r="A5191" s="12" t="s">
        <v>456</v>
      </c>
      <c r="B5191" s="12" t="s">
        <v>553</v>
      </c>
      <c r="C5191" s="12" t="s">
        <v>558</v>
      </c>
      <c r="D5191" s="13">
        <v>-10</v>
      </c>
      <c r="E5191" s="13">
        <v>-11.702106000000001</v>
      </c>
      <c r="F5191" s="13">
        <v>-10.638655</v>
      </c>
      <c r="G5191" s="13">
        <v>-9.294709000000001</v>
      </c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</row>
    <row r="5192" spans="1:19" x14ac:dyDescent="0.2">
      <c r="A5192" s="12" t="s">
        <v>456</v>
      </c>
      <c r="B5192" s="12" t="s">
        <v>553</v>
      </c>
      <c r="C5192" s="12" t="s">
        <v>560</v>
      </c>
      <c r="D5192" s="13">
        <v>0</v>
      </c>
      <c r="E5192" s="13">
        <v>0</v>
      </c>
      <c r="F5192" s="13">
        <v>0</v>
      </c>
      <c r="G5192" s="13">
        <v>0</v>
      </c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</row>
    <row r="5193" spans="1:19" x14ac:dyDescent="0.2">
      <c r="A5193" s="12" t="s">
        <v>456</v>
      </c>
      <c r="B5193" s="12" t="s">
        <v>553</v>
      </c>
      <c r="C5193" s="12" t="s">
        <v>561</v>
      </c>
      <c r="D5193" s="13">
        <v>8</v>
      </c>
      <c r="E5193" s="13">
        <v>7.7288290000000002</v>
      </c>
      <c r="F5193" s="13">
        <v>8.0254510000000003</v>
      </c>
      <c r="G5193" s="13">
        <v>8.1117279999999994</v>
      </c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</row>
    <row r="5194" spans="1:19" x14ac:dyDescent="0.2">
      <c r="A5194" s="12" t="s">
        <v>456</v>
      </c>
      <c r="B5194" s="12" t="s">
        <v>553</v>
      </c>
      <c r="C5194" s="12" t="s">
        <v>562</v>
      </c>
      <c r="D5194" s="13">
        <v>8</v>
      </c>
      <c r="E5194" s="13">
        <v>7.7288290000000002</v>
      </c>
      <c r="F5194" s="13">
        <v>8.0254510000000003</v>
      </c>
      <c r="G5194" s="13">
        <v>8.1117279999999994</v>
      </c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</row>
    <row r="5195" spans="1:19" x14ac:dyDescent="0.2">
      <c r="A5195" s="12" t="s">
        <v>456</v>
      </c>
      <c r="B5195" s="12" t="s">
        <v>553</v>
      </c>
      <c r="C5195" s="12" t="s">
        <v>563</v>
      </c>
      <c r="D5195" s="13">
        <v>0</v>
      </c>
      <c r="E5195" s="13">
        <v>0</v>
      </c>
      <c r="F5195" s="13">
        <v>0</v>
      </c>
      <c r="G5195" s="13">
        <v>0</v>
      </c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</row>
    <row r="5196" spans="1:19" x14ac:dyDescent="0.2">
      <c r="A5196" s="12" t="s">
        <v>456</v>
      </c>
      <c r="B5196" s="12" t="s">
        <v>553</v>
      </c>
      <c r="C5196" s="12" t="s">
        <v>564</v>
      </c>
      <c r="D5196" s="13">
        <v>0</v>
      </c>
      <c r="E5196" s="13">
        <v>0</v>
      </c>
      <c r="F5196" s="13">
        <v>0</v>
      </c>
      <c r="G5196" s="13">
        <v>0</v>
      </c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</row>
    <row r="5197" spans="1:19" x14ac:dyDescent="0.2">
      <c r="A5197" s="12" t="s">
        <v>456</v>
      </c>
      <c r="B5197" s="12" t="s">
        <v>553</v>
      </c>
      <c r="C5197" s="12" t="s">
        <v>565</v>
      </c>
      <c r="D5197" s="13">
        <v>0</v>
      </c>
      <c r="E5197" s="13">
        <v>0</v>
      </c>
      <c r="F5197" s="13">
        <v>0</v>
      </c>
      <c r="G5197" s="13">
        <v>0</v>
      </c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</row>
    <row r="5198" spans="1:19" x14ac:dyDescent="0.2">
      <c r="A5198" s="12" t="s">
        <v>456</v>
      </c>
      <c r="B5198" s="12" t="s">
        <v>553</v>
      </c>
      <c r="C5198" s="12" t="s">
        <v>566</v>
      </c>
      <c r="D5198" s="13">
        <v>0</v>
      </c>
      <c r="E5198" s="13">
        <v>0</v>
      </c>
      <c r="F5198" s="13">
        <v>0</v>
      </c>
      <c r="G5198" s="13">
        <v>0</v>
      </c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</row>
    <row r="5199" spans="1:19" x14ac:dyDescent="0.2">
      <c r="A5199" s="12" t="s">
        <v>456</v>
      </c>
      <c r="B5199" s="12" t="s">
        <v>567</v>
      </c>
      <c r="C5199" s="12" t="s">
        <v>554</v>
      </c>
      <c r="D5199" s="13">
        <v>0</v>
      </c>
      <c r="E5199" s="13">
        <v>0</v>
      </c>
      <c r="F5199" s="13">
        <v>0</v>
      </c>
      <c r="G5199" s="13">
        <v>0</v>
      </c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</row>
    <row r="5200" spans="1:19" x14ac:dyDescent="0.2">
      <c r="A5200" s="12" t="s">
        <v>456</v>
      </c>
      <c r="B5200" s="12" t="s">
        <v>567</v>
      </c>
      <c r="C5200" s="12" t="s">
        <v>555</v>
      </c>
      <c r="D5200" s="13">
        <v>1799</v>
      </c>
      <c r="E5200" s="13">
        <v>1841.4059070000001</v>
      </c>
      <c r="F5200" s="13">
        <v>1873.6423749999999</v>
      </c>
      <c r="G5200" s="13">
        <v>1805.174814</v>
      </c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</row>
    <row r="5201" spans="1:19" x14ac:dyDescent="0.2">
      <c r="A5201" s="12" t="s">
        <v>456</v>
      </c>
      <c r="B5201" s="12" t="s">
        <v>567</v>
      </c>
      <c r="C5201" s="12" t="s">
        <v>556</v>
      </c>
      <c r="D5201" s="13">
        <v>0</v>
      </c>
      <c r="E5201" s="13">
        <v>-13.001237</v>
      </c>
      <c r="F5201" s="13">
        <v>-5.0410000000000003E-3</v>
      </c>
      <c r="G5201" s="13">
        <v>-0.26869999999999999</v>
      </c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</row>
    <row r="5202" spans="1:19" x14ac:dyDescent="0.2">
      <c r="A5202" s="12" t="s">
        <v>456</v>
      </c>
      <c r="B5202" s="12" t="s">
        <v>567</v>
      </c>
      <c r="C5202" s="12" t="s">
        <v>557</v>
      </c>
      <c r="D5202" s="13">
        <v>1803</v>
      </c>
      <c r="E5202" s="13">
        <v>1846.855873</v>
      </c>
      <c r="F5202" s="13">
        <v>1859.653409</v>
      </c>
      <c r="G5202" s="13">
        <v>1804.906113</v>
      </c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</row>
    <row r="5203" spans="1:19" x14ac:dyDescent="0.2">
      <c r="A5203" s="12" t="s">
        <v>456</v>
      </c>
      <c r="B5203" s="12" t="s">
        <v>567</v>
      </c>
      <c r="C5203" s="12" t="s">
        <v>558</v>
      </c>
      <c r="D5203" s="13">
        <v>0</v>
      </c>
      <c r="E5203" s="13">
        <v>0</v>
      </c>
      <c r="F5203" s="13">
        <v>0</v>
      </c>
      <c r="G5203" s="13">
        <v>0</v>
      </c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</row>
    <row r="5204" spans="1:19" x14ac:dyDescent="0.2">
      <c r="A5204" s="12" t="s">
        <v>456</v>
      </c>
      <c r="B5204" s="12" t="s">
        <v>567</v>
      </c>
      <c r="C5204" s="12" t="s">
        <v>560</v>
      </c>
      <c r="D5204" s="13">
        <v>-1771</v>
      </c>
      <c r="E5204" s="13">
        <v>-1830.665735</v>
      </c>
      <c r="F5204" s="13">
        <v>-1799.5479889999999</v>
      </c>
      <c r="G5204" s="13">
        <v>-1754.0535420000001</v>
      </c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</row>
    <row r="5205" spans="1:19" x14ac:dyDescent="0.2">
      <c r="A5205" s="12" t="s">
        <v>456</v>
      </c>
      <c r="B5205" s="12" t="s">
        <v>567</v>
      </c>
      <c r="C5205" s="12" t="s">
        <v>561</v>
      </c>
      <c r="D5205" s="13">
        <v>0</v>
      </c>
      <c r="E5205" s="13">
        <v>0</v>
      </c>
      <c r="F5205" s="13">
        <v>0</v>
      </c>
      <c r="G5205" s="13">
        <v>0</v>
      </c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</row>
    <row r="5206" spans="1:19" x14ac:dyDescent="0.2">
      <c r="A5206" s="12" t="s">
        <v>456</v>
      </c>
      <c r="B5206" s="12" t="s">
        <v>567</v>
      </c>
      <c r="C5206" s="12" t="s">
        <v>562</v>
      </c>
      <c r="D5206" s="13">
        <v>0</v>
      </c>
      <c r="E5206" s="13">
        <v>0</v>
      </c>
      <c r="F5206" s="13">
        <v>0</v>
      </c>
      <c r="G5206" s="13">
        <v>0</v>
      </c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</row>
    <row r="5207" spans="1:19" x14ac:dyDescent="0.2">
      <c r="A5207" s="12" t="s">
        <v>456</v>
      </c>
      <c r="B5207" s="12" t="s">
        <v>567</v>
      </c>
      <c r="C5207" s="12" t="s">
        <v>563</v>
      </c>
      <c r="D5207" s="13">
        <v>0</v>
      </c>
      <c r="E5207" s="13">
        <v>0</v>
      </c>
      <c r="F5207" s="13">
        <v>0</v>
      </c>
      <c r="G5207" s="13">
        <v>0</v>
      </c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</row>
    <row r="5208" spans="1:19" x14ac:dyDescent="0.2">
      <c r="A5208" s="12" t="s">
        <v>456</v>
      </c>
      <c r="B5208" s="12" t="s">
        <v>567</v>
      </c>
      <c r="C5208" s="12" t="s">
        <v>564</v>
      </c>
      <c r="D5208" s="13">
        <v>0</v>
      </c>
      <c r="E5208" s="13">
        <v>0</v>
      </c>
      <c r="F5208" s="13">
        <v>0</v>
      </c>
      <c r="G5208" s="13">
        <v>0</v>
      </c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</row>
    <row r="5209" spans="1:19" x14ac:dyDescent="0.2">
      <c r="A5209" s="12" t="s">
        <v>456</v>
      </c>
      <c r="B5209" s="12" t="s">
        <v>567</v>
      </c>
      <c r="C5209" s="12" t="s">
        <v>565</v>
      </c>
      <c r="D5209" s="13">
        <v>0</v>
      </c>
      <c r="E5209" s="13">
        <v>0</v>
      </c>
      <c r="F5209" s="13">
        <v>0</v>
      </c>
      <c r="G5209" s="13">
        <v>0</v>
      </c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</row>
    <row r="5210" spans="1:19" x14ac:dyDescent="0.2">
      <c r="A5210" s="12" t="s">
        <v>456</v>
      </c>
      <c r="B5210" s="12" t="s">
        <v>567</v>
      </c>
      <c r="C5210" s="12" t="s">
        <v>566</v>
      </c>
      <c r="D5210" s="13">
        <v>0</v>
      </c>
      <c r="E5210" s="13">
        <v>0</v>
      </c>
      <c r="F5210" s="13">
        <v>0</v>
      </c>
      <c r="G5210" s="13">
        <v>0</v>
      </c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</row>
    <row r="5211" spans="1:19" x14ac:dyDescent="0.2">
      <c r="A5211" s="12" t="s">
        <v>456</v>
      </c>
      <c r="B5211" s="12" t="s">
        <v>568</v>
      </c>
      <c r="C5211" s="12" t="s">
        <v>554</v>
      </c>
      <c r="D5211" s="13">
        <v>0</v>
      </c>
      <c r="E5211" s="13">
        <v>0</v>
      </c>
      <c r="F5211" s="13">
        <v>0</v>
      </c>
      <c r="G5211" s="13">
        <v>0</v>
      </c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</row>
    <row r="5212" spans="1:19" x14ac:dyDescent="0.2">
      <c r="A5212" s="12" t="s">
        <v>456</v>
      </c>
      <c r="B5212" s="12" t="s">
        <v>568</v>
      </c>
      <c r="C5212" s="12" t="s">
        <v>555</v>
      </c>
      <c r="D5212" s="13">
        <v>4355</v>
      </c>
      <c r="E5212" s="13">
        <v>4141.263183</v>
      </c>
      <c r="F5212" s="13">
        <v>4145.3441400000002</v>
      </c>
      <c r="G5212" s="13">
        <v>4560.307296</v>
      </c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</row>
    <row r="5213" spans="1:19" x14ac:dyDescent="0.2">
      <c r="A5213" s="12" t="s">
        <v>456</v>
      </c>
      <c r="B5213" s="12" t="s">
        <v>568</v>
      </c>
      <c r="C5213" s="12" t="s">
        <v>556</v>
      </c>
      <c r="D5213" s="13">
        <v>-3073</v>
      </c>
      <c r="E5213" s="13">
        <v>-3005.3201709999998</v>
      </c>
      <c r="F5213" s="13">
        <v>-2908.7660820000001</v>
      </c>
      <c r="G5213" s="13">
        <v>-3136.086483</v>
      </c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</row>
    <row r="5214" spans="1:19" x14ac:dyDescent="0.2">
      <c r="A5214" s="12" t="s">
        <v>456</v>
      </c>
      <c r="B5214" s="12" t="s">
        <v>568</v>
      </c>
      <c r="C5214" s="12" t="s">
        <v>557</v>
      </c>
      <c r="D5214" s="13">
        <v>-917</v>
      </c>
      <c r="E5214" s="13">
        <v>-932.94774199999995</v>
      </c>
      <c r="F5214" s="13">
        <v>-940.83609200000001</v>
      </c>
      <c r="G5214" s="13">
        <v>-956.95031100000006</v>
      </c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</row>
    <row r="5215" spans="1:19" x14ac:dyDescent="0.2">
      <c r="A5215" s="12" t="s">
        <v>456</v>
      </c>
      <c r="B5215" s="12" t="s">
        <v>568</v>
      </c>
      <c r="C5215" s="12" t="s">
        <v>558</v>
      </c>
      <c r="D5215" s="13">
        <v>-4</v>
      </c>
      <c r="E5215" s="13">
        <v>-8.1014620000000015</v>
      </c>
      <c r="F5215" s="13">
        <v>-14.261074000000001</v>
      </c>
      <c r="G5215" s="13">
        <v>-5.2100660000000003</v>
      </c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</row>
    <row r="5216" spans="1:19" x14ac:dyDescent="0.2">
      <c r="A5216" s="12" t="s">
        <v>456</v>
      </c>
      <c r="B5216" s="12" t="s">
        <v>568</v>
      </c>
      <c r="C5216" s="12" t="s">
        <v>560</v>
      </c>
      <c r="D5216" s="13">
        <v>1734</v>
      </c>
      <c r="E5216" s="13">
        <v>1796.3187270000001</v>
      </c>
      <c r="F5216" s="13">
        <v>1746.839238</v>
      </c>
      <c r="G5216" s="13">
        <v>1751.6577629999999</v>
      </c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</row>
    <row r="5217" spans="1:19" x14ac:dyDescent="0.2">
      <c r="A5217" s="12" t="s">
        <v>456</v>
      </c>
      <c r="B5217" s="12" t="s">
        <v>568</v>
      </c>
      <c r="C5217" s="12" t="s">
        <v>561</v>
      </c>
      <c r="D5217" s="13">
        <v>474</v>
      </c>
      <c r="E5217" s="13">
        <v>497.42133200000001</v>
      </c>
      <c r="F5217" s="13">
        <v>505.16686199999998</v>
      </c>
      <c r="G5217" s="13">
        <v>494.60667999999998</v>
      </c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</row>
    <row r="5218" spans="1:19" x14ac:dyDescent="0.2">
      <c r="A5218" s="12" t="s">
        <v>456</v>
      </c>
      <c r="B5218" s="12" t="s">
        <v>568</v>
      </c>
      <c r="C5218" s="12" t="s">
        <v>562</v>
      </c>
      <c r="D5218" s="13">
        <v>137</v>
      </c>
      <c r="E5218" s="13">
        <v>148.96471500000001</v>
      </c>
      <c r="F5218" s="13">
        <v>154.09453300000001</v>
      </c>
      <c r="G5218" s="13">
        <v>154.96695399999999</v>
      </c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</row>
    <row r="5219" spans="1:19" x14ac:dyDescent="0.2">
      <c r="A5219" s="12" t="s">
        <v>456</v>
      </c>
      <c r="B5219" s="12" t="s">
        <v>568</v>
      </c>
      <c r="C5219" s="12" t="s">
        <v>563</v>
      </c>
      <c r="D5219" s="13">
        <v>86</v>
      </c>
      <c r="E5219" s="13">
        <v>85.133407000000005</v>
      </c>
      <c r="F5219" s="13">
        <v>83.460357999999999</v>
      </c>
      <c r="G5219" s="13">
        <v>80.973946999999995</v>
      </c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</row>
    <row r="5220" spans="1:19" x14ac:dyDescent="0.2">
      <c r="A5220" s="12" t="s">
        <v>456</v>
      </c>
      <c r="B5220" s="12" t="s">
        <v>568</v>
      </c>
      <c r="C5220" s="12" t="s">
        <v>564</v>
      </c>
      <c r="D5220" s="13">
        <v>1</v>
      </c>
      <c r="E5220" s="13">
        <v>1.068128</v>
      </c>
      <c r="F5220" s="13">
        <v>1.097737</v>
      </c>
      <c r="G5220" s="13">
        <v>1.1386039999999999</v>
      </c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</row>
    <row r="5221" spans="1:19" x14ac:dyDescent="0.2">
      <c r="A5221" s="12" t="s">
        <v>456</v>
      </c>
      <c r="B5221" s="12" t="s">
        <v>568</v>
      </c>
      <c r="C5221" s="12" t="s">
        <v>565</v>
      </c>
      <c r="D5221" s="13">
        <v>3</v>
      </c>
      <c r="E5221" s="13">
        <v>3.2320549999999999</v>
      </c>
      <c r="F5221" s="13">
        <v>3.321644</v>
      </c>
      <c r="G5221" s="13">
        <v>3.4453299999999998</v>
      </c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</row>
    <row r="5222" spans="1:19" x14ac:dyDescent="0.2">
      <c r="A5222" s="12" t="s">
        <v>456</v>
      </c>
      <c r="B5222" s="12" t="s">
        <v>568</v>
      </c>
      <c r="C5222" s="12" t="s">
        <v>566</v>
      </c>
      <c r="D5222" s="13">
        <v>247</v>
      </c>
      <c r="E5222" s="13">
        <v>259.02302200000003</v>
      </c>
      <c r="F5222" s="13">
        <v>263.19258500000001</v>
      </c>
      <c r="G5222" s="13">
        <v>254.08184</v>
      </c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</row>
    <row r="5223" spans="1:19" x14ac:dyDescent="0.2">
      <c r="A5223" s="12" t="s">
        <v>456</v>
      </c>
      <c r="B5223" s="12" t="s">
        <v>569</v>
      </c>
      <c r="C5223" s="12" t="s">
        <v>554</v>
      </c>
      <c r="D5223" s="13">
        <v>0</v>
      </c>
      <c r="E5223" s="13">
        <v>0</v>
      </c>
      <c r="F5223" s="13">
        <v>0</v>
      </c>
      <c r="G5223" s="13">
        <v>0</v>
      </c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</row>
    <row r="5224" spans="1:19" x14ac:dyDescent="0.2">
      <c r="A5224" s="12" t="s">
        <v>456</v>
      </c>
      <c r="B5224" s="12" t="s">
        <v>569</v>
      </c>
      <c r="C5224" s="12" t="s">
        <v>555</v>
      </c>
      <c r="D5224" s="13">
        <v>385</v>
      </c>
      <c r="E5224" s="13">
        <v>400.34767799999997</v>
      </c>
      <c r="F5224" s="13">
        <v>397.23897899999997</v>
      </c>
      <c r="G5224" s="13">
        <v>412.88044500000001</v>
      </c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</row>
    <row r="5225" spans="1:19" x14ac:dyDescent="0.2">
      <c r="A5225" s="12" t="s">
        <v>456</v>
      </c>
      <c r="B5225" s="12" t="s">
        <v>569</v>
      </c>
      <c r="C5225" s="12" t="s">
        <v>556</v>
      </c>
      <c r="D5225" s="13">
        <v>0</v>
      </c>
      <c r="E5225" s="13">
        <v>0</v>
      </c>
      <c r="F5225" s="13">
        <v>0</v>
      </c>
      <c r="G5225" s="13">
        <v>0</v>
      </c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</row>
    <row r="5226" spans="1:19" x14ac:dyDescent="0.2">
      <c r="A5226" s="12" t="s">
        <v>456</v>
      </c>
      <c r="B5226" s="12" t="s">
        <v>569</v>
      </c>
      <c r="C5226" s="12" t="s">
        <v>557</v>
      </c>
      <c r="D5226" s="13">
        <v>386</v>
      </c>
      <c r="E5226" s="13">
        <v>400.98825799999997</v>
      </c>
      <c r="F5226" s="13">
        <v>396.72651400000001</v>
      </c>
      <c r="G5226" s="13">
        <v>412.88044500000001</v>
      </c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</row>
    <row r="5227" spans="1:19" x14ac:dyDescent="0.2">
      <c r="A5227" s="12" t="s">
        <v>456</v>
      </c>
      <c r="B5227" s="12" t="s">
        <v>569</v>
      </c>
      <c r="C5227" s="12" t="s">
        <v>558</v>
      </c>
      <c r="D5227" s="13">
        <v>-324</v>
      </c>
      <c r="E5227" s="13">
        <v>-335.84123100000011</v>
      </c>
      <c r="F5227" s="13">
        <v>-329.352529</v>
      </c>
      <c r="G5227" s="13">
        <v>-346.241242</v>
      </c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</row>
    <row r="5228" spans="1:19" x14ac:dyDescent="0.2">
      <c r="A5228" s="12" t="s">
        <v>456</v>
      </c>
      <c r="B5228" s="12" t="s">
        <v>569</v>
      </c>
      <c r="C5228" s="12" t="s">
        <v>560</v>
      </c>
      <c r="D5228" s="13">
        <v>0</v>
      </c>
      <c r="E5228" s="13">
        <v>0</v>
      </c>
      <c r="F5228" s="13">
        <v>0</v>
      </c>
      <c r="G5228" s="13">
        <v>0</v>
      </c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</row>
    <row r="5229" spans="1:19" x14ac:dyDescent="0.2">
      <c r="A5229" s="12" t="s">
        <v>456</v>
      </c>
      <c r="B5229" s="12" t="s">
        <v>569</v>
      </c>
      <c r="C5229" s="12" t="s">
        <v>561</v>
      </c>
      <c r="D5229" s="13">
        <v>62</v>
      </c>
      <c r="E5229" s="13">
        <v>61.345219999999998</v>
      </c>
      <c r="F5229" s="13">
        <v>59.458744000000003</v>
      </c>
      <c r="G5229" s="13">
        <v>56.019865000000003</v>
      </c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</row>
    <row r="5230" spans="1:19" x14ac:dyDescent="0.2">
      <c r="A5230" s="12" t="s">
        <v>456</v>
      </c>
      <c r="B5230" s="12" t="s">
        <v>569</v>
      </c>
      <c r="C5230" s="12" t="s">
        <v>562</v>
      </c>
      <c r="D5230" s="13">
        <v>56</v>
      </c>
      <c r="E5230" s="13">
        <v>55.378389000000013</v>
      </c>
      <c r="F5230" s="13">
        <v>53.545198999999997</v>
      </c>
      <c r="G5230" s="13">
        <v>50.022286999999999</v>
      </c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</row>
    <row r="5231" spans="1:19" x14ac:dyDescent="0.2">
      <c r="A5231" s="12" t="s">
        <v>456</v>
      </c>
      <c r="B5231" s="12" t="s">
        <v>569</v>
      </c>
      <c r="C5231" s="12" t="s">
        <v>563</v>
      </c>
      <c r="D5231" s="13">
        <v>0</v>
      </c>
      <c r="E5231" s="13">
        <v>5.4022000000000001E-2</v>
      </c>
      <c r="F5231" s="13">
        <v>5.8757999999999998E-2</v>
      </c>
      <c r="G5231" s="13">
        <v>0.114978</v>
      </c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</row>
    <row r="5232" spans="1:19" x14ac:dyDescent="0.2">
      <c r="A5232" s="12" t="s">
        <v>456</v>
      </c>
      <c r="B5232" s="12" t="s">
        <v>569</v>
      </c>
      <c r="C5232" s="12" t="s">
        <v>564</v>
      </c>
      <c r="D5232" s="13">
        <v>3</v>
      </c>
      <c r="E5232" s="13">
        <v>2.7212190000000001</v>
      </c>
      <c r="F5232" s="13">
        <v>2.4757009999999999</v>
      </c>
      <c r="G5232" s="13">
        <v>2.3510010000000001</v>
      </c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</row>
    <row r="5233" spans="1:19" x14ac:dyDescent="0.2">
      <c r="A5233" s="12" t="s">
        <v>456</v>
      </c>
      <c r="B5233" s="12" t="s">
        <v>569</v>
      </c>
      <c r="C5233" s="12" t="s">
        <v>565</v>
      </c>
      <c r="D5233" s="13">
        <v>3</v>
      </c>
      <c r="E5233" s="13">
        <v>3.146083</v>
      </c>
      <c r="F5233" s="13">
        <v>3.3022670000000001</v>
      </c>
      <c r="G5233" s="13">
        <v>3.3999079999999999</v>
      </c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</row>
    <row r="5234" spans="1:19" x14ac:dyDescent="0.2">
      <c r="A5234" s="12" t="s">
        <v>456</v>
      </c>
      <c r="B5234" s="12" t="s">
        <v>569</v>
      </c>
      <c r="C5234" s="12" t="s">
        <v>566</v>
      </c>
      <c r="D5234" s="13">
        <v>0</v>
      </c>
      <c r="E5234" s="13">
        <v>4.5502000000000001E-2</v>
      </c>
      <c r="F5234" s="13">
        <v>7.6824000000000003E-2</v>
      </c>
      <c r="G5234" s="13">
        <v>0.131692</v>
      </c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</row>
    <row r="5235" spans="1:19" x14ac:dyDescent="0.2">
      <c r="A5235" s="12" t="s">
        <v>456</v>
      </c>
      <c r="B5235" s="12" t="s">
        <v>570</v>
      </c>
      <c r="C5235" s="12" t="s">
        <v>554</v>
      </c>
      <c r="D5235" s="13">
        <v>0</v>
      </c>
      <c r="E5235" s="13">
        <v>0</v>
      </c>
      <c r="F5235" s="13">
        <v>0</v>
      </c>
      <c r="G5235" s="13">
        <v>0</v>
      </c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</row>
    <row r="5236" spans="1:19" x14ac:dyDescent="0.2">
      <c r="A5236" s="12" t="s">
        <v>456</v>
      </c>
      <c r="B5236" s="12" t="s">
        <v>570</v>
      </c>
      <c r="C5236" s="12" t="s">
        <v>555</v>
      </c>
      <c r="D5236" s="13">
        <v>0</v>
      </c>
      <c r="E5236" s="13">
        <v>0</v>
      </c>
      <c r="F5236" s="13">
        <v>0</v>
      </c>
      <c r="G5236" s="13">
        <v>0</v>
      </c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</row>
    <row r="5237" spans="1:19" x14ac:dyDescent="0.2">
      <c r="A5237" s="12" t="s">
        <v>456</v>
      </c>
      <c r="B5237" s="12" t="s">
        <v>570</v>
      </c>
      <c r="C5237" s="12" t="s">
        <v>556</v>
      </c>
      <c r="D5237" s="13">
        <v>0</v>
      </c>
      <c r="E5237" s="13">
        <v>0</v>
      </c>
      <c r="F5237" s="13">
        <v>0</v>
      </c>
      <c r="G5237" s="13">
        <v>0</v>
      </c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</row>
    <row r="5238" spans="1:19" x14ac:dyDescent="0.2">
      <c r="A5238" s="12" t="s">
        <v>456</v>
      </c>
      <c r="B5238" s="12" t="s">
        <v>570</v>
      </c>
      <c r="C5238" s="12" t="s">
        <v>557</v>
      </c>
      <c r="D5238" s="13">
        <v>0</v>
      </c>
      <c r="E5238" s="13">
        <v>0</v>
      </c>
      <c r="F5238" s="13">
        <v>0</v>
      </c>
      <c r="G5238" s="13">
        <v>0</v>
      </c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</row>
    <row r="5239" spans="1:19" x14ac:dyDescent="0.2">
      <c r="A5239" s="12" t="s">
        <v>456</v>
      </c>
      <c r="B5239" s="12" t="s">
        <v>570</v>
      </c>
      <c r="C5239" s="12" t="s">
        <v>558</v>
      </c>
      <c r="D5239" s="13">
        <v>0</v>
      </c>
      <c r="E5239" s="13">
        <v>0</v>
      </c>
      <c r="F5239" s="13">
        <v>0</v>
      </c>
      <c r="G5239" s="13">
        <v>0</v>
      </c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</row>
    <row r="5240" spans="1:19" x14ac:dyDescent="0.2">
      <c r="A5240" s="12" t="s">
        <v>456</v>
      </c>
      <c r="B5240" s="12" t="s">
        <v>570</v>
      </c>
      <c r="C5240" s="12" t="s">
        <v>560</v>
      </c>
      <c r="D5240" s="13">
        <v>0</v>
      </c>
      <c r="E5240" s="13">
        <v>0</v>
      </c>
      <c r="F5240" s="13">
        <v>0</v>
      </c>
      <c r="G5240" s="13">
        <v>0</v>
      </c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</row>
    <row r="5241" spans="1:19" x14ac:dyDescent="0.2">
      <c r="A5241" s="12" t="s">
        <v>456</v>
      </c>
      <c r="B5241" s="12" t="s">
        <v>570</v>
      </c>
      <c r="C5241" s="12" t="s">
        <v>561</v>
      </c>
      <c r="D5241" s="13">
        <v>0</v>
      </c>
      <c r="E5241" s="13">
        <v>0</v>
      </c>
      <c r="F5241" s="13">
        <v>0</v>
      </c>
      <c r="G5241" s="13">
        <v>0</v>
      </c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</row>
    <row r="5242" spans="1:19" x14ac:dyDescent="0.2">
      <c r="A5242" s="12" t="s">
        <v>456</v>
      </c>
      <c r="B5242" s="12" t="s">
        <v>570</v>
      </c>
      <c r="C5242" s="12" t="s">
        <v>562</v>
      </c>
      <c r="D5242" s="13">
        <v>0</v>
      </c>
      <c r="E5242" s="13">
        <v>0</v>
      </c>
      <c r="F5242" s="13">
        <v>0</v>
      </c>
      <c r="G5242" s="13">
        <v>0</v>
      </c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</row>
    <row r="5243" spans="1:19" x14ac:dyDescent="0.2">
      <c r="A5243" s="12" t="s">
        <v>456</v>
      </c>
      <c r="B5243" s="12" t="s">
        <v>570</v>
      </c>
      <c r="C5243" s="12" t="s">
        <v>563</v>
      </c>
      <c r="D5243" s="13">
        <v>0</v>
      </c>
      <c r="E5243" s="13">
        <v>0</v>
      </c>
      <c r="F5243" s="13">
        <v>0</v>
      </c>
      <c r="G5243" s="13">
        <v>0</v>
      </c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</row>
    <row r="5244" spans="1:19" x14ac:dyDescent="0.2">
      <c r="A5244" s="12" t="s">
        <v>456</v>
      </c>
      <c r="B5244" s="12" t="s">
        <v>570</v>
      </c>
      <c r="C5244" s="12" t="s">
        <v>564</v>
      </c>
      <c r="D5244" s="13">
        <v>0</v>
      </c>
      <c r="E5244" s="13">
        <v>0</v>
      </c>
      <c r="F5244" s="13">
        <v>0</v>
      </c>
      <c r="G5244" s="13">
        <v>0</v>
      </c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</row>
    <row r="5245" spans="1:19" x14ac:dyDescent="0.2">
      <c r="A5245" s="12" t="s">
        <v>456</v>
      </c>
      <c r="B5245" s="12" t="s">
        <v>570</v>
      </c>
      <c r="C5245" s="12" t="s">
        <v>565</v>
      </c>
      <c r="D5245" s="13">
        <v>0</v>
      </c>
      <c r="E5245" s="13">
        <v>0</v>
      </c>
      <c r="F5245" s="13">
        <v>0</v>
      </c>
      <c r="G5245" s="13">
        <v>0</v>
      </c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</row>
    <row r="5246" spans="1:19" x14ac:dyDescent="0.2">
      <c r="A5246" s="12" t="s">
        <v>456</v>
      </c>
      <c r="B5246" s="12" t="s">
        <v>570</v>
      </c>
      <c r="C5246" s="12" t="s">
        <v>566</v>
      </c>
      <c r="D5246" s="13">
        <v>0</v>
      </c>
      <c r="E5246" s="13">
        <v>0</v>
      </c>
      <c r="F5246" s="13">
        <v>0</v>
      </c>
      <c r="G5246" s="13">
        <v>0</v>
      </c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</row>
    <row r="5247" spans="1:19" x14ac:dyDescent="0.2">
      <c r="A5247" s="12" t="s">
        <v>456</v>
      </c>
      <c r="B5247" s="12" t="s">
        <v>571</v>
      </c>
      <c r="C5247" s="12" t="s">
        <v>554</v>
      </c>
      <c r="D5247" s="13">
        <v>25</v>
      </c>
      <c r="E5247" s="13">
        <v>24.579556</v>
      </c>
      <c r="F5247" s="13">
        <v>34.036239000000002</v>
      </c>
      <c r="G5247" s="13">
        <v>49.453778000000007</v>
      </c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</row>
    <row r="5248" spans="1:19" x14ac:dyDescent="0.2">
      <c r="A5248" s="12" t="s">
        <v>456</v>
      </c>
      <c r="B5248" s="12" t="s">
        <v>571</v>
      </c>
      <c r="C5248" s="12" t="s">
        <v>555</v>
      </c>
      <c r="D5248" s="13">
        <v>3</v>
      </c>
      <c r="E5248" s="13">
        <v>3.4499230000000001</v>
      </c>
      <c r="F5248" s="13">
        <v>3.5085380000000002</v>
      </c>
      <c r="G5248" s="13">
        <v>3.7723070000000001</v>
      </c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</row>
    <row r="5249" spans="1:19" x14ac:dyDescent="0.2">
      <c r="A5249" s="12" t="s">
        <v>456</v>
      </c>
      <c r="B5249" s="12" t="s">
        <v>571</v>
      </c>
      <c r="C5249" s="12" t="s">
        <v>556</v>
      </c>
      <c r="D5249" s="13">
        <v>0</v>
      </c>
      <c r="E5249" s="13">
        <v>0</v>
      </c>
      <c r="F5249" s="13">
        <v>0</v>
      </c>
      <c r="G5249" s="13">
        <v>0</v>
      </c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</row>
    <row r="5250" spans="1:19" x14ac:dyDescent="0.2">
      <c r="A5250" s="12" t="s">
        <v>456</v>
      </c>
      <c r="B5250" s="12" t="s">
        <v>571</v>
      </c>
      <c r="C5250" s="12" t="s">
        <v>557</v>
      </c>
      <c r="D5250" s="13">
        <v>28</v>
      </c>
      <c r="E5250" s="13">
        <v>27.955511000000001</v>
      </c>
      <c r="F5250" s="13">
        <v>32.385416999999997</v>
      </c>
      <c r="G5250" s="13">
        <v>33.938099999999999</v>
      </c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</row>
    <row r="5251" spans="1:19" x14ac:dyDescent="0.2">
      <c r="A5251" s="12" t="s">
        <v>456</v>
      </c>
      <c r="B5251" s="12" t="s">
        <v>571</v>
      </c>
      <c r="C5251" s="12" t="s">
        <v>558</v>
      </c>
      <c r="D5251" s="13">
        <v>-28</v>
      </c>
      <c r="E5251" s="13">
        <v>-27.955511000000001</v>
      </c>
      <c r="F5251" s="13">
        <v>-32.385416999999997</v>
      </c>
      <c r="G5251" s="13">
        <v>-33.938099999999999</v>
      </c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</row>
    <row r="5252" spans="1:19" x14ac:dyDescent="0.2">
      <c r="A5252" s="12" t="s">
        <v>456</v>
      </c>
      <c r="B5252" s="12" t="s">
        <v>571</v>
      </c>
      <c r="C5252" s="12" t="s">
        <v>560</v>
      </c>
      <c r="D5252" s="13">
        <v>0</v>
      </c>
      <c r="E5252" s="13">
        <v>0</v>
      </c>
      <c r="F5252" s="13">
        <v>0</v>
      </c>
      <c r="G5252" s="13">
        <v>0</v>
      </c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</row>
    <row r="5253" spans="1:19" x14ac:dyDescent="0.2">
      <c r="A5253" s="12" t="s">
        <v>456</v>
      </c>
      <c r="B5253" s="12" t="s">
        <v>571</v>
      </c>
      <c r="C5253" s="12" t="s">
        <v>561</v>
      </c>
      <c r="D5253" s="13">
        <v>0</v>
      </c>
      <c r="E5253" s="13">
        <v>0</v>
      </c>
      <c r="F5253" s="13">
        <v>0</v>
      </c>
      <c r="G5253" s="13">
        <v>0</v>
      </c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</row>
    <row r="5254" spans="1:19" x14ac:dyDescent="0.2">
      <c r="A5254" s="12" t="s">
        <v>456</v>
      </c>
      <c r="B5254" s="12" t="s">
        <v>571</v>
      </c>
      <c r="C5254" s="12" t="s">
        <v>562</v>
      </c>
      <c r="D5254" s="13">
        <v>0</v>
      </c>
      <c r="E5254" s="13">
        <v>0</v>
      </c>
      <c r="F5254" s="13">
        <v>0</v>
      </c>
      <c r="G5254" s="13">
        <v>0</v>
      </c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</row>
    <row r="5255" spans="1:19" x14ac:dyDescent="0.2">
      <c r="A5255" s="12" t="s">
        <v>456</v>
      </c>
      <c r="B5255" s="12" t="s">
        <v>571</v>
      </c>
      <c r="C5255" s="12" t="s">
        <v>563</v>
      </c>
      <c r="D5255" s="13">
        <v>0</v>
      </c>
      <c r="E5255" s="13">
        <v>0</v>
      </c>
      <c r="F5255" s="13">
        <v>0</v>
      </c>
      <c r="G5255" s="13">
        <v>0</v>
      </c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</row>
    <row r="5256" spans="1:19" x14ac:dyDescent="0.2">
      <c r="A5256" s="12" t="s">
        <v>456</v>
      </c>
      <c r="B5256" s="12" t="s">
        <v>571</v>
      </c>
      <c r="C5256" s="12" t="s">
        <v>564</v>
      </c>
      <c r="D5256" s="13">
        <v>0</v>
      </c>
      <c r="E5256" s="13">
        <v>0</v>
      </c>
      <c r="F5256" s="13">
        <v>0</v>
      </c>
      <c r="G5256" s="13">
        <v>0</v>
      </c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</row>
    <row r="5257" spans="1:19" x14ac:dyDescent="0.2">
      <c r="A5257" s="12" t="s">
        <v>456</v>
      </c>
      <c r="B5257" s="12" t="s">
        <v>571</v>
      </c>
      <c r="C5257" s="12" t="s">
        <v>565</v>
      </c>
      <c r="D5257" s="13">
        <v>0</v>
      </c>
      <c r="E5257" s="13">
        <v>0</v>
      </c>
      <c r="F5257" s="13">
        <v>0</v>
      </c>
      <c r="G5257" s="13">
        <v>0</v>
      </c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</row>
    <row r="5258" spans="1:19" x14ac:dyDescent="0.2">
      <c r="A5258" s="12" t="s">
        <v>456</v>
      </c>
      <c r="B5258" s="12" t="s">
        <v>571</v>
      </c>
      <c r="C5258" s="12" t="s">
        <v>566</v>
      </c>
      <c r="D5258" s="13">
        <v>0</v>
      </c>
      <c r="E5258" s="13">
        <v>0</v>
      </c>
      <c r="F5258" s="13">
        <v>0</v>
      </c>
      <c r="G5258" s="13">
        <v>0</v>
      </c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</row>
    <row r="5259" spans="1:19" x14ac:dyDescent="0.2">
      <c r="A5259" s="12" t="s">
        <v>456</v>
      </c>
      <c r="B5259" s="12" t="s">
        <v>572</v>
      </c>
      <c r="C5259" s="12" t="s">
        <v>554</v>
      </c>
      <c r="D5259" s="13">
        <v>0</v>
      </c>
      <c r="E5259" s="13">
        <v>0</v>
      </c>
      <c r="F5259" s="13">
        <v>0</v>
      </c>
      <c r="G5259" s="13">
        <v>0</v>
      </c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</row>
    <row r="5260" spans="1:19" x14ac:dyDescent="0.2">
      <c r="A5260" s="12" t="s">
        <v>456</v>
      </c>
      <c r="B5260" s="12" t="s">
        <v>572</v>
      </c>
      <c r="C5260" s="12" t="s">
        <v>555</v>
      </c>
      <c r="D5260" s="13">
        <v>0</v>
      </c>
      <c r="E5260" s="13">
        <v>0</v>
      </c>
      <c r="F5260" s="13">
        <v>0</v>
      </c>
      <c r="G5260" s="13">
        <v>0</v>
      </c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</row>
    <row r="5261" spans="1:19" x14ac:dyDescent="0.2">
      <c r="A5261" s="12" t="s">
        <v>456</v>
      </c>
      <c r="B5261" s="12" t="s">
        <v>572</v>
      </c>
      <c r="C5261" s="12" t="s">
        <v>556</v>
      </c>
      <c r="D5261" s="13">
        <v>0</v>
      </c>
      <c r="E5261" s="13">
        <v>0</v>
      </c>
      <c r="F5261" s="13">
        <v>0</v>
      </c>
      <c r="G5261" s="13">
        <v>0</v>
      </c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</row>
    <row r="5262" spans="1:19" x14ac:dyDescent="0.2">
      <c r="A5262" s="12" t="s">
        <v>456</v>
      </c>
      <c r="B5262" s="12" t="s">
        <v>572</v>
      </c>
      <c r="C5262" s="12" t="s">
        <v>557</v>
      </c>
      <c r="D5262" s="13">
        <v>0</v>
      </c>
      <c r="E5262" s="13">
        <v>0</v>
      </c>
      <c r="F5262" s="13">
        <v>0</v>
      </c>
      <c r="G5262" s="13">
        <v>0</v>
      </c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</row>
    <row r="5263" spans="1:19" x14ac:dyDescent="0.2">
      <c r="A5263" s="12" t="s">
        <v>456</v>
      </c>
      <c r="B5263" s="12" t="s">
        <v>572</v>
      </c>
      <c r="C5263" s="12" t="s">
        <v>558</v>
      </c>
      <c r="D5263" s="13">
        <v>192</v>
      </c>
      <c r="E5263" s="13">
        <v>202.907995</v>
      </c>
      <c r="F5263" s="13">
        <v>206.433021</v>
      </c>
      <c r="G5263" s="13">
        <v>208.20011</v>
      </c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</row>
    <row r="5264" spans="1:19" x14ac:dyDescent="0.2">
      <c r="A5264" s="12" t="s">
        <v>456</v>
      </c>
      <c r="B5264" s="12" t="s">
        <v>572</v>
      </c>
      <c r="C5264" s="12" t="s">
        <v>560</v>
      </c>
      <c r="D5264" s="13">
        <v>0</v>
      </c>
      <c r="E5264" s="13">
        <v>0</v>
      </c>
      <c r="F5264" s="13">
        <v>0</v>
      </c>
      <c r="G5264" s="13">
        <v>0</v>
      </c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</row>
    <row r="5265" spans="1:19" x14ac:dyDescent="0.2">
      <c r="A5265" s="12" t="s">
        <v>456</v>
      </c>
      <c r="B5265" s="12" t="s">
        <v>572</v>
      </c>
      <c r="C5265" s="12" t="s">
        <v>561</v>
      </c>
      <c r="D5265" s="13">
        <v>183</v>
      </c>
      <c r="E5265" s="13">
        <v>192.54059899999999</v>
      </c>
      <c r="F5265" s="13">
        <v>197.58563899999999</v>
      </c>
      <c r="G5265" s="13">
        <v>199.392841</v>
      </c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</row>
    <row r="5266" spans="1:19" x14ac:dyDescent="0.2">
      <c r="A5266" s="12" t="s">
        <v>456</v>
      </c>
      <c r="B5266" s="12" t="s">
        <v>572</v>
      </c>
      <c r="C5266" s="12" t="s">
        <v>562</v>
      </c>
      <c r="D5266" s="13">
        <v>70</v>
      </c>
      <c r="E5266" s="13">
        <v>74.918880000000001</v>
      </c>
      <c r="F5266" s="13">
        <v>76.331879000000001</v>
      </c>
      <c r="G5266" s="13">
        <v>74.346480999999997</v>
      </c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</row>
    <row r="5267" spans="1:19" x14ac:dyDescent="0.2">
      <c r="A5267" s="12" t="s">
        <v>456</v>
      </c>
      <c r="B5267" s="12" t="s">
        <v>572</v>
      </c>
      <c r="C5267" s="12" t="s">
        <v>563</v>
      </c>
      <c r="D5267" s="13">
        <v>10</v>
      </c>
      <c r="E5267" s="13">
        <v>10.240561</v>
      </c>
      <c r="F5267" s="13">
        <v>10.438919</v>
      </c>
      <c r="G5267" s="13">
        <v>10.908720000000001</v>
      </c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</row>
    <row r="5268" spans="1:19" x14ac:dyDescent="0.2">
      <c r="A5268" s="12" t="s">
        <v>456</v>
      </c>
      <c r="B5268" s="12" t="s">
        <v>572</v>
      </c>
      <c r="C5268" s="12" t="s">
        <v>564</v>
      </c>
      <c r="D5268" s="13">
        <v>30</v>
      </c>
      <c r="E5268" s="13">
        <v>29.799721000000002</v>
      </c>
      <c r="F5268" s="13">
        <v>28.479602</v>
      </c>
      <c r="G5268" s="13">
        <v>28.810438000000001</v>
      </c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</row>
    <row r="5269" spans="1:19" x14ac:dyDescent="0.2">
      <c r="A5269" s="12" t="s">
        <v>456</v>
      </c>
      <c r="B5269" s="12" t="s">
        <v>572</v>
      </c>
      <c r="C5269" s="12" t="s">
        <v>565</v>
      </c>
      <c r="D5269" s="13">
        <v>72</v>
      </c>
      <c r="E5269" s="13">
        <v>76.750558999999996</v>
      </c>
      <c r="F5269" s="13">
        <v>81.640799999999999</v>
      </c>
      <c r="G5269" s="13">
        <v>84.758039999999994</v>
      </c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</row>
    <row r="5270" spans="1:19" x14ac:dyDescent="0.2">
      <c r="A5270" s="12" t="s">
        <v>456</v>
      </c>
      <c r="B5270" s="12" t="s">
        <v>572</v>
      </c>
      <c r="C5270" s="12" t="s">
        <v>566</v>
      </c>
      <c r="D5270" s="13">
        <v>1</v>
      </c>
      <c r="E5270" s="13">
        <v>0.83087900000000003</v>
      </c>
      <c r="F5270" s="13">
        <v>0.69443900000000003</v>
      </c>
      <c r="G5270" s="13">
        <v>0.56916200000000006</v>
      </c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</row>
    <row r="5271" spans="1:19" x14ac:dyDescent="0.2">
      <c r="A5271" s="12" t="s">
        <v>456</v>
      </c>
      <c r="B5271" s="12" t="s">
        <v>573</v>
      </c>
      <c r="C5271" s="12" t="s">
        <v>554</v>
      </c>
      <c r="D5271" s="13">
        <v>0</v>
      </c>
      <c r="E5271" s="13">
        <v>0</v>
      </c>
      <c r="F5271" s="13">
        <v>0</v>
      </c>
      <c r="G5271" s="13">
        <v>0</v>
      </c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</row>
    <row r="5272" spans="1:19" x14ac:dyDescent="0.2">
      <c r="A5272" s="12" t="s">
        <v>456</v>
      </c>
      <c r="B5272" s="12" t="s">
        <v>573</v>
      </c>
      <c r="C5272" s="12" t="s">
        <v>555</v>
      </c>
      <c r="D5272" s="13">
        <v>0</v>
      </c>
      <c r="E5272" s="13">
        <v>0</v>
      </c>
      <c r="F5272" s="13">
        <v>0</v>
      </c>
      <c r="G5272" s="13">
        <v>0</v>
      </c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</row>
    <row r="5273" spans="1:19" x14ac:dyDescent="0.2">
      <c r="A5273" s="12" t="s">
        <v>456</v>
      </c>
      <c r="B5273" s="12" t="s">
        <v>573</v>
      </c>
      <c r="C5273" s="12" t="s">
        <v>556</v>
      </c>
      <c r="D5273" s="13">
        <v>0</v>
      </c>
      <c r="E5273" s="13">
        <v>0</v>
      </c>
      <c r="F5273" s="13">
        <v>0</v>
      </c>
      <c r="G5273" s="13">
        <v>0</v>
      </c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</row>
    <row r="5274" spans="1:19" x14ac:dyDescent="0.2">
      <c r="A5274" s="12" t="s">
        <v>456</v>
      </c>
      <c r="B5274" s="12" t="s">
        <v>573</v>
      </c>
      <c r="C5274" s="12" t="s">
        <v>557</v>
      </c>
      <c r="D5274" s="13">
        <v>0</v>
      </c>
      <c r="E5274" s="13">
        <v>0</v>
      </c>
      <c r="F5274" s="13">
        <v>0</v>
      </c>
      <c r="G5274" s="13">
        <v>0</v>
      </c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</row>
    <row r="5275" spans="1:19" x14ac:dyDescent="0.2">
      <c r="A5275" s="12" t="s">
        <v>456</v>
      </c>
      <c r="B5275" s="12" t="s">
        <v>573</v>
      </c>
      <c r="C5275" s="12" t="s">
        <v>558</v>
      </c>
      <c r="D5275" s="13">
        <v>0</v>
      </c>
      <c r="E5275" s="13">
        <v>0</v>
      </c>
      <c r="F5275" s="13">
        <v>0</v>
      </c>
      <c r="G5275" s="13">
        <v>0</v>
      </c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</row>
    <row r="5276" spans="1:19" x14ac:dyDescent="0.2">
      <c r="A5276" s="12" t="s">
        <v>456</v>
      </c>
      <c r="B5276" s="12" t="s">
        <v>573</v>
      </c>
      <c r="C5276" s="12" t="s">
        <v>560</v>
      </c>
      <c r="D5276" s="13">
        <v>0</v>
      </c>
      <c r="E5276" s="13">
        <v>0</v>
      </c>
      <c r="F5276" s="13">
        <v>0</v>
      </c>
      <c r="G5276" s="13">
        <v>0</v>
      </c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</row>
    <row r="5277" spans="1:19" x14ac:dyDescent="0.2">
      <c r="A5277" s="12" t="s">
        <v>456</v>
      </c>
      <c r="B5277" s="12" t="s">
        <v>573</v>
      </c>
      <c r="C5277" s="12" t="s">
        <v>561</v>
      </c>
      <c r="D5277" s="13">
        <v>0</v>
      </c>
      <c r="E5277" s="13">
        <v>0</v>
      </c>
      <c r="F5277" s="13">
        <v>0</v>
      </c>
      <c r="G5277" s="13">
        <v>0</v>
      </c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</row>
    <row r="5278" spans="1:19" x14ac:dyDescent="0.2">
      <c r="A5278" s="12" t="s">
        <v>456</v>
      </c>
      <c r="B5278" s="12" t="s">
        <v>573</v>
      </c>
      <c r="C5278" s="12" t="s">
        <v>562</v>
      </c>
      <c r="D5278" s="13">
        <v>0</v>
      </c>
      <c r="E5278" s="13">
        <v>0</v>
      </c>
      <c r="F5278" s="13">
        <v>0</v>
      </c>
      <c r="G5278" s="13">
        <v>0</v>
      </c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</row>
    <row r="5279" spans="1:19" x14ac:dyDescent="0.2">
      <c r="A5279" s="12" t="s">
        <v>456</v>
      </c>
      <c r="B5279" s="12" t="s">
        <v>573</v>
      </c>
      <c r="C5279" s="12" t="s">
        <v>563</v>
      </c>
      <c r="D5279" s="13">
        <v>0</v>
      </c>
      <c r="E5279" s="13">
        <v>0</v>
      </c>
      <c r="F5279" s="13">
        <v>0</v>
      </c>
      <c r="G5279" s="13">
        <v>0</v>
      </c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</row>
    <row r="5280" spans="1:19" x14ac:dyDescent="0.2">
      <c r="A5280" s="12" t="s">
        <v>456</v>
      </c>
      <c r="B5280" s="12" t="s">
        <v>573</v>
      </c>
      <c r="C5280" s="12" t="s">
        <v>564</v>
      </c>
      <c r="D5280" s="13">
        <v>0</v>
      </c>
      <c r="E5280" s="13">
        <v>0</v>
      </c>
      <c r="F5280" s="13">
        <v>0</v>
      </c>
      <c r="G5280" s="13">
        <v>0</v>
      </c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</row>
    <row r="5281" spans="1:19" x14ac:dyDescent="0.2">
      <c r="A5281" s="12" t="s">
        <v>456</v>
      </c>
      <c r="B5281" s="12" t="s">
        <v>573</v>
      </c>
      <c r="C5281" s="12" t="s">
        <v>565</v>
      </c>
      <c r="D5281" s="13">
        <v>0</v>
      </c>
      <c r="E5281" s="13">
        <v>0</v>
      </c>
      <c r="F5281" s="13">
        <v>0</v>
      </c>
      <c r="G5281" s="13">
        <v>0</v>
      </c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</row>
    <row r="5282" spans="1:19" x14ac:dyDescent="0.2">
      <c r="A5282" s="12" t="s">
        <v>456</v>
      </c>
      <c r="B5282" s="12" t="s">
        <v>573</v>
      </c>
      <c r="C5282" s="12" t="s">
        <v>566</v>
      </c>
      <c r="D5282" s="13">
        <v>0</v>
      </c>
      <c r="E5282" s="13">
        <v>0</v>
      </c>
      <c r="F5282" s="13">
        <v>0</v>
      </c>
      <c r="G5282" s="13">
        <v>0</v>
      </c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</row>
    <row r="5283" spans="1:19" x14ac:dyDescent="0.2">
      <c r="A5283" s="12" t="s">
        <v>456</v>
      </c>
      <c r="B5283" s="12" t="s">
        <v>574</v>
      </c>
      <c r="C5283" s="12" t="s">
        <v>554</v>
      </c>
      <c r="D5283" s="13">
        <v>25</v>
      </c>
      <c r="E5283" s="13">
        <v>24.579556</v>
      </c>
      <c r="F5283" s="13">
        <v>34.036239000000002</v>
      </c>
      <c r="G5283" s="13">
        <v>49.453778</v>
      </c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</row>
    <row r="5284" spans="1:19" x14ac:dyDescent="0.2">
      <c r="A5284" s="12" t="s">
        <v>456</v>
      </c>
      <c r="B5284" s="12" t="s">
        <v>574</v>
      </c>
      <c r="C5284" s="12" t="s">
        <v>555</v>
      </c>
      <c r="D5284" s="13">
        <v>6559</v>
      </c>
      <c r="E5284" s="13">
        <v>6405.906011</v>
      </c>
      <c r="F5284" s="13">
        <v>6437.1385599999994</v>
      </c>
      <c r="G5284" s="13">
        <v>6796.2192649999997</v>
      </c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</row>
    <row r="5285" spans="1:19" x14ac:dyDescent="0.2">
      <c r="A5285" s="12" t="s">
        <v>456</v>
      </c>
      <c r="B5285" s="12" t="s">
        <v>574</v>
      </c>
      <c r="C5285" s="12" t="s">
        <v>556</v>
      </c>
      <c r="D5285" s="13">
        <v>-3073</v>
      </c>
      <c r="E5285" s="13">
        <v>-3018.3214079999998</v>
      </c>
      <c r="F5285" s="13">
        <v>-2908.771119</v>
      </c>
      <c r="G5285" s="13">
        <v>-3136.355188</v>
      </c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</row>
    <row r="5286" spans="1:19" x14ac:dyDescent="0.2">
      <c r="A5286" s="12" t="s">
        <v>456</v>
      </c>
      <c r="B5286" s="12" t="s">
        <v>574</v>
      </c>
      <c r="C5286" s="12" t="s">
        <v>557</v>
      </c>
      <c r="D5286" s="13">
        <v>1318</v>
      </c>
      <c r="E5286" s="13">
        <v>1362.2912160000001</v>
      </c>
      <c r="F5286" s="13">
        <v>1365.333768</v>
      </c>
      <c r="G5286" s="13">
        <v>1308.858747</v>
      </c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</row>
    <row r="5287" spans="1:19" x14ac:dyDescent="0.2">
      <c r="A5287" s="12" t="s">
        <v>456</v>
      </c>
      <c r="B5287" s="12" t="s">
        <v>574</v>
      </c>
      <c r="C5287" s="12" t="s">
        <v>558</v>
      </c>
      <c r="D5287" s="13">
        <v>-174</v>
      </c>
      <c r="E5287" s="13">
        <v>-180.69231500000001</v>
      </c>
      <c r="F5287" s="13">
        <v>-180.20465300000001</v>
      </c>
      <c r="G5287" s="13">
        <v>-186.48400799999999</v>
      </c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</row>
    <row r="5288" spans="1:19" x14ac:dyDescent="0.2">
      <c r="A5288" s="12" t="s">
        <v>456</v>
      </c>
      <c r="B5288" s="12" t="s">
        <v>574</v>
      </c>
      <c r="C5288" s="12" t="s">
        <v>560</v>
      </c>
      <c r="D5288" s="13">
        <v>-37</v>
      </c>
      <c r="E5288" s="13">
        <v>-34.347008000000002</v>
      </c>
      <c r="F5288" s="13">
        <v>-52.708747000000002</v>
      </c>
      <c r="G5288" s="13">
        <v>-2.3957869999999999</v>
      </c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</row>
    <row r="5289" spans="1:19" x14ac:dyDescent="0.2">
      <c r="A5289" s="12" t="s">
        <v>456</v>
      </c>
      <c r="B5289" s="12" t="s">
        <v>574</v>
      </c>
      <c r="C5289" s="12" t="s">
        <v>561</v>
      </c>
      <c r="D5289" s="13">
        <v>726</v>
      </c>
      <c r="E5289" s="13">
        <v>759.03598299999999</v>
      </c>
      <c r="F5289" s="13">
        <v>770.23669100000006</v>
      </c>
      <c r="G5289" s="13">
        <v>758.13112000000001</v>
      </c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</row>
    <row r="5290" spans="1:19" x14ac:dyDescent="0.2">
      <c r="A5290" s="12" t="s">
        <v>456</v>
      </c>
      <c r="B5290" s="12" t="s">
        <v>574</v>
      </c>
      <c r="C5290" s="12" t="s">
        <v>562</v>
      </c>
      <c r="D5290" s="13">
        <v>271</v>
      </c>
      <c r="E5290" s="13">
        <v>286.990813</v>
      </c>
      <c r="F5290" s="13">
        <v>291.99706200000003</v>
      </c>
      <c r="G5290" s="13">
        <v>287.44745400000011</v>
      </c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</row>
    <row r="5291" spans="1:19" x14ac:dyDescent="0.2">
      <c r="A5291" s="12" t="s">
        <v>456</v>
      </c>
      <c r="B5291" s="12" t="s">
        <v>574</v>
      </c>
      <c r="C5291" s="12" t="s">
        <v>563</v>
      </c>
      <c r="D5291" s="13">
        <v>96</v>
      </c>
      <c r="E5291" s="13">
        <v>95.427990999999992</v>
      </c>
      <c r="F5291" s="13">
        <v>93.95803500000001</v>
      </c>
      <c r="G5291" s="13">
        <v>91.997641000000002</v>
      </c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</row>
    <row r="5292" spans="1:19" x14ac:dyDescent="0.2">
      <c r="A5292" s="12" t="s">
        <v>456</v>
      </c>
      <c r="B5292" s="12" t="s">
        <v>574</v>
      </c>
      <c r="C5292" s="12" t="s">
        <v>564</v>
      </c>
      <c r="D5292" s="13">
        <v>34</v>
      </c>
      <c r="E5292" s="13">
        <v>33.589067999999997</v>
      </c>
      <c r="F5292" s="13">
        <v>32.053040000000003</v>
      </c>
      <c r="G5292" s="13">
        <v>32.300044</v>
      </c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</row>
    <row r="5293" spans="1:19" x14ac:dyDescent="0.2">
      <c r="A5293" s="12" t="s">
        <v>456</v>
      </c>
      <c r="B5293" s="12" t="s">
        <v>574</v>
      </c>
      <c r="C5293" s="12" t="s">
        <v>565</v>
      </c>
      <c r="D5293" s="13">
        <v>78</v>
      </c>
      <c r="E5293" s="13">
        <v>83.128696000000005</v>
      </c>
      <c r="F5293" s="13">
        <v>88.264710999999991</v>
      </c>
      <c r="G5293" s="13">
        <v>91.603278000000003</v>
      </c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</row>
    <row r="5294" spans="1:19" x14ac:dyDescent="0.2">
      <c r="A5294" s="12" t="s">
        <v>456</v>
      </c>
      <c r="B5294" s="12" t="s">
        <v>574</v>
      </c>
      <c r="C5294" s="12" t="s">
        <v>566</v>
      </c>
      <c r="D5294" s="13">
        <v>248</v>
      </c>
      <c r="E5294" s="13">
        <v>259.899407</v>
      </c>
      <c r="F5294" s="13">
        <v>263.96384799999998</v>
      </c>
      <c r="G5294" s="13">
        <v>254.78269900000001</v>
      </c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</row>
    <row r="5295" spans="1:19" x14ac:dyDescent="0.2">
      <c r="A5295" s="12" t="s">
        <v>544</v>
      </c>
      <c r="B5295" s="12" t="s">
        <v>553</v>
      </c>
      <c r="C5295" s="12" t="s">
        <v>554</v>
      </c>
      <c r="D5295" s="13">
        <v>5885</v>
      </c>
      <c r="E5295" s="13">
        <v>5575.277959</v>
      </c>
      <c r="F5295" s="13">
        <v>5464.4431850000001</v>
      </c>
      <c r="G5295" s="13">
        <v>5502.2038540000003</v>
      </c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</row>
    <row r="5296" spans="1:19" x14ac:dyDescent="0.2">
      <c r="A5296" s="12" t="s">
        <v>544</v>
      </c>
      <c r="B5296" s="12" t="s">
        <v>553</v>
      </c>
      <c r="C5296" s="12" t="s">
        <v>555</v>
      </c>
      <c r="D5296" s="13">
        <v>55</v>
      </c>
      <c r="E5296" s="13">
        <v>79.891286999999991</v>
      </c>
      <c r="F5296" s="13">
        <v>68.686367000000004</v>
      </c>
      <c r="G5296" s="13">
        <v>108.541802</v>
      </c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</row>
    <row r="5297" spans="1:19" x14ac:dyDescent="0.2">
      <c r="A5297" s="12" t="s">
        <v>544</v>
      </c>
      <c r="B5297" s="12" t="s">
        <v>553</v>
      </c>
      <c r="C5297" s="12" t="s">
        <v>556</v>
      </c>
      <c r="D5297" s="13">
        <v>-2086</v>
      </c>
      <c r="E5297" s="13">
        <v>-1849.93506</v>
      </c>
      <c r="F5297" s="13">
        <v>-2009.0039839999999</v>
      </c>
      <c r="G5297" s="13">
        <v>-2057.240652</v>
      </c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</row>
    <row r="5298" spans="1:19" x14ac:dyDescent="0.2">
      <c r="A5298" s="12" t="s">
        <v>544</v>
      </c>
      <c r="B5298" s="12" t="s">
        <v>553</v>
      </c>
      <c r="C5298" s="12" t="s">
        <v>557</v>
      </c>
      <c r="D5298" s="13">
        <v>3854</v>
      </c>
      <c r="E5298" s="13">
        <v>3805.2341820000001</v>
      </c>
      <c r="F5298" s="13">
        <v>3524.1255679999999</v>
      </c>
      <c r="G5298" s="13">
        <v>3553.505009</v>
      </c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</row>
    <row r="5299" spans="1:19" x14ac:dyDescent="0.2">
      <c r="A5299" s="12" t="s">
        <v>544</v>
      </c>
      <c r="B5299" s="12" t="s">
        <v>553</v>
      </c>
      <c r="C5299" s="12" t="s">
        <v>558</v>
      </c>
      <c r="D5299" s="13">
        <v>-2609</v>
      </c>
      <c r="E5299" s="13">
        <v>-2442.4376400000001</v>
      </c>
      <c r="F5299" s="13">
        <v>-2110.3689159999999</v>
      </c>
      <c r="G5299" s="13">
        <v>-2007.813891</v>
      </c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</row>
    <row r="5300" spans="1:19" x14ac:dyDescent="0.2">
      <c r="A5300" s="12" t="s">
        <v>544</v>
      </c>
      <c r="B5300" s="12" t="s">
        <v>553</v>
      </c>
      <c r="C5300" s="12" t="s">
        <v>560</v>
      </c>
      <c r="D5300" s="13">
        <v>0</v>
      </c>
      <c r="E5300" s="13">
        <v>0</v>
      </c>
      <c r="F5300" s="13">
        <v>0</v>
      </c>
      <c r="G5300" s="13">
        <v>0</v>
      </c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</row>
    <row r="5301" spans="1:19" x14ac:dyDescent="0.2">
      <c r="A5301" s="12" t="s">
        <v>544</v>
      </c>
      <c r="B5301" s="12" t="s">
        <v>553</v>
      </c>
      <c r="C5301" s="12" t="s">
        <v>561</v>
      </c>
      <c r="D5301" s="13">
        <v>619</v>
      </c>
      <c r="E5301" s="13">
        <v>590.271254</v>
      </c>
      <c r="F5301" s="13">
        <v>560.56466899999998</v>
      </c>
      <c r="G5301" s="13">
        <v>573.08732499999996</v>
      </c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</row>
    <row r="5302" spans="1:19" x14ac:dyDescent="0.2">
      <c r="A5302" s="12" t="s">
        <v>544</v>
      </c>
      <c r="B5302" s="12" t="s">
        <v>553</v>
      </c>
      <c r="C5302" s="12" t="s">
        <v>562</v>
      </c>
      <c r="D5302" s="13">
        <v>415</v>
      </c>
      <c r="E5302" s="13">
        <v>389.10370400000011</v>
      </c>
      <c r="F5302" s="13">
        <v>371.10096600000003</v>
      </c>
      <c r="G5302" s="13">
        <v>383.51132000000001</v>
      </c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</row>
    <row r="5303" spans="1:19" x14ac:dyDescent="0.2">
      <c r="A5303" s="12" t="s">
        <v>544</v>
      </c>
      <c r="B5303" s="12" t="s">
        <v>553</v>
      </c>
      <c r="C5303" s="12" t="s">
        <v>563</v>
      </c>
      <c r="D5303" s="13">
        <v>0</v>
      </c>
      <c r="E5303" s="13">
        <v>0</v>
      </c>
      <c r="F5303" s="13">
        <v>0</v>
      </c>
      <c r="G5303" s="13">
        <v>0</v>
      </c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</row>
    <row r="5304" spans="1:19" x14ac:dyDescent="0.2">
      <c r="A5304" s="12" t="s">
        <v>544</v>
      </c>
      <c r="B5304" s="12" t="s">
        <v>553</v>
      </c>
      <c r="C5304" s="12" t="s">
        <v>564</v>
      </c>
      <c r="D5304" s="13">
        <v>101</v>
      </c>
      <c r="E5304" s="13">
        <v>98.069769000000008</v>
      </c>
      <c r="F5304" s="13">
        <v>92.466077000000013</v>
      </c>
      <c r="G5304" s="13">
        <v>92.503821000000002</v>
      </c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</row>
    <row r="5305" spans="1:19" x14ac:dyDescent="0.2">
      <c r="A5305" s="12" t="s">
        <v>544</v>
      </c>
      <c r="B5305" s="12" t="s">
        <v>553</v>
      </c>
      <c r="C5305" s="12" t="s">
        <v>565</v>
      </c>
      <c r="D5305" s="13">
        <v>50</v>
      </c>
      <c r="E5305" s="13">
        <v>48.518560000000001</v>
      </c>
      <c r="F5305" s="13">
        <v>45.647779999999997</v>
      </c>
      <c r="G5305" s="13">
        <v>45.682874000000012</v>
      </c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</row>
    <row r="5306" spans="1:19" x14ac:dyDescent="0.2">
      <c r="A5306" s="12" t="s">
        <v>544</v>
      </c>
      <c r="B5306" s="12" t="s">
        <v>553</v>
      </c>
      <c r="C5306" s="12" t="s">
        <v>566</v>
      </c>
      <c r="D5306" s="13">
        <v>53</v>
      </c>
      <c r="E5306" s="13">
        <v>54.579217000000007</v>
      </c>
      <c r="F5306" s="13">
        <v>51.349850000000004</v>
      </c>
      <c r="G5306" s="13">
        <v>51.389315000000003</v>
      </c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</row>
    <row r="5307" spans="1:19" x14ac:dyDescent="0.2">
      <c r="A5307" s="12" t="s">
        <v>544</v>
      </c>
      <c r="B5307" s="12" t="s">
        <v>567</v>
      </c>
      <c r="C5307" s="12" t="s">
        <v>554</v>
      </c>
      <c r="D5307" s="13">
        <v>3</v>
      </c>
      <c r="E5307" s="13">
        <v>1.898199</v>
      </c>
      <c r="F5307" s="13">
        <v>1.2019759999999999</v>
      </c>
      <c r="G5307" s="13">
        <v>1.143419</v>
      </c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</row>
    <row r="5308" spans="1:19" x14ac:dyDescent="0.2">
      <c r="A5308" s="12" t="s">
        <v>544</v>
      </c>
      <c r="B5308" s="12" t="s">
        <v>567</v>
      </c>
      <c r="C5308" s="12" t="s">
        <v>555</v>
      </c>
      <c r="D5308" s="13">
        <v>558</v>
      </c>
      <c r="E5308" s="13">
        <v>490.84919900000011</v>
      </c>
      <c r="F5308" s="13">
        <v>260.45620200000002</v>
      </c>
      <c r="G5308" s="13">
        <v>307.174689</v>
      </c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</row>
    <row r="5309" spans="1:19" x14ac:dyDescent="0.2">
      <c r="A5309" s="12" t="s">
        <v>544</v>
      </c>
      <c r="B5309" s="12" t="s">
        <v>567</v>
      </c>
      <c r="C5309" s="12" t="s">
        <v>556</v>
      </c>
      <c r="D5309" s="13">
        <v>0</v>
      </c>
      <c r="E5309" s="13">
        <v>0</v>
      </c>
      <c r="F5309" s="13">
        <v>0</v>
      </c>
      <c r="G5309" s="13">
        <v>0</v>
      </c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</row>
    <row r="5310" spans="1:19" x14ac:dyDescent="0.2">
      <c r="A5310" s="12" t="s">
        <v>544</v>
      </c>
      <c r="B5310" s="12" t="s">
        <v>567</v>
      </c>
      <c r="C5310" s="12" t="s">
        <v>557</v>
      </c>
      <c r="D5310" s="13">
        <v>575</v>
      </c>
      <c r="E5310" s="13">
        <v>650.99169900000004</v>
      </c>
      <c r="F5310" s="13">
        <v>325.91187500000001</v>
      </c>
      <c r="G5310" s="13">
        <v>352.69080700000001</v>
      </c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</row>
    <row r="5311" spans="1:19" x14ac:dyDescent="0.2">
      <c r="A5311" s="12" t="s">
        <v>544</v>
      </c>
      <c r="B5311" s="12" t="s">
        <v>567</v>
      </c>
      <c r="C5311" s="12" t="s">
        <v>558</v>
      </c>
      <c r="D5311" s="13">
        <v>0</v>
      </c>
      <c r="E5311" s="13">
        <v>0</v>
      </c>
      <c r="F5311" s="13">
        <v>0</v>
      </c>
      <c r="G5311" s="13">
        <v>0</v>
      </c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</row>
    <row r="5312" spans="1:19" x14ac:dyDescent="0.2">
      <c r="A5312" s="12" t="s">
        <v>544</v>
      </c>
      <c r="B5312" s="12" t="s">
        <v>567</v>
      </c>
      <c r="C5312" s="12" t="s">
        <v>560</v>
      </c>
      <c r="D5312" s="13">
        <v>-563</v>
      </c>
      <c r="E5312" s="13">
        <v>-414.66159699999997</v>
      </c>
      <c r="F5312" s="13">
        <v>-252.42167800000001</v>
      </c>
      <c r="G5312" s="13">
        <v>-296.48201599999999</v>
      </c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</row>
    <row r="5313" spans="1:19" x14ac:dyDescent="0.2">
      <c r="A5313" s="12" t="s">
        <v>544</v>
      </c>
      <c r="B5313" s="12" t="s">
        <v>567</v>
      </c>
      <c r="C5313" s="12" t="s">
        <v>561</v>
      </c>
      <c r="D5313" s="13">
        <v>0</v>
      </c>
      <c r="E5313" s="13">
        <v>0</v>
      </c>
      <c r="F5313" s="13">
        <v>0</v>
      </c>
      <c r="G5313" s="13">
        <v>0</v>
      </c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</row>
    <row r="5314" spans="1:19" x14ac:dyDescent="0.2">
      <c r="A5314" s="12" t="s">
        <v>544</v>
      </c>
      <c r="B5314" s="12" t="s">
        <v>567</v>
      </c>
      <c r="C5314" s="12" t="s">
        <v>562</v>
      </c>
      <c r="D5314" s="13">
        <v>0</v>
      </c>
      <c r="E5314" s="13">
        <v>0</v>
      </c>
      <c r="F5314" s="13">
        <v>0</v>
      </c>
      <c r="G5314" s="13">
        <v>0</v>
      </c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</row>
    <row r="5315" spans="1:19" x14ac:dyDescent="0.2">
      <c r="A5315" s="12" t="s">
        <v>544</v>
      </c>
      <c r="B5315" s="12" t="s">
        <v>567</v>
      </c>
      <c r="C5315" s="12" t="s">
        <v>563</v>
      </c>
      <c r="D5315" s="13">
        <v>0</v>
      </c>
      <c r="E5315" s="13">
        <v>0</v>
      </c>
      <c r="F5315" s="13">
        <v>0</v>
      </c>
      <c r="G5315" s="13">
        <v>0</v>
      </c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</row>
    <row r="5316" spans="1:19" x14ac:dyDescent="0.2">
      <c r="A5316" s="12" t="s">
        <v>544</v>
      </c>
      <c r="B5316" s="12" t="s">
        <v>567</v>
      </c>
      <c r="C5316" s="12" t="s">
        <v>564</v>
      </c>
      <c r="D5316" s="13">
        <v>0</v>
      </c>
      <c r="E5316" s="13">
        <v>0</v>
      </c>
      <c r="F5316" s="13">
        <v>0</v>
      </c>
      <c r="G5316" s="13">
        <v>0</v>
      </c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</row>
    <row r="5317" spans="1:19" x14ac:dyDescent="0.2">
      <c r="A5317" s="12" t="s">
        <v>544</v>
      </c>
      <c r="B5317" s="12" t="s">
        <v>567</v>
      </c>
      <c r="C5317" s="12" t="s">
        <v>565</v>
      </c>
      <c r="D5317" s="13">
        <v>0</v>
      </c>
      <c r="E5317" s="13">
        <v>0</v>
      </c>
      <c r="F5317" s="13">
        <v>0</v>
      </c>
      <c r="G5317" s="13">
        <v>0</v>
      </c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</row>
    <row r="5318" spans="1:19" x14ac:dyDescent="0.2">
      <c r="A5318" s="12" t="s">
        <v>544</v>
      </c>
      <c r="B5318" s="12" t="s">
        <v>567</v>
      </c>
      <c r="C5318" s="12" t="s">
        <v>566</v>
      </c>
      <c r="D5318" s="13">
        <v>0</v>
      </c>
      <c r="E5318" s="13">
        <v>0</v>
      </c>
      <c r="F5318" s="13">
        <v>0</v>
      </c>
      <c r="G5318" s="13">
        <v>0</v>
      </c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</row>
    <row r="5319" spans="1:19" x14ac:dyDescent="0.2">
      <c r="A5319" s="12" t="s">
        <v>544</v>
      </c>
      <c r="B5319" s="12" t="s">
        <v>568</v>
      </c>
      <c r="C5319" s="12" t="s">
        <v>554</v>
      </c>
      <c r="D5319" s="13">
        <v>0</v>
      </c>
      <c r="E5319" s="13">
        <v>0</v>
      </c>
      <c r="F5319" s="13">
        <v>0</v>
      </c>
      <c r="G5319" s="13">
        <v>0</v>
      </c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</row>
    <row r="5320" spans="1:19" x14ac:dyDescent="0.2">
      <c r="A5320" s="12" t="s">
        <v>544</v>
      </c>
      <c r="B5320" s="12" t="s">
        <v>568</v>
      </c>
      <c r="C5320" s="12" t="s">
        <v>555</v>
      </c>
      <c r="D5320" s="13">
        <v>475</v>
      </c>
      <c r="E5320" s="13">
        <v>703.73591199999998</v>
      </c>
      <c r="F5320" s="13">
        <v>925.11717900000008</v>
      </c>
      <c r="G5320" s="13">
        <v>967.65026399999999</v>
      </c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</row>
    <row r="5321" spans="1:19" x14ac:dyDescent="0.2">
      <c r="A5321" s="12" t="s">
        <v>544</v>
      </c>
      <c r="B5321" s="12" t="s">
        <v>568</v>
      </c>
      <c r="C5321" s="12" t="s">
        <v>556</v>
      </c>
      <c r="D5321" s="13">
        <v>-116</v>
      </c>
      <c r="E5321" s="13">
        <v>-85.898637000000008</v>
      </c>
      <c r="F5321" s="13">
        <v>-87.722825999999998</v>
      </c>
      <c r="G5321" s="13">
        <v>-100.862348</v>
      </c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</row>
    <row r="5322" spans="1:19" x14ac:dyDescent="0.2">
      <c r="A5322" s="12" t="s">
        <v>544</v>
      </c>
      <c r="B5322" s="12" t="s">
        <v>568</v>
      </c>
      <c r="C5322" s="12" t="s">
        <v>557</v>
      </c>
      <c r="D5322" s="13">
        <v>214</v>
      </c>
      <c r="E5322" s="13">
        <v>494.25035000000003</v>
      </c>
      <c r="F5322" s="13">
        <v>705.40711600000009</v>
      </c>
      <c r="G5322" s="13">
        <v>725.41622600000005</v>
      </c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</row>
    <row r="5323" spans="1:19" x14ac:dyDescent="0.2">
      <c r="A5323" s="12" t="s">
        <v>544</v>
      </c>
      <c r="B5323" s="12" t="s">
        <v>568</v>
      </c>
      <c r="C5323" s="12" t="s">
        <v>558</v>
      </c>
      <c r="D5323" s="13">
        <v>-22</v>
      </c>
      <c r="E5323" s="13">
        <v>-61.560267000000003</v>
      </c>
      <c r="F5323" s="13">
        <v>-60.779435999999997</v>
      </c>
      <c r="G5323" s="13">
        <v>-83.749644999999987</v>
      </c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</row>
    <row r="5324" spans="1:19" x14ac:dyDescent="0.2">
      <c r="A5324" s="12" t="s">
        <v>544</v>
      </c>
      <c r="B5324" s="12" t="s">
        <v>568</v>
      </c>
      <c r="C5324" s="12" t="s">
        <v>560</v>
      </c>
      <c r="D5324" s="13">
        <v>537</v>
      </c>
      <c r="E5324" s="13">
        <v>396.22582299999999</v>
      </c>
      <c r="F5324" s="13">
        <v>239.961941</v>
      </c>
      <c r="G5324" s="13">
        <v>281.56049100000001</v>
      </c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</row>
    <row r="5325" spans="1:19" x14ac:dyDescent="0.2">
      <c r="A5325" s="12" t="s">
        <v>544</v>
      </c>
      <c r="B5325" s="12" t="s">
        <v>568</v>
      </c>
      <c r="C5325" s="12" t="s">
        <v>561</v>
      </c>
      <c r="D5325" s="13">
        <v>912</v>
      </c>
      <c r="E5325" s="13">
        <v>1002.9729139999999</v>
      </c>
      <c r="F5325" s="13">
        <v>1051.246425</v>
      </c>
      <c r="G5325" s="13">
        <v>1093.5528790000001</v>
      </c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</row>
    <row r="5326" spans="1:19" x14ac:dyDescent="0.2">
      <c r="A5326" s="12" t="s">
        <v>544</v>
      </c>
      <c r="B5326" s="12" t="s">
        <v>568</v>
      </c>
      <c r="C5326" s="12" t="s">
        <v>562</v>
      </c>
      <c r="D5326" s="13">
        <v>67</v>
      </c>
      <c r="E5326" s="13">
        <v>69.002023000000008</v>
      </c>
      <c r="F5326" s="13">
        <v>68.079770999999994</v>
      </c>
      <c r="G5326" s="13">
        <v>70.085248000000007</v>
      </c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</row>
    <row r="5327" spans="1:19" x14ac:dyDescent="0.2">
      <c r="A5327" s="12" t="s">
        <v>544</v>
      </c>
      <c r="B5327" s="12" t="s">
        <v>568</v>
      </c>
      <c r="C5327" s="12" t="s">
        <v>563</v>
      </c>
      <c r="D5327" s="13">
        <v>606</v>
      </c>
      <c r="E5327" s="13">
        <v>674.23173800000006</v>
      </c>
      <c r="F5327" s="13">
        <v>666.06184299999995</v>
      </c>
      <c r="G5327" s="13">
        <v>663.63058000000001</v>
      </c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</row>
    <row r="5328" spans="1:19" x14ac:dyDescent="0.2">
      <c r="A5328" s="12" t="s">
        <v>544</v>
      </c>
      <c r="B5328" s="12" t="s">
        <v>568</v>
      </c>
      <c r="C5328" s="12" t="s">
        <v>564</v>
      </c>
      <c r="D5328" s="13">
        <v>19</v>
      </c>
      <c r="E5328" s="13">
        <v>22.181519999999999</v>
      </c>
      <c r="F5328" s="13">
        <v>28.221803999999999</v>
      </c>
      <c r="G5328" s="13">
        <v>28.028373999999999</v>
      </c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</row>
    <row r="5329" spans="1:19" x14ac:dyDescent="0.2">
      <c r="A5329" s="12" t="s">
        <v>544</v>
      </c>
      <c r="B5329" s="12" t="s">
        <v>568</v>
      </c>
      <c r="C5329" s="12" t="s">
        <v>565</v>
      </c>
      <c r="D5329" s="13">
        <v>7</v>
      </c>
      <c r="E5329" s="13">
        <v>8.1039159999999999</v>
      </c>
      <c r="F5329" s="13">
        <v>10.081161</v>
      </c>
      <c r="G5329" s="13">
        <v>10.397667</v>
      </c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</row>
    <row r="5330" spans="1:19" x14ac:dyDescent="0.2">
      <c r="A5330" s="12" t="s">
        <v>544</v>
      </c>
      <c r="B5330" s="12" t="s">
        <v>568</v>
      </c>
      <c r="C5330" s="12" t="s">
        <v>566</v>
      </c>
      <c r="D5330" s="13">
        <v>213</v>
      </c>
      <c r="E5330" s="13">
        <v>229.45371800000001</v>
      </c>
      <c r="F5330" s="13">
        <v>278.80184600000001</v>
      </c>
      <c r="G5330" s="13">
        <v>321.41101099999997</v>
      </c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</row>
    <row r="5331" spans="1:19" x14ac:dyDescent="0.2">
      <c r="A5331" s="12" t="s">
        <v>544</v>
      </c>
      <c r="B5331" s="12" t="s">
        <v>569</v>
      </c>
      <c r="C5331" s="12" t="s">
        <v>554</v>
      </c>
      <c r="D5331" s="13">
        <v>39</v>
      </c>
      <c r="E5331" s="13">
        <v>0.59336199999999995</v>
      </c>
      <c r="F5331" s="13">
        <v>0.113048</v>
      </c>
      <c r="G5331" s="13">
        <v>0.103627</v>
      </c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</row>
    <row r="5332" spans="1:19" x14ac:dyDescent="0.2">
      <c r="A5332" s="12" t="s">
        <v>544</v>
      </c>
      <c r="B5332" s="12" t="s">
        <v>569</v>
      </c>
      <c r="C5332" s="12" t="s">
        <v>555</v>
      </c>
      <c r="D5332" s="13">
        <v>136</v>
      </c>
      <c r="E5332" s="13">
        <v>129.40192999999999</v>
      </c>
      <c r="F5332" s="13">
        <v>126.708687</v>
      </c>
      <c r="G5332" s="13">
        <v>129.725561</v>
      </c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</row>
    <row r="5333" spans="1:19" x14ac:dyDescent="0.2">
      <c r="A5333" s="12" t="s">
        <v>544</v>
      </c>
      <c r="B5333" s="12" t="s">
        <v>569</v>
      </c>
      <c r="C5333" s="12" t="s">
        <v>556</v>
      </c>
      <c r="D5333" s="13">
        <v>0</v>
      </c>
      <c r="E5333" s="13">
        <v>0</v>
      </c>
      <c r="F5333" s="13">
        <v>0</v>
      </c>
      <c r="G5333" s="13">
        <v>0</v>
      </c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</row>
    <row r="5334" spans="1:19" x14ac:dyDescent="0.2">
      <c r="A5334" s="12" t="s">
        <v>544</v>
      </c>
      <c r="B5334" s="12" t="s">
        <v>569</v>
      </c>
      <c r="C5334" s="12" t="s">
        <v>557</v>
      </c>
      <c r="D5334" s="13">
        <v>175</v>
      </c>
      <c r="E5334" s="13">
        <v>129.99529200000001</v>
      </c>
      <c r="F5334" s="13">
        <v>126.821735</v>
      </c>
      <c r="G5334" s="13">
        <v>129.82918900000001</v>
      </c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</row>
    <row r="5335" spans="1:19" x14ac:dyDescent="0.2">
      <c r="A5335" s="12" t="s">
        <v>544</v>
      </c>
      <c r="B5335" s="12" t="s">
        <v>569</v>
      </c>
      <c r="C5335" s="12" t="s">
        <v>558</v>
      </c>
      <c r="D5335" s="13">
        <v>0</v>
      </c>
      <c r="E5335" s="13">
        <v>0</v>
      </c>
      <c r="F5335" s="13">
        <v>0</v>
      </c>
      <c r="G5335" s="13">
        <v>0</v>
      </c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</row>
    <row r="5336" spans="1:19" x14ac:dyDescent="0.2">
      <c r="A5336" s="12" t="s">
        <v>544</v>
      </c>
      <c r="B5336" s="12" t="s">
        <v>569</v>
      </c>
      <c r="C5336" s="12" t="s">
        <v>560</v>
      </c>
      <c r="D5336" s="13">
        <v>0</v>
      </c>
      <c r="E5336" s="13">
        <v>0</v>
      </c>
      <c r="F5336" s="13">
        <v>0</v>
      </c>
      <c r="G5336" s="13">
        <v>0</v>
      </c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</row>
    <row r="5337" spans="1:19" x14ac:dyDescent="0.2">
      <c r="A5337" s="12" t="s">
        <v>544</v>
      </c>
      <c r="B5337" s="12" t="s">
        <v>569</v>
      </c>
      <c r="C5337" s="12" t="s">
        <v>561</v>
      </c>
      <c r="D5337" s="13">
        <v>75</v>
      </c>
      <c r="E5337" s="13">
        <v>63.965361000000001</v>
      </c>
      <c r="F5337" s="13">
        <v>64.565195000000003</v>
      </c>
      <c r="G5337" s="13">
        <v>65.092258999999999</v>
      </c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</row>
    <row r="5338" spans="1:19" x14ac:dyDescent="0.2">
      <c r="A5338" s="12" t="s">
        <v>544</v>
      </c>
      <c r="B5338" s="12" t="s">
        <v>569</v>
      </c>
      <c r="C5338" s="12" t="s">
        <v>562</v>
      </c>
      <c r="D5338" s="13">
        <v>74</v>
      </c>
      <c r="E5338" s="13">
        <v>62.584947999999997</v>
      </c>
      <c r="F5338" s="13">
        <v>63.116278000000001</v>
      </c>
      <c r="G5338" s="13">
        <v>63.631518</v>
      </c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</row>
    <row r="5339" spans="1:19" x14ac:dyDescent="0.2">
      <c r="A5339" s="12" t="s">
        <v>544</v>
      </c>
      <c r="B5339" s="12" t="s">
        <v>569</v>
      </c>
      <c r="C5339" s="12" t="s">
        <v>563</v>
      </c>
      <c r="D5339" s="13">
        <v>0</v>
      </c>
      <c r="E5339" s="13">
        <v>7.6790000000000001E-3</v>
      </c>
      <c r="F5339" s="13">
        <v>7.1130000000000004E-3</v>
      </c>
      <c r="G5339" s="13">
        <v>7.1720000000000004E-3</v>
      </c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</row>
    <row r="5340" spans="1:19" x14ac:dyDescent="0.2">
      <c r="A5340" s="12" t="s">
        <v>544</v>
      </c>
      <c r="B5340" s="12" t="s">
        <v>569</v>
      </c>
      <c r="C5340" s="12" t="s">
        <v>564</v>
      </c>
      <c r="D5340" s="13">
        <v>0</v>
      </c>
      <c r="E5340" s="13">
        <v>0.20310600000000001</v>
      </c>
      <c r="F5340" s="13">
        <v>0.216252</v>
      </c>
      <c r="G5340" s="13">
        <v>0.21801499999999999</v>
      </c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</row>
    <row r="5341" spans="1:19" x14ac:dyDescent="0.2">
      <c r="A5341" s="12" t="s">
        <v>544</v>
      </c>
      <c r="B5341" s="12" t="s">
        <v>569</v>
      </c>
      <c r="C5341" s="12" t="s">
        <v>565</v>
      </c>
      <c r="D5341" s="13">
        <v>1</v>
      </c>
      <c r="E5341" s="13">
        <v>1.1696329999999999</v>
      </c>
      <c r="F5341" s="13">
        <v>1.2255480000000001</v>
      </c>
      <c r="G5341" s="13">
        <v>1.235554</v>
      </c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</row>
    <row r="5342" spans="1:19" x14ac:dyDescent="0.2">
      <c r="A5342" s="12" t="s">
        <v>544</v>
      </c>
      <c r="B5342" s="12" t="s">
        <v>569</v>
      </c>
      <c r="C5342" s="12" t="s">
        <v>566</v>
      </c>
      <c r="D5342" s="13">
        <v>0</v>
      </c>
      <c r="E5342" s="13">
        <v>0</v>
      </c>
      <c r="F5342" s="13">
        <v>0</v>
      </c>
      <c r="G5342" s="13">
        <v>0</v>
      </c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</row>
    <row r="5343" spans="1:19" x14ac:dyDescent="0.2">
      <c r="A5343" s="12" t="s">
        <v>544</v>
      </c>
      <c r="B5343" s="12" t="s">
        <v>570</v>
      </c>
      <c r="C5343" s="12" t="s">
        <v>554</v>
      </c>
      <c r="D5343" s="13">
        <v>108</v>
      </c>
      <c r="E5343" s="13">
        <v>138.96003400000001</v>
      </c>
      <c r="F5343" s="13">
        <v>115.56723100000001</v>
      </c>
      <c r="G5343" s="13">
        <v>93.206846999999996</v>
      </c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</row>
    <row r="5344" spans="1:19" x14ac:dyDescent="0.2">
      <c r="A5344" s="12" t="s">
        <v>544</v>
      </c>
      <c r="B5344" s="12" t="s">
        <v>570</v>
      </c>
      <c r="C5344" s="12" t="s">
        <v>555</v>
      </c>
      <c r="D5344" s="13">
        <v>0</v>
      </c>
      <c r="E5344" s="13">
        <v>0</v>
      </c>
      <c r="F5344" s="13">
        <v>0</v>
      </c>
      <c r="G5344" s="13">
        <v>0</v>
      </c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</row>
    <row r="5345" spans="1:19" x14ac:dyDescent="0.2">
      <c r="A5345" s="12" t="s">
        <v>544</v>
      </c>
      <c r="B5345" s="12" t="s">
        <v>570</v>
      </c>
      <c r="C5345" s="12" t="s">
        <v>556</v>
      </c>
      <c r="D5345" s="13">
        <v>0</v>
      </c>
      <c r="E5345" s="13">
        <v>0</v>
      </c>
      <c r="F5345" s="13">
        <v>0</v>
      </c>
      <c r="G5345" s="13">
        <v>0</v>
      </c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</row>
    <row r="5346" spans="1:19" x14ac:dyDescent="0.2">
      <c r="A5346" s="12" t="s">
        <v>544</v>
      </c>
      <c r="B5346" s="12" t="s">
        <v>570</v>
      </c>
      <c r="C5346" s="12" t="s">
        <v>557</v>
      </c>
      <c r="D5346" s="13">
        <v>108</v>
      </c>
      <c r="E5346" s="13">
        <v>138.96003400000001</v>
      </c>
      <c r="F5346" s="13">
        <v>115.56723100000001</v>
      </c>
      <c r="G5346" s="13">
        <v>93.206846999999996</v>
      </c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</row>
    <row r="5347" spans="1:19" x14ac:dyDescent="0.2">
      <c r="A5347" s="12" t="s">
        <v>544</v>
      </c>
      <c r="B5347" s="12" t="s">
        <v>570</v>
      </c>
      <c r="C5347" s="12" t="s">
        <v>558</v>
      </c>
      <c r="D5347" s="13">
        <v>-108</v>
      </c>
      <c r="E5347" s="13">
        <v>-138.96003400000001</v>
      </c>
      <c r="F5347" s="13">
        <v>-115.56723100000001</v>
      </c>
      <c r="G5347" s="13">
        <v>-93.206846999999996</v>
      </c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</row>
    <row r="5348" spans="1:19" x14ac:dyDescent="0.2">
      <c r="A5348" s="12" t="s">
        <v>544</v>
      </c>
      <c r="B5348" s="12" t="s">
        <v>570</v>
      </c>
      <c r="C5348" s="12" t="s">
        <v>560</v>
      </c>
      <c r="D5348" s="13">
        <v>0</v>
      </c>
      <c r="E5348" s="13">
        <v>0</v>
      </c>
      <c r="F5348" s="13">
        <v>0</v>
      </c>
      <c r="G5348" s="13">
        <v>0</v>
      </c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</row>
    <row r="5349" spans="1:19" x14ac:dyDescent="0.2">
      <c r="A5349" s="12" t="s">
        <v>544</v>
      </c>
      <c r="B5349" s="12" t="s">
        <v>570</v>
      </c>
      <c r="C5349" s="12" t="s">
        <v>561</v>
      </c>
      <c r="D5349" s="13">
        <v>0</v>
      </c>
      <c r="E5349" s="13">
        <v>0</v>
      </c>
      <c r="F5349" s="13">
        <v>0</v>
      </c>
      <c r="G5349" s="13">
        <v>0</v>
      </c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</row>
    <row r="5350" spans="1:19" x14ac:dyDescent="0.2">
      <c r="A5350" s="12" t="s">
        <v>544</v>
      </c>
      <c r="B5350" s="12" t="s">
        <v>570</v>
      </c>
      <c r="C5350" s="12" t="s">
        <v>562</v>
      </c>
      <c r="D5350" s="13">
        <v>0</v>
      </c>
      <c r="E5350" s="13">
        <v>0</v>
      </c>
      <c r="F5350" s="13">
        <v>0</v>
      </c>
      <c r="G5350" s="13">
        <v>0</v>
      </c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</row>
    <row r="5351" spans="1:19" x14ac:dyDescent="0.2">
      <c r="A5351" s="12" t="s">
        <v>544</v>
      </c>
      <c r="B5351" s="12" t="s">
        <v>570</v>
      </c>
      <c r="C5351" s="12" t="s">
        <v>563</v>
      </c>
      <c r="D5351" s="13">
        <v>0</v>
      </c>
      <c r="E5351" s="13">
        <v>0</v>
      </c>
      <c r="F5351" s="13">
        <v>0</v>
      </c>
      <c r="G5351" s="13">
        <v>0</v>
      </c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</row>
    <row r="5352" spans="1:19" x14ac:dyDescent="0.2">
      <c r="A5352" s="12" t="s">
        <v>544</v>
      </c>
      <c r="B5352" s="12" t="s">
        <v>570</v>
      </c>
      <c r="C5352" s="12" t="s">
        <v>564</v>
      </c>
      <c r="D5352" s="13">
        <v>0</v>
      </c>
      <c r="E5352" s="13">
        <v>0</v>
      </c>
      <c r="F5352" s="13">
        <v>0</v>
      </c>
      <c r="G5352" s="13">
        <v>0</v>
      </c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</row>
    <row r="5353" spans="1:19" x14ac:dyDescent="0.2">
      <c r="A5353" s="12" t="s">
        <v>544</v>
      </c>
      <c r="B5353" s="12" t="s">
        <v>570</v>
      </c>
      <c r="C5353" s="12" t="s">
        <v>565</v>
      </c>
      <c r="D5353" s="13">
        <v>0</v>
      </c>
      <c r="E5353" s="13">
        <v>0</v>
      </c>
      <c r="F5353" s="13">
        <v>0</v>
      </c>
      <c r="G5353" s="13">
        <v>0</v>
      </c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</row>
    <row r="5354" spans="1:19" x14ac:dyDescent="0.2">
      <c r="A5354" s="12" t="s">
        <v>544</v>
      </c>
      <c r="B5354" s="12" t="s">
        <v>570</v>
      </c>
      <c r="C5354" s="12" t="s">
        <v>566</v>
      </c>
      <c r="D5354" s="13">
        <v>0</v>
      </c>
      <c r="E5354" s="13">
        <v>0</v>
      </c>
      <c r="F5354" s="13">
        <v>0</v>
      </c>
      <c r="G5354" s="13">
        <v>0</v>
      </c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</row>
    <row r="5355" spans="1:19" x14ac:dyDescent="0.2">
      <c r="A5355" s="12" t="s">
        <v>544</v>
      </c>
      <c r="B5355" s="12" t="s">
        <v>571</v>
      </c>
      <c r="C5355" s="12" t="s">
        <v>554</v>
      </c>
      <c r="D5355" s="13">
        <v>250</v>
      </c>
      <c r="E5355" s="13">
        <v>260.18969199999998</v>
      </c>
      <c r="F5355" s="13">
        <v>264.82608599999998</v>
      </c>
      <c r="G5355" s="13">
        <v>272.43023599999998</v>
      </c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</row>
    <row r="5356" spans="1:19" x14ac:dyDescent="0.2">
      <c r="A5356" s="12" t="s">
        <v>544</v>
      </c>
      <c r="B5356" s="12" t="s">
        <v>571</v>
      </c>
      <c r="C5356" s="12" t="s">
        <v>555</v>
      </c>
      <c r="D5356" s="13">
        <v>8</v>
      </c>
      <c r="E5356" s="13">
        <v>9.9379179999999998</v>
      </c>
      <c r="F5356" s="13">
        <v>11.354056999999999</v>
      </c>
      <c r="G5356" s="13">
        <v>11.232364</v>
      </c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</row>
    <row r="5357" spans="1:19" x14ac:dyDescent="0.2">
      <c r="A5357" s="12" t="s">
        <v>544</v>
      </c>
      <c r="B5357" s="12" t="s">
        <v>571</v>
      </c>
      <c r="C5357" s="12" t="s">
        <v>556</v>
      </c>
      <c r="D5357" s="13">
        <v>-3</v>
      </c>
      <c r="E5357" s="13">
        <v>-5.8284440000000002</v>
      </c>
      <c r="F5357" s="13">
        <v>-6.3848950000000002</v>
      </c>
      <c r="G5357" s="13">
        <v>-5.929392</v>
      </c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</row>
    <row r="5358" spans="1:19" x14ac:dyDescent="0.2">
      <c r="A5358" s="12" t="s">
        <v>544</v>
      </c>
      <c r="B5358" s="12" t="s">
        <v>571</v>
      </c>
      <c r="C5358" s="12" t="s">
        <v>557</v>
      </c>
      <c r="D5358" s="13">
        <v>254</v>
      </c>
      <c r="E5358" s="13">
        <v>264.29916100000003</v>
      </c>
      <c r="F5358" s="13">
        <v>269.79524800000002</v>
      </c>
      <c r="G5358" s="13">
        <v>277.73321199999998</v>
      </c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</row>
    <row r="5359" spans="1:19" x14ac:dyDescent="0.2">
      <c r="A5359" s="12" t="s">
        <v>544</v>
      </c>
      <c r="B5359" s="12" t="s">
        <v>571</v>
      </c>
      <c r="C5359" s="12" t="s">
        <v>558</v>
      </c>
      <c r="D5359" s="13">
        <v>-66</v>
      </c>
      <c r="E5359" s="13">
        <v>-79.663170000000008</v>
      </c>
      <c r="F5359" s="13">
        <v>-87.970524999999995</v>
      </c>
      <c r="G5359" s="13">
        <v>-91.446196999999984</v>
      </c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</row>
    <row r="5360" spans="1:19" x14ac:dyDescent="0.2">
      <c r="A5360" s="12" t="s">
        <v>544</v>
      </c>
      <c r="B5360" s="12" t="s">
        <v>571</v>
      </c>
      <c r="C5360" s="12" t="s">
        <v>560</v>
      </c>
      <c r="D5360" s="13">
        <v>0</v>
      </c>
      <c r="E5360" s="13">
        <v>0</v>
      </c>
      <c r="F5360" s="13">
        <v>0</v>
      </c>
      <c r="G5360" s="13">
        <v>0</v>
      </c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</row>
    <row r="5361" spans="1:19" x14ac:dyDescent="0.2">
      <c r="A5361" s="12" t="s">
        <v>544</v>
      </c>
      <c r="B5361" s="12" t="s">
        <v>571</v>
      </c>
      <c r="C5361" s="12" t="s">
        <v>561</v>
      </c>
      <c r="D5361" s="13">
        <v>143</v>
      </c>
      <c r="E5361" s="13">
        <v>139.18830700000001</v>
      </c>
      <c r="F5361" s="13">
        <v>140.118945</v>
      </c>
      <c r="G5361" s="13">
        <v>141.253919</v>
      </c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</row>
    <row r="5362" spans="1:19" x14ac:dyDescent="0.2">
      <c r="A5362" s="12" t="s">
        <v>544</v>
      </c>
      <c r="B5362" s="12" t="s">
        <v>571</v>
      </c>
      <c r="C5362" s="12" t="s">
        <v>562</v>
      </c>
      <c r="D5362" s="13">
        <v>90</v>
      </c>
      <c r="E5362" s="13">
        <v>87.220153999999994</v>
      </c>
      <c r="F5362" s="13">
        <v>89.107467999999997</v>
      </c>
      <c r="G5362" s="13">
        <v>89.194933999999989</v>
      </c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</row>
    <row r="5363" spans="1:19" x14ac:dyDescent="0.2">
      <c r="A5363" s="12" t="s">
        <v>544</v>
      </c>
      <c r="B5363" s="12" t="s">
        <v>571</v>
      </c>
      <c r="C5363" s="12" t="s">
        <v>563</v>
      </c>
      <c r="D5363" s="13">
        <v>0</v>
      </c>
      <c r="E5363" s="13">
        <v>0</v>
      </c>
      <c r="F5363" s="13">
        <v>0</v>
      </c>
      <c r="G5363" s="13">
        <v>0</v>
      </c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</row>
    <row r="5364" spans="1:19" x14ac:dyDescent="0.2">
      <c r="A5364" s="12" t="s">
        <v>544</v>
      </c>
      <c r="B5364" s="12" t="s">
        <v>571</v>
      </c>
      <c r="C5364" s="12" t="s">
        <v>564</v>
      </c>
      <c r="D5364" s="13">
        <v>48</v>
      </c>
      <c r="E5364" s="13">
        <v>46.753355000000013</v>
      </c>
      <c r="F5364" s="13">
        <v>45.696995999999999</v>
      </c>
      <c r="G5364" s="13">
        <v>46.707383999999998</v>
      </c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</row>
    <row r="5365" spans="1:19" x14ac:dyDescent="0.2">
      <c r="A5365" s="12" t="s">
        <v>544</v>
      </c>
      <c r="B5365" s="12" t="s">
        <v>571</v>
      </c>
      <c r="C5365" s="12" t="s">
        <v>565</v>
      </c>
      <c r="D5365" s="13">
        <v>0</v>
      </c>
      <c r="E5365" s="13">
        <v>0</v>
      </c>
      <c r="F5365" s="13">
        <v>0</v>
      </c>
      <c r="G5365" s="13">
        <v>0</v>
      </c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</row>
    <row r="5366" spans="1:19" x14ac:dyDescent="0.2">
      <c r="A5366" s="12" t="s">
        <v>544</v>
      </c>
      <c r="B5366" s="12" t="s">
        <v>571</v>
      </c>
      <c r="C5366" s="12" t="s">
        <v>566</v>
      </c>
      <c r="D5366" s="13">
        <v>5</v>
      </c>
      <c r="E5366" s="13">
        <v>5.214798</v>
      </c>
      <c r="F5366" s="13">
        <v>5.3144809999999998</v>
      </c>
      <c r="G5366" s="13">
        <v>5.3516009999999996</v>
      </c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</row>
    <row r="5367" spans="1:19" x14ac:dyDescent="0.2">
      <c r="A5367" s="12" t="s">
        <v>544</v>
      </c>
      <c r="B5367" s="12" t="s">
        <v>572</v>
      </c>
      <c r="C5367" s="12" t="s">
        <v>554</v>
      </c>
      <c r="D5367" s="13">
        <v>0</v>
      </c>
      <c r="E5367" s="13">
        <v>0</v>
      </c>
      <c r="F5367" s="13">
        <v>0</v>
      </c>
      <c r="G5367" s="13">
        <v>0</v>
      </c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</row>
    <row r="5368" spans="1:19" x14ac:dyDescent="0.2">
      <c r="A5368" s="12" t="s">
        <v>544</v>
      </c>
      <c r="B5368" s="12" t="s">
        <v>572</v>
      </c>
      <c r="C5368" s="12" t="s">
        <v>555</v>
      </c>
      <c r="D5368" s="13">
        <v>35</v>
      </c>
      <c r="E5368" s="13">
        <v>36.493199999999987</v>
      </c>
      <c r="F5368" s="13">
        <v>38.739598000000001</v>
      </c>
      <c r="G5368" s="13">
        <v>38.552402000000001</v>
      </c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</row>
    <row r="5369" spans="1:19" x14ac:dyDescent="0.2">
      <c r="A5369" s="12" t="s">
        <v>544</v>
      </c>
      <c r="B5369" s="12" t="s">
        <v>572</v>
      </c>
      <c r="C5369" s="12" t="s">
        <v>556</v>
      </c>
      <c r="D5369" s="13">
        <v>-49</v>
      </c>
      <c r="E5369" s="13">
        <v>-49.338000999999998</v>
      </c>
      <c r="F5369" s="13">
        <v>-44.171999999999997</v>
      </c>
      <c r="G5369" s="13">
        <v>-40.521599999999999</v>
      </c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</row>
    <row r="5370" spans="1:19" x14ac:dyDescent="0.2">
      <c r="A5370" s="12" t="s">
        <v>544</v>
      </c>
      <c r="B5370" s="12" t="s">
        <v>572</v>
      </c>
      <c r="C5370" s="12" t="s">
        <v>557</v>
      </c>
      <c r="D5370" s="13">
        <v>-14</v>
      </c>
      <c r="E5370" s="13">
        <v>-12.844801</v>
      </c>
      <c r="F5370" s="13">
        <v>-5.4323980000000001</v>
      </c>
      <c r="G5370" s="13">
        <v>-1.9691989999999999</v>
      </c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</row>
    <row r="5371" spans="1:19" x14ac:dyDescent="0.2">
      <c r="A5371" s="12" t="s">
        <v>544</v>
      </c>
      <c r="B5371" s="12" t="s">
        <v>572</v>
      </c>
      <c r="C5371" s="12" t="s">
        <v>558</v>
      </c>
      <c r="D5371" s="13">
        <v>845</v>
      </c>
      <c r="E5371" s="13">
        <v>862.94667000000004</v>
      </c>
      <c r="F5371" s="13">
        <v>839.13128500000005</v>
      </c>
      <c r="G5371" s="13">
        <v>809.28251499999999</v>
      </c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</row>
    <row r="5372" spans="1:19" x14ac:dyDescent="0.2">
      <c r="A5372" s="12" t="s">
        <v>544</v>
      </c>
      <c r="B5372" s="12" t="s">
        <v>572</v>
      </c>
      <c r="C5372" s="12" t="s">
        <v>560</v>
      </c>
      <c r="D5372" s="13">
        <v>0</v>
      </c>
      <c r="E5372" s="13">
        <v>0</v>
      </c>
      <c r="F5372" s="13">
        <v>0</v>
      </c>
      <c r="G5372" s="13">
        <v>0</v>
      </c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</row>
    <row r="5373" spans="1:19" x14ac:dyDescent="0.2">
      <c r="A5373" s="12" t="s">
        <v>544</v>
      </c>
      <c r="B5373" s="12" t="s">
        <v>572</v>
      </c>
      <c r="C5373" s="12" t="s">
        <v>561</v>
      </c>
      <c r="D5373" s="13">
        <v>688</v>
      </c>
      <c r="E5373" s="13">
        <v>695.55497200000002</v>
      </c>
      <c r="F5373" s="13">
        <v>687.94861200000003</v>
      </c>
      <c r="G5373" s="13">
        <v>667.248017</v>
      </c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</row>
    <row r="5374" spans="1:19" x14ac:dyDescent="0.2">
      <c r="A5374" s="12" t="s">
        <v>544</v>
      </c>
      <c r="B5374" s="12" t="s">
        <v>572</v>
      </c>
      <c r="C5374" s="12" t="s">
        <v>562</v>
      </c>
      <c r="D5374" s="13">
        <v>363</v>
      </c>
      <c r="E5374" s="13">
        <v>363.23929900000002</v>
      </c>
      <c r="F5374" s="13">
        <v>365.71473200000003</v>
      </c>
      <c r="G5374" s="13">
        <v>354.117706</v>
      </c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</row>
    <row r="5375" spans="1:19" x14ac:dyDescent="0.2">
      <c r="A5375" s="12" t="s">
        <v>544</v>
      </c>
      <c r="B5375" s="12" t="s">
        <v>572</v>
      </c>
      <c r="C5375" s="12" t="s">
        <v>563</v>
      </c>
      <c r="D5375" s="13">
        <v>8</v>
      </c>
      <c r="E5375" s="13">
        <v>9.3547050000000009</v>
      </c>
      <c r="F5375" s="13">
        <v>7.6527799999999999</v>
      </c>
      <c r="G5375" s="13">
        <v>7.5249230000000003</v>
      </c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</row>
    <row r="5376" spans="1:19" x14ac:dyDescent="0.2">
      <c r="A5376" s="12" t="s">
        <v>544</v>
      </c>
      <c r="B5376" s="12" t="s">
        <v>572</v>
      </c>
      <c r="C5376" s="12" t="s">
        <v>564</v>
      </c>
      <c r="D5376" s="13">
        <v>167</v>
      </c>
      <c r="E5376" s="13">
        <v>170.75533899999999</v>
      </c>
      <c r="F5376" s="13">
        <v>167.25082800000001</v>
      </c>
      <c r="G5376" s="13">
        <v>161.947203</v>
      </c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</row>
    <row r="5377" spans="1:19" x14ac:dyDescent="0.2">
      <c r="A5377" s="12" t="s">
        <v>544</v>
      </c>
      <c r="B5377" s="12" t="s">
        <v>572</v>
      </c>
      <c r="C5377" s="12" t="s">
        <v>565</v>
      </c>
      <c r="D5377" s="13">
        <v>127</v>
      </c>
      <c r="E5377" s="13">
        <v>130.205209</v>
      </c>
      <c r="F5377" s="13">
        <v>127.53292999999999</v>
      </c>
      <c r="G5377" s="13">
        <v>123.488783</v>
      </c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</row>
    <row r="5378" spans="1:19" x14ac:dyDescent="0.2">
      <c r="A5378" s="12" t="s">
        <v>544</v>
      </c>
      <c r="B5378" s="12" t="s">
        <v>572</v>
      </c>
      <c r="C5378" s="12" t="s">
        <v>566</v>
      </c>
      <c r="D5378" s="13">
        <v>22</v>
      </c>
      <c r="E5378" s="13">
        <v>22.000419999999998</v>
      </c>
      <c r="F5378" s="13">
        <v>19.797342</v>
      </c>
      <c r="G5378" s="13">
        <v>20.169402000000002</v>
      </c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</row>
    <row r="5379" spans="1:19" x14ac:dyDescent="0.2">
      <c r="A5379" s="12" t="s">
        <v>544</v>
      </c>
      <c r="B5379" s="12" t="s">
        <v>573</v>
      </c>
      <c r="C5379" s="12" t="s">
        <v>554</v>
      </c>
      <c r="D5379" s="13">
        <v>0</v>
      </c>
      <c r="E5379" s="13">
        <v>0</v>
      </c>
      <c r="F5379" s="13">
        <v>0</v>
      </c>
      <c r="G5379" s="13">
        <v>0</v>
      </c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</row>
    <row r="5380" spans="1:19" x14ac:dyDescent="0.2">
      <c r="A5380" s="12" t="s">
        <v>544</v>
      </c>
      <c r="B5380" s="12" t="s">
        <v>573</v>
      </c>
      <c r="C5380" s="12" t="s">
        <v>555</v>
      </c>
      <c r="D5380" s="13">
        <v>0</v>
      </c>
      <c r="E5380" s="13">
        <v>0</v>
      </c>
      <c r="F5380" s="13">
        <v>0</v>
      </c>
      <c r="G5380" s="13">
        <v>0</v>
      </c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</row>
    <row r="5381" spans="1:19" x14ac:dyDescent="0.2">
      <c r="A5381" s="12" t="s">
        <v>544</v>
      </c>
      <c r="B5381" s="12" t="s">
        <v>573</v>
      </c>
      <c r="C5381" s="12" t="s">
        <v>556</v>
      </c>
      <c r="D5381" s="13">
        <v>0</v>
      </c>
      <c r="E5381" s="13">
        <v>0</v>
      </c>
      <c r="F5381" s="13">
        <v>0</v>
      </c>
      <c r="G5381" s="13">
        <v>0</v>
      </c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</row>
    <row r="5382" spans="1:19" x14ac:dyDescent="0.2">
      <c r="A5382" s="12" t="s">
        <v>544</v>
      </c>
      <c r="B5382" s="12" t="s">
        <v>573</v>
      </c>
      <c r="C5382" s="12" t="s">
        <v>557</v>
      </c>
      <c r="D5382" s="13">
        <v>0</v>
      </c>
      <c r="E5382" s="13">
        <v>0</v>
      </c>
      <c r="F5382" s="13">
        <v>0</v>
      </c>
      <c r="G5382" s="13">
        <v>0</v>
      </c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</row>
    <row r="5383" spans="1:19" x14ac:dyDescent="0.2">
      <c r="A5383" s="12" t="s">
        <v>544</v>
      </c>
      <c r="B5383" s="12" t="s">
        <v>573</v>
      </c>
      <c r="C5383" s="12" t="s">
        <v>558</v>
      </c>
      <c r="D5383" s="13">
        <v>0</v>
      </c>
      <c r="E5383" s="13">
        <v>0</v>
      </c>
      <c r="F5383" s="13">
        <v>0</v>
      </c>
      <c r="G5383" s="13">
        <v>0</v>
      </c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</row>
    <row r="5384" spans="1:19" x14ac:dyDescent="0.2">
      <c r="A5384" s="12" t="s">
        <v>544</v>
      </c>
      <c r="B5384" s="12" t="s">
        <v>573</v>
      </c>
      <c r="C5384" s="12" t="s">
        <v>560</v>
      </c>
      <c r="D5384" s="13">
        <v>0</v>
      </c>
      <c r="E5384" s="13">
        <v>0</v>
      </c>
      <c r="F5384" s="13">
        <v>0</v>
      </c>
      <c r="G5384" s="13">
        <v>0</v>
      </c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</row>
    <row r="5385" spans="1:19" x14ac:dyDescent="0.2">
      <c r="A5385" s="12" t="s">
        <v>544</v>
      </c>
      <c r="B5385" s="12" t="s">
        <v>573</v>
      </c>
      <c r="C5385" s="12" t="s">
        <v>561</v>
      </c>
      <c r="D5385" s="13">
        <v>0</v>
      </c>
      <c r="E5385" s="13">
        <v>0</v>
      </c>
      <c r="F5385" s="13">
        <v>0</v>
      </c>
      <c r="G5385" s="13">
        <v>0</v>
      </c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</row>
    <row r="5386" spans="1:19" x14ac:dyDescent="0.2">
      <c r="A5386" s="12" t="s">
        <v>544</v>
      </c>
      <c r="B5386" s="12" t="s">
        <v>573</v>
      </c>
      <c r="C5386" s="12" t="s">
        <v>562</v>
      </c>
      <c r="D5386" s="13">
        <v>0</v>
      </c>
      <c r="E5386" s="13">
        <v>0</v>
      </c>
      <c r="F5386" s="13">
        <v>0</v>
      </c>
      <c r="G5386" s="13">
        <v>0</v>
      </c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</row>
    <row r="5387" spans="1:19" x14ac:dyDescent="0.2">
      <c r="A5387" s="12" t="s">
        <v>544</v>
      </c>
      <c r="B5387" s="12" t="s">
        <v>573</v>
      </c>
      <c r="C5387" s="12" t="s">
        <v>563</v>
      </c>
      <c r="D5387" s="13">
        <v>0</v>
      </c>
      <c r="E5387" s="13">
        <v>0</v>
      </c>
      <c r="F5387" s="13">
        <v>0</v>
      </c>
      <c r="G5387" s="13">
        <v>0</v>
      </c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</row>
    <row r="5388" spans="1:19" x14ac:dyDescent="0.2">
      <c r="A5388" s="12" t="s">
        <v>544</v>
      </c>
      <c r="B5388" s="12" t="s">
        <v>573</v>
      </c>
      <c r="C5388" s="12" t="s">
        <v>564</v>
      </c>
      <c r="D5388" s="13">
        <v>0</v>
      </c>
      <c r="E5388" s="13">
        <v>0</v>
      </c>
      <c r="F5388" s="13">
        <v>0</v>
      </c>
      <c r="G5388" s="13">
        <v>0</v>
      </c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</row>
    <row r="5389" spans="1:19" x14ac:dyDescent="0.2">
      <c r="A5389" s="12" t="s">
        <v>544</v>
      </c>
      <c r="B5389" s="12" t="s">
        <v>573</v>
      </c>
      <c r="C5389" s="12" t="s">
        <v>565</v>
      </c>
      <c r="D5389" s="13">
        <v>0</v>
      </c>
      <c r="E5389" s="13">
        <v>0</v>
      </c>
      <c r="F5389" s="13">
        <v>0</v>
      </c>
      <c r="G5389" s="13">
        <v>0</v>
      </c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</row>
    <row r="5390" spans="1:19" x14ac:dyDescent="0.2">
      <c r="A5390" s="12" t="s">
        <v>544</v>
      </c>
      <c r="B5390" s="12" t="s">
        <v>573</v>
      </c>
      <c r="C5390" s="12" t="s">
        <v>566</v>
      </c>
      <c r="D5390" s="13">
        <v>0</v>
      </c>
      <c r="E5390" s="13">
        <v>0</v>
      </c>
      <c r="F5390" s="13">
        <v>0</v>
      </c>
      <c r="G5390" s="13">
        <v>0</v>
      </c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</row>
    <row r="5391" spans="1:19" x14ac:dyDescent="0.2">
      <c r="A5391" s="12" t="s">
        <v>544</v>
      </c>
      <c r="B5391" s="12" t="s">
        <v>574</v>
      </c>
      <c r="C5391" s="12" t="s">
        <v>554</v>
      </c>
      <c r="D5391" s="13">
        <v>6284</v>
      </c>
      <c r="E5391" s="13">
        <v>5976.9192439999997</v>
      </c>
      <c r="F5391" s="13">
        <v>5846.1515259999996</v>
      </c>
      <c r="G5391" s="13">
        <v>5869.0879840000007</v>
      </c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</row>
    <row r="5392" spans="1:19" x14ac:dyDescent="0.2">
      <c r="A5392" s="12" t="s">
        <v>544</v>
      </c>
      <c r="B5392" s="12" t="s">
        <v>574</v>
      </c>
      <c r="C5392" s="12" t="s">
        <v>555</v>
      </c>
      <c r="D5392" s="13">
        <v>1267</v>
      </c>
      <c r="E5392" s="13">
        <v>1450.309446</v>
      </c>
      <c r="F5392" s="13">
        <v>1431.0620899999999</v>
      </c>
      <c r="G5392" s="13">
        <v>1562.877086</v>
      </c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</row>
    <row r="5393" spans="1:19" x14ac:dyDescent="0.2">
      <c r="A5393" s="12" t="s">
        <v>544</v>
      </c>
      <c r="B5393" s="12" t="s">
        <v>574</v>
      </c>
      <c r="C5393" s="12" t="s">
        <v>556</v>
      </c>
      <c r="D5393" s="13">
        <v>-2254</v>
      </c>
      <c r="E5393" s="13">
        <v>-1991.0001420000001</v>
      </c>
      <c r="F5393" s="13">
        <v>-2147.2837100000002</v>
      </c>
      <c r="G5393" s="13">
        <v>-2204.5539880000001</v>
      </c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</row>
    <row r="5394" spans="1:19" x14ac:dyDescent="0.2">
      <c r="A5394" s="12" t="s">
        <v>544</v>
      </c>
      <c r="B5394" s="12" t="s">
        <v>574</v>
      </c>
      <c r="C5394" s="12" t="s">
        <v>557</v>
      </c>
      <c r="D5394" s="13">
        <v>5166</v>
      </c>
      <c r="E5394" s="13">
        <v>5470.8859119999997</v>
      </c>
      <c r="F5394" s="13">
        <v>5062.196379</v>
      </c>
      <c r="G5394" s="13">
        <v>5130.4120949999997</v>
      </c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</row>
    <row r="5395" spans="1:19" x14ac:dyDescent="0.2">
      <c r="A5395" s="12" t="s">
        <v>544</v>
      </c>
      <c r="B5395" s="12" t="s">
        <v>574</v>
      </c>
      <c r="C5395" s="12" t="s">
        <v>558</v>
      </c>
      <c r="D5395" s="13">
        <v>-1960</v>
      </c>
      <c r="E5395" s="13">
        <v>-1859.67444</v>
      </c>
      <c r="F5395" s="13">
        <v>-1535.5548249999999</v>
      </c>
      <c r="G5395" s="13">
        <v>-1466.9340649999999</v>
      </c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</row>
    <row r="5396" spans="1:19" x14ac:dyDescent="0.2">
      <c r="A5396" s="12" t="s">
        <v>544</v>
      </c>
      <c r="B5396" s="12" t="s">
        <v>574</v>
      </c>
      <c r="C5396" s="12" t="s">
        <v>560</v>
      </c>
      <c r="D5396" s="13">
        <v>-26</v>
      </c>
      <c r="E5396" s="13">
        <v>-18.435787000000001</v>
      </c>
      <c r="F5396" s="13">
        <v>-12.459733</v>
      </c>
      <c r="G5396" s="13">
        <v>-14.921533</v>
      </c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</row>
    <row r="5397" spans="1:19" x14ac:dyDescent="0.2">
      <c r="A5397" s="12" t="s">
        <v>544</v>
      </c>
      <c r="B5397" s="12" t="s">
        <v>574</v>
      </c>
      <c r="C5397" s="12" t="s">
        <v>561</v>
      </c>
      <c r="D5397" s="13">
        <v>2437</v>
      </c>
      <c r="E5397" s="13">
        <v>2491.9528089999999</v>
      </c>
      <c r="F5397" s="13">
        <v>2504.4438500000001</v>
      </c>
      <c r="G5397" s="13">
        <v>2540.2343999999998</v>
      </c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</row>
    <row r="5398" spans="1:19" x14ac:dyDescent="0.2">
      <c r="A5398" s="12" t="s">
        <v>544</v>
      </c>
      <c r="B5398" s="12" t="s">
        <v>574</v>
      </c>
      <c r="C5398" s="12" t="s">
        <v>562</v>
      </c>
      <c r="D5398" s="13">
        <v>1010</v>
      </c>
      <c r="E5398" s="13">
        <v>971.150128</v>
      </c>
      <c r="F5398" s="13">
        <v>957.11920999999995</v>
      </c>
      <c r="G5398" s="13">
        <v>960.54073000000005</v>
      </c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</row>
    <row r="5399" spans="1:19" x14ac:dyDescent="0.2">
      <c r="A5399" s="12" t="s">
        <v>544</v>
      </c>
      <c r="B5399" s="12" t="s">
        <v>574</v>
      </c>
      <c r="C5399" s="12" t="s">
        <v>563</v>
      </c>
      <c r="D5399" s="13">
        <v>615</v>
      </c>
      <c r="E5399" s="13">
        <v>683.59412199999997</v>
      </c>
      <c r="F5399" s="13">
        <v>673.72173600000008</v>
      </c>
      <c r="G5399" s="13">
        <v>671.16267500000004</v>
      </c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</row>
    <row r="5400" spans="1:19" x14ac:dyDescent="0.2">
      <c r="A5400" s="12" t="s">
        <v>544</v>
      </c>
      <c r="B5400" s="12" t="s">
        <v>574</v>
      </c>
      <c r="C5400" s="12" t="s">
        <v>564</v>
      </c>
      <c r="D5400" s="13">
        <v>335</v>
      </c>
      <c r="E5400" s="13">
        <v>337.96309300000001</v>
      </c>
      <c r="F5400" s="13">
        <v>333.85195700000003</v>
      </c>
      <c r="G5400" s="13">
        <v>329.40479699999997</v>
      </c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</row>
    <row r="5401" spans="1:19" x14ac:dyDescent="0.2">
      <c r="A5401" s="12" t="s">
        <v>544</v>
      </c>
      <c r="B5401" s="12" t="s">
        <v>574</v>
      </c>
      <c r="C5401" s="12" t="s">
        <v>565</v>
      </c>
      <c r="D5401" s="13">
        <v>185</v>
      </c>
      <c r="E5401" s="13">
        <v>187.99732599999999</v>
      </c>
      <c r="F5401" s="13">
        <v>184.48741899999999</v>
      </c>
      <c r="G5401" s="13">
        <v>180.804877</v>
      </c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</row>
    <row r="5402" spans="1:19" x14ac:dyDescent="0.2">
      <c r="A5402" s="12" t="s">
        <v>544</v>
      </c>
      <c r="B5402" s="12" t="s">
        <v>574</v>
      </c>
      <c r="C5402" s="12" t="s">
        <v>566</v>
      </c>
      <c r="D5402" s="13">
        <v>293</v>
      </c>
      <c r="E5402" s="13">
        <v>311.248152</v>
      </c>
      <c r="F5402" s="13">
        <v>355.26352900000001</v>
      </c>
      <c r="G5402" s="13">
        <v>398.32133399999998</v>
      </c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</row>
    <row r="5403" spans="1:19" x14ac:dyDescent="0.2">
      <c r="A5403" s="12" t="s">
        <v>493</v>
      </c>
      <c r="B5403" s="12" t="s">
        <v>553</v>
      </c>
      <c r="C5403" s="12" t="s">
        <v>554</v>
      </c>
      <c r="D5403" s="13">
        <v>137</v>
      </c>
      <c r="E5403" s="13">
        <v>136.18987200000001</v>
      </c>
      <c r="F5403" s="13">
        <v>141.470812</v>
      </c>
      <c r="G5403" s="13">
        <v>132.85006999999999</v>
      </c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</row>
    <row r="5404" spans="1:19" x14ac:dyDescent="0.2">
      <c r="A5404" s="12" t="s">
        <v>493</v>
      </c>
      <c r="B5404" s="12" t="s">
        <v>553</v>
      </c>
      <c r="C5404" s="12" t="s">
        <v>555</v>
      </c>
      <c r="D5404" s="13">
        <v>662</v>
      </c>
      <c r="E5404" s="13">
        <v>662.07423800000004</v>
      </c>
      <c r="F5404" s="13">
        <v>596.205286</v>
      </c>
      <c r="G5404" s="13">
        <v>501.295344</v>
      </c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</row>
    <row r="5405" spans="1:19" x14ac:dyDescent="0.2">
      <c r="A5405" s="12" t="s">
        <v>493</v>
      </c>
      <c r="B5405" s="12" t="s">
        <v>553</v>
      </c>
      <c r="C5405" s="12" t="s">
        <v>556</v>
      </c>
      <c r="D5405" s="13">
        <v>-2</v>
      </c>
      <c r="E5405" s="13">
        <v>-4.0093050000000003</v>
      </c>
      <c r="F5405" s="13">
        <v>-4.8797449999999998</v>
      </c>
      <c r="G5405" s="13">
        <v>-2.5058120000000002</v>
      </c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</row>
    <row r="5406" spans="1:19" x14ac:dyDescent="0.2">
      <c r="A5406" s="12" t="s">
        <v>493</v>
      </c>
      <c r="B5406" s="12" t="s">
        <v>553</v>
      </c>
      <c r="C5406" s="12" t="s">
        <v>557</v>
      </c>
      <c r="D5406" s="13">
        <v>716</v>
      </c>
      <c r="E5406" s="13">
        <v>660.10310900000002</v>
      </c>
      <c r="F5406" s="13">
        <v>732.79634900000008</v>
      </c>
      <c r="G5406" s="13">
        <v>631.63960199999997</v>
      </c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</row>
    <row r="5407" spans="1:19" x14ac:dyDescent="0.2">
      <c r="A5407" s="12" t="s">
        <v>493</v>
      </c>
      <c r="B5407" s="12" t="s">
        <v>553</v>
      </c>
      <c r="C5407" s="12" t="s">
        <v>558</v>
      </c>
      <c r="D5407" s="13">
        <v>-361</v>
      </c>
      <c r="E5407" s="13">
        <v>-356.08470699999998</v>
      </c>
      <c r="F5407" s="13">
        <v>-368.77617900000001</v>
      </c>
      <c r="G5407" s="13">
        <v>-312.78823799999998</v>
      </c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</row>
    <row r="5408" spans="1:19" x14ac:dyDescent="0.2">
      <c r="A5408" s="12" t="s">
        <v>493</v>
      </c>
      <c r="B5408" s="12" t="s">
        <v>553</v>
      </c>
      <c r="C5408" s="12" t="s">
        <v>560</v>
      </c>
      <c r="D5408" s="13">
        <v>0</v>
      </c>
      <c r="E5408" s="13">
        <v>0</v>
      </c>
      <c r="F5408" s="13">
        <v>0</v>
      </c>
      <c r="G5408" s="13">
        <v>0</v>
      </c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</row>
    <row r="5409" spans="1:19" x14ac:dyDescent="0.2">
      <c r="A5409" s="12" t="s">
        <v>493</v>
      </c>
      <c r="B5409" s="12" t="s">
        <v>553</v>
      </c>
      <c r="C5409" s="12" t="s">
        <v>561</v>
      </c>
      <c r="D5409" s="13">
        <v>356</v>
      </c>
      <c r="E5409" s="13">
        <v>315.340892</v>
      </c>
      <c r="F5409" s="13">
        <v>355.175501</v>
      </c>
      <c r="G5409" s="13">
        <v>296.67426599999999</v>
      </c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</row>
    <row r="5410" spans="1:19" x14ac:dyDescent="0.2">
      <c r="A5410" s="12" t="s">
        <v>493</v>
      </c>
      <c r="B5410" s="12" t="s">
        <v>553</v>
      </c>
      <c r="C5410" s="12" t="s">
        <v>562</v>
      </c>
      <c r="D5410" s="13">
        <v>356</v>
      </c>
      <c r="E5410" s="13">
        <v>315.340892</v>
      </c>
      <c r="F5410" s="13">
        <v>355.175501</v>
      </c>
      <c r="G5410" s="13">
        <v>296.67426599999999</v>
      </c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</row>
    <row r="5411" spans="1:19" x14ac:dyDescent="0.2">
      <c r="A5411" s="12" t="s">
        <v>493</v>
      </c>
      <c r="B5411" s="12" t="s">
        <v>553</v>
      </c>
      <c r="C5411" s="12" t="s">
        <v>563</v>
      </c>
      <c r="D5411" s="13">
        <v>0</v>
      </c>
      <c r="E5411" s="13">
        <v>0</v>
      </c>
      <c r="F5411" s="13">
        <v>0</v>
      </c>
      <c r="G5411" s="13">
        <v>0</v>
      </c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</row>
    <row r="5412" spans="1:19" x14ac:dyDescent="0.2">
      <c r="A5412" s="12" t="s">
        <v>493</v>
      </c>
      <c r="B5412" s="12" t="s">
        <v>553</v>
      </c>
      <c r="C5412" s="12" t="s">
        <v>564</v>
      </c>
      <c r="D5412" s="13">
        <v>0</v>
      </c>
      <c r="E5412" s="13">
        <v>0</v>
      </c>
      <c r="F5412" s="13">
        <v>0</v>
      </c>
      <c r="G5412" s="13">
        <v>0</v>
      </c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</row>
    <row r="5413" spans="1:19" x14ac:dyDescent="0.2">
      <c r="A5413" s="12" t="s">
        <v>493</v>
      </c>
      <c r="B5413" s="12" t="s">
        <v>553</v>
      </c>
      <c r="C5413" s="12" t="s">
        <v>565</v>
      </c>
      <c r="D5413" s="13">
        <v>0</v>
      </c>
      <c r="E5413" s="13">
        <v>0</v>
      </c>
      <c r="F5413" s="13">
        <v>0</v>
      </c>
      <c r="G5413" s="13">
        <v>0</v>
      </c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</row>
    <row r="5414" spans="1:19" x14ac:dyDescent="0.2">
      <c r="A5414" s="12" t="s">
        <v>493</v>
      </c>
      <c r="B5414" s="12" t="s">
        <v>553</v>
      </c>
      <c r="C5414" s="12" t="s">
        <v>566</v>
      </c>
      <c r="D5414" s="13">
        <v>0</v>
      </c>
      <c r="E5414" s="13">
        <v>0</v>
      </c>
      <c r="F5414" s="13">
        <v>0</v>
      </c>
      <c r="G5414" s="13">
        <v>0</v>
      </c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</row>
    <row r="5415" spans="1:19" x14ac:dyDescent="0.2">
      <c r="A5415" s="12" t="s">
        <v>493</v>
      </c>
      <c r="B5415" s="12" t="s">
        <v>567</v>
      </c>
      <c r="C5415" s="12" t="s">
        <v>554</v>
      </c>
      <c r="D5415" s="13">
        <v>714</v>
      </c>
      <c r="E5415" s="13">
        <v>663.76374199999998</v>
      </c>
      <c r="F5415" s="13">
        <v>548.12619700000005</v>
      </c>
      <c r="G5415" s="13">
        <v>532.61374699999999</v>
      </c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</row>
    <row r="5416" spans="1:19" x14ac:dyDescent="0.2">
      <c r="A5416" s="12" t="s">
        <v>493</v>
      </c>
      <c r="B5416" s="12" t="s">
        <v>567</v>
      </c>
      <c r="C5416" s="12" t="s">
        <v>555</v>
      </c>
      <c r="D5416" s="13">
        <v>1857</v>
      </c>
      <c r="E5416" s="13">
        <v>1881.567209</v>
      </c>
      <c r="F5416" s="13">
        <v>2002.219137</v>
      </c>
      <c r="G5416" s="13">
        <v>2095.8052539999999</v>
      </c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</row>
    <row r="5417" spans="1:19" x14ac:dyDescent="0.2">
      <c r="A5417" s="12" t="s">
        <v>493</v>
      </c>
      <c r="B5417" s="12" t="s">
        <v>567</v>
      </c>
      <c r="C5417" s="12" t="s">
        <v>556</v>
      </c>
      <c r="D5417" s="13">
        <v>-54</v>
      </c>
      <c r="E5417" s="13">
        <v>-34.822251999999999</v>
      </c>
      <c r="F5417" s="13">
        <v>-28.388003000000001</v>
      </c>
      <c r="G5417" s="13">
        <v>-24.904167000000001</v>
      </c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</row>
    <row r="5418" spans="1:19" x14ac:dyDescent="0.2">
      <c r="A5418" s="12" t="s">
        <v>493</v>
      </c>
      <c r="B5418" s="12" t="s">
        <v>567</v>
      </c>
      <c r="C5418" s="12" t="s">
        <v>557</v>
      </c>
      <c r="D5418" s="13">
        <v>2647</v>
      </c>
      <c r="E5418" s="13">
        <v>2610.2417580000001</v>
      </c>
      <c r="F5418" s="13">
        <v>2521.9573310000001</v>
      </c>
      <c r="G5418" s="13">
        <v>2603.5148340000001</v>
      </c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</row>
    <row r="5419" spans="1:19" x14ac:dyDescent="0.2">
      <c r="A5419" s="12" t="s">
        <v>493</v>
      </c>
      <c r="B5419" s="12" t="s">
        <v>567</v>
      </c>
      <c r="C5419" s="12" t="s">
        <v>558</v>
      </c>
      <c r="D5419" s="13">
        <v>0</v>
      </c>
      <c r="E5419" s="13">
        <v>0</v>
      </c>
      <c r="F5419" s="13">
        <v>0</v>
      </c>
      <c r="G5419" s="13">
        <v>0</v>
      </c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</row>
    <row r="5420" spans="1:19" x14ac:dyDescent="0.2">
      <c r="A5420" s="12" t="s">
        <v>493</v>
      </c>
      <c r="B5420" s="12" t="s">
        <v>567</v>
      </c>
      <c r="C5420" s="12" t="s">
        <v>560</v>
      </c>
      <c r="D5420" s="13">
        <v>-2354</v>
      </c>
      <c r="E5420" s="13">
        <v>-2315.710744</v>
      </c>
      <c r="F5420" s="13">
        <v>-2405.9181509999999</v>
      </c>
      <c r="G5420" s="13">
        <v>-2481.1939349999998</v>
      </c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</row>
    <row r="5421" spans="1:19" x14ac:dyDescent="0.2">
      <c r="A5421" s="12" t="s">
        <v>493</v>
      </c>
      <c r="B5421" s="12" t="s">
        <v>567</v>
      </c>
      <c r="C5421" s="12" t="s">
        <v>561</v>
      </c>
      <c r="D5421" s="13">
        <v>24</v>
      </c>
      <c r="E5421" s="13">
        <v>27.857012000000001</v>
      </c>
      <c r="F5421" s="13">
        <v>23.733274000000002</v>
      </c>
      <c r="G5421" s="13">
        <v>23.306001999999999</v>
      </c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</row>
    <row r="5422" spans="1:19" x14ac:dyDescent="0.2">
      <c r="A5422" s="12" t="s">
        <v>493</v>
      </c>
      <c r="B5422" s="12" t="s">
        <v>567</v>
      </c>
      <c r="C5422" s="12" t="s">
        <v>562</v>
      </c>
      <c r="D5422" s="13">
        <v>0</v>
      </c>
      <c r="E5422" s="13">
        <v>0</v>
      </c>
      <c r="F5422" s="13">
        <v>0</v>
      </c>
      <c r="G5422" s="13">
        <v>0</v>
      </c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</row>
    <row r="5423" spans="1:19" x14ac:dyDescent="0.2">
      <c r="A5423" s="12" t="s">
        <v>493</v>
      </c>
      <c r="B5423" s="12" t="s">
        <v>567</v>
      </c>
      <c r="C5423" s="12" t="s">
        <v>563</v>
      </c>
      <c r="D5423" s="13">
        <v>0</v>
      </c>
      <c r="E5423" s="13">
        <v>0</v>
      </c>
      <c r="F5423" s="13">
        <v>0</v>
      </c>
      <c r="G5423" s="13">
        <v>0</v>
      </c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</row>
    <row r="5424" spans="1:19" x14ac:dyDescent="0.2">
      <c r="A5424" s="12" t="s">
        <v>493</v>
      </c>
      <c r="B5424" s="12" t="s">
        <v>567</v>
      </c>
      <c r="C5424" s="12" t="s">
        <v>564</v>
      </c>
      <c r="D5424" s="13">
        <v>0</v>
      </c>
      <c r="E5424" s="13">
        <v>0</v>
      </c>
      <c r="F5424" s="13">
        <v>0</v>
      </c>
      <c r="G5424" s="13">
        <v>0</v>
      </c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</row>
    <row r="5425" spans="1:19" x14ac:dyDescent="0.2">
      <c r="A5425" s="12" t="s">
        <v>493</v>
      </c>
      <c r="B5425" s="12" t="s">
        <v>567</v>
      </c>
      <c r="C5425" s="12" t="s">
        <v>565</v>
      </c>
      <c r="D5425" s="13">
        <v>0</v>
      </c>
      <c r="E5425" s="13">
        <v>0</v>
      </c>
      <c r="F5425" s="13">
        <v>0</v>
      </c>
      <c r="G5425" s="13">
        <v>0</v>
      </c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</row>
    <row r="5426" spans="1:19" x14ac:dyDescent="0.2">
      <c r="A5426" s="12" t="s">
        <v>493</v>
      </c>
      <c r="B5426" s="12" t="s">
        <v>567</v>
      </c>
      <c r="C5426" s="12" t="s">
        <v>566</v>
      </c>
      <c r="D5426" s="13">
        <v>24</v>
      </c>
      <c r="E5426" s="13">
        <v>27.857012000000001</v>
      </c>
      <c r="F5426" s="13">
        <v>23.733274000000002</v>
      </c>
      <c r="G5426" s="13">
        <v>23.306001999999999</v>
      </c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</row>
    <row r="5427" spans="1:19" x14ac:dyDescent="0.2">
      <c r="A5427" s="12" t="s">
        <v>493</v>
      </c>
      <c r="B5427" s="12" t="s">
        <v>568</v>
      </c>
      <c r="C5427" s="12" t="s">
        <v>554</v>
      </c>
      <c r="D5427" s="13">
        <v>0</v>
      </c>
      <c r="E5427" s="13">
        <v>0</v>
      </c>
      <c r="F5427" s="13">
        <v>0</v>
      </c>
      <c r="G5427" s="13">
        <v>0</v>
      </c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</row>
    <row r="5428" spans="1:19" x14ac:dyDescent="0.2">
      <c r="A5428" s="12" t="s">
        <v>493</v>
      </c>
      <c r="B5428" s="12" t="s">
        <v>568</v>
      </c>
      <c r="C5428" s="12" t="s">
        <v>555</v>
      </c>
      <c r="D5428" s="13">
        <v>291</v>
      </c>
      <c r="E5428" s="13">
        <v>302.17796900000002</v>
      </c>
      <c r="F5428" s="13">
        <v>325.69041399999998</v>
      </c>
      <c r="G5428" s="13">
        <v>260.578326</v>
      </c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</row>
    <row r="5429" spans="1:19" x14ac:dyDescent="0.2">
      <c r="A5429" s="12" t="s">
        <v>493</v>
      </c>
      <c r="B5429" s="12" t="s">
        <v>568</v>
      </c>
      <c r="C5429" s="12" t="s">
        <v>556</v>
      </c>
      <c r="D5429" s="13">
        <v>-444</v>
      </c>
      <c r="E5429" s="13">
        <v>-467.084315</v>
      </c>
      <c r="F5429" s="13">
        <v>-359.62680999999998</v>
      </c>
      <c r="G5429" s="13">
        <v>-426.68084099999999</v>
      </c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</row>
    <row r="5430" spans="1:19" x14ac:dyDescent="0.2">
      <c r="A5430" s="12" t="s">
        <v>493</v>
      </c>
      <c r="B5430" s="12" t="s">
        <v>568</v>
      </c>
      <c r="C5430" s="12" t="s">
        <v>557</v>
      </c>
      <c r="D5430" s="13">
        <v>-300</v>
      </c>
      <c r="E5430" s="13">
        <v>-252.09276700000001</v>
      </c>
      <c r="F5430" s="13">
        <v>-180.98506</v>
      </c>
      <c r="G5430" s="13">
        <v>-358.26852000000002</v>
      </c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</row>
    <row r="5431" spans="1:19" x14ac:dyDescent="0.2">
      <c r="A5431" s="12" t="s">
        <v>493</v>
      </c>
      <c r="B5431" s="12" t="s">
        <v>568</v>
      </c>
      <c r="C5431" s="12" t="s">
        <v>558</v>
      </c>
      <c r="D5431" s="13">
        <v>-3</v>
      </c>
      <c r="E5431" s="13">
        <v>-28.110385000000001</v>
      </c>
      <c r="F5431" s="13">
        <v>-108.463521</v>
      </c>
      <c r="G5431" s="13">
        <v>-33.464134000000001</v>
      </c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</row>
    <row r="5432" spans="1:19" x14ac:dyDescent="0.2">
      <c r="A5432" s="12" t="s">
        <v>493</v>
      </c>
      <c r="B5432" s="12" t="s">
        <v>568</v>
      </c>
      <c r="C5432" s="12" t="s">
        <v>560</v>
      </c>
      <c r="D5432" s="13">
        <v>2338</v>
      </c>
      <c r="E5432" s="13">
        <v>2313.4184420000001</v>
      </c>
      <c r="F5432" s="13">
        <v>2407.3669140000002</v>
      </c>
      <c r="G5432" s="13">
        <v>2516.9781290000001</v>
      </c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</row>
    <row r="5433" spans="1:19" x14ac:dyDescent="0.2">
      <c r="A5433" s="12" t="s">
        <v>493</v>
      </c>
      <c r="B5433" s="12" t="s">
        <v>568</v>
      </c>
      <c r="C5433" s="12" t="s">
        <v>561</v>
      </c>
      <c r="D5433" s="13">
        <v>2243</v>
      </c>
      <c r="E5433" s="13">
        <v>2217.4900910000001</v>
      </c>
      <c r="F5433" s="13">
        <v>2251.7729570000001</v>
      </c>
      <c r="G5433" s="13">
        <v>2290.0462090000001</v>
      </c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</row>
    <row r="5434" spans="1:19" x14ac:dyDescent="0.2">
      <c r="A5434" s="12" t="s">
        <v>493</v>
      </c>
      <c r="B5434" s="12" t="s">
        <v>568</v>
      </c>
      <c r="C5434" s="12" t="s">
        <v>562</v>
      </c>
      <c r="D5434" s="13">
        <v>170</v>
      </c>
      <c r="E5434" s="13">
        <v>172.44176899999999</v>
      </c>
      <c r="F5434" s="13">
        <v>166.69109499999999</v>
      </c>
      <c r="G5434" s="13">
        <v>164.16379599999999</v>
      </c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</row>
    <row r="5435" spans="1:19" x14ac:dyDescent="0.2">
      <c r="A5435" s="12" t="s">
        <v>493</v>
      </c>
      <c r="B5435" s="12" t="s">
        <v>568</v>
      </c>
      <c r="C5435" s="12" t="s">
        <v>563</v>
      </c>
      <c r="D5435" s="13">
        <v>972</v>
      </c>
      <c r="E5435" s="13">
        <v>911.37385300000005</v>
      </c>
      <c r="F5435" s="13">
        <v>1057.3257510000001</v>
      </c>
      <c r="G5435" s="13">
        <v>1092.8972269999999</v>
      </c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</row>
    <row r="5436" spans="1:19" x14ac:dyDescent="0.2">
      <c r="A5436" s="12" t="s">
        <v>493</v>
      </c>
      <c r="B5436" s="12" t="s">
        <v>568</v>
      </c>
      <c r="C5436" s="12" t="s">
        <v>564</v>
      </c>
      <c r="D5436" s="13">
        <v>68</v>
      </c>
      <c r="E5436" s="13">
        <v>68.329827999999992</v>
      </c>
      <c r="F5436" s="13">
        <v>69.025096000000005</v>
      </c>
      <c r="G5436" s="13">
        <v>68.629987999999997</v>
      </c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</row>
    <row r="5437" spans="1:19" x14ac:dyDescent="0.2">
      <c r="A5437" s="12" t="s">
        <v>493</v>
      </c>
      <c r="B5437" s="12" t="s">
        <v>568</v>
      </c>
      <c r="C5437" s="12" t="s">
        <v>565</v>
      </c>
      <c r="D5437" s="13">
        <v>32</v>
      </c>
      <c r="E5437" s="13">
        <v>32.593874</v>
      </c>
      <c r="F5437" s="13">
        <v>32.925539000000001</v>
      </c>
      <c r="G5437" s="13">
        <v>32.737029</v>
      </c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</row>
    <row r="5438" spans="1:19" x14ac:dyDescent="0.2">
      <c r="A5438" s="12" t="s">
        <v>493</v>
      </c>
      <c r="B5438" s="12" t="s">
        <v>568</v>
      </c>
      <c r="C5438" s="12" t="s">
        <v>566</v>
      </c>
      <c r="D5438" s="13">
        <v>1001</v>
      </c>
      <c r="E5438" s="13">
        <v>1032.7507720000001</v>
      </c>
      <c r="F5438" s="13">
        <v>925.80547599999989</v>
      </c>
      <c r="G5438" s="13">
        <v>931.61816500000009</v>
      </c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</row>
    <row r="5439" spans="1:19" x14ac:dyDescent="0.2">
      <c r="A5439" s="12" t="s">
        <v>493</v>
      </c>
      <c r="B5439" s="12" t="s">
        <v>569</v>
      </c>
      <c r="C5439" s="12" t="s">
        <v>554</v>
      </c>
      <c r="D5439" s="13">
        <v>995</v>
      </c>
      <c r="E5439" s="13">
        <v>973.01756999999998</v>
      </c>
      <c r="F5439" s="13">
        <v>852.15213200000005</v>
      </c>
      <c r="G5439" s="13">
        <v>812.54076699999996</v>
      </c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</row>
    <row r="5440" spans="1:19" x14ac:dyDescent="0.2">
      <c r="A5440" s="12" t="s">
        <v>493</v>
      </c>
      <c r="B5440" s="12" t="s">
        <v>569</v>
      </c>
      <c r="C5440" s="12" t="s">
        <v>555</v>
      </c>
      <c r="D5440" s="13">
        <v>488</v>
      </c>
      <c r="E5440" s="13">
        <v>514.94771200000002</v>
      </c>
      <c r="F5440" s="13">
        <v>550.49636999999996</v>
      </c>
      <c r="G5440" s="13">
        <v>680.50289500000008</v>
      </c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</row>
    <row r="5441" spans="1:19" x14ac:dyDescent="0.2">
      <c r="A5441" s="12" t="s">
        <v>493</v>
      </c>
      <c r="B5441" s="12" t="s">
        <v>569</v>
      </c>
      <c r="C5441" s="12" t="s">
        <v>556</v>
      </c>
      <c r="D5441" s="13">
        <v>0</v>
      </c>
      <c r="E5441" s="13">
        <v>0</v>
      </c>
      <c r="F5441" s="13">
        <v>0</v>
      </c>
      <c r="G5441" s="13">
        <v>0</v>
      </c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</row>
    <row r="5442" spans="1:19" x14ac:dyDescent="0.2">
      <c r="A5442" s="12" t="s">
        <v>493</v>
      </c>
      <c r="B5442" s="12" t="s">
        <v>569</v>
      </c>
      <c r="C5442" s="12" t="s">
        <v>557</v>
      </c>
      <c r="D5442" s="13">
        <v>1483</v>
      </c>
      <c r="E5442" s="13">
        <v>1487.9652819999999</v>
      </c>
      <c r="F5442" s="13">
        <v>1398.641449</v>
      </c>
      <c r="G5442" s="13">
        <v>1469.8528550000001</v>
      </c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</row>
    <row r="5443" spans="1:19" x14ac:dyDescent="0.2">
      <c r="A5443" s="12" t="s">
        <v>493</v>
      </c>
      <c r="B5443" s="12" t="s">
        <v>569</v>
      </c>
      <c r="C5443" s="12" t="s">
        <v>558</v>
      </c>
      <c r="D5443" s="13">
        <v>-882</v>
      </c>
      <c r="E5443" s="13">
        <v>-881.26817299999993</v>
      </c>
      <c r="F5443" s="13">
        <v>-825.40599499999996</v>
      </c>
      <c r="G5443" s="13">
        <v>-924.60368400000004</v>
      </c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</row>
    <row r="5444" spans="1:19" x14ac:dyDescent="0.2">
      <c r="A5444" s="12" t="s">
        <v>493</v>
      </c>
      <c r="B5444" s="12" t="s">
        <v>569</v>
      </c>
      <c r="C5444" s="12" t="s">
        <v>560</v>
      </c>
      <c r="D5444" s="13">
        <v>0</v>
      </c>
      <c r="E5444" s="13">
        <v>0</v>
      </c>
      <c r="F5444" s="13">
        <v>0</v>
      </c>
      <c r="G5444" s="13">
        <v>0</v>
      </c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</row>
    <row r="5445" spans="1:19" x14ac:dyDescent="0.2">
      <c r="A5445" s="12" t="s">
        <v>493</v>
      </c>
      <c r="B5445" s="12" t="s">
        <v>569</v>
      </c>
      <c r="C5445" s="12" t="s">
        <v>561</v>
      </c>
      <c r="D5445" s="13">
        <v>270</v>
      </c>
      <c r="E5445" s="13">
        <v>285.56906800000002</v>
      </c>
      <c r="F5445" s="13">
        <v>306.90434299999998</v>
      </c>
      <c r="G5445" s="13">
        <v>299.57251100000002</v>
      </c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</row>
    <row r="5446" spans="1:19" x14ac:dyDescent="0.2">
      <c r="A5446" s="12" t="s">
        <v>493</v>
      </c>
      <c r="B5446" s="12" t="s">
        <v>569</v>
      </c>
      <c r="C5446" s="12" t="s">
        <v>562</v>
      </c>
      <c r="D5446" s="13">
        <v>143</v>
      </c>
      <c r="E5446" s="13">
        <v>158.85264699999999</v>
      </c>
      <c r="F5446" s="13">
        <v>176.81439599999999</v>
      </c>
      <c r="G5446" s="13">
        <v>170.529775</v>
      </c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</row>
    <row r="5447" spans="1:19" x14ac:dyDescent="0.2">
      <c r="A5447" s="12" t="s">
        <v>493</v>
      </c>
      <c r="B5447" s="12" t="s">
        <v>569</v>
      </c>
      <c r="C5447" s="12" t="s">
        <v>563</v>
      </c>
      <c r="D5447" s="13">
        <v>47</v>
      </c>
      <c r="E5447" s="13">
        <v>38.013179999999998</v>
      </c>
      <c r="F5447" s="13">
        <v>41.386705999999997</v>
      </c>
      <c r="G5447" s="13">
        <v>40.342275999999998</v>
      </c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</row>
    <row r="5448" spans="1:19" x14ac:dyDescent="0.2">
      <c r="A5448" s="12" t="s">
        <v>493</v>
      </c>
      <c r="B5448" s="12" t="s">
        <v>569</v>
      </c>
      <c r="C5448" s="12" t="s">
        <v>564</v>
      </c>
      <c r="D5448" s="13">
        <v>0</v>
      </c>
      <c r="E5448" s="13">
        <v>0</v>
      </c>
      <c r="F5448" s="13">
        <v>0</v>
      </c>
      <c r="G5448" s="13">
        <v>0</v>
      </c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</row>
    <row r="5449" spans="1:19" x14ac:dyDescent="0.2">
      <c r="A5449" s="12" t="s">
        <v>493</v>
      </c>
      <c r="B5449" s="12" t="s">
        <v>569</v>
      </c>
      <c r="C5449" s="12" t="s">
        <v>565</v>
      </c>
      <c r="D5449" s="13">
        <v>0</v>
      </c>
      <c r="E5449" s="13">
        <v>4.0813000000000002E-2</v>
      </c>
      <c r="F5449" s="13">
        <v>4.0813000000000002E-2</v>
      </c>
      <c r="G5449" s="13">
        <v>3.8029000000000007E-2</v>
      </c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</row>
    <row r="5450" spans="1:19" x14ac:dyDescent="0.2">
      <c r="A5450" s="12" t="s">
        <v>493</v>
      </c>
      <c r="B5450" s="12" t="s">
        <v>569</v>
      </c>
      <c r="C5450" s="12" t="s">
        <v>566</v>
      </c>
      <c r="D5450" s="13">
        <v>80</v>
      </c>
      <c r="E5450" s="13">
        <v>88.662428000000006</v>
      </c>
      <c r="F5450" s="13">
        <v>88.662428000000006</v>
      </c>
      <c r="G5450" s="13">
        <v>88.662428000000006</v>
      </c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</row>
    <row r="5451" spans="1:19" x14ac:dyDescent="0.2">
      <c r="A5451" s="12" t="s">
        <v>493</v>
      </c>
      <c r="B5451" s="12" t="s">
        <v>570</v>
      </c>
      <c r="C5451" s="12" t="s">
        <v>554</v>
      </c>
      <c r="D5451" s="13">
        <v>0</v>
      </c>
      <c r="E5451" s="13">
        <v>0</v>
      </c>
      <c r="F5451" s="13">
        <v>0</v>
      </c>
      <c r="G5451" s="13">
        <v>0</v>
      </c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</row>
    <row r="5452" spans="1:19" x14ac:dyDescent="0.2">
      <c r="A5452" s="12" t="s">
        <v>493</v>
      </c>
      <c r="B5452" s="12" t="s">
        <v>570</v>
      </c>
      <c r="C5452" s="12" t="s">
        <v>555</v>
      </c>
      <c r="D5452" s="13">
        <v>0</v>
      </c>
      <c r="E5452" s="13">
        <v>0</v>
      </c>
      <c r="F5452" s="13">
        <v>0</v>
      </c>
      <c r="G5452" s="13">
        <v>0</v>
      </c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</row>
    <row r="5453" spans="1:19" x14ac:dyDescent="0.2">
      <c r="A5453" s="12" t="s">
        <v>493</v>
      </c>
      <c r="B5453" s="12" t="s">
        <v>570</v>
      </c>
      <c r="C5453" s="12" t="s">
        <v>556</v>
      </c>
      <c r="D5453" s="13">
        <v>0</v>
      </c>
      <c r="E5453" s="13">
        <v>0</v>
      </c>
      <c r="F5453" s="13">
        <v>0</v>
      </c>
      <c r="G5453" s="13">
        <v>0</v>
      </c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</row>
    <row r="5454" spans="1:19" x14ac:dyDescent="0.2">
      <c r="A5454" s="12" t="s">
        <v>493</v>
      </c>
      <c r="B5454" s="12" t="s">
        <v>570</v>
      </c>
      <c r="C5454" s="12" t="s">
        <v>557</v>
      </c>
      <c r="D5454" s="13">
        <v>0</v>
      </c>
      <c r="E5454" s="13">
        <v>0</v>
      </c>
      <c r="F5454" s="13">
        <v>0</v>
      </c>
      <c r="G5454" s="13">
        <v>0</v>
      </c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</row>
    <row r="5455" spans="1:19" x14ac:dyDescent="0.2">
      <c r="A5455" s="12" t="s">
        <v>493</v>
      </c>
      <c r="B5455" s="12" t="s">
        <v>570</v>
      </c>
      <c r="C5455" s="12" t="s">
        <v>558</v>
      </c>
      <c r="D5455" s="13">
        <v>0</v>
      </c>
      <c r="E5455" s="13">
        <v>0</v>
      </c>
      <c r="F5455" s="13">
        <v>0</v>
      </c>
      <c r="G5455" s="13">
        <v>0</v>
      </c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</row>
    <row r="5456" spans="1:19" x14ac:dyDescent="0.2">
      <c r="A5456" s="12" t="s">
        <v>493</v>
      </c>
      <c r="B5456" s="12" t="s">
        <v>570</v>
      </c>
      <c r="C5456" s="12" t="s">
        <v>560</v>
      </c>
      <c r="D5456" s="13">
        <v>0</v>
      </c>
      <c r="E5456" s="13">
        <v>0</v>
      </c>
      <c r="F5456" s="13">
        <v>0</v>
      </c>
      <c r="G5456" s="13">
        <v>0</v>
      </c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</row>
    <row r="5457" spans="1:19" x14ac:dyDescent="0.2">
      <c r="A5457" s="12" t="s">
        <v>493</v>
      </c>
      <c r="B5457" s="12" t="s">
        <v>570</v>
      </c>
      <c r="C5457" s="12" t="s">
        <v>561</v>
      </c>
      <c r="D5457" s="13">
        <v>0</v>
      </c>
      <c r="E5457" s="13">
        <v>0</v>
      </c>
      <c r="F5457" s="13">
        <v>0</v>
      </c>
      <c r="G5457" s="13">
        <v>0</v>
      </c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</row>
    <row r="5458" spans="1:19" x14ac:dyDescent="0.2">
      <c r="A5458" s="12" t="s">
        <v>493</v>
      </c>
      <c r="B5458" s="12" t="s">
        <v>570</v>
      </c>
      <c r="C5458" s="12" t="s">
        <v>562</v>
      </c>
      <c r="D5458" s="13">
        <v>0</v>
      </c>
      <c r="E5458" s="13">
        <v>0</v>
      </c>
      <c r="F5458" s="13">
        <v>0</v>
      </c>
      <c r="G5458" s="13">
        <v>0</v>
      </c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</row>
    <row r="5459" spans="1:19" x14ac:dyDescent="0.2">
      <c r="A5459" s="12" t="s">
        <v>493</v>
      </c>
      <c r="B5459" s="12" t="s">
        <v>570</v>
      </c>
      <c r="C5459" s="12" t="s">
        <v>563</v>
      </c>
      <c r="D5459" s="13">
        <v>0</v>
      </c>
      <c r="E5459" s="13">
        <v>0</v>
      </c>
      <c r="F5459" s="13">
        <v>0</v>
      </c>
      <c r="G5459" s="13">
        <v>0</v>
      </c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</row>
    <row r="5460" spans="1:19" x14ac:dyDescent="0.2">
      <c r="A5460" s="12" t="s">
        <v>493</v>
      </c>
      <c r="B5460" s="12" t="s">
        <v>570</v>
      </c>
      <c r="C5460" s="12" t="s">
        <v>564</v>
      </c>
      <c r="D5460" s="13">
        <v>0</v>
      </c>
      <c r="E5460" s="13">
        <v>0</v>
      </c>
      <c r="F5460" s="13">
        <v>0</v>
      </c>
      <c r="G5460" s="13">
        <v>0</v>
      </c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</row>
    <row r="5461" spans="1:19" x14ac:dyDescent="0.2">
      <c r="A5461" s="12" t="s">
        <v>493</v>
      </c>
      <c r="B5461" s="12" t="s">
        <v>570</v>
      </c>
      <c r="C5461" s="12" t="s">
        <v>565</v>
      </c>
      <c r="D5461" s="13">
        <v>0</v>
      </c>
      <c r="E5461" s="13">
        <v>0</v>
      </c>
      <c r="F5461" s="13">
        <v>0</v>
      </c>
      <c r="G5461" s="13">
        <v>0</v>
      </c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</row>
    <row r="5462" spans="1:19" x14ac:dyDescent="0.2">
      <c r="A5462" s="12" t="s">
        <v>493</v>
      </c>
      <c r="B5462" s="12" t="s">
        <v>570</v>
      </c>
      <c r="C5462" s="12" t="s">
        <v>566</v>
      </c>
      <c r="D5462" s="13">
        <v>0</v>
      </c>
      <c r="E5462" s="13">
        <v>0</v>
      </c>
      <c r="F5462" s="13">
        <v>0</v>
      </c>
      <c r="G5462" s="13">
        <v>0</v>
      </c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</row>
    <row r="5463" spans="1:19" x14ac:dyDescent="0.2">
      <c r="A5463" s="12" t="s">
        <v>493</v>
      </c>
      <c r="B5463" s="12" t="s">
        <v>571</v>
      </c>
      <c r="C5463" s="12" t="s">
        <v>554</v>
      </c>
      <c r="D5463" s="13">
        <v>1007</v>
      </c>
      <c r="E5463" s="13">
        <v>928.45245</v>
      </c>
      <c r="F5463" s="13">
        <v>1014.100818</v>
      </c>
      <c r="G5463" s="13">
        <v>1098.5355649999999</v>
      </c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</row>
    <row r="5464" spans="1:19" x14ac:dyDescent="0.2">
      <c r="A5464" s="12" t="s">
        <v>493</v>
      </c>
      <c r="B5464" s="12" t="s">
        <v>571</v>
      </c>
      <c r="C5464" s="12" t="s">
        <v>555</v>
      </c>
      <c r="D5464" s="13">
        <v>2</v>
      </c>
      <c r="E5464" s="13">
        <v>1.8788009999999999</v>
      </c>
      <c r="F5464" s="13">
        <v>2.6227119999999999</v>
      </c>
      <c r="G5464" s="13">
        <v>2.8804180000000001</v>
      </c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</row>
    <row r="5465" spans="1:19" x14ac:dyDescent="0.2">
      <c r="A5465" s="12" t="s">
        <v>493</v>
      </c>
      <c r="B5465" s="12" t="s">
        <v>571</v>
      </c>
      <c r="C5465" s="12" t="s">
        <v>556</v>
      </c>
      <c r="D5465" s="13">
        <v>-1</v>
      </c>
      <c r="E5465" s="13">
        <v>-0.67760000000000009</v>
      </c>
      <c r="F5465" s="13">
        <v>-0.62265300000000001</v>
      </c>
      <c r="G5465" s="13">
        <v>-0.54121900000000012</v>
      </c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</row>
    <row r="5466" spans="1:19" x14ac:dyDescent="0.2">
      <c r="A5466" s="12" t="s">
        <v>493</v>
      </c>
      <c r="B5466" s="12" t="s">
        <v>571</v>
      </c>
      <c r="C5466" s="12" t="s">
        <v>557</v>
      </c>
      <c r="D5466" s="13">
        <v>1010</v>
      </c>
      <c r="E5466" s="13">
        <v>930.67126200000007</v>
      </c>
      <c r="F5466" s="13">
        <v>1016.100877</v>
      </c>
      <c r="G5466" s="13">
        <v>1100.874763</v>
      </c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</row>
    <row r="5467" spans="1:19" x14ac:dyDescent="0.2">
      <c r="A5467" s="12" t="s">
        <v>493</v>
      </c>
      <c r="B5467" s="12" t="s">
        <v>571</v>
      </c>
      <c r="C5467" s="12" t="s">
        <v>558</v>
      </c>
      <c r="D5467" s="13">
        <v>-407</v>
      </c>
      <c r="E5467" s="13">
        <v>-433.59259700000001</v>
      </c>
      <c r="F5467" s="13">
        <v>-476.15093200000001</v>
      </c>
      <c r="G5467" s="13">
        <v>-565.56450700000005</v>
      </c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</row>
    <row r="5468" spans="1:19" x14ac:dyDescent="0.2">
      <c r="A5468" s="12" t="s">
        <v>493</v>
      </c>
      <c r="B5468" s="12" t="s">
        <v>571</v>
      </c>
      <c r="C5468" s="12" t="s">
        <v>560</v>
      </c>
      <c r="D5468" s="13">
        <v>0</v>
      </c>
      <c r="E5468" s="13">
        <v>0</v>
      </c>
      <c r="F5468" s="13">
        <v>0</v>
      </c>
      <c r="G5468" s="13">
        <v>0</v>
      </c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</row>
    <row r="5469" spans="1:19" x14ac:dyDescent="0.2">
      <c r="A5469" s="12" t="s">
        <v>493</v>
      </c>
      <c r="B5469" s="12" t="s">
        <v>571</v>
      </c>
      <c r="C5469" s="12" t="s">
        <v>561</v>
      </c>
      <c r="D5469" s="13">
        <v>546</v>
      </c>
      <c r="E5469" s="13">
        <v>449.33204799999999</v>
      </c>
      <c r="F5469" s="13">
        <v>488.25936200000001</v>
      </c>
      <c r="G5469" s="13">
        <v>485.54393700000003</v>
      </c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</row>
    <row r="5470" spans="1:19" x14ac:dyDescent="0.2">
      <c r="A5470" s="12" t="s">
        <v>493</v>
      </c>
      <c r="B5470" s="12" t="s">
        <v>571</v>
      </c>
      <c r="C5470" s="12" t="s">
        <v>562</v>
      </c>
      <c r="D5470" s="13">
        <v>341</v>
      </c>
      <c r="E5470" s="13">
        <v>272.10609799999997</v>
      </c>
      <c r="F5470" s="13">
        <v>315.02024999999998</v>
      </c>
      <c r="G5470" s="13">
        <v>314.518508</v>
      </c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</row>
    <row r="5471" spans="1:19" x14ac:dyDescent="0.2">
      <c r="A5471" s="12" t="s">
        <v>493</v>
      </c>
      <c r="B5471" s="12" t="s">
        <v>571</v>
      </c>
      <c r="C5471" s="12" t="s">
        <v>563</v>
      </c>
      <c r="D5471" s="13">
        <v>91</v>
      </c>
      <c r="E5471" s="13">
        <v>81.706214000000003</v>
      </c>
      <c r="F5471" s="13">
        <v>73.581884000000002</v>
      </c>
      <c r="G5471" s="13">
        <v>78.150265000000005</v>
      </c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</row>
    <row r="5472" spans="1:19" x14ac:dyDescent="0.2">
      <c r="A5472" s="12" t="s">
        <v>493</v>
      </c>
      <c r="B5472" s="12" t="s">
        <v>571</v>
      </c>
      <c r="C5472" s="12" t="s">
        <v>564</v>
      </c>
      <c r="D5472" s="13">
        <v>113</v>
      </c>
      <c r="E5472" s="13">
        <v>95.063378999999998</v>
      </c>
      <c r="F5472" s="13">
        <v>99.198768999999999</v>
      </c>
      <c r="G5472" s="13">
        <v>92.498353000000009</v>
      </c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</row>
    <row r="5473" spans="1:19" x14ac:dyDescent="0.2">
      <c r="A5473" s="12" t="s">
        <v>493</v>
      </c>
      <c r="B5473" s="12" t="s">
        <v>571</v>
      </c>
      <c r="C5473" s="12" t="s">
        <v>565</v>
      </c>
      <c r="D5473" s="13">
        <v>0</v>
      </c>
      <c r="E5473" s="13">
        <v>0.45636100000000002</v>
      </c>
      <c r="F5473" s="13">
        <v>0.458455</v>
      </c>
      <c r="G5473" s="13">
        <v>0.37681199999999998</v>
      </c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</row>
    <row r="5474" spans="1:19" x14ac:dyDescent="0.2">
      <c r="A5474" s="12" t="s">
        <v>493</v>
      </c>
      <c r="B5474" s="12" t="s">
        <v>571</v>
      </c>
      <c r="C5474" s="12" t="s">
        <v>566</v>
      </c>
      <c r="D5474" s="13">
        <v>0</v>
      </c>
      <c r="E5474" s="13">
        <v>0</v>
      </c>
      <c r="F5474" s="13">
        <v>0</v>
      </c>
      <c r="G5474" s="13">
        <v>0</v>
      </c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</row>
    <row r="5475" spans="1:19" x14ac:dyDescent="0.2">
      <c r="A5475" s="12" t="s">
        <v>493</v>
      </c>
      <c r="B5475" s="12" t="s">
        <v>572</v>
      </c>
      <c r="C5475" s="12" t="s">
        <v>554</v>
      </c>
      <c r="D5475" s="13">
        <v>0</v>
      </c>
      <c r="E5475" s="13">
        <v>0</v>
      </c>
      <c r="F5475" s="13">
        <v>0</v>
      </c>
      <c r="G5475" s="13">
        <v>0</v>
      </c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</row>
    <row r="5476" spans="1:19" x14ac:dyDescent="0.2">
      <c r="A5476" s="12" t="s">
        <v>493</v>
      </c>
      <c r="B5476" s="12" t="s">
        <v>572</v>
      </c>
      <c r="C5476" s="12" t="s">
        <v>555</v>
      </c>
      <c r="D5476" s="13">
        <v>106</v>
      </c>
      <c r="E5476" s="13">
        <v>120.082632</v>
      </c>
      <c r="F5476" s="13">
        <v>127.69833800000001</v>
      </c>
      <c r="G5476" s="13">
        <v>118.09855399999999</v>
      </c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</row>
    <row r="5477" spans="1:19" x14ac:dyDescent="0.2">
      <c r="A5477" s="12" t="s">
        <v>493</v>
      </c>
      <c r="B5477" s="12" t="s">
        <v>572</v>
      </c>
      <c r="C5477" s="12" t="s">
        <v>556</v>
      </c>
      <c r="D5477" s="13">
        <v>-9</v>
      </c>
      <c r="E5477" s="13">
        <v>-7.0888930000000014</v>
      </c>
      <c r="F5477" s="13">
        <v>-7.4229120000000002</v>
      </c>
      <c r="G5477" s="13">
        <v>-8.1225260000000006</v>
      </c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</row>
    <row r="5478" spans="1:19" x14ac:dyDescent="0.2">
      <c r="A5478" s="12" t="s">
        <v>493</v>
      </c>
      <c r="B5478" s="12" t="s">
        <v>572</v>
      </c>
      <c r="C5478" s="12" t="s">
        <v>557</v>
      </c>
      <c r="D5478" s="13">
        <v>97</v>
      </c>
      <c r="E5478" s="13">
        <v>112.99373900000001</v>
      </c>
      <c r="F5478" s="13">
        <v>120.27542200000001</v>
      </c>
      <c r="G5478" s="13">
        <v>109.976028</v>
      </c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</row>
    <row r="5479" spans="1:19" x14ac:dyDescent="0.2">
      <c r="A5479" s="12" t="s">
        <v>493</v>
      </c>
      <c r="B5479" s="12" t="s">
        <v>572</v>
      </c>
      <c r="C5479" s="12" t="s">
        <v>558</v>
      </c>
      <c r="D5479" s="13">
        <v>639</v>
      </c>
      <c r="E5479" s="13">
        <v>640.63384499999995</v>
      </c>
      <c r="F5479" s="13">
        <v>659.47534800000005</v>
      </c>
      <c r="G5479" s="13">
        <v>705.98925699999995</v>
      </c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</row>
    <row r="5480" spans="1:19" x14ac:dyDescent="0.2">
      <c r="A5480" s="12" t="s">
        <v>493</v>
      </c>
      <c r="B5480" s="12" t="s">
        <v>572</v>
      </c>
      <c r="C5480" s="12" t="s">
        <v>560</v>
      </c>
      <c r="D5480" s="13">
        <v>0</v>
      </c>
      <c r="E5480" s="13">
        <v>0</v>
      </c>
      <c r="F5480" s="13">
        <v>0</v>
      </c>
      <c r="G5480" s="13">
        <v>0</v>
      </c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</row>
    <row r="5481" spans="1:19" x14ac:dyDescent="0.2">
      <c r="A5481" s="12" t="s">
        <v>493</v>
      </c>
      <c r="B5481" s="12" t="s">
        <v>572</v>
      </c>
      <c r="C5481" s="12" t="s">
        <v>561</v>
      </c>
      <c r="D5481" s="13">
        <v>674</v>
      </c>
      <c r="E5481" s="13">
        <v>686.47700199999997</v>
      </c>
      <c r="F5481" s="13">
        <v>711.11160100000006</v>
      </c>
      <c r="G5481" s="13">
        <v>735.85674100000006</v>
      </c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</row>
    <row r="5482" spans="1:19" x14ac:dyDescent="0.2">
      <c r="A5482" s="12" t="s">
        <v>493</v>
      </c>
      <c r="B5482" s="12" t="s">
        <v>572</v>
      </c>
      <c r="C5482" s="12" t="s">
        <v>562</v>
      </c>
      <c r="D5482" s="13">
        <v>296</v>
      </c>
      <c r="E5482" s="13">
        <v>311.13761199999999</v>
      </c>
      <c r="F5482" s="13">
        <v>318.866399</v>
      </c>
      <c r="G5482" s="13">
        <v>310.58734099999998</v>
      </c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</row>
    <row r="5483" spans="1:19" x14ac:dyDescent="0.2">
      <c r="A5483" s="12" t="s">
        <v>493</v>
      </c>
      <c r="B5483" s="12" t="s">
        <v>572</v>
      </c>
      <c r="C5483" s="12" t="s">
        <v>563</v>
      </c>
      <c r="D5483" s="13">
        <v>1</v>
      </c>
      <c r="E5483" s="13">
        <v>0.79200000000000004</v>
      </c>
      <c r="F5483" s="13">
        <v>0.98999800000000004</v>
      </c>
      <c r="G5483" s="13">
        <v>1.735198</v>
      </c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</row>
    <row r="5484" spans="1:19" x14ac:dyDescent="0.2">
      <c r="A5484" s="12" t="s">
        <v>493</v>
      </c>
      <c r="B5484" s="12" t="s">
        <v>572</v>
      </c>
      <c r="C5484" s="12" t="s">
        <v>564</v>
      </c>
      <c r="D5484" s="13">
        <v>190</v>
      </c>
      <c r="E5484" s="13">
        <v>195.445719</v>
      </c>
      <c r="F5484" s="13">
        <v>193.48919799999999</v>
      </c>
      <c r="G5484" s="13">
        <v>207.813141</v>
      </c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</row>
    <row r="5485" spans="1:19" x14ac:dyDescent="0.2">
      <c r="A5485" s="12" t="s">
        <v>493</v>
      </c>
      <c r="B5485" s="12" t="s">
        <v>572</v>
      </c>
      <c r="C5485" s="12" t="s">
        <v>565</v>
      </c>
      <c r="D5485" s="13">
        <v>159</v>
      </c>
      <c r="E5485" s="13">
        <v>150.225909</v>
      </c>
      <c r="F5485" s="13">
        <v>166.7268</v>
      </c>
      <c r="G5485" s="13">
        <v>180.66373200000001</v>
      </c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</row>
    <row r="5486" spans="1:19" x14ac:dyDescent="0.2">
      <c r="A5486" s="12" t="s">
        <v>493</v>
      </c>
      <c r="B5486" s="12" t="s">
        <v>572</v>
      </c>
      <c r="C5486" s="12" t="s">
        <v>566</v>
      </c>
      <c r="D5486" s="13">
        <v>28</v>
      </c>
      <c r="E5486" s="13">
        <v>28.875761000000001</v>
      </c>
      <c r="F5486" s="13">
        <v>31.039197000000001</v>
      </c>
      <c r="G5486" s="13">
        <v>35.057324000000001</v>
      </c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</row>
    <row r="5487" spans="1:19" x14ac:dyDescent="0.2">
      <c r="A5487" s="12" t="s">
        <v>493</v>
      </c>
      <c r="B5487" s="12" t="s">
        <v>573</v>
      </c>
      <c r="C5487" s="12" t="s">
        <v>554</v>
      </c>
      <c r="D5487" s="13">
        <v>0</v>
      </c>
      <c r="E5487" s="13">
        <v>0</v>
      </c>
      <c r="F5487" s="13">
        <v>0</v>
      </c>
      <c r="G5487" s="13">
        <v>0</v>
      </c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</row>
    <row r="5488" spans="1:19" x14ac:dyDescent="0.2">
      <c r="A5488" s="12" t="s">
        <v>493</v>
      </c>
      <c r="B5488" s="12" t="s">
        <v>573</v>
      </c>
      <c r="C5488" s="12" t="s">
        <v>555</v>
      </c>
      <c r="D5488" s="13">
        <v>0</v>
      </c>
      <c r="E5488" s="13">
        <v>0</v>
      </c>
      <c r="F5488" s="13">
        <v>0</v>
      </c>
      <c r="G5488" s="13">
        <v>0</v>
      </c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</row>
    <row r="5489" spans="1:19" x14ac:dyDescent="0.2">
      <c r="A5489" s="12" t="s">
        <v>493</v>
      </c>
      <c r="B5489" s="12" t="s">
        <v>573</v>
      </c>
      <c r="C5489" s="12" t="s">
        <v>556</v>
      </c>
      <c r="D5489" s="13">
        <v>0</v>
      </c>
      <c r="E5489" s="13">
        <v>0</v>
      </c>
      <c r="F5489" s="13">
        <v>0</v>
      </c>
      <c r="G5489" s="13">
        <v>0</v>
      </c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</row>
    <row r="5490" spans="1:19" x14ac:dyDescent="0.2">
      <c r="A5490" s="12" t="s">
        <v>493</v>
      </c>
      <c r="B5490" s="12" t="s">
        <v>573</v>
      </c>
      <c r="C5490" s="12" t="s">
        <v>557</v>
      </c>
      <c r="D5490" s="13">
        <v>0</v>
      </c>
      <c r="E5490" s="13">
        <v>0</v>
      </c>
      <c r="F5490" s="13">
        <v>0</v>
      </c>
      <c r="G5490" s="13">
        <v>0</v>
      </c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</row>
    <row r="5491" spans="1:19" x14ac:dyDescent="0.2">
      <c r="A5491" s="12" t="s">
        <v>493</v>
      </c>
      <c r="B5491" s="12" t="s">
        <v>573</v>
      </c>
      <c r="C5491" s="12" t="s">
        <v>558</v>
      </c>
      <c r="D5491" s="13">
        <v>0</v>
      </c>
      <c r="E5491" s="13">
        <v>0</v>
      </c>
      <c r="F5491" s="13">
        <v>0</v>
      </c>
      <c r="G5491" s="13">
        <v>0</v>
      </c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</row>
    <row r="5492" spans="1:19" x14ac:dyDescent="0.2">
      <c r="A5492" s="12" t="s">
        <v>493</v>
      </c>
      <c r="B5492" s="12" t="s">
        <v>573</v>
      </c>
      <c r="C5492" s="12" t="s">
        <v>560</v>
      </c>
      <c r="D5492" s="13">
        <v>0</v>
      </c>
      <c r="E5492" s="13">
        <v>0</v>
      </c>
      <c r="F5492" s="13">
        <v>0</v>
      </c>
      <c r="G5492" s="13">
        <v>0</v>
      </c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</row>
    <row r="5493" spans="1:19" x14ac:dyDescent="0.2">
      <c r="A5493" s="12" t="s">
        <v>493</v>
      </c>
      <c r="B5493" s="12" t="s">
        <v>573</v>
      </c>
      <c r="C5493" s="12" t="s">
        <v>561</v>
      </c>
      <c r="D5493" s="13">
        <v>0</v>
      </c>
      <c r="E5493" s="13">
        <v>0</v>
      </c>
      <c r="F5493" s="13">
        <v>0</v>
      </c>
      <c r="G5493" s="13">
        <v>0</v>
      </c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</row>
    <row r="5494" spans="1:19" x14ac:dyDescent="0.2">
      <c r="A5494" s="12" t="s">
        <v>493</v>
      </c>
      <c r="B5494" s="12" t="s">
        <v>573</v>
      </c>
      <c r="C5494" s="12" t="s">
        <v>562</v>
      </c>
      <c r="D5494" s="13">
        <v>0</v>
      </c>
      <c r="E5494" s="13">
        <v>0</v>
      </c>
      <c r="F5494" s="13">
        <v>0</v>
      </c>
      <c r="G5494" s="13">
        <v>0</v>
      </c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</row>
    <row r="5495" spans="1:19" x14ac:dyDescent="0.2">
      <c r="A5495" s="12" t="s">
        <v>493</v>
      </c>
      <c r="B5495" s="12" t="s">
        <v>573</v>
      </c>
      <c r="C5495" s="12" t="s">
        <v>563</v>
      </c>
      <c r="D5495" s="13">
        <v>0</v>
      </c>
      <c r="E5495" s="13">
        <v>0</v>
      </c>
      <c r="F5495" s="13">
        <v>0</v>
      </c>
      <c r="G5495" s="13">
        <v>0</v>
      </c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</row>
    <row r="5496" spans="1:19" x14ac:dyDescent="0.2">
      <c r="A5496" s="12" t="s">
        <v>493</v>
      </c>
      <c r="B5496" s="12" t="s">
        <v>573</v>
      </c>
      <c r="C5496" s="12" t="s">
        <v>564</v>
      </c>
      <c r="D5496" s="13">
        <v>0</v>
      </c>
      <c r="E5496" s="13">
        <v>0</v>
      </c>
      <c r="F5496" s="13">
        <v>0</v>
      </c>
      <c r="G5496" s="13">
        <v>0</v>
      </c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</row>
    <row r="5497" spans="1:19" x14ac:dyDescent="0.2">
      <c r="A5497" s="12" t="s">
        <v>493</v>
      </c>
      <c r="B5497" s="12" t="s">
        <v>573</v>
      </c>
      <c r="C5497" s="12" t="s">
        <v>565</v>
      </c>
      <c r="D5497" s="13">
        <v>0</v>
      </c>
      <c r="E5497" s="13">
        <v>0</v>
      </c>
      <c r="F5497" s="13">
        <v>0</v>
      </c>
      <c r="G5497" s="13">
        <v>0</v>
      </c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</row>
    <row r="5498" spans="1:19" x14ac:dyDescent="0.2">
      <c r="A5498" s="12" t="s">
        <v>493</v>
      </c>
      <c r="B5498" s="12" t="s">
        <v>573</v>
      </c>
      <c r="C5498" s="12" t="s">
        <v>566</v>
      </c>
      <c r="D5498" s="13">
        <v>0</v>
      </c>
      <c r="E5498" s="13">
        <v>0</v>
      </c>
      <c r="F5498" s="13">
        <v>0</v>
      </c>
      <c r="G5498" s="13">
        <v>0</v>
      </c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</row>
    <row r="5499" spans="1:19" x14ac:dyDescent="0.2">
      <c r="A5499" s="12" t="s">
        <v>493</v>
      </c>
      <c r="B5499" s="12" t="s">
        <v>574</v>
      </c>
      <c r="C5499" s="12" t="s">
        <v>554</v>
      </c>
      <c r="D5499" s="13">
        <v>2854</v>
      </c>
      <c r="E5499" s="13">
        <v>2701.4236299999998</v>
      </c>
      <c r="F5499" s="13">
        <v>2555.8499539999998</v>
      </c>
      <c r="G5499" s="13">
        <v>2576.5401489999999</v>
      </c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</row>
    <row r="5500" spans="1:19" x14ac:dyDescent="0.2">
      <c r="A5500" s="12" t="s">
        <v>493</v>
      </c>
      <c r="B5500" s="12" t="s">
        <v>574</v>
      </c>
      <c r="C5500" s="12" t="s">
        <v>555</v>
      </c>
      <c r="D5500" s="13">
        <v>3406</v>
      </c>
      <c r="E5500" s="13">
        <v>3482.7285569999999</v>
      </c>
      <c r="F5500" s="13">
        <v>3604.9322520000001</v>
      </c>
      <c r="G5500" s="13">
        <v>3659.1607909999998</v>
      </c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</row>
    <row r="5501" spans="1:19" x14ac:dyDescent="0.2">
      <c r="A5501" s="12" t="s">
        <v>493</v>
      </c>
      <c r="B5501" s="12" t="s">
        <v>574</v>
      </c>
      <c r="C5501" s="12" t="s">
        <v>556</v>
      </c>
      <c r="D5501" s="13">
        <v>-509</v>
      </c>
      <c r="E5501" s="13">
        <v>-513.682365</v>
      </c>
      <c r="F5501" s="13">
        <v>-400.94013100000001</v>
      </c>
      <c r="G5501" s="13">
        <v>-462.75456100000002</v>
      </c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</row>
    <row r="5502" spans="1:19" x14ac:dyDescent="0.2">
      <c r="A5502" s="12" t="s">
        <v>493</v>
      </c>
      <c r="B5502" s="12" t="s">
        <v>574</v>
      </c>
      <c r="C5502" s="12" t="s">
        <v>557</v>
      </c>
      <c r="D5502" s="13">
        <v>5652</v>
      </c>
      <c r="E5502" s="13">
        <v>5549.8823789999997</v>
      </c>
      <c r="F5502" s="13">
        <v>5608.786368</v>
      </c>
      <c r="G5502" s="13">
        <v>5557.5895620000001</v>
      </c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</row>
    <row r="5503" spans="1:19" x14ac:dyDescent="0.2">
      <c r="A5503" s="12" t="s">
        <v>493</v>
      </c>
      <c r="B5503" s="12" t="s">
        <v>574</v>
      </c>
      <c r="C5503" s="12" t="s">
        <v>558</v>
      </c>
      <c r="D5503" s="13">
        <v>-1013</v>
      </c>
      <c r="E5503" s="13">
        <v>-1058.422018</v>
      </c>
      <c r="F5503" s="13">
        <v>-1119.321277</v>
      </c>
      <c r="G5503" s="13">
        <v>-1130.4313059999999</v>
      </c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</row>
    <row r="5504" spans="1:19" x14ac:dyDescent="0.2">
      <c r="A5504" s="12" t="s">
        <v>493</v>
      </c>
      <c r="B5504" s="12" t="s">
        <v>574</v>
      </c>
      <c r="C5504" s="12" t="s">
        <v>560</v>
      </c>
      <c r="D5504" s="13">
        <v>-15</v>
      </c>
      <c r="E5504" s="13">
        <v>-2.2922980000000002</v>
      </c>
      <c r="F5504" s="13">
        <v>1.448763</v>
      </c>
      <c r="G5504" s="13">
        <v>35.784194000000006</v>
      </c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</row>
    <row r="5505" spans="1:19" x14ac:dyDescent="0.2">
      <c r="A5505" s="12" t="s">
        <v>493</v>
      </c>
      <c r="B5505" s="12" t="s">
        <v>574</v>
      </c>
      <c r="C5505" s="12" t="s">
        <v>561</v>
      </c>
      <c r="D5505" s="13">
        <v>4112</v>
      </c>
      <c r="E5505" s="13">
        <v>3982.066116</v>
      </c>
      <c r="F5505" s="13">
        <v>4136.9570379999996</v>
      </c>
      <c r="G5505" s="13">
        <v>4130.9996650000003</v>
      </c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</row>
    <row r="5506" spans="1:19" x14ac:dyDescent="0.2">
      <c r="A5506" s="12" t="s">
        <v>493</v>
      </c>
      <c r="B5506" s="12" t="s">
        <v>574</v>
      </c>
      <c r="C5506" s="12" t="s">
        <v>562</v>
      </c>
      <c r="D5506" s="13">
        <v>1305</v>
      </c>
      <c r="E5506" s="13">
        <v>1229.879015</v>
      </c>
      <c r="F5506" s="13">
        <v>1332.5676370000001</v>
      </c>
      <c r="G5506" s="13">
        <v>1256.47369</v>
      </c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</row>
    <row r="5507" spans="1:19" x14ac:dyDescent="0.2">
      <c r="A5507" s="12" t="s">
        <v>493</v>
      </c>
      <c r="B5507" s="12" t="s">
        <v>574</v>
      </c>
      <c r="C5507" s="12" t="s">
        <v>563</v>
      </c>
      <c r="D5507" s="13">
        <v>1111</v>
      </c>
      <c r="E5507" s="13">
        <v>1031.8852469999999</v>
      </c>
      <c r="F5507" s="13">
        <v>1173.2843310000001</v>
      </c>
      <c r="G5507" s="13">
        <v>1213.124965</v>
      </c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</row>
    <row r="5508" spans="1:19" x14ac:dyDescent="0.2">
      <c r="A5508" s="12" t="s">
        <v>493</v>
      </c>
      <c r="B5508" s="12" t="s">
        <v>574</v>
      </c>
      <c r="C5508" s="12" t="s">
        <v>564</v>
      </c>
      <c r="D5508" s="13">
        <v>372</v>
      </c>
      <c r="E5508" s="13">
        <v>358.83892600000001</v>
      </c>
      <c r="F5508" s="13">
        <v>361.71306399999997</v>
      </c>
      <c r="G5508" s="13">
        <v>368.94148200000001</v>
      </c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</row>
    <row r="5509" spans="1:19" x14ac:dyDescent="0.2">
      <c r="A5509" s="12" t="s">
        <v>493</v>
      </c>
      <c r="B5509" s="12" t="s">
        <v>574</v>
      </c>
      <c r="C5509" s="12" t="s">
        <v>565</v>
      </c>
      <c r="D5509" s="13">
        <v>192</v>
      </c>
      <c r="E5509" s="13">
        <v>183.316957</v>
      </c>
      <c r="F5509" s="13">
        <v>200.15160700000001</v>
      </c>
      <c r="G5509" s="13">
        <v>213.81560099999999</v>
      </c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</row>
    <row r="5510" spans="1:19" x14ac:dyDescent="0.2">
      <c r="A5510" s="12" t="s">
        <v>493</v>
      </c>
      <c r="B5510" s="12" t="s">
        <v>574</v>
      </c>
      <c r="C5510" s="12" t="s">
        <v>566</v>
      </c>
      <c r="D5510" s="13">
        <v>1133</v>
      </c>
      <c r="E5510" s="13">
        <v>1178.145972</v>
      </c>
      <c r="F5510" s="13">
        <v>1069.240374</v>
      </c>
      <c r="G5510" s="13">
        <v>1078.6439150000001</v>
      </c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</row>
    <row r="5511" spans="1:19" x14ac:dyDescent="0.2">
      <c r="A5511" s="12" t="s">
        <v>519</v>
      </c>
      <c r="B5511" s="12" t="s">
        <v>553</v>
      </c>
      <c r="C5511" s="12" t="s">
        <v>554</v>
      </c>
      <c r="D5511" s="13">
        <v>534</v>
      </c>
      <c r="E5511" s="13">
        <v>528.39634999999998</v>
      </c>
      <c r="F5511" s="13">
        <v>414.05132099999997</v>
      </c>
      <c r="G5511" s="13">
        <v>474.205534</v>
      </c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</row>
    <row r="5512" spans="1:19" x14ac:dyDescent="0.2">
      <c r="A5512" s="12" t="s">
        <v>519</v>
      </c>
      <c r="B5512" s="12" t="s">
        <v>553</v>
      </c>
      <c r="C5512" s="12" t="s">
        <v>555</v>
      </c>
      <c r="D5512" s="13">
        <v>462</v>
      </c>
      <c r="E5512" s="13">
        <v>533.79486899999995</v>
      </c>
      <c r="F5512" s="13">
        <v>126.38178600000001</v>
      </c>
      <c r="G5512" s="13">
        <v>37.089312</v>
      </c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</row>
    <row r="5513" spans="1:19" x14ac:dyDescent="0.2">
      <c r="A5513" s="12" t="s">
        <v>519</v>
      </c>
      <c r="B5513" s="12" t="s">
        <v>553</v>
      </c>
      <c r="C5513" s="12" t="s">
        <v>556</v>
      </c>
      <c r="D5513" s="13">
        <v>-2</v>
      </c>
      <c r="E5513" s="13">
        <v>-5.1637230000000001</v>
      </c>
      <c r="F5513" s="13">
        <v>-0.28156599999999998</v>
      </c>
      <c r="G5513" s="13">
        <v>-0.17235</v>
      </c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</row>
    <row r="5514" spans="1:19" x14ac:dyDescent="0.2">
      <c r="A5514" s="12" t="s">
        <v>519</v>
      </c>
      <c r="B5514" s="12" t="s">
        <v>553</v>
      </c>
      <c r="C5514" s="12" t="s">
        <v>557</v>
      </c>
      <c r="D5514" s="13">
        <v>957</v>
      </c>
      <c r="E5514" s="13">
        <v>1057.0274959999999</v>
      </c>
      <c r="F5514" s="13">
        <v>540.15154000000007</v>
      </c>
      <c r="G5514" s="13">
        <v>511.12249700000001</v>
      </c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</row>
    <row r="5515" spans="1:19" x14ac:dyDescent="0.2">
      <c r="A5515" s="12" t="s">
        <v>519</v>
      </c>
      <c r="B5515" s="12" t="s">
        <v>553</v>
      </c>
      <c r="C5515" s="12" t="s">
        <v>558</v>
      </c>
      <c r="D5515" s="13">
        <v>-507</v>
      </c>
      <c r="E5515" s="13">
        <v>-465.34784000000002</v>
      </c>
      <c r="F5515" s="13">
        <v>-305.10056500000007</v>
      </c>
      <c r="G5515" s="13">
        <v>-297.02837000000011</v>
      </c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</row>
    <row r="5516" spans="1:19" x14ac:dyDescent="0.2">
      <c r="A5516" s="12" t="s">
        <v>519</v>
      </c>
      <c r="B5516" s="12" t="s">
        <v>553</v>
      </c>
      <c r="C5516" s="12" t="s">
        <v>560</v>
      </c>
      <c r="D5516" s="13">
        <v>0</v>
      </c>
      <c r="E5516" s="13">
        <v>0</v>
      </c>
      <c r="F5516" s="13">
        <v>0</v>
      </c>
      <c r="G5516" s="13">
        <v>0</v>
      </c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</row>
    <row r="5517" spans="1:19" x14ac:dyDescent="0.2">
      <c r="A5517" s="12" t="s">
        <v>519</v>
      </c>
      <c r="B5517" s="12" t="s">
        <v>553</v>
      </c>
      <c r="C5517" s="12" t="s">
        <v>561</v>
      </c>
      <c r="D5517" s="13">
        <v>244</v>
      </c>
      <c r="E5517" s="13">
        <v>231.41044400000001</v>
      </c>
      <c r="F5517" s="13">
        <v>88.737827999999993</v>
      </c>
      <c r="G5517" s="13">
        <v>91.534308999999993</v>
      </c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</row>
    <row r="5518" spans="1:19" x14ac:dyDescent="0.2">
      <c r="A5518" s="12" t="s">
        <v>519</v>
      </c>
      <c r="B5518" s="12" t="s">
        <v>553</v>
      </c>
      <c r="C5518" s="12" t="s">
        <v>562</v>
      </c>
      <c r="D5518" s="13">
        <v>205</v>
      </c>
      <c r="E5518" s="13">
        <v>195.67434800000001</v>
      </c>
      <c r="F5518" s="13">
        <v>61.566249000000013</v>
      </c>
      <c r="G5518" s="13">
        <v>63.260831000000003</v>
      </c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</row>
    <row r="5519" spans="1:19" x14ac:dyDescent="0.2">
      <c r="A5519" s="12" t="s">
        <v>519</v>
      </c>
      <c r="B5519" s="12" t="s">
        <v>553</v>
      </c>
      <c r="C5519" s="12" t="s">
        <v>563</v>
      </c>
      <c r="D5519" s="13">
        <v>0</v>
      </c>
      <c r="E5519" s="13">
        <v>0.16823399999999999</v>
      </c>
      <c r="F5519" s="13">
        <v>8.0591999999999997E-2</v>
      </c>
      <c r="G5519" s="13">
        <v>8.4875000000000006E-2</v>
      </c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</row>
    <row r="5520" spans="1:19" x14ac:dyDescent="0.2">
      <c r="A5520" s="12" t="s">
        <v>519</v>
      </c>
      <c r="B5520" s="12" t="s">
        <v>553</v>
      </c>
      <c r="C5520" s="12" t="s">
        <v>564</v>
      </c>
      <c r="D5520" s="13">
        <v>6</v>
      </c>
      <c r="E5520" s="13">
        <v>5.4246689999999997</v>
      </c>
      <c r="F5520" s="13">
        <v>4.6768900000000002</v>
      </c>
      <c r="G5520" s="13">
        <v>5.023415</v>
      </c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</row>
    <row r="5521" spans="1:19" x14ac:dyDescent="0.2">
      <c r="A5521" s="12" t="s">
        <v>519</v>
      </c>
      <c r="B5521" s="12" t="s">
        <v>553</v>
      </c>
      <c r="C5521" s="12" t="s">
        <v>565</v>
      </c>
      <c r="D5521" s="13">
        <v>18</v>
      </c>
      <c r="E5521" s="13">
        <v>15.757742</v>
      </c>
      <c r="F5521" s="13">
        <v>13.566333</v>
      </c>
      <c r="G5521" s="13">
        <v>14.31371</v>
      </c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</row>
    <row r="5522" spans="1:19" x14ac:dyDescent="0.2">
      <c r="A5522" s="12" t="s">
        <v>519</v>
      </c>
      <c r="B5522" s="12" t="s">
        <v>553</v>
      </c>
      <c r="C5522" s="12" t="s">
        <v>566</v>
      </c>
      <c r="D5522" s="13">
        <v>16</v>
      </c>
      <c r="E5522" s="13">
        <v>14.385434999999999</v>
      </c>
      <c r="F5522" s="13">
        <v>8.8477550000000011</v>
      </c>
      <c r="G5522" s="13">
        <v>8.8514780000000002</v>
      </c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</row>
    <row r="5523" spans="1:19" x14ac:dyDescent="0.2">
      <c r="A5523" s="12" t="s">
        <v>519</v>
      </c>
      <c r="B5523" s="12" t="s">
        <v>567</v>
      </c>
      <c r="C5523" s="12" t="s">
        <v>554</v>
      </c>
      <c r="D5523" s="13">
        <v>104</v>
      </c>
      <c r="E5523" s="13">
        <v>102.047996</v>
      </c>
      <c r="F5523" s="13">
        <v>91.851697000000001</v>
      </c>
      <c r="G5523" s="13">
        <v>0</v>
      </c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</row>
    <row r="5524" spans="1:19" x14ac:dyDescent="0.2">
      <c r="A5524" s="12" t="s">
        <v>519</v>
      </c>
      <c r="B5524" s="12" t="s">
        <v>567</v>
      </c>
      <c r="C5524" s="12" t="s">
        <v>555</v>
      </c>
      <c r="D5524" s="13">
        <v>76</v>
      </c>
      <c r="E5524" s="13">
        <v>92.466972999999996</v>
      </c>
      <c r="F5524" s="13">
        <v>0</v>
      </c>
      <c r="G5524" s="13">
        <v>0</v>
      </c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</row>
    <row r="5525" spans="1:19" x14ac:dyDescent="0.2">
      <c r="A5525" s="12" t="s">
        <v>519</v>
      </c>
      <c r="B5525" s="12" t="s">
        <v>567</v>
      </c>
      <c r="C5525" s="12" t="s">
        <v>556</v>
      </c>
      <c r="D5525" s="13">
        <v>-5</v>
      </c>
      <c r="E5525" s="13">
        <v>-3.786931</v>
      </c>
      <c r="F5525" s="13">
        <v>0</v>
      </c>
      <c r="G5525" s="13">
        <v>0</v>
      </c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</row>
    <row r="5526" spans="1:19" x14ac:dyDescent="0.2">
      <c r="A5526" s="12" t="s">
        <v>519</v>
      </c>
      <c r="B5526" s="12" t="s">
        <v>567</v>
      </c>
      <c r="C5526" s="12" t="s">
        <v>557</v>
      </c>
      <c r="D5526" s="13">
        <v>176</v>
      </c>
      <c r="E5526" s="13">
        <v>190.728037</v>
      </c>
      <c r="F5526" s="13">
        <v>91.851697000000001</v>
      </c>
      <c r="G5526" s="13" t="s">
        <v>559</v>
      </c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</row>
    <row r="5527" spans="1:19" x14ac:dyDescent="0.2">
      <c r="A5527" s="12" t="s">
        <v>519</v>
      </c>
      <c r="B5527" s="12" t="s">
        <v>567</v>
      </c>
      <c r="C5527" s="12" t="s">
        <v>558</v>
      </c>
      <c r="D5527" s="13">
        <v>0</v>
      </c>
      <c r="E5527" s="13">
        <v>0</v>
      </c>
      <c r="F5527" s="13">
        <v>0</v>
      </c>
      <c r="G5527" s="13">
        <v>0</v>
      </c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</row>
    <row r="5528" spans="1:19" x14ac:dyDescent="0.2">
      <c r="A5528" s="12" t="s">
        <v>519</v>
      </c>
      <c r="B5528" s="12" t="s">
        <v>567</v>
      </c>
      <c r="C5528" s="12" t="s">
        <v>560</v>
      </c>
      <c r="D5528" s="13">
        <v>-174</v>
      </c>
      <c r="E5528" s="13">
        <v>-189.912645</v>
      </c>
      <c r="F5528" s="13">
        <v>0</v>
      </c>
      <c r="G5528" s="13">
        <v>0</v>
      </c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</row>
    <row r="5529" spans="1:19" x14ac:dyDescent="0.2">
      <c r="A5529" s="12" t="s">
        <v>519</v>
      </c>
      <c r="B5529" s="12" t="s">
        <v>567</v>
      </c>
      <c r="C5529" s="12" t="s">
        <v>561</v>
      </c>
      <c r="D5529" s="13">
        <v>0</v>
      </c>
      <c r="E5529" s="13">
        <v>0.33608300000000002</v>
      </c>
      <c r="F5529" s="13">
        <v>0</v>
      </c>
      <c r="G5529" s="13">
        <v>0</v>
      </c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</row>
    <row r="5530" spans="1:19" x14ac:dyDescent="0.2">
      <c r="A5530" s="12" t="s">
        <v>519</v>
      </c>
      <c r="B5530" s="12" t="s">
        <v>567</v>
      </c>
      <c r="C5530" s="12" t="s">
        <v>562</v>
      </c>
      <c r="D5530" s="13">
        <v>0</v>
      </c>
      <c r="E5530" s="13">
        <v>1.2573000000000001E-2</v>
      </c>
      <c r="F5530" s="13">
        <v>0</v>
      </c>
      <c r="G5530" s="13">
        <v>0</v>
      </c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</row>
    <row r="5531" spans="1:19" x14ac:dyDescent="0.2">
      <c r="A5531" s="12" t="s">
        <v>519</v>
      </c>
      <c r="B5531" s="12" t="s">
        <v>567</v>
      </c>
      <c r="C5531" s="12" t="s">
        <v>563</v>
      </c>
      <c r="D5531" s="13">
        <v>0</v>
      </c>
      <c r="E5531" s="13">
        <v>0</v>
      </c>
      <c r="F5531" s="13">
        <v>0</v>
      </c>
      <c r="G5531" s="13">
        <v>0</v>
      </c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</row>
    <row r="5532" spans="1:19" x14ac:dyDescent="0.2">
      <c r="A5532" s="12" t="s">
        <v>519</v>
      </c>
      <c r="B5532" s="12" t="s">
        <v>567</v>
      </c>
      <c r="C5532" s="12" t="s">
        <v>564</v>
      </c>
      <c r="D5532" s="13">
        <v>0</v>
      </c>
      <c r="E5532" s="13">
        <v>0</v>
      </c>
      <c r="F5532" s="13">
        <v>0</v>
      </c>
      <c r="G5532" s="13">
        <v>0</v>
      </c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</row>
    <row r="5533" spans="1:19" x14ac:dyDescent="0.2">
      <c r="A5533" s="12" t="s">
        <v>519</v>
      </c>
      <c r="B5533" s="12" t="s">
        <v>567</v>
      </c>
      <c r="C5533" s="12" t="s">
        <v>565</v>
      </c>
      <c r="D5533" s="13">
        <v>0</v>
      </c>
      <c r="E5533" s="13">
        <v>0</v>
      </c>
      <c r="F5533" s="13">
        <v>0</v>
      </c>
      <c r="G5533" s="13">
        <v>0</v>
      </c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</row>
    <row r="5534" spans="1:19" x14ac:dyDescent="0.2">
      <c r="A5534" s="12" t="s">
        <v>519</v>
      </c>
      <c r="B5534" s="12" t="s">
        <v>567</v>
      </c>
      <c r="C5534" s="12" t="s">
        <v>566</v>
      </c>
      <c r="D5534" s="13">
        <v>0</v>
      </c>
      <c r="E5534" s="13">
        <v>0.32351000000000002</v>
      </c>
      <c r="F5534" s="13">
        <v>0</v>
      </c>
      <c r="G5534" s="13">
        <v>0</v>
      </c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</row>
    <row r="5535" spans="1:19" x14ac:dyDescent="0.2">
      <c r="A5535" s="12" t="s">
        <v>519</v>
      </c>
      <c r="B5535" s="12" t="s">
        <v>568</v>
      </c>
      <c r="C5535" s="12" t="s">
        <v>554</v>
      </c>
      <c r="D5535" s="13">
        <v>0</v>
      </c>
      <c r="E5535" s="13">
        <v>0</v>
      </c>
      <c r="F5535" s="13">
        <v>0</v>
      </c>
      <c r="G5535" s="13">
        <v>0</v>
      </c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</row>
    <row r="5536" spans="1:19" x14ac:dyDescent="0.2">
      <c r="A5536" s="12" t="s">
        <v>519</v>
      </c>
      <c r="B5536" s="12" t="s">
        <v>568</v>
      </c>
      <c r="C5536" s="12" t="s">
        <v>555</v>
      </c>
      <c r="D5536" s="13">
        <v>424</v>
      </c>
      <c r="E5536" s="13">
        <v>455.68668100000002</v>
      </c>
      <c r="F5536" s="13">
        <v>387.767043</v>
      </c>
      <c r="G5536" s="13">
        <v>407.37579899999997</v>
      </c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</row>
    <row r="5537" spans="1:19" x14ac:dyDescent="0.2">
      <c r="A5537" s="12" t="s">
        <v>519</v>
      </c>
      <c r="B5537" s="12" t="s">
        <v>568</v>
      </c>
      <c r="C5537" s="12" t="s">
        <v>556</v>
      </c>
      <c r="D5537" s="13">
        <v>-9</v>
      </c>
      <c r="E5537" s="13">
        <v>-8.6622210000000006</v>
      </c>
      <c r="F5537" s="13">
        <v>0</v>
      </c>
      <c r="G5537" s="13">
        <v>0</v>
      </c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</row>
    <row r="5538" spans="1:19" x14ac:dyDescent="0.2">
      <c r="A5538" s="12" t="s">
        <v>519</v>
      </c>
      <c r="B5538" s="12" t="s">
        <v>568</v>
      </c>
      <c r="C5538" s="12" t="s">
        <v>557</v>
      </c>
      <c r="D5538" s="13">
        <v>416</v>
      </c>
      <c r="E5538" s="13">
        <v>447.294082</v>
      </c>
      <c r="F5538" s="13">
        <v>383.510043</v>
      </c>
      <c r="G5538" s="13">
        <v>404.58080000000001</v>
      </c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</row>
    <row r="5539" spans="1:19" x14ac:dyDescent="0.2">
      <c r="A5539" s="12" t="s">
        <v>519</v>
      </c>
      <c r="B5539" s="12" t="s">
        <v>568</v>
      </c>
      <c r="C5539" s="12" t="s">
        <v>558</v>
      </c>
      <c r="D5539" s="13">
        <v>-5</v>
      </c>
      <c r="E5539" s="13">
        <v>-3.9071790000000002</v>
      </c>
      <c r="F5539" s="13">
        <v>-2.6198450000000002</v>
      </c>
      <c r="G5539" s="13">
        <v>-2.6608580000000002</v>
      </c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</row>
    <row r="5540" spans="1:19" x14ac:dyDescent="0.2">
      <c r="A5540" s="12" t="s">
        <v>519</v>
      </c>
      <c r="B5540" s="12" t="s">
        <v>568</v>
      </c>
      <c r="C5540" s="12" t="s">
        <v>560</v>
      </c>
      <c r="D5540" s="13">
        <v>44</v>
      </c>
      <c r="E5540" s="13">
        <v>48.975633000000002</v>
      </c>
      <c r="F5540" s="13">
        <v>0</v>
      </c>
      <c r="G5540" s="13">
        <v>0</v>
      </c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</row>
    <row r="5541" spans="1:19" x14ac:dyDescent="0.2">
      <c r="A5541" s="12" t="s">
        <v>519</v>
      </c>
      <c r="B5541" s="12" t="s">
        <v>568</v>
      </c>
      <c r="C5541" s="12" t="s">
        <v>561</v>
      </c>
      <c r="D5541" s="13">
        <v>404</v>
      </c>
      <c r="E5541" s="13">
        <v>438.03551399999998</v>
      </c>
      <c r="F5541" s="13">
        <v>352.51487300000002</v>
      </c>
      <c r="G5541" s="13">
        <v>375.38150900000011</v>
      </c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</row>
    <row r="5542" spans="1:19" x14ac:dyDescent="0.2">
      <c r="A5542" s="12" t="s">
        <v>519</v>
      </c>
      <c r="B5542" s="12" t="s">
        <v>568</v>
      </c>
      <c r="C5542" s="12" t="s">
        <v>562</v>
      </c>
      <c r="D5542" s="13">
        <v>27</v>
      </c>
      <c r="E5542" s="13">
        <v>28.553778999999999</v>
      </c>
      <c r="F5542" s="13">
        <v>15.328766999999999</v>
      </c>
      <c r="G5542" s="13">
        <v>17.289901</v>
      </c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</row>
    <row r="5543" spans="1:19" x14ac:dyDescent="0.2">
      <c r="A5543" s="12" t="s">
        <v>519</v>
      </c>
      <c r="B5543" s="12" t="s">
        <v>568</v>
      </c>
      <c r="C5543" s="12" t="s">
        <v>563</v>
      </c>
      <c r="D5543" s="13">
        <v>285</v>
      </c>
      <c r="E5543" s="13">
        <v>312.715056</v>
      </c>
      <c r="F5543" s="13" t="s">
        <v>559</v>
      </c>
      <c r="G5543" s="13" t="s">
        <v>559</v>
      </c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</row>
    <row r="5544" spans="1:19" x14ac:dyDescent="0.2">
      <c r="A5544" s="12" t="s">
        <v>519</v>
      </c>
      <c r="B5544" s="12" t="s">
        <v>568</v>
      </c>
      <c r="C5544" s="12" t="s">
        <v>564</v>
      </c>
      <c r="D5544" s="13">
        <v>1</v>
      </c>
      <c r="E5544" s="13">
        <v>1.3406260000000001</v>
      </c>
      <c r="F5544" s="13">
        <v>1.0031699999999999</v>
      </c>
      <c r="G5544" s="13">
        <v>1.0580000000000001</v>
      </c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</row>
    <row r="5545" spans="1:19" x14ac:dyDescent="0.2">
      <c r="A5545" s="12" t="s">
        <v>519</v>
      </c>
      <c r="B5545" s="12" t="s">
        <v>568</v>
      </c>
      <c r="C5545" s="12" t="s">
        <v>565</v>
      </c>
      <c r="D5545" s="13">
        <v>5</v>
      </c>
      <c r="E5545" s="13">
        <v>5.524826</v>
      </c>
      <c r="F5545" s="13">
        <v>4.1341800000000006</v>
      </c>
      <c r="G5545" s="13">
        <v>4.3532209999999996</v>
      </c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</row>
    <row r="5546" spans="1:19" x14ac:dyDescent="0.2">
      <c r="A5546" s="12" t="s">
        <v>519</v>
      </c>
      <c r="B5546" s="12" t="s">
        <v>568</v>
      </c>
      <c r="C5546" s="12" t="s">
        <v>566</v>
      </c>
      <c r="D5546" s="13">
        <v>85</v>
      </c>
      <c r="E5546" s="13">
        <v>89.901230999999996</v>
      </c>
      <c r="F5546" s="13">
        <v>332.04875600000008</v>
      </c>
      <c r="G5546" s="13">
        <v>352.68038999999999</v>
      </c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</row>
    <row r="5547" spans="1:19" x14ac:dyDescent="0.2">
      <c r="A5547" s="12" t="s">
        <v>519</v>
      </c>
      <c r="B5547" s="12" t="s">
        <v>569</v>
      </c>
      <c r="C5547" s="12" t="s">
        <v>554</v>
      </c>
      <c r="D5547" s="13">
        <v>664</v>
      </c>
      <c r="E5547" s="13">
        <v>637.24128900000005</v>
      </c>
      <c r="F5547" s="13">
        <v>588.96722900000009</v>
      </c>
      <c r="G5547" s="13">
        <v>646.18809099999999</v>
      </c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</row>
    <row r="5548" spans="1:19" x14ac:dyDescent="0.2">
      <c r="A5548" s="12" t="s">
        <v>519</v>
      </c>
      <c r="B5548" s="12" t="s">
        <v>569</v>
      </c>
      <c r="C5548" s="12" t="s">
        <v>555</v>
      </c>
      <c r="D5548" s="13">
        <v>309</v>
      </c>
      <c r="E5548" s="13">
        <v>267.13282900000002</v>
      </c>
      <c r="F5548" s="13">
        <v>109.263594</v>
      </c>
      <c r="G5548" s="13">
        <v>135.93324999999999</v>
      </c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</row>
    <row r="5549" spans="1:19" x14ac:dyDescent="0.2">
      <c r="A5549" s="12" t="s">
        <v>519</v>
      </c>
      <c r="B5549" s="12" t="s">
        <v>569</v>
      </c>
      <c r="C5549" s="12" t="s">
        <v>556</v>
      </c>
      <c r="D5549" s="13">
        <v>0</v>
      </c>
      <c r="E5549" s="13">
        <v>0</v>
      </c>
      <c r="F5549" s="13">
        <v>0</v>
      </c>
      <c r="G5549" s="13">
        <v>0</v>
      </c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</row>
    <row r="5550" spans="1:19" x14ac:dyDescent="0.2">
      <c r="A5550" s="12" t="s">
        <v>519</v>
      </c>
      <c r="B5550" s="12" t="s">
        <v>569</v>
      </c>
      <c r="C5550" s="12" t="s">
        <v>557</v>
      </c>
      <c r="D5550" s="13">
        <v>998</v>
      </c>
      <c r="E5550" s="13">
        <v>1000.885598</v>
      </c>
      <c r="F5550" s="13">
        <v>644.481945</v>
      </c>
      <c r="G5550" s="13">
        <v>679.40318500000012</v>
      </c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</row>
    <row r="5551" spans="1:19" x14ac:dyDescent="0.2">
      <c r="A5551" s="12" t="s">
        <v>519</v>
      </c>
      <c r="B5551" s="12" t="s">
        <v>569</v>
      </c>
      <c r="C5551" s="12" t="s">
        <v>558</v>
      </c>
      <c r="D5551" s="13">
        <v>-382</v>
      </c>
      <c r="E5551" s="13">
        <v>-385.929033</v>
      </c>
      <c r="F5551" s="13">
        <v>-260.82751200000001</v>
      </c>
      <c r="G5551" s="13">
        <v>-291.09654499999999</v>
      </c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</row>
    <row r="5552" spans="1:19" x14ac:dyDescent="0.2">
      <c r="A5552" s="12" t="s">
        <v>519</v>
      </c>
      <c r="B5552" s="12" t="s">
        <v>569</v>
      </c>
      <c r="C5552" s="12" t="s">
        <v>560</v>
      </c>
      <c r="D5552" s="13">
        <v>0</v>
      </c>
      <c r="E5552" s="13">
        <v>0</v>
      </c>
      <c r="F5552" s="13">
        <v>0</v>
      </c>
      <c r="G5552" s="13">
        <v>0</v>
      </c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</row>
    <row r="5553" spans="1:19" x14ac:dyDescent="0.2">
      <c r="A5553" s="12" t="s">
        <v>519</v>
      </c>
      <c r="B5553" s="12" t="s">
        <v>569</v>
      </c>
      <c r="C5553" s="12" t="s">
        <v>561</v>
      </c>
      <c r="D5553" s="13">
        <v>552</v>
      </c>
      <c r="E5553" s="13">
        <v>557.51013100000011</v>
      </c>
      <c r="F5553" s="13">
        <v>337.58415400000001</v>
      </c>
      <c r="G5553" s="13">
        <v>336.88991199999998</v>
      </c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</row>
    <row r="5554" spans="1:19" x14ac:dyDescent="0.2">
      <c r="A5554" s="12" t="s">
        <v>519</v>
      </c>
      <c r="B5554" s="12" t="s">
        <v>569</v>
      </c>
      <c r="C5554" s="12" t="s">
        <v>562</v>
      </c>
      <c r="D5554" s="13">
        <v>117</v>
      </c>
      <c r="E5554" s="13">
        <v>104.581332</v>
      </c>
      <c r="F5554" s="13">
        <v>42.944958</v>
      </c>
      <c r="G5554" s="13">
        <v>46.314489999999999</v>
      </c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</row>
    <row r="5555" spans="1:19" x14ac:dyDescent="0.2">
      <c r="A5555" s="12" t="s">
        <v>519</v>
      </c>
      <c r="B5555" s="12" t="s">
        <v>569</v>
      </c>
      <c r="C5555" s="12" t="s">
        <v>563</v>
      </c>
      <c r="D5555" s="13">
        <v>28</v>
      </c>
      <c r="E5555" s="13">
        <v>59.128456</v>
      </c>
      <c r="F5555" s="13">
        <v>29.337159</v>
      </c>
      <c r="G5555" s="13">
        <v>32.741734999999998</v>
      </c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</row>
    <row r="5556" spans="1:19" x14ac:dyDescent="0.2">
      <c r="A5556" s="12" t="s">
        <v>519</v>
      </c>
      <c r="B5556" s="12" t="s">
        <v>569</v>
      </c>
      <c r="C5556" s="12" t="s">
        <v>564</v>
      </c>
      <c r="D5556" s="13">
        <v>272</v>
      </c>
      <c r="E5556" s="13">
        <v>262.95724899999999</v>
      </c>
      <c r="F5556" s="13">
        <v>197.21793700000001</v>
      </c>
      <c r="G5556" s="13">
        <v>181.85030399999999</v>
      </c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</row>
    <row r="5557" spans="1:19" x14ac:dyDescent="0.2">
      <c r="A5557" s="12" t="s">
        <v>519</v>
      </c>
      <c r="B5557" s="12" t="s">
        <v>569</v>
      </c>
      <c r="C5557" s="12" t="s">
        <v>565</v>
      </c>
      <c r="D5557" s="13">
        <v>35</v>
      </c>
      <c r="E5557" s="13">
        <v>31.450441999999999</v>
      </c>
      <c r="F5557" s="13">
        <v>23.587831999999999</v>
      </c>
      <c r="G5557" s="13">
        <v>26.325199999999999</v>
      </c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</row>
    <row r="5558" spans="1:19" x14ac:dyDescent="0.2">
      <c r="A5558" s="12" t="s">
        <v>519</v>
      </c>
      <c r="B5558" s="12" t="s">
        <v>569</v>
      </c>
      <c r="C5558" s="12" t="s">
        <v>566</v>
      </c>
      <c r="D5558" s="13">
        <v>100</v>
      </c>
      <c r="E5558" s="13">
        <v>99.392651999999998</v>
      </c>
      <c r="F5558" s="13">
        <v>44.496267000000003</v>
      </c>
      <c r="G5558" s="13">
        <v>49.658177999999999</v>
      </c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</row>
    <row r="5559" spans="1:19" x14ac:dyDescent="0.2">
      <c r="A5559" s="12" t="s">
        <v>519</v>
      </c>
      <c r="B5559" s="12" t="s">
        <v>570</v>
      </c>
      <c r="C5559" s="12" t="s">
        <v>554</v>
      </c>
      <c r="D5559" s="13">
        <v>837</v>
      </c>
      <c r="E5559" s="13">
        <v>946.54212300000006</v>
      </c>
      <c r="F5559" s="13">
        <v>681.51032700000007</v>
      </c>
      <c r="G5559" s="13">
        <v>570.84706900000003</v>
      </c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</row>
    <row r="5560" spans="1:19" x14ac:dyDescent="0.2">
      <c r="A5560" s="12" t="s">
        <v>519</v>
      </c>
      <c r="B5560" s="12" t="s">
        <v>570</v>
      </c>
      <c r="C5560" s="12" t="s">
        <v>555</v>
      </c>
      <c r="D5560" s="13">
        <v>0</v>
      </c>
      <c r="E5560" s="13">
        <v>0</v>
      </c>
      <c r="F5560" s="13">
        <v>0</v>
      </c>
      <c r="G5560" s="13">
        <v>0</v>
      </c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</row>
    <row r="5561" spans="1:19" x14ac:dyDescent="0.2">
      <c r="A5561" s="12" t="s">
        <v>519</v>
      </c>
      <c r="B5561" s="12" t="s">
        <v>570</v>
      </c>
      <c r="C5561" s="12" t="s">
        <v>556</v>
      </c>
      <c r="D5561" s="13">
        <v>0</v>
      </c>
      <c r="E5561" s="13">
        <v>0</v>
      </c>
      <c r="F5561" s="13">
        <v>0</v>
      </c>
      <c r="G5561" s="13">
        <v>0</v>
      </c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</row>
    <row r="5562" spans="1:19" x14ac:dyDescent="0.2">
      <c r="A5562" s="12" t="s">
        <v>519</v>
      </c>
      <c r="B5562" s="12" t="s">
        <v>570</v>
      </c>
      <c r="C5562" s="12" t="s">
        <v>557</v>
      </c>
      <c r="D5562" s="13">
        <v>837</v>
      </c>
      <c r="E5562" s="13">
        <v>946.54212300000006</v>
      </c>
      <c r="F5562" s="13">
        <v>681.51032700000007</v>
      </c>
      <c r="G5562" s="13">
        <v>570.84706900000003</v>
      </c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</row>
    <row r="5563" spans="1:19" x14ac:dyDescent="0.2">
      <c r="A5563" s="12" t="s">
        <v>519</v>
      </c>
      <c r="B5563" s="12" t="s">
        <v>570</v>
      </c>
      <c r="C5563" s="12" t="s">
        <v>558</v>
      </c>
      <c r="D5563" s="13">
        <v>-837</v>
      </c>
      <c r="E5563" s="13">
        <v>-946.54212300000006</v>
      </c>
      <c r="F5563" s="13">
        <v>-681.51033100000006</v>
      </c>
      <c r="G5563" s="13">
        <v>-570.84707300000002</v>
      </c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</row>
    <row r="5564" spans="1:19" x14ac:dyDescent="0.2">
      <c r="A5564" s="12" t="s">
        <v>519</v>
      </c>
      <c r="B5564" s="12" t="s">
        <v>570</v>
      </c>
      <c r="C5564" s="12" t="s">
        <v>560</v>
      </c>
      <c r="D5564" s="13">
        <v>0</v>
      </c>
      <c r="E5564" s="13">
        <v>0</v>
      </c>
      <c r="F5564" s="13">
        <v>0</v>
      </c>
      <c r="G5564" s="13">
        <v>0</v>
      </c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</row>
    <row r="5565" spans="1:19" x14ac:dyDescent="0.2">
      <c r="A5565" s="12" t="s">
        <v>519</v>
      </c>
      <c r="B5565" s="12" t="s">
        <v>570</v>
      </c>
      <c r="C5565" s="12" t="s">
        <v>561</v>
      </c>
      <c r="D5565" s="13">
        <v>0</v>
      </c>
      <c r="E5565" s="13">
        <v>0</v>
      </c>
      <c r="F5565" s="13">
        <v>0</v>
      </c>
      <c r="G5565" s="13">
        <v>0</v>
      </c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</row>
    <row r="5566" spans="1:19" x14ac:dyDescent="0.2">
      <c r="A5566" s="12" t="s">
        <v>519</v>
      </c>
      <c r="B5566" s="12" t="s">
        <v>570</v>
      </c>
      <c r="C5566" s="12" t="s">
        <v>562</v>
      </c>
      <c r="D5566" s="13">
        <v>0</v>
      </c>
      <c r="E5566" s="13">
        <v>0</v>
      </c>
      <c r="F5566" s="13">
        <v>0</v>
      </c>
      <c r="G5566" s="13">
        <v>0</v>
      </c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</row>
    <row r="5567" spans="1:19" x14ac:dyDescent="0.2">
      <c r="A5567" s="12" t="s">
        <v>519</v>
      </c>
      <c r="B5567" s="12" t="s">
        <v>570</v>
      </c>
      <c r="C5567" s="12" t="s">
        <v>563</v>
      </c>
      <c r="D5567" s="13">
        <v>0</v>
      </c>
      <c r="E5567" s="13">
        <v>0</v>
      </c>
      <c r="F5567" s="13">
        <v>0</v>
      </c>
      <c r="G5567" s="13">
        <v>0</v>
      </c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</row>
    <row r="5568" spans="1:19" x14ac:dyDescent="0.2">
      <c r="A5568" s="12" t="s">
        <v>519</v>
      </c>
      <c r="B5568" s="12" t="s">
        <v>570</v>
      </c>
      <c r="C5568" s="12" t="s">
        <v>564</v>
      </c>
      <c r="D5568" s="13">
        <v>0</v>
      </c>
      <c r="E5568" s="13">
        <v>0</v>
      </c>
      <c r="F5568" s="13">
        <v>0</v>
      </c>
      <c r="G5568" s="13">
        <v>0</v>
      </c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</row>
    <row r="5569" spans="1:19" x14ac:dyDescent="0.2">
      <c r="A5569" s="12" t="s">
        <v>519</v>
      </c>
      <c r="B5569" s="12" t="s">
        <v>570</v>
      </c>
      <c r="C5569" s="12" t="s">
        <v>565</v>
      </c>
      <c r="D5569" s="13">
        <v>0</v>
      </c>
      <c r="E5569" s="13">
        <v>0</v>
      </c>
      <c r="F5569" s="13">
        <v>0</v>
      </c>
      <c r="G5569" s="13">
        <v>0</v>
      </c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</row>
    <row r="5570" spans="1:19" x14ac:dyDescent="0.2">
      <c r="A5570" s="12" t="s">
        <v>519</v>
      </c>
      <c r="B5570" s="12" t="s">
        <v>570</v>
      </c>
      <c r="C5570" s="12" t="s">
        <v>566</v>
      </c>
      <c r="D5570" s="13">
        <v>0</v>
      </c>
      <c r="E5570" s="13">
        <v>0</v>
      </c>
      <c r="F5570" s="13">
        <v>0</v>
      </c>
      <c r="G5570" s="13">
        <v>0</v>
      </c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</row>
    <row r="5571" spans="1:19" x14ac:dyDescent="0.2">
      <c r="A5571" s="12" t="s">
        <v>519</v>
      </c>
      <c r="B5571" s="12" t="s">
        <v>571</v>
      </c>
      <c r="C5571" s="12" t="s">
        <v>554</v>
      </c>
      <c r="D5571" s="13">
        <v>246</v>
      </c>
      <c r="E5571" s="13">
        <v>266.38312400000001</v>
      </c>
      <c r="F5571" s="13">
        <v>229.14334199999999</v>
      </c>
      <c r="G5571" s="13">
        <v>233.93909099999999</v>
      </c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</row>
    <row r="5572" spans="1:19" x14ac:dyDescent="0.2">
      <c r="A5572" s="12" t="s">
        <v>519</v>
      </c>
      <c r="B5572" s="12" t="s">
        <v>571</v>
      </c>
      <c r="C5572" s="12" t="s">
        <v>555</v>
      </c>
      <c r="D5572" s="13">
        <v>2</v>
      </c>
      <c r="E5572" s="13">
        <v>2.2185139999999999</v>
      </c>
      <c r="F5572" s="13">
        <v>3.5800999999999999E-2</v>
      </c>
      <c r="G5572" s="13">
        <v>3.0032E-2</v>
      </c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</row>
    <row r="5573" spans="1:19" x14ac:dyDescent="0.2">
      <c r="A5573" s="12" t="s">
        <v>519</v>
      </c>
      <c r="B5573" s="12" t="s">
        <v>571</v>
      </c>
      <c r="C5573" s="12" t="s">
        <v>556</v>
      </c>
      <c r="D5573" s="13">
        <v>-18</v>
      </c>
      <c r="E5573" s="13">
        <v>-25.860804000000002</v>
      </c>
      <c r="F5573" s="13">
        <v>-22.654565000000002</v>
      </c>
      <c r="G5573" s="13">
        <v>-19.681477000000001</v>
      </c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</row>
    <row r="5574" spans="1:19" x14ac:dyDescent="0.2">
      <c r="A5574" s="12" t="s">
        <v>519</v>
      </c>
      <c r="B5574" s="12" t="s">
        <v>571</v>
      </c>
      <c r="C5574" s="12" t="s">
        <v>557</v>
      </c>
      <c r="D5574" s="13">
        <v>238</v>
      </c>
      <c r="E5574" s="13">
        <v>250.07684800000001</v>
      </c>
      <c r="F5574" s="13">
        <v>206.524573</v>
      </c>
      <c r="G5574" s="13">
        <v>214.28764200000001</v>
      </c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</row>
    <row r="5575" spans="1:19" x14ac:dyDescent="0.2">
      <c r="A5575" s="12" t="s">
        <v>519</v>
      </c>
      <c r="B5575" s="12" t="s">
        <v>571</v>
      </c>
      <c r="C5575" s="12" t="s">
        <v>558</v>
      </c>
      <c r="D5575" s="13">
        <v>-134</v>
      </c>
      <c r="E5575" s="13">
        <v>-138.87126599999999</v>
      </c>
      <c r="F5575" s="13">
        <v>-102.190669</v>
      </c>
      <c r="G5575" s="13">
        <v>-110.25687499999999</v>
      </c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</row>
    <row r="5576" spans="1:19" x14ac:dyDescent="0.2">
      <c r="A5576" s="12" t="s">
        <v>519</v>
      </c>
      <c r="B5576" s="12" t="s">
        <v>571</v>
      </c>
      <c r="C5576" s="12" t="s">
        <v>560</v>
      </c>
      <c r="D5576" s="13">
        <v>0</v>
      </c>
      <c r="E5576" s="13">
        <v>0</v>
      </c>
      <c r="F5576" s="13">
        <v>0</v>
      </c>
      <c r="G5576" s="13">
        <v>0</v>
      </c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</row>
    <row r="5577" spans="1:19" x14ac:dyDescent="0.2">
      <c r="A5577" s="12" t="s">
        <v>519</v>
      </c>
      <c r="B5577" s="12" t="s">
        <v>571</v>
      </c>
      <c r="C5577" s="12" t="s">
        <v>561</v>
      </c>
      <c r="D5577" s="13">
        <v>91</v>
      </c>
      <c r="E5577" s="13">
        <v>98.187544000000003</v>
      </c>
      <c r="F5577" s="13">
        <v>94.55545699999999</v>
      </c>
      <c r="G5577" s="13">
        <v>94.292797999999991</v>
      </c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</row>
    <row r="5578" spans="1:19" x14ac:dyDescent="0.2">
      <c r="A5578" s="12" t="s">
        <v>519</v>
      </c>
      <c r="B5578" s="12" t="s">
        <v>571</v>
      </c>
      <c r="C5578" s="12" t="s">
        <v>562</v>
      </c>
      <c r="D5578" s="13">
        <v>4</v>
      </c>
      <c r="E5578" s="13">
        <v>3.8053870000000001</v>
      </c>
      <c r="F5578" s="13">
        <v>1.855602</v>
      </c>
      <c r="G5578" s="13">
        <v>2.0919219999999998</v>
      </c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</row>
    <row r="5579" spans="1:19" x14ac:dyDescent="0.2">
      <c r="A5579" s="12" t="s">
        <v>519</v>
      </c>
      <c r="B5579" s="12" t="s">
        <v>571</v>
      </c>
      <c r="C5579" s="12" t="s">
        <v>563</v>
      </c>
      <c r="D5579" s="13">
        <v>2</v>
      </c>
      <c r="E5579" s="13">
        <v>2.1399819999999998</v>
      </c>
      <c r="F5579" s="13" t="s">
        <v>559</v>
      </c>
      <c r="G5579" s="13" t="s">
        <v>559</v>
      </c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</row>
    <row r="5580" spans="1:19" x14ac:dyDescent="0.2">
      <c r="A5580" s="12" t="s">
        <v>519</v>
      </c>
      <c r="B5580" s="12" t="s">
        <v>571</v>
      </c>
      <c r="C5580" s="12" t="s">
        <v>564</v>
      </c>
      <c r="D5580" s="13">
        <v>79</v>
      </c>
      <c r="E5580" s="13">
        <v>85.740075000000004</v>
      </c>
      <c r="F5580" s="13">
        <v>87.613630000000001</v>
      </c>
      <c r="G5580" s="13">
        <v>86.972283000000004</v>
      </c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</row>
    <row r="5581" spans="1:19" x14ac:dyDescent="0.2">
      <c r="A5581" s="12" t="s">
        <v>519</v>
      </c>
      <c r="B5581" s="12" t="s">
        <v>571</v>
      </c>
      <c r="C5581" s="12" t="s">
        <v>565</v>
      </c>
      <c r="D5581" s="13">
        <v>5</v>
      </c>
      <c r="E5581" s="13">
        <v>5.1688980000000004</v>
      </c>
      <c r="F5581" s="13">
        <v>4.0885940000000014</v>
      </c>
      <c r="G5581" s="13">
        <v>4.2309539999999997</v>
      </c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</row>
    <row r="5582" spans="1:19" x14ac:dyDescent="0.2">
      <c r="A5582" s="12" t="s">
        <v>519</v>
      </c>
      <c r="B5582" s="12" t="s">
        <v>571</v>
      </c>
      <c r="C5582" s="12" t="s">
        <v>566</v>
      </c>
      <c r="D5582" s="13">
        <v>1</v>
      </c>
      <c r="E5582" s="13">
        <v>1.333207</v>
      </c>
      <c r="F5582" s="13">
        <v>0.99763900000000005</v>
      </c>
      <c r="G5582" s="13">
        <v>0.99763900000000005</v>
      </c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</row>
    <row r="5583" spans="1:19" x14ac:dyDescent="0.2">
      <c r="A5583" s="12" t="s">
        <v>519</v>
      </c>
      <c r="B5583" s="12" t="s">
        <v>572</v>
      </c>
      <c r="C5583" s="12" t="s">
        <v>554</v>
      </c>
      <c r="D5583" s="13">
        <v>0</v>
      </c>
      <c r="E5583" s="13">
        <v>0</v>
      </c>
      <c r="F5583" s="13">
        <v>0</v>
      </c>
      <c r="G5583" s="13">
        <v>0</v>
      </c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</row>
    <row r="5584" spans="1:19" x14ac:dyDescent="0.2">
      <c r="A5584" s="12" t="s">
        <v>519</v>
      </c>
      <c r="B5584" s="12" t="s">
        <v>572</v>
      </c>
      <c r="C5584" s="12" t="s">
        <v>555</v>
      </c>
      <c r="D5584" s="13">
        <v>10</v>
      </c>
      <c r="E5584" s="13">
        <v>5.2491589999999997</v>
      </c>
      <c r="F5584" s="13">
        <v>2.953503</v>
      </c>
      <c r="G5584" s="13">
        <v>2.903219</v>
      </c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</row>
    <row r="5585" spans="1:19" x14ac:dyDescent="0.2">
      <c r="A5585" s="12" t="s">
        <v>519</v>
      </c>
      <c r="B5585" s="12" t="s">
        <v>572</v>
      </c>
      <c r="C5585" s="12" t="s">
        <v>556</v>
      </c>
      <c r="D5585" s="13">
        <v>-19</v>
      </c>
      <c r="E5585" s="13">
        <v>-12.590641</v>
      </c>
      <c r="F5585" s="13">
        <v>-9.2685619999999993</v>
      </c>
      <c r="G5585" s="13">
        <v>-1.319307</v>
      </c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</row>
    <row r="5586" spans="1:19" x14ac:dyDescent="0.2">
      <c r="A5586" s="12" t="s">
        <v>519</v>
      </c>
      <c r="B5586" s="12" t="s">
        <v>572</v>
      </c>
      <c r="C5586" s="12" t="s">
        <v>557</v>
      </c>
      <c r="D5586" s="13">
        <v>-9</v>
      </c>
      <c r="E5586" s="13">
        <v>-7.3414780000000004</v>
      </c>
      <c r="F5586" s="13">
        <v>-6.3150590000000006</v>
      </c>
      <c r="G5586" s="13">
        <v>1.583912</v>
      </c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</row>
    <row r="5587" spans="1:19" x14ac:dyDescent="0.2">
      <c r="A5587" s="12" t="s">
        <v>519</v>
      </c>
      <c r="B5587" s="12" t="s">
        <v>572</v>
      </c>
      <c r="C5587" s="12" t="s">
        <v>558</v>
      </c>
      <c r="D5587" s="13">
        <v>534</v>
      </c>
      <c r="E5587" s="13">
        <v>562.46512399999995</v>
      </c>
      <c r="F5587" s="13">
        <v>398.54407600000002</v>
      </c>
      <c r="G5587" s="13">
        <v>373.03490800000009</v>
      </c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</row>
    <row r="5588" spans="1:19" x14ac:dyDescent="0.2">
      <c r="A5588" s="12" t="s">
        <v>519</v>
      </c>
      <c r="B5588" s="12" t="s">
        <v>572</v>
      </c>
      <c r="C5588" s="12" t="s">
        <v>560</v>
      </c>
      <c r="D5588" s="13">
        <v>0</v>
      </c>
      <c r="E5588" s="13">
        <v>0</v>
      </c>
      <c r="F5588" s="13">
        <v>0</v>
      </c>
      <c r="G5588" s="13">
        <v>0</v>
      </c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</row>
    <row r="5589" spans="1:19" x14ac:dyDescent="0.2">
      <c r="A5589" s="12" t="s">
        <v>519</v>
      </c>
      <c r="B5589" s="12" t="s">
        <v>572</v>
      </c>
      <c r="C5589" s="12" t="s">
        <v>561</v>
      </c>
      <c r="D5589" s="13">
        <v>409</v>
      </c>
      <c r="E5589" s="13">
        <v>427.246804</v>
      </c>
      <c r="F5589" s="13">
        <v>289.75431800000001</v>
      </c>
      <c r="G5589" s="13">
        <v>296.461815</v>
      </c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</row>
    <row r="5590" spans="1:19" x14ac:dyDescent="0.2">
      <c r="A5590" s="12" t="s">
        <v>519</v>
      </c>
      <c r="B5590" s="12" t="s">
        <v>572</v>
      </c>
      <c r="C5590" s="12" t="s">
        <v>562</v>
      </c>
      <c r="D5590" s="13">
        <v>165</v>
      </c>
      <c r="E5590" s="13">
        <v>172.71911499999999</v>
      </c>
      <c r="F5590" s="13">
        <v>94.995514999999997</v>
      </c>
      <c r="G5590" s="13">
        <v>98.573089999999993</v>
      </c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</row>
    <row r="5591" spans="1:19" x14ac:dyDescent="0.2">
      <c r="A5591" s="12" t="s">
        <v>519</v>
      </c>
      <c r="B5591" s="12" t="s">
        <v>572</v>
      </c>
      <c r="C5591" s="12" t="s">
        <v>563</v>
      </c>
      <c r="D5591" s="13">
        <v>21</v>
      </c>
      <c r="E5591" s="13">
        <v>21.501532999999998</v>
      </c>
      <c r="F5591" s="13">
        <v>14.341523</v>
      </c>
      <c r="G5591" s="13">
        <v>15.105112</v>
      </c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</row>
    <row r="5592" spans="1:19" x14ac:dyDescent="0.2">
      <c r="A5592" s="12" t="s">
        <v>519</v>
      </c>
      <c r="B5592" s="12" t="s">
        <v>572</v>
      </c>
      <c r="C5592" s="12" t="s">
        <v>564</v>
      </c>
      <c r="D5592" s="13">
        <v>132</v>
      </c>
      <c r="E5592" s="13">
        <v>137.58758900000001</v>
      </c>
      <c r="F5592" s="13">
        <v>115.57357399999999</v>
      </c>
      <c r="G5592" s="13">
        <v>113.868002</v>
      </c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</row>
    <row r="5593" spans="1:19" x14ac:dyDescent="0.2">
      <c r="A5593" s="12" t="s">
        <v>519</v>
      </c>
      <c r="B5593" s="12" t="s">
        <v>572</v>
      </c>
      <c r="C5593" s="12" t="s">
        <v>565</v>
      </c>
      <c r="D5593" s="13">
        <v>78</v>
      </c>
      <c r="E5593" s="13">
        <v>81.147247000000007</v>
      </c>
      <c r="F5593" s="13">
        <v>54.125216999999999</v>
      </c>
      <c r="G5593" s="13">
        <v>57.007004000000002</v>
      </c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</row>
    <row r="5594" spans="1:19" x14ac:dyDescent="0.2">
      <c r="A5594" s="12" t="s">
        <v>519</v>
      </c>
      <c r="B5594" s="12" t="s">
        <v>572</v>
      </c>
      <c r="C5594" s="12" t="s">
        <v>566</v>
      </c>
      <c r="D5594" s="13">
        <v>14</v>
      </c>
      <c r="E5594" s="13">
        <v>14.291320000000001</v>
      </c>
      <c r="F5594" s="13">
        <v>10.718489</v>
      </c>
      <c r="G5594" s="13">
        <v>11.908607999999999</v>
      </c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</row>
    <row r="5595" spans="1:19" x14ac:dyDescent="0.2">
      <c r="A5595" s="12" t="s">
        <v>519</v>
      </c>
      <c r="B5595" s="12" t="s">
        <v>573</v>
      </c>
      <c r="C5595" s="12" t="s">
        <v>554</v>
      </c>
      <c r="D5595" s="13">
        <v>2</v>
      </c>
      <c r="E5595" s="13">
        <v>2.345002</v>
      </c>
      <c r="F5595" s="13">
        <v>0.95036200000000004</v>
      </c>
      <c r="G5595" s="13">
        <v>0.95036200000000004</v>
      </c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</row>
    <row r="5596" spans="1:19" x14ac:dyDescent="0.2">
      <c r="A5596" s="12" t="s">
        <v>519</v>
      </c>
      <c r="B5596" s="12" t="s">
        <v>573</v>
      </c>
      <c r="C5596" s="12" t="s">
        <v>555</v>
      </c>
      <c r="D5596" s="13">
        <v>0</v>
      </c>
      <c r="E5596" s="13">
        <v>0</v>
      </c>
      <c r="F5596" s="13">
        <v>0</v>
      </c>
      <c r="G5596" s="13">
        <v>0</v>
      </c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</row>
    <row r="5597" spans="1:19" x14ac:dyDescent="0.2">
      <c r="A5597" s="12" t="s">
        <v>519</v>
      </c>
      <c r="B5597" s="12" t="s">
        <v>573</v>
      </c>
      <c r="C5597" s="12" t="s">
        <v>556</v>
      </c>
      <c r="D5597" s="13">
        <v>0</v>
      </c>
      <c r="E5597" s="13">
        <v>0</v>
      </c>
      <c r="F5597" s="13">
        <v>0</v>
      </c>
      <c r="G5597" s="13">
        <v>0</v>
      </c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</row>
    <row r="5598" spans="1:19" x14ac:dyDescent="0.2">
      <c r="A5598" s="12" t="s">
        <v>519</v>
      </c>
      <c r="B5598" s="12" t="s">
        <v>573</v>
      </c>
      <c r="C5598" s="12" t="s">
        <v>557</v>
      </c>
      <c r="D5598" s="13">
        <v>2</v>
      </c>
      <c r="E5598" s="13">
        <v>2.345002</v>
      </c>
      <c r="F5598" s="13">
        <v>0.95036200000000004</v>
      </c>
      <c r="G5598" s="13">
        <v>0.95036200000000004</v>
      </c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</row>
    <row r="5599" spans="1:19" x14ac:dyDescent="0.2">
      <c r="A5599" s="12" t="s">
        <v>519</v>
      </c>
      <c r="B5599" s="12" t="s">
        <v>573</v>
      </c>
      <c r="C5599" s="12" t="s">
        <v>558</v>
      </c>
      <c r="D5599" s="13">
        <v>385</v>
      </c>
      <c r="E5599" s="13">
        <v>386.94908400000003</v>
      </c>
      <c r="F5599" s="13">
        <v>262.22856100000001</v>
      </c>
      <c r="G5599" s="13">
        <v>261.51437700000002</v>
      </c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</row>
    <row r="5600" spans="1:19" x14ac:dyDescent="0.2">
      <c r="A5600" s="12" t="s">
        <v>519</v>
      </c>
      <c r="B5600" s="12" t="s">
        <v>573</v>
      </c>
      <c r="C5600" s="12" t="s">
        <v>560</v>
      </c>
      <c r="D5600" s="13">
        <v>0</v>
      </c>
      <c r="E5600" s="13">
        <v>0</v>
      </c>
      <c r="F5600" s="13">
        <v>0</v>
      </c>
      <c r="G5600" s="13">
        <v>0</v>
      </c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</row>
    <row r="5601" spans="1:19" x14ac:dyDescent="0.2">
      <c r="A5601" s="12" t="s">
        <v>519</v>
      </c>
      <c r="B5601" s="12" t="s">
        <v>573</v>
      </c>
      <c r="C5601" s="12" t="s">
        <v>561</v>
      </c>
      <c r="D5601" s="13">
        <v>300</v>
      </c>
      <c r="E5601" s="13">
        <v>304.86116800000002</v>
      </c>
      <c r="F5601" s="13">
        <v>202.740318</v>
      </c>
      <c r="G5601" s="13">
        <v>202.465982</v>
      </c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</row>
    <row r="5602" spans="1:19" x14ac:dyDescent="0.2">
      <c r="A5602" s="12" t="s">
        <v>519</v>
      </c>
      <c r="B5602" s="12" t="s">
        <v>573</v>
      </c>
      <c r="C5602" s="12" t="s">
        <v>562</v>
      </c>
      <c r="D5602" s="13">
        <v>150</v>
      </c>
      <c r="E5602" s="13">
        <v>152.55335099999999</v>
      </c>
      <c r="F5602" s="13">
        <v>74.186587000000003</v>
      </c>
      <c r="G5602" s="13">
        <v>74.267121000000003</v>
      </c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</row>
    <row r="5603" spans="1:19" x14ac:dyDescent="0.2">
      <c r="A5603" s="12" t="s">
        <v>519</v>
      </c>
      <c r="B5603" s="12" t="s">
        <v>573</v>
      </c>
      <c r="C5603" s="12" t="s">
        <v>563</v>
      </c>
      <c r="D5603" s="13">
        <v>0</v>
      </c>
      <c r="E5603" s="13">
        <v>0</v>
      </c>
      <c r="F5603" s="13">
        <v>0</v>
      </c>
      <c r="G5603" s="13">
        <v>0</v>
      </c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</row>
    <row r="5604" spans="1:19" x14ac:dyDescent="0.2">
      <c r="A5604" s="12" t="s">
        <v>519</v>
      </c>
      <c r="B5604" s="12" t="s">
        <v>573</v>
      </c>
      <c r="C5604" s="12" t="s">
        <v>564</v>
      </c>
      <c r="D5604" s="13">
        <v>79</v>
      </c>
      <c r="E5604" s="13">
        <v>80.546172999999996</v>
      </c>
      <c r="F5604" s="13">
        <v>67.658783999999997</v>
      </c>
      <c r="G5604" s="13">
        <v>67.472014999999999</v>
      </c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</row>
    <row r="5605" spans="1:19" x14ac:dyDescent="0.2">
      <c r="A5605" s="12" t="s">
        <v>519</v>
      </c>
      <c r="B5605" s="12" t="s">
        <v>573</v>
      </c>
      <c r="C5605" s="12" t="s">
        <v>565</v>
      </c>
      <c r="D5605" s="13">
        <v>63</v>
      </c>
      <c r="E5605" s="13">
        <v>64.384379999999993</v>
      </c>
      <c r="F5605" s="13">
        <v>55.374454</v>
      </c>
      <c r="G5605" s="13">
        <v>55.221592999999999</v>
      </c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</row>
    <row r="5606" spans="1:19" x14ac:dyDescent="0.2">
      <c r="A5606" s="12" t="s">
        <v>519</v>
      </c>
      <c r="B5606" s="12" t="s">
        <v>573</v>
      </c>
      <c r="C5606" s="12" t="s">
        <v>566</v>
      </c>
      <c r="D5606" s="13">
        <v>7</v>
      </c>
      <c r="E5606" s="13">
        <v>7.3772589999999996</v>
      </c>
      <c r="F5606" s="13">
        <v>5.5204929999999992</v>
      </c>
      <c r="G5606" s="13">
        <v>5.5052490000000001</v>
      </c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</row>
    <row r="5607" spans="1:19" x14ac:dyDescent="0.2">
      <c r="A5607" s="12" t="s">
        <v>519</v>
      </c>
      <c r="B5607" s="12" t="s">
        <v>574</v>
      </c>
      <c r="C5607" s="12" t="s">
        <v>554</v>
      </c>
      <c r="D5607" s="13">
        <v>2387</v>
      </c>
      <c r="E5607" s="13">
        <v>2482.9558780000002</v>
      </c>
      <c r="F5607" s="13">
        <v>2006.4742779999999</v>
      </c>
      <c r="G5607" s="13">
        <v>1926.1301470000001</v>
      </c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</row>
    <row r="5608" spans="1:19" x14ac:dyDescent="0.2">
      <c r="A5608" s="12" t="s">
        <v>519</v>
      </c>
      <c r="B5608" s="12" t="s">
        <v>574</v>
      </c>
      <c r="C5608" s="12" t="s">
        <v>555</v>
      </c>
      <c r="D5608" s="13">
        <v>1283</v>
      </c>
      <c r="E5608" s="13">
        <v>1356.5490199999999</v>
      </c>
      <c r="F5608" s="13">
        <v>626.40173100000004</v>
      </c>
      <c r="G5608" s="13">
        <v>583.33161199999995</v>
      </c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</row>
    <row r="5609" spans="1:19" x14ac:dyDescent="0.2">
      <c r="A5609" s="12" t="s">
        <v>519</v>
      </c>
      <c r="B5609" s="12" t="s">
        <v>574</v>
      </c>
      <c r="C5609" s="12" t="s">
        <v>556</v>
      </c>
      <c r="D5609" s="13">
        <v>-52</v>
      </c>
      <c r="E5609" s="13">
        <v>-56.064321000000007</v>
      </c>
      <c r="F5609" s="13">
        <v>-32.204694000000003</v>
      </c>
      <c r="G5609" s="13">
        <v>-21.173133</v>
      </c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</row>
    <row r="5610" spans="1:19" x14ac:dyDescent="0.2">
      <c r="A5610" s="12" t="s">
        <v>519</v>
      </c>
      <c r="B5610" s="12" t="s">
        <v>574</v>
      </c>
      <c r="C5610" s="12" t="s">
        <v>557</v>
      </c>
      <c r="D5610" s="13">
        <v>3616</v>
      </c>
      <c r="E5610" s="13">
        <v>3887.5577060000001</v>
      </c>
      <c r="F5610" s="13">
        <v>2542.6654319999998</v>
      </c>
      <c r="G5610" s="13">
        <v>2382.7754679999998</v>
      </c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</row>
    <row r="5611" spans="1:19" x14ac:dyDescent="0.2">
      <c r="A5611" s="12" t="s">
        <v>519</v>
      </c>
      <c r="B5611" s="12" t="s">
        <v>574</v>
      </c>
      <c r="C5611" s="12" t="s">
        <v>558</v>
      </c>
      <c r="D5611" s="13">
        <v>-946</v>
      </c>
      <c r="E5611" s="13">
        <v>-991.18323200000009</v>
      </c>
      <c r="F5611" s="13">
        <v>-691.47628000000009</v>
      </c>
      <c r="G5611" s="13">
        <v>-637.34042799999997</v>
      </c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</row>
    <row r="5612" spans="1:19" x14ac:dyDescent="0.2">
      <c r="A5612" s="12" t="s">
        <v>519</v>
      </c>
      <c r="B5612" s="12" t="s">
        <v>574</v>
      </c>
      <c r="C5612" s="12" t="s">
        <v>560</v>
      </c>
      <c r="D5612" s="13">
        <v>-130</v>
      </c>
      <c r="E5612" s="13">
        <v>-140.93700799999999</v>
      </c>
      <c r="F5612" s="13">
        <v>0</v>
      </c>
      <c r="G5612" s="13">
        <v>0</v>
      </c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</row>
    <row r="5613" spans="1:19" x14ac:dyDescent="0.2">
      <c r="A5613" s="12" t="s">
        <v>519</v>
      </c>
      <c r="B5613" s="12" t="s">
        <v>574</v>
      </c>
      <c r="C5613" s="12" t="s">
        <v>561</v>
      </c>
      <c r="D5613" s="13">
        <v>2000</v>
      </c>
      <c r="E5613" s="13">
        <v>2057.5876830000002</v>
      </c>
      <c r="F5613" s="13">
        <v>1365.8869529999999</v>
      </c>
      <c r="G5613" s="13">
        <v>1397.0263239999999</v>
      </c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</row>
    <row r="5614" spans="1:19" x14ac:dyDescent="0.2">
      <c r="A5614" s="12" t="s">
        <v>519</v>
      </c>
      <c r="B5614" s="12" t="s">
        <v>574</v>
      </c>
      <c r="C5614" s="12" t="s">
        <v>562</v>
      </c>
      <c r="D5614" s="13">
        <v>668</v>
      </c>
      <c r="E5614" s="13">
        <v>657.89988100000005</v>
      </c>
      <c r="F5614" s="13">
        <v>290.877679</v>
      </c>
      <c r="G5614" s="13">
        <v>301.79735099999999</v>
      </c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</row>
    <row r="5615" spans="1:19" x14ac:dyDescent="0.2">
      <c r="A5615" s="12" t="s">
        <v>519</v>
      </c>
      <c r="B5615" s="12" t="s">
        <v>574</v>
      </c>
      <c r="C5615" s="12" t="s">
        <v>563</v>
      </c>
      <c r="D5615" s="13">
        <v>335</v>
      </c>
      <c r="E5615" s="13">
        <v>395.653257</v>
      </c>
      <c r="F5615" s="13">
        <v>43.759273999999998</v>
      </c>
      <c r="G5615" s="13">
        <v>47.931722000000001</v>
      </c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</row>
    <row r="5616" spans="1:19" x14ac:dyDescent="0.2">
      <c r="A5616" s="12" t="s">
        <v>519</v>
      </c>
      <c r="B5616" s="12" t="s">
        <v>574</v>
      </c>
      <c r="C5616" s="12" t="s">
        <v>564</v>
      </c>
      <c r="D5616" s="13">
        <v>569</v>
      </c>
      <c r="E5616" s="13">
        <v>573.59638100000006</v>
      </c>
      <c r="F5616" s="13">
        <v>473.74398600000001</v>
      </c>
      <c r="G5616" s="13">
        <v>456.24401999999998</v>
      </c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</row>
    <row r="5617" spans="1:19" x14ac:dyDescent="0.2">
      <c r="A5617" s="12" t="s">
        <v>519</v>
      </c>
      <c r="B5617" s="12" t="s">
        <v>574</v>
      </c>
      <c r="C5617" s="12" t="s">
        <v>565</v>
      </c>
      <c r="D5617" s="13">
        <v>204</v>
      </c>
      <c r="E5617" s="13">
        <v>203.43353500000001</v>
      </c>
      <c r="F5617" s="13">
        <v>154.876611</v>
      </c>
      <c r="G5617" s="13">
        <v>161.451683</v>
      </c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</row>
    <row r="5618" spans="1:19" x14ac:dyDescent="0.2">
      <c r="A5618" s="12" t="s">
        <v>519</v>
      </c>
      <c r="B5618" s="12" t="s">
        <v>574</v>
      </c>
      <c r="C5618" s="12" t="s">
        <v>566</v>
      </c>
      <c r="D5618" s="13">
        <v>224</v>
      </c>
      <c r="E5618" s="13">
        <v>227.00461200000001</v>
      </c>
      <c r="F5618" s="13">
        <v>402.62939999999998</v>
      </c>
      <c r="G5618" s="13">
        <v>429.60153500000001</v>
      </c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</row>
    <row r="5619" spans="1:19" x14ac:dyDescent="0.2">
      <c r="A5619" s="12" t="s">
        <v>580</v>
      </c>
      <c r="B5619" s="12" t="s">
        <v>553</v>
      </c>
      <c r="C5619" s="12" t="s">
        <v>554</v>
      </c>
      <c r="D5619" s="13">
        <v>130051</v>
      </c>
      <c r="E5619" s="13">
        <v>138287.98654899999</v>
      </c>
      <c r="F5619" s="13">
        <v>146788.15785799999</v>
      </c>
      <c r="G5619" s="13">
        <v>154581.11116599999</v>
      </c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</row>
    <row r="5620" spans="1:19" x14ac:dyDescent="0.2">
      <c r="A5620" s="12" t="s">
        <v>580</v>
      </c>
      <c r="B5620" s="12" t="s">
        <v>553</v>
      </c>
      <c r="C5620" s="12" t="s">
        <v>555</v>
      </c>
      <c r="D5620" s="13">
        <v>20934</v>
      </c>
      <c r="E5620" s="13">
        <v>21356.830773000001</v>
      </c>
      <c r="F5620" s="13">
        <v>19952.321091999998</v>
      </c>
      <c r="G5620" s="13">
        <v>24646.816341000002</v>
      </c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</row>
    <row r="5621" spans="1:19" x14ac:dyDescent="0.2">
      <c r="A5621" s="12" t="s">
        <v>580</v>
      </c>
      <c r="B5621" s="12" t="s">
        <v>553</v>
      </c>
      <c r="C5621" s="12" t="s">
        <v>556</v>
      </c>
      <c r="D5621" s="13">
        <v>-18578</v>
      </c>
      <c r="E5621" s="13">
        <v>-19191.526875</v>
      </c>
      <c r="F5621" s="13">
        <v>-19995.100856000001</v>
      </c>
      <c r="G5621" s="13">
        <v>-21925.583286000001</v>
      </c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</row>
    <row r="5622" spans="1:19" x14ac:dyDescent="0.2">
      <c r="A5622" s="12" t="s">
        <v>580</v>
      </c>
      <c r="B5622" s="12" t="s">
        <v>553</v>
      </c>
      <c r="C5622" s="12" t="s">
        <v>557</v>
      </c>
      <c r="D5622" s="13">
        <v>130258</v>
      </c>
      <c r="E5622" s="13">
        <v>139449.81569799999</v>
      </c>
      <c r="F5622" s="13">
        <v>142860.62033199999</v>
      </c>
      <c r="G5622" s="13">
        <v>150771.43671499999</v>
      </c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</row>
    <row r="5623" spans="1:19" x14ac:dyDescent="0.2">
      <c r="A5623" s="12" t="s">
        <v>580</v>
      </c>
      <c r="B5623" s="12" t="s">
        <v>553</v>
      </c>
      <c r="C5623" s="12" t="s">
        <v>558</v>
      </c>
      <c r="D5623" s="13">
        <v>-79795</v>
      </c>
      <c r="E5623" s="13">
        <v>-87213.061791</v>
      </c>
      <c r="F5623" s="13">
        <v>-90174.787439000007</v>
      </c>
      <c r="G5623" s="13">
        <v>-96218.760662999994</v>
      </c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</row>
    <row r="5624" spans="1:19" x14ac:dyDescent="0.2">
      <c r="A5624" s="12" t="s">
        <v>580</v>
      </c>
      <c r="B5624" s="12" t="s">
        <v>553</v>
      </c>
      <c r="C5624" s="12" t="s">
        <v>560</v>
      </c>
      <c r="D5624" s="13">
        <v>0</v>
      </c>
      <c r="E5624" s="13">
        <v>0</v>
      </c>
      <c r="F5624" s="13">
        <v>0</v>
      </c>
      <c r="G5624" s="13">
        <v>0</v>
      </c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</row>
    <row r="5625" spans="1:19" x14ac:dyDescent="0.2">
      <c r="A5625" s="12" t="s">
        <v>580</v>
      </c>
      <c r="B5625" s="12" t="s">
        <v>553</v>
      </c>
      <c r="C5625" s="12" t="s">
        <v>561</v>
      </c>
      <c r="D5625" s="13">
        <v>34184</v>
      </c>
      <c r="E5625" s="13">
        <v>33706.590929999998</v>
      </c>
      <c r="F5625" s="13">
        <v>32974.608189999999</v>
      </c>
      <c r="G5625" s="13">
        <v>33549.148154000002</v>
      </c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</row>
    <row r="5626" spans="1:19" x14ac:dyDescent="0.2">
      <c r="A5626" s="12" t="s">
        <v>580</v>
      </c>
      <c r="B5626" s="12" t="s">
        <v>553</v>
      </c>
      <c r="C5626" s="12" t="s">
        <v>562</v>
      </c>
      <c r="D5626" s="13">
        <v>27313</v>
      </c>
      <c r="E5626" s="13">
        <v>27103.938725</v>
      </c>
      <c r="F5626" s="13">
        <v>26318.958922000002</v>
      </c>
      <c r="G5626" s="13">
        <v>26749.563983</v>
      </c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</row>
    <row r="5627" spans="1:19" x14ac:dyDescent="0.2">
      <c r="A5627" s="12" t="s">
        <v>580</v>
      </c>
      <c r="B5627" s="12" t="s">
        <v>553</v>
      </c>
      <c r="C5627" s="12" t="s">
        <v>563</v>
      </c>
      <c r="D5627" s="13">
        <v>42</v>
      </c>
      <c r="E5627" s="13">
        <v>33.947738000000001</v>
      </c>
      <c r="F5627" s="13">
        <v>35.529310000000002</v>
      </c>
      <c r="G5627" s="13">
        <v>38.426814999999998</v>
      </c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</row>
    <row r="5628" spans="1:19" x14ac:dyDescent="0.2">
      <c r="A5628" s="12" t="s">
        <v>580</v>
      </c>
      <c r="B5628" s="12" t="s">
        <v>553</v>
      </c>
      <c r="C5628" s="12" t="s">
        <v>564</v>
      </c>
      <c r="D5628" s="13">
        <v>1976</v>
      </c>
      <c r="E5628" s="13">
        <v>1877.7783509999999</v>
      </c>
      <c r="F5628" s="13">
        <v>1769.302332</v>
      </c>
      <c r="G5628" s="13">
        <v>1727.55567</v>
      </c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</row>
    <row r="5629" spans="1:19" x14ac:dyDescent="0.2">
      <c r="A5629" s="12" t="s">
        <v>580</v>
      </c>
      <c r="B5629" s="12" t="s">
        <v>553</v>
      </c>
      <c r="C5629" s="12" t="s">
        <v>565</v>
      </c>
      <c r="D5629" s="13">
        <v>803</v>
      </c>
      <c r="E5629" s="13">
        <v>705.2803980000001</v>
      </c>
      <c r="F5629" s="13">
        <v>680.99537899999996</v>
      </c>
      <c r="G5629" s="13">
        <v>663.44027800000003</v>
      </c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</row>
    <row r="5630" spans="1:19" x14ac:dyDescent="0.2">
      <c r="A5630" s="12" t="s">
        <v>580</v>
      </c>
      <c r="B5630" s="12" t="s">
        <v>553</v>
      </c>
      <c r="C5630" s="12" t="s">
        <v>566</v>
      </c>
      <c r="D5630" s="13">
        <v>4051</v>
      </c>
      <c r="E5630" s="13">
        <v>3985.6457</v>
      </c>
      <c r="F5630" s="13">
        <v>4169.82222</v>
      </c>
      <c r="G5630" s="13">
        <v>4370.1614040000004</v>
      </c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</row>
    <row r="5631" spans="1:19" x14ac:dyDescent="0.2">
      <c r="A5631" s="12" t="s">
        <v>580</v>
      </c>
      <c r="B5631" s="12" t="s">
        <v>567</v>
      </c>
      <c r="C5631" s="12" t="s">
        <v>554</v>
      </c>
      <c r="D5631" s="13">
        <v>121891</v>
      </c>
      <c r="E5631" s="13">
        <v>123919.67084599999</v>
      </c>
      <c r="F5631" s="13">
        <v>130292.992425</v>
      </c>
      <c r="G5631" s="13">
        <v>129206.225251</v>
      </c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</row>
    <row r="5632" spans="1:19" x14ac:dyDescent="0.2">
      <c r="A5632" s="12" t="s">
        <v>580</v>
      </c>
      <c r="B5632" s="12" t="s">
        <v>567</v>
      </c>
      <c r="C5632" s="12" t="s">
        <v>555</v>
      </c>
      <c r="D5632" s="13">
        <v>44052</v>
      </c>
      <c r="E5632" s="13">
        <v>43253.286407</v>
      </c>
      <c r="F5632" s="13">
        <v>45084.359803000007</v>
      </c>
      <c r="G5632" s="13">
        <v>48304.704648000014</v>
      </c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</row>
    <row r="5633" spans="1:19" x14ac:dyDescent="0.2">
      <c r="A5633" s="12" t="s">
        <v>580</v>
      </c>
      <c r="B5633" s="12" t="s">
        <v>567</v>
      </c>
      <c r="C5633" s="12" t="s">
        <v>556</v>
      </c>
      <c r="D5633" s="13">
        <v>-67077</v>
      </c>
      <c r="E5633" s="13">
        <v>-65915.076228000005</v>
      </c>
      <c r="F5633" s="13">
        <v>-70408.219553000003</v>
      </c>
      <c r="G5633" s="13">
        <v>-70107.673054000014</v>
      </c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</row>
    <row r="5634" spans="1:19" x14ac:dyDescent="0.2">
      <c r="A5634" s="12" t="s">
        <v>580</v>
      </c>
      <c r="B5634" s="12" t="s">
        <v>567</v>
      </c>
      <c r="C5634" s="12" t="s">
        <v>557</v>
      </c>
      <c r="D5634" s="13">
        <v>98026</v>
      </c>
      <c r="E5634" s="13">
        <v>102765.676311</v>
      </c>
      <c r="F5634" s="13">
        <v>104591.030316</v>
      </c>
      <c r="G5634" s="13">
        <v>107525.684354</v>
      </c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</row>
    <row r="5635" spans="1:19" x14ac:dyDescent="0.2">
      <c r="A5635" s="12" t="s">
        <v>580</v>
      </c>
      <c r="B5635" s="12" t="s">
        <v>567</v>
      </c>
      <c r="C5635" s="12" t="s">
        <v>558</v>
      </c>
      <c r="D5635" s="13">
        <v>-1462</v>
      </c>
      <c r="E5635" s="13">
        <v>-1494.1810350000001</v>
      </c>
      <c r="F5635" s="13">
        <v>-1698.019501</v>
      </c>
      <c r="G5635" s="13">
        <v>-1635.4474640000001</v>
      </c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</row>
    <row r="5636" spans="1:19" x14ac:dyDescent="0.2">
      <c r="A5636" s="12" t="s">
        <v>580</v>
      </c>
      <c r="B5636" s="12" t="s">
        <v>567</v>
      </c>
      <c r="C5636" s="12" t="s">
        <v>560</v>
      </c>
      <c r="D5636" s="13">
        <v>-90726</v>
      </c>
      <c r="E5636" s="13">
        <v>-95530.524279999998</v>
      </c>
      <c r="F5636" s="13">
        <v>-97533.722529999999</v>
      </c>
      <c r="G5636" s="13">
        <v>-100434.305633</v>
      </c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</row>
    <row r="5637" spans="1:19" x14ac:dyDescent="0.2">
      <c r="A5637" s="12" t="s">
        <v>580</v>
      </c>
      <c r="B5637" s="12" t="s">
        <v>567</v>
      </c>
      <c r="C5637" s="12" t="s">
        <v>561</v>
      </c>
      <c r="D5637" s="13">
        <v>291</v>
      </c>
      <c r="E5637" s="13">
        <v>308.87439999999998</v>
      </c>
      <c r="F5637" s="13">
        <v>231.278932</v>
      </c>
      <c r="G5637" s="13">
        <v>189.60385600000001</v>
      </c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</row>
    <row r="5638" spans="1:19" x14ac:dyDescent="0.2">
      <c r="A5638" s="12" t="s">
        <v>580</v>
      </c>
      <c r="B5638" s="12" t="s">
        <v>567</v>
      </c>
      <c r="C5638" s="12" t="s">
        <v>562</v>
      </c>
      <c r="D5638" s="13">
        <v>120</v>
      </c>
      <c r="E5638" s="13">
        <v>135.222465</v>
      </c>
      <c r="F5638" s="13">
        <v>76.218630000000005</v>
      </c>
      <c r="G5638" s="13">
        <v>76.171347999999995</v>
      </c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</row>
    <row r="5639" spans="1:19" x14ac:dyDescent="0.2">
      <c r="A5639" s="12" t="s">
        <v>580</v>
      </c>
      <c r="B5639" s="12" t="s">
        <v>567</v>
      </c>
      <c r="C5639" s="12" t="s">
        <v>563</v>
      </c>
      <c r="D5639" s="13">
        <v>1</v>
      </c>
      <c r="E5639" s="13">
        <v>0.50256299999999998</v>
      </c>
      <c r="F5639" s="13">
        <v>0.39761200000000002</v>
      </c>
      <c r="G5639" s="13">
        <v>2.3560340000000002</v>
      </c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</row>
    <row r="5640" spans="1:19" x14ac:dyDescent="0.2">
      <c r="A5640" s="12" t="s">
        <v>580</v>
      </c>
      <c r="B5640" s="12" t="s">
        <v>567</v>
      </c>
      <c r="C5640" s="12" t="s">
        <v>564</v>
      </c>
      <c r="D5640" s="13">
        <v>0</v>
      </c>
      <c r="E5640" s="13">
        <v>0</v>
      </c>
      <c r="F5640" s="13">
        <v>0</v>
      </c>
      <c r="G5640" s="13">
        <v>0</v>
      </c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</row>
    <row r="5641" spans="1:19" x14ac:dyDescent="0.2">
      <c r="A5641" s="12" t="s">
        <v>580</v>
      </c>
      <c r="B5641" s="12" t="s">
        <v>567</v>
      </c>
      <c r="C5641" s="12" t="s">
        <v>565</v>
      </c>
      <c r="D5641" s="13">
        <v>0</v>
      </c>
      <c r="E5641" s="13">
        <v>0</v>
      </c>
      <c r="F5641" s="13">
        <v>0</v>
      </c>
      <c r="G5641" s="13">
        <v>4.1949999999999999E-3</v>
      </c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</row>
    <row r="5642" spans="1:19" x14ac:dyDescent="0.2">
      <c r="A5642" s="12" t="s">
        <v>580</v>
      </c>
      <c r="B5642" s="12" t="s">
        <v>567</v>
      </c>
      <c r="C5642" s="12" t="s">
        <v>566</v>
      </c>
      <c r="D5642" s="13">
        <v>170</v>
      </c>
      <c r="E5642" s="13">
        <v>173.149372</v>
      </c>
      <c r="F5642" s="13">
        <v>154.66269</v>
      </c>
      <c r="G5642" s="13">
        <v>111.072278</v>
      </c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</row>
    <row r="5643" spans="1:19" x14ac:dyDescent="0.2">
      <c r="A5643" s="12" t="s">
        <v>580</v>
      </c>
      <c r="B5643" s="12" t="s">
        <v>568</v>
      </c>
      <c r="C5643" s="12" t="s">
        <v>554</v>
      </c>
      <c r="D5643" s="13">
        <v>0</v>
      </c>
      <c r="E5643" s="13">
        <v>0</v>
      </c>
      <c r="F5643" s="13">
        <v>0</v>
      </c>
      <c r="G5643" s="13">
        <v>0</v>
      </c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</row>
    <row r="5644" spans="1:19" x14ac:dyDescent="0.2">
      <c r="A5644" s="12" t="s">
        <v>580</v>
      </c>
      <c r="B5644" s="12" t="s">
        <v>568</v>
      </c>
      <c r="C5644" s="12" t="s">
        <v>555</v>
      </c>
      <c r="D5644" s="13">
        <v>27385</v>
      </c>
      <c r="E5644" s="13">
        <v>28907.518657000001</v>
      </c>
      <c r="F5644" s="13">
        <v>30242.059072</v>
      </c>
      <c r="G5644" s="13">
        <v>32695.615734999999</v>
      </c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</row>
    <row r="5645" spans="1:19" x14ac:dyDescent="0.2">
      <c r="A5645" s="12" t="s">
        <v>580</v>
      </c>
      <c r="B5645" s="12" t="s">
        <v>568</v>
      </c>
      <c r="C5645" s="12" t="s">
        <v>556</v>
      </c>
      <c r="D5645" s="13">
        <v>-28244</v>
      </c>
      <c r="E5645" s="13">
        <v>-29480.565973000001</v>
      </c>
      <c r="F5645" s="13">
        <v>-28880.873329999999</v>
      </c>
      <c r="G5645" s="13">
        <v>-29634.082251</v>
      </c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</row>
    <row r="5646" spans="1:19" x14ac:dyDescent="0.2">
      <c r="A5646" s="12" t="s">
        <v>580</v>
      </c>
      <c r="B5646" s="12" t="s">
        <v>568</v>
      </c>
      <c r="C5646" s="12" t="s">
        <v>557</v>
      </c>
      <c r="D5646" s="13">
        <v>-8834</v>
      </c>
      <c r="E5646" s="13">
        <v>-8928.3609059999999</v>
      </c>
      <c r="F5646" s="13">
        <v>-7548.4018880000003</v>
      </c>
      <c r="G5646" s="13">
        <v>-7787.8768040000004</v>
      </c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</row>
    <row r="5647" spans="1:19" x14ac:dyDescent="0.2">
      <c r="A5647" s="12" t="s">
        <v>580</v>
      </c>
      <c r="B5647" s="12" t="s">
        <v>568</v>
      </c>
      <c r="C5647" s="12" t="s">
        <v>558</v>
      </c>
      <c r="D5647" s="13">
        <v>-4462</v>
      </c>
      <c r="E5647" s="13">
        <v>-5111.9096880000006</v>
      </c>
      <c r="F5647" s="13">
        <v>-5271.9335010000004</v>
      </c>
      <c r="G5647" s="13">
        <v>-5266.9594529999986</v>
      </c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</row>
    <row r="5648" spans="1:19" x14ac:dyDescent="0.2">
      <c r="A5648" s="12" t="s">
        <v>580</v>
      </c>
      <c r="B5648" s="12" t="s">
        <v>568</v>
      </c>
      <c r="C5648" s="12" t="s">
        <v>560</v>
      </c>
      <c r="D5648" s="13">
        <v>88889</v>
      </c>
      <c r="E5648" s="13">
        <v>93627.931606999991</v>
      </c>
      <c r="F5648" s="13">
        <v>95154.012620000009</v>
      </c>
      <c r="G5648" s="13">
        <v>98516.936746000007</v>
      </c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</row>
    <row r="5649" spans="1:19" x14ac:dyDescent="0.2">
      <c r="A5649" s="12" t="s">
        <v>580</v>
      </c>
      <c r="B5649" s="12" t="s">
        <v>568</v>
      </c>
      <c r="C5649" s="12" t="s">
        <v>561</v>
      </c>
      <c r="D5649" s="13">
        <v>76325</v>
      </c>
      <c r="E5649" s="13">
        <v>80713.849197999996</v>
      </c>
      <c r="F5649" s="13">
        <v>83168.409784000003</v>
      </c>
      <c r="G5649" s="13">
        <v>85889.752922999993</v>
      </c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</row>
    <row r="5650" spans="1:19" x14ac:dyDescent="0.2">
      <c r="A5650" s="12" t="s">
        <v>580</v>
      </c>
      <c r="B5650" s="12" t="s">
        <v>568</v>
      </c>
      <c r="C5650" s="12" t="s">
        <v>562</v>
      </c>
      <c r="D5650" s="13">
        <v>7516</v>
      </c>
      <c r="E5650" s="13">
        <v>7338.4865040000004</v>
      </c>
      <c r="F5650" s="13">
        <v>8857.3529959999996</v>
      </c>
      <c r="G5650" s="13">
        <v>8964.6426009999996</v>
      </c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</row>
    <row r="5651" spans="1:19" x14ac:dyDescent="0.2">
      <c r="A5651" s="12" t="s">
        <v>580</v>
      </c>
      <c r="B5651" s="12" t="s">
        <v>568</v>
      </c>
      <c r="C5651" s="12" t="s">
        <v>563</v>
      </c>
      <c r="D5651" s="13">
        <v>42123</v>
      </c>
      <c r="E5651" s="13">
        <v>45487.944270000007</v>
      </c>
      <c r="F5651" s="13">
        <v>46168.336867999999</v>
      </c>
      <c r="G5651" s="13">
        <v>47398.514766</v>
      </c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</row>
    <row r="5652" spans="1:19" x14ac:dyDescent="0.2">
      <c r="A5652" s="12" t="s">
        <v>580</v>
      </c>
      <c r="B5652" s="12" t="s">
        <v>568</v>
      </c>
      <c r="C5652" s="12" t="s">
        <v>564</v>
      </c>
      <c r="D5652" s="13">
        <v>6156</v>
      </c>
      <c r="E5652" s="13">
        <v>6239.8163380000015</v>
      </c>
      <c r="F5652" s="13">
        <v>6189.6088639999998</v>
      </c>
      <c r="G5652" s="13">
        <v>6242.6228339999998</v>
      </c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</row>
    <row r="5653" spans="1:19" x14ac:dyDescent="0.2">
      <c r="A5653" s="12" t="s">
        <v>580</v>
      </c>
      <c r="B5653" s="12" t="s">
        <v>568</v>
      </c>
      <c r="C5653" s="12" t="s">
        <v>565</v>
      </c>
      <c r="D5653" s="13">
        <v>1508</v>
      </c>
      <c r="E5653" s="13">
        <v>1558.479552</v>
      </c>
      <c r="F5653" s="13">
        <v>1520.3377250000001</v>
      </c>
      <c r="G5653" s="13">
        <v>1527.4860490000001</v>
      </c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</row>
    <row r="5654" spans="1:19" x14ac:dyDescent="0.2">
      <c r="A5654" s="12" t="s">
        <v>580</v>
      </c>
      <c r="B5654" s="12" t="s">
        <v>568</v>
      </c>
      <c r="C5654" s="12" t="s">
        <v>566</v>
      </c>
      <c r="D5654" s="13">
        <v>19023</v>
      </c>
      <c r="E5654" s="13">
        <v>20089.122525999999</v>
      </c>
      <c r="F5654" s="13">
        <v>20432.773347999999</v>
      </c>
      <c r="G5654" s="13">
        <v>21756.486639999999</v>
      </c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</row>
    <row r="5655" spans="1:19" x14ac:dyDescent="0.2">
      <c r="A5655" s="12" t="s">
        <v>580</v>
      </c>
      <c r="B5655" s="12" t="s">
        <v>569</v>
      </c>
      <c r="C5655" s="12" t="s">
        <v>554</v>
      </c>
      <c r="D5655" s="13">
        <v>85323</v>
      </c>
      <c r="E5655" s="13">
        <v>90784.738185000009</v>
      </c>
      <c r="F5655" s="13">
        <v>88295.009656000009</v>
      </c>
      <c r="G5655" s="13">
        <v>87398.745826000013</v>
      </c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</row>
    <row r="5656" spans="1:19" x14ac:dyDescent="0.2">
      <c r="A5656" s="12" t="s">
        <v>580</v>
      </c>
      <c r="B5656" s="12" t="s">
        <v>569</v>
      </c>
      <c r="C5656" s="12" t="s">
        <v>555</v>
      </c>
      <c r="D5656" s="13">
        <v>13825</v>
      </c>
      <c r="E5656" s="13">
        <v>14856.024090000001</v>
      </c>
      <c r="F5656" s="13">
        <v>13891.440146000001</v>
      </c>
      <c r="G5656" s="13">
        <v>14532.753918</v>
      </c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</row>
    <row r="5657" spans="1:19" x14ac:dyDescent="0.2">
      <c r="A5657" s="12" t="s">
        <v>580</v>
      </c>
      <c r="B5657" s="12" t="s">
        <v>569</v>
      </c>
      <c r="C5657" s="12" t="s">
        <v>556</v>
      </c>
      <c r="D5657" s="13">
        <v>-25469</v>
      </c>
      <c r="E5657" s="13">
        <v>-25037.307299</v>
      </c>
      <c r="F5657" s="13">
        <v>-22581.778732999999</v>
      </c>
      <c r="G5657" s="13">
        <v>-21242.795109999999</v>
      </c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</row>
    <row r="5658" spans="1:19" x14ac:dyDescent="0.2">
      <c r="A5658" s="12" t="s">
        <v>580</v>
      </c>
      <c r="B5658" s="12" t="s">
        <v>569</v>
      </c>
      <c r="C5658" s="12" t="s">
        <v>557</v>
      </c>
      <c r="D5658" s="13">
        <v>74006</v>
      </c>
      <c r="E5658" s="13">
        <v>80613.302123999994</v>
      </c>
      <c r="F5658" s="13">
        <v>78944.786204000004</v>
      </c>
      <c r="G5658" s="13">
        <v>80426.786422999998</v>
      </c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</row>
    <row r="5659" spans="1:19" x14ac:dyDescent="0.2">
      <c r="A5659" s="12" t="s">
        <v>580</v>
      </c>
      <c r="B5659" s="12" t="s">
        <v>569</v>
      </c>
      <c r="C5659" s="12" t="s">
        <v>558</v>
      </c>
      <c r="D5659" s="13">
        <v>-30449</v>
      </c>
      <c r="E5659" s="13">
        <v>-33020.974089000003</v>
      </c>
      <c r="F5659" s="13">
        <v>-31879.043587</v>
      </c>
      <c r="G5659" s="13">
        <v>-33081.616400000014</v>
      </c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</row>
    <row r="5660" spans="1:19" x14ac:dyDescent="0.2">
      <c r="A5660" s="12" t="s">
        <v>580</v>
      </c>
      <c r="B5660" s="12" t="s">
        <v>569</v>
      </c>
      <c r="C5660" s="12" t="s">
        <v>560</v>
      </c>
      <c r="D5660" s="13">
        <v>0</v>
      </c>
      <c r="E5660" s="13">
        <v>0</v>
      </c>
      <c r="F5660" s="13">
        <v>0</v>
      </c>
      <c r="G5660" s="13">
        <v>0</v>
      </c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</row>
    <row r="5661" spans="1:19" x14ac:dyDescent="0.2">
      <c r="A5661" s="12" t="s">
        <v>580</v>
      </c>
      <c r="B5661" s="12" t="s">
        <v>569</v>
      </c>
      <c r="C5661" s="12" t="s">
        <v>561</v>
      </c>
      <c r="D5661" s="13">
        <v>35802</v>
      </c>
      <c r="E5661" s="13">
        <v>38627.392227999997</v>
      </c>
      <c r="F5661" s="13">
        <v>38213.881246999998</v>
      </c>
      <c r="G5661" s="13">
        <v>39325.807559000001</v>
      </c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</row>
    <row r="5662" spans="1:19" x14ac:dyDescent="0.2">
      <c r="A5662" s="12" t="s">
        <v>580</v>
      </c>
      <c r="B5662" s="12" t="s">
        <v>569</v>
      </c>
      <c r="C5662" s="12" t="s">
        <v>562</v>
      </c>
      <c r="D5662" s="13">
        <v>13977</v>
      </c>
      <c r="E5662" s="13">
        <v>15968.566255</v>
      </c>
      <c r="F5662" s="13">
        <v>15951.392931</v>
      </c>
      <c r="G5662" s="13">
        <v>16677.756496000002</v>
      </c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</row>
    <row r="5663" spans="1:19" x14ac:dyDescent="0.2">
      <c r="A5663" s="12" t="s">
        <v>580</v>
      </c>
      <c r="B5663" s="12" t="s">
        <v>569</v>
      </c>
      <c r="C5663" s="12" t="s">
        <v>563</v>
      </c>
      <c r="D5663" s="13">
        <v>3449</v>
      </c>
      <c r="E5663" s="13">
        <v>3712.179169</v>
      </c>
      <c r="F5663" s="13">
        <v>3635.0103859999999</v>
      </c>
      <c r="G5663" s="13">
        <v>3813.444086</v>
      </c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</row>
    <row r="5664" spans="1:19" x14ac:dyDescent="0.2">
      <c r="A5664" s="12" t="s">
        <v>580</v>
      </c>
      <c r="B5664" s="12" t="s">
        <v>569</v>
      </c>
      <c r="C5664" s="12" t="s">
        <v>564</v>
      </c>
      <c r="D5664" s="13">
        <v>9248</v>
      </c>
      <c r="E5664" s="13">
        <v>9584.23747</v>
      </c>
      <c r="F5664" s="13">
        <v>9464.4607670000005</v>
      </c>
      <c r="G5664" s="13">
        <v>9544.824743000001</v>
      </c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</row>
    <row r="5665" spans="1:19" x14ac:dyDescent="0.2">
      <c r="A5665" s="12" t="s">
        <v>580</v>
      </c>
      <c r="B5665" s="12" t="s">
        <v>569</v>
      </c>
      <c r="C5665" s="12" t="s">
        <v>565</v>
      </c>
      <c r="D5665" s="13">
        <v>2749</v>
      </c>
      <c r="E5665" s="13">
        <v>2966.3559270000001</v>
      </c>
      <c r="F5665" s="13">
        <v>2869.2200819999998</v>
      </c>
      <c r="G5665" s="13">
        <v>3002.4387609999999</v>
      </c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</row>
    <row r="5666" spans="1:19" x14ac:dyDescent="0.2">
      <c r="A5666" s="12" t="s">
        <v>580</v>
      </c>
      <c r="B5666" s="12" t="s">
        <v>569</v>
      </c>
      <c r="C5666" s="12" t="s">
        <v>566</v>
      </c>
      <c r="D5666" s="13">
        <v>6380</v>
      </c>
      <c r="E5666" s="13">
        <v>6396.0534159999997</v>
      </c>
      <c r="F5666" s="13">
        <v>6293.7970679999999</v>
      </c>
      <c r="G5666" s="13">
        <v>6287.3434390000002</v>
      </c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</row>
    <row r="5667" spans="1:19" x14ac:dyDescent="0.2">
      <c r="A5667" s="12" t="s">
        <v>580</v>
      </c>
      <c r="B5667" s="12" t="s">
        <v>570</v>
      </c>
      <c r="C5667" s="12" t="s">
        <v>554</v>
      </c>
      <c r="D5667" s="13">
        <v>8913</v>
      </c>
      <c r="E5667" s="13">
        <v>9833.7190559999999</v>
      </c>
      <c r="F5667" s="13">
        <v>9790.9581369999996</v>
      </c>
      <c r="G5667" s="13">
        <v>9936.8834820000011</v>
      </c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</row>
    <row r="5668" spans="1:19" x14ac:dyDescent="0.2">
      <c r="A5668" s="12" t="s">
        <v>580</v>
      </c>
      <c r="B5668" s="12" t="s">
        <v>570</v>
      </c>
      <c r="C5668" s="12" t="s">
        <v>555</v>
      </c>
      <c r="D5668" s="13">
        <v>0</v>
      </c>
      <c r="E5668" s="13">
        <v>0</v>
      </c>
      <c r="F5668" s="13">
        <v>0</v>
      </c>
      <c r="G5668" s="13">
        <v>0</v>
      </c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</row>
    <row r="5669" spans="1:19" x14ac:dyDescent="0.2">
      <c r="A5669" s="12" t="s">
        <v>580</v>
      </c>
      <c r="B5669" s="12" t="s">
        <v>570</v>
      </c>
      <c r="C5669" s="12" t="s">
        <v>556</v>
      </c>
      <c r="D5669" s="13">
        <v>0</v>
      </c>
      <c r="E5669" s="13">
        <v>0</v>
      </c>
      <c r="F5669" s="13">
        <v>0</v>
      </c>
      <c r="G5669" s="13">
        <v>0</v>
      </c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</row>
    <row r="5670" spans="1:19" x14ac:dyDescent="0.2">
      <c r="A5670" s="12" t="s">
        <v>580</v>
      </c>
      <c r="B5670" s="12" t="s">
        <v>570</v>
      </c>
      <c r="C5670" s="12" t="s">
        <v>557</v>
      </c>
      <c r="D5670" s="13">
        <v>8913</v>
      </c>
      <c r="E5670" s="13">
        <v>9833.7190559999999</v>
      </c>
      <c r="F5670" s="13">
        <v>9790.9581369999996</v>
      </c>
      <c r="G5670" s="13">
        <v>9936.8834820000011</v>
      </c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</row>
    <row r="5671" spans="1:19" x14ac:dyDescent="0.2">
      <c r="A5671" s="12" t="s">
        <v>580</v>
      </c>
      <c r="B5671" s="12" t="s">
        <v>570</v>
      </c>
      <c r="C5671" s="12" t="s">
        <v>558</v>
      </c>
      <c r="D5671" s="13">
        <v>-8913</v>
      </c>
      <c r="E5671" s="13">
        <v>-9833.7190549999996</v>
      </c>
      <c r="F5671" s="13">
        <v>-9790.9581450000005</v>
      </c>
      <c r="G5671" s="13">
        <v>-9936.8834869999991</v>
      </c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</row>
    <row r="5672" spans="1:19" x14ac:dyDescent="0.2">
      <c r="A5672" s="12" t="s">
        <v>580</v>
      </c>
      <c r="B5672" s="12" t="s">
        <v>570</v>
      </c>
      <c r="C5672" s="12" t="s">
        <v>560</v>
      </c>
      <c r="D5672" s="13">
        <v>0</v>
      </c>
      <c r="E5672" s="13">
        <v>0</v>
      </c>
      <c r="F5672" s="13">
        <v>0</v>
      </c>
      <c r="G5672" s="13">
        <v>0</v>
      </c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</row>
    <row r="5673" spans="1:19" x14ac:dyDescent="0.2">
      <c r="A5673" s="12" t="s">
        <v>580</v>
      </c>
      <c r="B5673" s="12" t="s">
        <v>570</v>
      </c>
      <c r="C5673" s="12" t="s">
        <v>561</v>
      </c>
      <c r="D5673" s="13">
        <v>0</v>
      </c>
      <c r="E5673" s="13">
        <v>0</v>
      </c>
      <c r="F5673" s="13">
        <v>0</v>
      </c>
      <c r="G5673" s="13">
        <v>0</v>
      </c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</row>
    <row r="5674" spans="1:19" x14ac:dyDescent="0.2">
      <c r="A5674" s="12" t="s">
        <v>580</v>
      </c>
      <c r="B5674" s="12" t="s">
        <v>570</v>
      </c>
      <c r="C5674" s="12" t="s">
        <v>562</v>
      </c>
      <c r="D5674" s="13">
        <v>0</v>
      </c>
      <c r="E5674" s="13">
        <v>0</v>
      </c>
      <c r="F5674" s="13">
        <v>0</v>
      </c>
      <c r="G5674" s="13">
        <v>0</v>
      </c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</row>
    <row r="5675" spans="1:19" x14ac:dyDescent="0.2">
      <c r="A5675" s="12" t="s">
        <v>580</v>
      </c>
      <c r="B5675" s="12" t="s">
        <v>570</v>
      </c>
      <c r="C5675" s="12" t="s">
        <v>563</v>
      </c>
      <c r="D5675" s="13">
        <v>0</v>
      </c>
      <c r="E5675" s="13">
        <v>0</v>
      </c>
      <c r="F5675" s="13">
        <v>0</v>
      </c>
      <c r="G5675" s="13">
        <v>0</v>
      </c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</row>
    <row r="5676" spans="1:19" x14ac:dyDescent="0.2">
      <c r="A5676" s="12" t="s">
        <v>580</v>
      </c>
      <c r="B5676" s="12" t="s">
        <v>570</v>
      </c>
      <c r="C5676" s="12" t="s">
        <v>564</v>
      </c>
      <c r="D5676" s="13">
        <v>0</v>
      </c>
      <c r="E5676" s="13">
        <v>0</v>
      </c>
      <c r="F5676" s="13">
        <v>0</v>
      </c>
      <c r="G5676" s="13">
        <v>0</v>
      </c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</row>
    <row r="5677" spans="1:19" x14ac:dyDescent="0.2">
      <c r="A5677" s="12" t="s">
        <v>580</v>
      </c>
      <c r="B5677" s="12" t="s">
        <v>570</v>
      </c>
      <c r="C5677" s="12" t="s">
        <v>565</v>
      </c>
      <c r="D5677" s="13">
        <v>0</v>
      </c>
      <c r="E5677" s="13">
        <v>0</v>
      </c>
      <c r="F5677" s="13">
        <v>0</v>
      </c>
      <c r="G5677" s="13">
        <v>0</v>
      </c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</row>
    <row r="5678" spans="1:19" x14ac:dyDescent="0.2">
      <c r="A5678" s="12" t="s">
        <v>580</v>
      </c>
      <c r="B5678" s="12" t="s">
        <v>570</v>
      </c>
      <c r="C5678" s="12" t="s">
        <v>566</v>
      </c>
      <c r="D5678" s="13">
        <v>0</v>
      </c>
      <c r="E5678" s="13">
        <v>0</v>
      </c>
      <c r="F5678" s="13">
        <v>0</v>
      </c>
      <c r="G5678" s="13">
        <v>0</v>
      </c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</row>
    <row r="5679" spans="1:19" x14ac:dyDescent="0.2">
      <c r="A5679" s="12" t="s">
        <v>580</v>
      </c>
      <c r="B5679" s="12" t="s">
        <v>571</v>
      </c>
      <c r="C5679" s="12" t="s">
        <v>554</v>
      </c>
      <c r="D5679" s="13">
        <v>56433</v>
      </c>
      <c r="E5679" s="13">
        <v>58605.371964000013</v>
      </c>
      <c r="F5679" s="13">
        <v>61309.122932000013</v>
      </c>
      <c r="G5679" s="13">
        <v>63331.317148000002</v>
      </c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</row>
    <row r="5680" spans="1:19" x14ac:dyDescent="0.2">
      <c r="A5680" s="12" t="s">
        <v>580</v>
      </c>
      <c r="B5680" s="12" t="s">
        <v>571</v>
      </c>
      <c r="C5680" s="12" t="s">
        <v>555</v>
      </c>
      <c r="D5680" s="13">
        <v>116</v>
      </c>
      <c r="E5680" s="13">
        <v>110.187168</v>
      </c>
      <c r="F5680" s="13">
        <v>110.827518</v>
      </c>
      <c r="G5680" s="13">
        <v>108.56341399999999</v>
      </c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</row>
    <row r="5681" spans="1:19" x14ac:dyDescent="0.2">
      <c r="A5681" s="12" t="s">
        <v>580</v>
      </c>
      <c r="B5681" s="12" t="s">
        <v>571</v>
      </c>
      <c r="C5681" s="12" t="s">
        <v>556</v>
      </c>
      <c r="D5681" s="13">
        <v>-215</v>
      </c>
      <c r="E5681" s="13">
        <v>-272.15545600000002</v>
      </c>
      <c r="F5681" s="13">
        <v>-302.80198200000001</v>
      </c>
      <c r="G5681" s="13">
        <v>-291.37599599999999</v>
      </c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</row>
    <row r="5682" spans="1:19" x14ac:dyDescent="0.2">
      <c r="A5682" s="12" t="s">
        <v>580</v>
      </c>
      <c r="B5682" s="12" t="s">
        <v>571</v>
      </c>
      <c r="C5682" s="12" t="s">
        <v>557</v>
      </c>
      <c r="D5682" s="13">
        <v>56351</v>
      </c>
      <c r="E5682" s="13">
        <v>58485.074527999997</v>
      </c>
      <c r="F5682" s="13">
        <v>61129.213708000003</v>
      </c>
      <c r="G5682" s="13">
        <v>63090.958927</v>
      </c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</row>
    <row r="5683" spans="1:19" x14ac:dyDescent="0.2">
      <c r="A5683" s="12" t="s">
        <v>580</v>
      </c>
      <c r="B5683" s="12" t="s">
        <v>571</v>
      </c>
      <c r="C5683" s="12" t="s">
        <v>558</v>
      </c>
      <c r="D5683" s="13">
        <v>-21343</v>
      </c>
      <c r="E5683" s="13">
        <v>-23209.880619</v>
      </c>
      <c r="F5683" s="13">
        <v>-25432.888623999999</v>
      </c>
      <c r="G5683" s="13">
        <v>-26724.933053000001</v>
      </c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</row>
    <row r="5684" spans="1:19" x14ac:dyDescent="0.2">
      <c r="A5684" s="12" t="s">
        <v>580</v>
      </c>
      <c r="B5684" s="12" t="s">
        <v>571</v>
      </c>
      <c r="C5684" s="12" t="s">
        <v>560</v>
      </c>
      <c r="D5684" s="13">
        <v>0</v>
      </c>
      <c r="E5684" s="13">
        <v>0</v>
      </c>
      <c r="F5684" s="13">
        <v>0</v>
      </c>
      <c r="G5684" s="13">
        <v>0</v>
      </c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</row>
    <row r="5685" spans="1:19" x14ac:dyDescent="0.2">
      <c r="A5685" s="12" t="s">
        <v>580</v>
      </c>
      <c r="B5685" s="12" t="s">
        <v>571</v>
      </c>
      <c r="C5685" s="12" t="s">
        <v>561</v>
      </c>
      <c r="D5685" s="13">
        <v>30708</v>
      </c>
      <c r="E5685" s="13">
        <v>30921.241115000001</v>
      </c>
      <c r="F5685" s="13">
        <v>31294.722608</v>
      </c>
      <c r="G5685" s="13">
        <v>31757.775005</v>
      </c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</row>
    <row r="5686" spans="1:19" x14ac:dyDescent="0.2">
      <c r="A5686" s="12" t="s">
        <v>580</v>
      </c>
      <c r="B5686" s="12" t="s">
        <v>571</v>
      </c>
      <c r="C5686" s="12" t="s">
        <v>562</v>
      </c>
      <c r="D5686" s="13">
        <v>6896</v>
      </c>
      <c r="E5686" s="13">
        <v>7136.7599030000001</v>
      </c>
      <c r="F5686" s="13">
        <v>7511.5726390000009</v>
      </c>
      <c r="G5686" s="13">
        <v>7938.2654249999996</v>
      </c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</row>
    <row r="5687" spans="1:19" x14ac:dyDescent="0.2">
      <c r="A5687" s="12" t="s">
        <v>580</v>
      </c>
      <c r="B5687" s="12" t="s">
        <v>571</v>
      </c>
      <c r="C5687" s="12" t="s">
        <v>563</v>
      </c>
      <c r="D5687" s="13">
        <v>1474</v>
      </c>
      <c r="E5687" s="13">
        <v>1522.245913</v>
      </c>
      <c r="F5687" s="13">
        <v>1608.0666799999999</v>
      </c>
      <c r="G5687" s="13">
        <v>1744.979118</v>
      </c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</row>
    <row r="5688" spans="1:19" x14ac:dyDescent="0.2">
      <c r="A5688" s="12" t="s">
        <v>580</v>
      </c>
      <c r="B5688" s="12" t="s">
        <v>571</v>
      </c>
      <c r="C5688" s="12" t="s">
        <v>564</v>
      </c>
      <c r="D5688" s="13">
        <v>20911</v>
      </c>
      <c r="E5688" s="13">
        <v>20796.419118000002</v>
      </c>
      <c r="F5688" s="13">
        <v>20676.972594999999</v>
      </c>
      <c r="G5688" s="13">
        <v>20527.130147</v>
      </c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</row>
    <row r="5689" spans="1:19" x14ac:dyDescent="0.2">
      <c r="A5689" s="12" t="s">
        <v>580</v>
      </c>
      <c r="B5689" s="12" t="s">
        <v>571</v>
      </c>
      <c r="C5689" s="12" t="s">
        <v>565</v>
      </c>
      <c r="D5689" s="13">
        <v>954</v>
      </c>
      <c r="E5689" s="13">
        <v>978.04889299999991</v>
      </c>
      <c r="F5689" s="13">
        <v>1000.711531</v>
      </c>
      <c r="G5689" s="13">
        <v>1021.16639</v>
      </c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</row>
    <row r="5690" spans="1:19" x14ac:dyDescent="0.2">
      <c r="A5690" s="12" t="s">
        <v>580</v>
      </c>
      <c r="B5690" s="12" t="s">
        <v>571</v>
      </c>
      <c r="C5690" s="12" t="s">
        <v>566</v>
      </c>
      <c r="D5690" s="13">
        <v>474</v>
      </c>
      <c r="E5690" s="13">
        <v>487.76731600000011</v>
      </c>
      <c r="F5690" s="13">
        <v>497.399134</v>
      </c>
      <c r="G5690" s="13">
        <v>526.23391099999992</v>
      </c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</row>
    <row r="5691" spans="1:19" x14ac:dyDescent="0.2">
      <c r="A5691" s="12" t="s">
        <v>580</v>
      </c>
      <c r="B5691" s="12" t="s">
        <v>572</v>
      </c>
      <c r="C5691" s="12" t="s">
        <v>554</v>
      </c>
      <c r="D5691" s="13">
        <v>0</v>
      </c>
      <c r="E5691" s="13">
        <v>0</v>
      </c>
      <c r="F5691" s="13">
        <v>0</v>
      </c>
      <c r="G5691" s="13">
        <v>0</v>
      </c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</row>
    <row r="5692" spans="1:19" x14ac:dyDescent="0.2">
      <c r="A5692" s="12" t="s">
        <v>580</v>
      </c>
      <c r="B5692" s="12" t="s">
        <v>572</v>
      </c>
      <c r="C5692" s="12" t="s">
        <v>555</v>
      </c>
      <c r="D5692" s="13">
        <v>873</v>
      </c>
      <c r="E5692" s="13">
        <v>893.09234500000002</v>
      </c>
      <c r="F5692" s="13">
        <v>940.16995499999996</v>
      </c>
      <c r="G5692" s="13">
        <v>979.51195400000006</v>
      </c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</row>
    <row r="5693" spans="1:19" x14ac:dyDescent="0.2">
      <c r="A5693" s="12" t="s">
        <v>580</v>
      </c>
      <c r="B5693" s="12" t="s">
        <v>572</v>
      </c>
      <c r="C5693" s="12" t="s">
        <v>556</v>
      </c>
      <c r="D5693" s="13">
        <v>-898</v>
      </c>
      <c r="E5693" s="13">
        <v>-945.37034199999994</v>
      </c>
      <c r="F5693" s="13">
        <v>-975.90292399999998</v>
      </c>
      <c r="G5693" s="13">
        <v>-1023.399005</v>
      </c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</row>
    <row r="5694" spans="1:19" x14ac:dyDescent="0.2">
      <c r="A5694" s="12" t="s">
        <v>580</v>
      </c>
      <c r="B5694" s="12" t="s">
        <v>572</v>
      </c>
      <c r="C5694" s="12" t="s">
        <v>557</v>
      </c>
      <c r="D5694" s="13">
        <v>-25</v>
      </c>
      <c r="E5694" s="13">
        <v>-52.277966999999997</v>
      </c>
      <c r="F5694" s="13">
        <v>-35.732956000000001</v>
      </c>
      <c r="G5694" s="13">
        <v>-43.887037999999997</v>
      </c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</row>
    <row r="5695" spans="1:19" x14ac:dyDescent="0.2">
      <c r="A5695" s="12" t="s">
        <v>580</v>
      </c>
      <c r="B5695" s="12" t="s">
        <v>572</v>
      </c>
      <c r="C5695" s="12" t="s">
        <v>558</v>
      </c>
      <c r="D5695" s="13">
        <v>57683</v>
      </c>
      <c r="E5695" s="13">
        <v>62300.296297000001</v>
      </c>
      <c r="F5695" s="13">
        <v>64566.374464</v>
      </c>
      <c r="G5695" s="13">
        <v>67982.155504000009</v>
      </c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</row>
    <row r="5696" spans="1:19" x14ac:dyDescent="0.2">
      <c r="A5696" s="12" t="s">
        <v>580</v>
      </c>
      <c r="B5696" s="12" t="s">
        <v>572</v>
      </c>
      <c r="C5696" s="12" t="s">
        <v>560</v>
      </c>
      <c r="D5696" s="13">
        <v>0</v>
      </c>
      <c r="E5696" s="13">
        <v>0</v>
      </c>
      <c r="F5696" s="13">
        <v>0</v>
      </c>
      <c r="G5696" s="13">
        <v>0</v>
      </c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</row>
    <row r="5697" spans="1:19" x14ac:dyDescent="0.2">
      <c r="A5697" s="12" t="s">
        <v>580</v>
      </c>
      <c r="B5697" s="12" t="s">
        <v>572</v>
      </c>
      <c r="C5697" s="12" t="s">
        <v>561</v>
      </c>
      <c r="D5697" s="13">
        <v>47321</v>
      </c>
      <c r="E5697" s="13">
        <v>51096.151055000002</v>
      </c>
      <c r="F5697" s="13">
        <v>53344.510711000003</v>
      </c>
      <c r="G5697" s="13">
        <v>56289.960249999996</v>
      </c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</row>
    <row r="5698" spans="1:19" x14ac:dyDescent="0.2">
      <c r="A5698" s="12" t="s">
        <v>580</v>
      </c>
      <c r="B5698" s="12" t="s">
        <v>572</v>
      </c>
      <c r="C5698" s="12" t="s">
        <v>562</v>
      </c>
      <c r="D5698" s="13">
        <v>23937</v>
      </c>
      <c r="E5698" s="13">
        <v>25859.481101000001</v>
      </c>
      <c r="F5698" s="13">
        <v>26341.193609999998</v>
      </c>
      <c r="G5698" s="13">
        <v>27720.734563999998</v>
      </c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</row>
    <row r="5699" spans="1:19" x14ac:dyDescent="0.2">
      <c r="A5699" s="12" t="s">
        <v>580</v>
      </c>
      <c r="B5699" s="12" t="s">
        <v>572</v>
      </c>
      <c r="C5699" s="12" t="s">
        <v>563</v>
      </c>
      <c r="D5699" s="13">
        <v>917</v>
      </c>
      <c r="E5699" s="13">
        <v>1062.003168</v>
      </c>
      <c r="F5699" s="13">
        <v>1163.86097</v>
      </c>
      <c r="G5699" s="13">
        <v>1291.64474</v>
      </c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</row>
    <row r="5700" spans="1:19" x14ac:dyDescent="0.2">
      <c r="A5700" s="12" t="s">
        <v>580</v>
      </c>
      <c r="B5700" s="12" t="s">
        <v>572</v>
      </c>
      <c r="C5700" s="12" t="s">
        <v>564</v>
      </c>
      <c r="D5700" s="13">
        <v>11636</v>
      </c>
      <c r="E5700" s="13">
        <v>12209.954846000001</v>
      </c>
      <c r="F5700" s="13">
        <v>13011.090174999999</v>
      </c>
      <c r="G5700" s="13">
        <v>13405.877367999999</v>
      </c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</row>
    <row r="5701" spans="1:19" x14ac:dyDescent="0.2">
      <c r="A5701" s="12" t="s">
        <v>580</v>
      </c>
      <c r="B5701" s="12" t="s">
        <v>572</v>
      </c>
      <c r="C5701" s="12" t="s">
        <v>565</v>
      </c>
      <c r="D5701" s="13">
        <v>6194</v>
      </c>
      <c r="E5701" s="13">
        <v>6767.6384429999998</v>
      </c>
      <c r="F5701" s="13">
        <v>7250.4943000000003</v>
      </c>
      <c r="G5701" s="13">
        <v>7773.2503059999999</v>
      </c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</row>
    <row r="5702" spans="1:19" x14ac:dyDescent="0.2">
      <c r="A5702" s="12" t="s">
        <v>580</v>
      </c>
      <c r="B5702" s="12" t="s">
        <v>572</v>
      </c>
      <c r="C5702" s="12" t="s">
        <v>566</v>
      </c>
      <c r="D5702" s="13">
        <v>4637</v>
      </c>
      <c r="E5702" s="13">
        <v>5197.0735050000003</v>
      </c>
      <c r="F5702" s="13">
        <v>5577.8716440000007</v>
      </c>
      <c r="G5702" s="13">
        <v>6098.4532259999996</v>
      </c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</row>
    <row r="5703" spans="1:19" x14ac:dyDescent="0.2">
      <c r="A5703" s="12" t="s">
        <v>580</v>
      </c>
      <c r="B5703" s="12" t="s">
        <v>573</v>
      </c>
      <c r="C5703" s="12" t="s">
        <v>554</v>
      </c>
      <c r="D5703" s="13">
        <v>10</v>
      </c>
      <c r="E5703" s="13">
        <v>10.39536</v>
      </c>
      <c r="F5703" s="13">
        <v>11.025577999999999</v>
      </c>
      <c r="G5703" s="13">
        <v>11.198036</v>
      </c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</row>
    <row r="5704" spans="1:19" x14ac:dyDescent="0.2">
      <c r="A5704" s="12" t="s">
        <v>580</v>
      </c>
      <c r="B5704" s="12" t="s">
        <v>573</v>
      </c>
      <c r="C5704" s="12" t="s">
        <v>555</v>
      </c>
      <c r="D5704" s="13">
        <v>0</v>
      </c>
      <c r="E5704" s="13">
        <v>0</v>
      </c>
      <c r="F5704" s="13">
        <v>0</v>
      </c>
      <c r="G5704" s="13">
        <v>0</v>
      </c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</row>
    <row r="5705" spans="1:19" x14ac:dyDescent="0.2">
      <c r="A5705" s="12" t="s">
        <v>580</v>
      </c>
      <c r="B5705" s="12" t="s">
        <v>573</v>
      </c>
      <c r="C5705" s="12" t="s">
        <v>556</v>
      </c>
      <c r="D5705" s="13">
        <v>0</v>
      </c>
      <c r="E5705" s="13">
        <v>0</v>
      </c>
      <c r="F5705" s="13">
        <v>0</v>
      </c>
      <c r="G5705" s="13">
        <v>0</v>
      </c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</row>
    <row r="5706" spans="1:19" x14ac:dyDescent="0.2">
      <c r="A5706" s="12" t="s">
        <v>580</v>
      </c>
      <c r="B5706" s="12" t="s">
        <v>573</v>
      </c>
      <c r="C5706" s="12" t="s">
        <v>557</v>
      </c>
      <c r="D5706" s="13">
        <v>10</v>
      </c>
      <c r="E5706" s="13">
        <v>10.39536</v>
      </c>
      <c r="F5706" s="13">
        <v>11.025577999999999</v>
      </c>
      <c r="G5706" s="13">
        <v>11.198036</v>
      </c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</row>
    <row r="5707" spans="1:19" x14ac:dyDescent="0.2">
      <c r="A5707" s="12" t="s">
        <v>580</v>
      </c>
      <c r="B5707" s="12" t="s">
        <v>573</v>
      </c>
      <c r="C5707" s="12" t="s">
        <v>558</v>
      </c>
      <c r="D5707" s="13">
        <v>12831</v>
      </c>
      <c r="E5707" s="13">
        <v>14440.635538</v>
      </c>
      <c r="F5707" s="13">
        <v>15188.277862000001</v>
      </c>
      <c r="G5707" s="13">
        <v>15955.002422</v>
      </c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</row>
    <row r="5708" spans="1:19" x14ac:dyDescent="0.2">
      <c r="A5708" s="12" t="s">
        <v>580</v>
      </c>
      <c r="B5708" s="12" t="s">
        <v>573</v>
      </c>
      <c r="C5708" s="12" t="s">
        <v>560</v>
      </c>
      <c r="D5708" s="13">
        <v>0</v>
      </c>
      <c r="E5708" s="13">
        <v>0</v>
      </c>
      <c r="F5708" s="13">
        <v>0</v>
      </c>
      <c r="G5708" s="13">
        <v>0</v>
      </c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</row>
    <row r="5709" spans="1:19" x14ac:dyDescent="0.2">
      <c r="A5709" s="12" t="s">
        <v>580</v>
      </c>
      <c r="B5709" s="12" t="s">
        <v>573</v>
      </c>
      <c r="C5709" s="12" t="s">
        <v>561</v>
      </c>
      <c r="D5709" s="13">
        <v>10790</v>
      </c>
      <c r="E5709" s="13">
        <v>12273.636891</v>
      </c>
      <c r="F5709" s="13">
        <v>13056.151741</v>
      </c>
      <c r="G5709" s="13">
        <v>13788.991398</v>
      </c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</row>
    <row r="5710" spans="1:19" x14ac:dyDescent="0.2">
      <c r="A5710" s="12" t="s">
        <v>580</v>
      </c>
      <c r="B5710" s="12" t="s">
        <v>573</v>
      </c>
      <c r="C5710" s="12" t="s">
        <v>562</v>
      </c>
      <c r="D5710" s="13">
        <v>5260</v>
      </c>
      <c r="E5710" s="13">
        <v>6231.4982879999998</v>
      </c>
      <c r="F5710" s="13">
        <v>7098.5857660000001</v>
      </c>
      <c r="G5710" s="13">
        <v>7630.6895560000003</v>
      </c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</row>
    <row r="5711" spans="1:19" x14ac:dyDescent="0.2">
      <c r="A5711" s="12" t="s">
        <v>580</v>
      </c>
      <c r="B5711" s="12" t="s">
        <v>573</v>
      </c>
      <c r="C5711" s="12" t="s">
        <v>563</v>
      </c>
      <c r="D5711" s="13">
        <v>0</v>
      </c>
      <c r="E5711" s="13">
        <v>0</v>
      </c>
      <c r="F5711" s="13">
        <v>0</v>
      </c>
      <c r="G5711" s="13">
        <v>0</v>
      </c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</row>
    <row r="5712" spans="1:19" x14ac:dyDescent="0.2">
      <c r="A5712" s="12" t="s">
        <v>580</v>
      </c>
      <c r="B5712" s="12" t="s">
        <v>573</v>
      </c>
      <c r="C5712" s="12" t="s">
        <v>564</v>
      </c>
      <c r="D5712" s="13">
        <v>3971</v>
      </c>
      <c r="E5712" s="13">
        <v>4319.6741059999986</v>
      </c>
      <c r="F5712" s="13">
        <v>4352.9226529999996</v>
      </c>
      <c r="G5712" s="13">
        <v>4518.253745</v>
      </c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</row>
    <row r="5713" spans="1:19" x14ac:dyDescent="0.2">
      <c r="A5713" s="12" t="s">
        <v>580</v>
      </c>
      <c r="B5713" s="12" t="s">
        <v>573</v>
      </c>
      <c r="C5713" s="12" t="s">
        <v>565</v>
      </c>
      <c r="D5713" s="13">
        <v>1126</v>
      </c>
      <c r="E5713" s="13">
        <v>1336.546499</v>
      </c>
      <c r="F5713" s="13">
        <v>1202.3004539999999</v>
      </c>
      <c r="G5713" s="13">
        <v>1219.8010139999999</v>
      </c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</row>
    <row r="5714" spans="1:19" x14ac:dyDescent="0.2">
      <c r="A5714" s="12" t="s">
        <v>580</v>
      </c>
      <c r="B5714" s="12" t="s">
        <v>573</v>
      </c>
      <c r="C5714" s="12" t="s">
        <v>566</v>
      </c>
      <c r="D5714" s="13">
        <v>433</v>
      </c>
      <c r="E5714" s="13">
        <v>385.91800899999998</v>
      </c>
      <c r="F5714" s="13">
        <v>402.34286300000002</v>
      </c>
      <c r="G5714" s="13">
        <v>420.24706099999997</v>
      </c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</row>
    <row r="5715" spans="1:19" x14ac:dyDescent="0.2">
      <c r="A5715" s="12" t="s">
        <v>580</v>
      </c>
      <c r="B5715" s="12" t="s">
        <v>574</v>
      </c>
      <c r="C5715" s="12" t="s">
        <v>554</v>
      </c>
      <c r="D5715" s="13">
        <v>402622</v>
      </c>
      <c r="E5715" s="13">
        <v>421441.881964</v>
      </c>
      <c r="F5715" s="13">
        <v>436487.26657699997</v>
      </c>
      <c r="G5715" s="13">
        <v>444465.480927</v>
      </c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</row>
    <row r="5716" spans="1:19" x14ac:dyDescent="0.2">
      <c r="A5716" s="12" t="s">
        <v>580</v>
      </c>
      <c r="B5716" s="12" t="s">
        <v>574</v>
      </c>
      <c r="C5716" s="12" t="s">
        <v>555</v>
      </c>
      <c r="D5716" s="13">
        <v>107186</v>
      </c>
      <c r="E5716" s="13">
        <v>109376.939411</v>
      </c>
      <c r="F5716" s="13">
        <v>110221.177603</v>
      </c>
      <c r="G5716" s="13">
        <v>121267.966032</v>
      </c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</row>
    <row r="5717" spans="1:19" x14ac:dyDescent="0.2">
      <c r="A5717" s="12" t="s">
        <v>580</v>
      </c>
      <c r="B5717" s="12" t="s">
        <v>574</v>
      </c>
      <c r="C5717" s="12" t="s">
        <v>556</v>
      </c>
      <c r="D5717" s="13">
        <v>-140480</v>
      </c>
      <c r="E5717" s="13">
        <v>-140842.002178</v>
      </c>
      <c r="F5717" s="13">
        <v>-143144.67739999999</v>
      </c>
      <c r="G5717" s="13">
        <v>-144224.908723</v>
      </c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</row>
    <row r="5718" spans="1:19" x14ac:dyDescent="0.2">
      <c r="A5718" s="12" t="s">
        <v>580</v>
      </c>
      <c r="B5718" s="12" t="s">
        <v>574</v>
      </c>
      <c r="C5718" s="12" t="s">
        <v>557</v>
      </c>
      <c r="D5718" s="13">
        <v>358705</v>
      </c>
      <c r="E5718" s="13">
        <v>382177.34419099998</v>
      </c>
      <c r="F5718" s="13">
        <v>389743.499404</v>
      </c>
      <c r="G5718" s="13">
        <v>403931.18410299998</v>
      </c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</row>
    <row r="5719" spans="1:19" x14ac:dyDescent="0.2">
      <c r="A5719" s="12" t="s">
        <v>580</v>
      </c>
      <c r="B5719" s="12" t="s">
        <v>574</v>
      </c>
      <c r="C5719" s="12" t="s">
        <v>558</v>
      </c>
      <c r="D5719" s="13">
        <v>-75910</v>
      </c>
      <c r="E5719" s="13">
        <v>-83142.794494000002</v>
      </c>
      <c r="F5719" s="13">
        <v>-84492.978505999999</v>
      </c>
      <c r="G5719" s="13">
        <v>-88927.442590000006</v>
      </c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</row>
    <row r="5720" spans="1:19" x14ac:dyDescent="0.2">
      <c r="A5720" s="12" t="s">
        <v>580</v>
      </c>
      <c r="B5720" s="12" t="s">
        <v>574</v>
      </c>
      <c r="C5720" s="12" t="s">
        <v>560</v>
      </c>
      <c r="D5720" s="13">
        <v>-1837</v>
      </c>
      <c r="E5720" s="13">
        <v>-1902.592652</v>
      </c>
      <c r="F5720" s="13">
        <v>-2379.7098930000002</v>
      </c>
      <c r="G5720" s="13">
        <v>-1917.3689159999999</v>
      </c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</row>
    <row r="5721" spans="1:19" x14ac:dyDescent="0.2">
      <c r="A5721" s="12" t="s">
        <v>580</v>
      </c>
      <c r="B5721" s="12" t="s">
        <v>574</v>
      </c>
      <c r="C5721" s="12" t="s">
        <v>561</v>
      </c>
      <c r="D5721" s="13">
        <v>235421</v>
      </c>
      <c r="E5721" s="13">
        <v>247647.73577500001</v>
      </c>
      <c r="F5721" s="13">
        <v>252283.56322099999</v>
      </c>
      <c r="G5721" s="13">
        <v>260791.03911099999</v>
      </c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</row>
    <row r="5722" spans="1:19" x14ac:dyDescent="0.2">
      <c r="A5722" s="12" t="s">
        <v>580</v>
      </c>
      <c r="B5722" s="12" t="s">
        <v>574</v>
      </c>
      <c r="C5722" s="12" t="s">
        <v>562</v>
      </c>
      <c r="D5722" s="13">
        <v>85019</v>
      </c>
      <c r="E5722" s="13">
        <v>89773.953216999987</v>
      </c>
      <c r="F5722" s="13">
        <v>92155.275488000014</v>
      </c>
      <c r="G5722" s="13">
        <v>95757.823944000003</v>
      </c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</row>
    <row r="5723" spans="1:19" x14ac:dyDescent="0.2">
      <c r="A5723" s="12" t="s">
        <v>580</v>
      </c>
      <c r="B5723" s="12" t="s">
        <v>574</v>
      </c>
      <c r="C5723" s="12" t="s">
        <v>563</v>
      </c>
      <c r="D5723" s="13">
        <v>48005</v>
      </c>
      <c r="E5723" s="13">
        <v>51818.822808999998</v>
      </c>
      <c r="F5723" s="13">
        <v>52611.201777000002</v>
      </c>
      <c r="G5723" s="13">
        <v>54289.365545000001</v>
      </c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</row>
    <row r="5724" spans="1:19" x14ac:dyDescent="0.2">
      <c r="A5724" s="12" t="s">
        <v>580</v>
      </c>
      <c r="B5724" s="12" t="s">
        <v>574</v>
      </c>
      <c r="C5724" s="12" t="s">
        <v>564</v>
      </c>
      <c r="D5724" s="13">
        <v>53897</v>
      </c>
      <c r="E5724" s="13">
        <v>55027.880237999998</v>
      </c>
      <c r="F5724" s="13">
        <v>55464.357400000001</v>
      </c>
      <c r="G5724" s="13">
        <v>55966.264543999998</v>
      </c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</row>
    <row r="5725" spans="1:19" x14ac:dyDescent="0.2">
      <c r="A5725" s="12" t="s">
        <v>580</v>
      </c>
      <c r="B5725" s="12" t="s">
        <v>574</v>
      </c>
      <c r="C5725" s="12" t="s">
        <v>565</v>
      </c>
      <c r="D5725" s="13">
        <v>13333</v>
      </c>
      <c r="E5725" s="13">
        <v>14312.349746</v>
      </c>
      <c r="F5725" s="13">
        <v>14524.059475</v>
      </c>
      <c r="G5725" s="13">
        <v>15207.586977000001</v>
      </c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</row>
    <row r="5726" spans="1:19" x14ac:dyDescent="0.2">
      <c r="A5726" s="12" t="s">
        <v>580</v>
      </c>
      <c r="B5726" s="12" t="s">
        <v>574</v>
      </c>
      <c r="C5726" s="12" t="s">
        <v>566</v>
      </c>
      <c r="D5726" s="13">
        <v>35168</v>
      </c>
      <c r="E5726" s="13">
        <v>36714.729797</v>
      </c>
      <c r="F5726" s="13">
        <v>37528.668931</v>
      </c>
      <c r="G5726" s="13">
        <v>39569.997969999997</v>
      </c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</row>
    <row r="5727" spans="1:19" x14ac:dyDescent="0.2">
      <c r="A5727" s="12" t="s">
        <v>581</v>
      </c>
      <c r="B5727" s="12" t="s">
        <v>553</v>
      </c>
      <c r="C5727" s="12" t="s">
        <v>554</v>
      </c>
      <c r="D5727" s="13">
        <v>6320</v>
      </c>
      <c r="E5727" s="13">
        <v>6123.8044140000002</v>
      </c>
      <c r="F5727" s="13">
        <v>6169.6649630000002</v>
      </c>
      <c r="G5727" s="13">
        <v>6258.7689140000002</v>
      </c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</row>
    <row r="5728" spans="1:19" x14ac:dyDescent="0.2">
      <c r="A5728" s="12" t="s">
        <v>581</v>
      </c>
      <c r="B5728" s="12" t="s">
        <v>553</v>
      </c>
      <c r="C5728" s="12" t="s">
        <v>555</v>
      </c>
      <c r="D5728" s="13">
        <v>472</v>
      </c>
      <c r="E5728" s="13">
        <v>590.56997000000001</v>
      </c>
      <c r="F5728" s="13">
        <v>575.40486499999997</v>
      </c>
      <c r="G5728" s="13">
        <v>612.16874199999995</v>
      </c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</row>
    <row r="5729" spans="1:19" x14ac:dyDescent="0.2">
      <c r="A5729" s="12" t="s">
        <v>581</v>
      </c>
      <c r="B5729" s="12" t="s">
        <v>553</v>
      </c>
      <c r="C5729" s="12" t="s">
        <v>556</v>
      </c>
      <c r="D5729" s="13">
        <v>-2306</v>
      </c>
      <c r="E5729" s="13">
        <v>-2175.9433610000001</v>
      </c>
      <c r="F5729" s="13">
        <v>-2468.9297510000001</v>
      </c>
      <c r="G5729" s="13">
        <v>-2563.460548</v>
      </c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</row>
    <row r="5730" spans="1:19" x14ac:dyDescent="0.2">
      <c r="A5730" s="12" t="s">
        <v>581</v>
      </c>
      <c r="B5730" s="12" t="s">
        <v>553</v>
      </c>
      <c r="C5730" s="12" t="s">
        <v>557</v>
      </c>
      <c r="D5730" s="13">
        <v>4472</v>
      </c>
      <c r="E5730" s="13">
        <v>4505.2703739999997</v>
      </c>
      <c r="F5730" s="13">
        <v>4293.9081619999997</v>
      </c>
      <c r="G5730" s="13">
        <v>4323.5275199999996</v>
      </c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</row>
    <row r="5731" spans="1:19" x14ac:dyDescent="0.2">
      <c r="A5731" s="12" t="s">
        <v>581</v>
      </c>
      <c r="B5731" s="12" t="s">
        <v>553</v>
      </c>
      <c r="C5731" s="12" t="s">
        <v>558</v>
      </c>
      <c r="D5731" s="13">
        <v>-3014</v>
      </c>
      <c r="E5731" s="13">
        <v>-2863.3454820000002</v>
      </c>
      <c r="F5731" s="13">
        <v>-2572.779904</v>
      </c>
      <c r="G5731" s="13">
        <v>-2452.760002</v>
      </c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</row>
    <row r="5732" spans="1:19" x14ac:dyDescent="0.2">
      <c r="A5732" s="12" t="s">
        <v>581</v>
      </c>
      <c r="B5732" s="12" t="s">
        <v>553</v>
      </c>
      <c r="C5732" s="12" t="s">
        <v>560</v>
      </c>
      <c r="D5732" s="13">
        <v>0</v>
      </c>
      <c r="E5732" s="13">
        <v>0</v>
      </c>
      <c r="F5732" s="13">
        <v>0</v>
      </c>
      <c r="G5732" s="13">
        <v>0</v>
      </c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</row>
    <row r="5733" spans="1:19" x14ac:dyDescent="0.2">
      <c r="A5733" s="12" t="s">
        <v>581</v>
      </c>
      <c r="B5733" s="12" t="s">
        <v>553</v>
      </c>
      <c r="C5733" s="12" t="s">
        <v>561</v>
      </c>
      <c r="D5733" s="13">
        <v>811</v>
      </c>
      <c r="E5733" s="13">
        <v>850.16779799999995</v>
      </c>
      <c r="F5733" s="13">
        <v>846.86331200000006</v>
      </c>
      <c r="G5733" s="13">
        <v>879.89477699999998</v>
      </c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</row>
    <row r="5734" spans="1:19" x14ac:dyDescent="0.2">
      <c r="A5734" s="12" t="s">
        <v>581</v>
      </c>
      <c r="B5734" s="12" t="s">
        <v>553</v>
      </c>
      <c r="C5734" s="12" t="s">
        <v>562</v>
      </c>
      <c r="D5734" s="13">
        <v>604</v>
      </c>
      <c r="E5734" s="13">
        <v>646.36814900000002</v>
      </c>
      <c r="F5734" s="13">
        <v>654.26346100000001</v>
      </c>
      <c r="G5734" s="13">
        <v>686.73521800000003</v>
      </c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</row>
    <row r="5735" spans="1:19" x14ac:dyDescent="0.2">
      <c r="A5735" s="12" t="s">
        <v>581</v>
      </c>
      <c r="B5735" s="12" t="s">
        <v>553</v>
      </c>
      <c r="C5735" s="12" t="s">
        <v>563</v>
      </c>
      <c r="D5735" s="13">
        <v>0</v>
      </c>
      <c r="E5735" s="13">
        <v>0.269312</v>
      </c>
      <c r="F5735" s="13">
        <v>0.35904700000000012</v>
      </c>
      <c r="G5735" s="13">
        <v>0.33205099999999999</v>
      </c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</row>
    <row r="5736" spans="1:19" x14ac:dyDescent="0.2">
      <c r="A5736" s="12" t="s">
        <v>581</v>
      </c>
      <c r="B5736" s="12" t="s">
        <v>553</v>
      </c>
      <c r="C5736" s="12" t="s">
        <v>564</v>
      </c>
      <c r="D5736" s="13">
        <v>101</v>
      </c>
      <c r="E5736" s="13">
        <v>98.65588000000001</v>
      </c>
      <c r="F5736" s="13">
        <v>93.051421000000005</v>
      </c>
      <c r="G5736" s="13">
        <v>92.999831000000015</v>
      </c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</row>
    <row r="5737" spans="1:19" x14ac:dyDescent="0.2">
      <c r="A5737" s="12" t="s">
        <v>581</v>
      </c>
      <c r="B5737" s="12" t="s">
        <v>553</v>
      </c>
      <c r="C5737" s="12" t="s">
        <v>565</v>
      </c>
      <c r="D5737" s="13">
        <v>50</v>
      </c>
      <c r="E5737" s="13">
        <v>48.761389999999999</v>
      </c>
      <c r="F5737" s="13">
        <v>45.901375000000002</v>
      </c>
      <c r="G5737" s="13">
        <v>45.903773999999999</v>
      </c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</row>
    <row r="5738" spans="1:19" x14ac:dyDescent="0.2">
      <c r="A5738" s="12" t="s">
        <v>581</v>
      </c>
      <c r="B5738" s="12" t="s">
        <v>553</v>
      </c>
      <c r="C5738" s="12" t="s">
        <v>566</v>
      </c>
      <c r="D5738" s="13">
        <v>55</v>
      </c>
      <c r="E5738" s="13">
        <v>56.113064000000008</v>
      </c>
      <c r="F5738" s="13">
        <v>53.288011999999988</v>
      </c>
      <c r="G5738" s="13">
        <v>53.923907000000007</v>
      </c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</row>
    <row r="5739" spans="1:19" x14ac:dyDescent="0.2">
      <c r="A5739" s="12" t="s">
        <v>581</v>
      </c>
      <c r="B5739" s="12" t="s">
        <v>567</v>
      </c>
      <c r="C5739" s="12" t="s">
        <v>554</v>
      </c>
      <c r="D5739" s="13">
        <v>13940</v>
      </c>
      <c r="E5739" s="13">
        <v>14799.709155</v>
      </c>
      <c r="F5739" s="13">
        <v>14101.162463000001</v>
      </c>
      <c r="G5739" s="13">
        <v>14879.763768999999</v>
      </c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</row>
    <row r="5740" spans="1:19" x14ac:dyDescent="0.2">
      <c r="A5740" s="12" t="s">
        <v>581</v>
      </c>
      <c r="B5740" s="12" t="s">
        <v>567</v>
      </c>
      <c r="C5740" s="12" t="s">
        <v>555</v>
      </c>
      <c r="D5740" s="13">
        <v>1284</v>
      </c>
      <c r="E5740" s="13">
        <v>1125.3565570000001</v>
      </c>
      <c r="F5740" s="13">
        <v>1003.558229</v>
      </c>
      <c r="G5740" s="13">
        <v>1028.583934</v>
      </c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</row>
    <row r="5741" spans="1:19" x14ac:dyDescent="0.2">
      <c r="A5741" s="12" t="s">
        <v>581</v>
      </c>
      <c r="B5741" s="12" t="s">
        <v>567</v>
      </c>
      <c r="C5741" s="12" t="s">
        <v>556</v>
      </c>
      <c r="D5741" s="13">
        <v>-10527</v>
      </c>
      <c r="E5741" s="13">
        <v>-10991.625943999999</v>
      </c>
      <c r="F5741" s="13">
        <v>-10423.590584</v>
      </c>
      <c r="G5741" s="13">
        <v>-11184.435704</v>
      </c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</row>
    <row r="5742" spans="1:19" x14ac:dyDescent="0.2">
      <c r="A5742" s="12" t="s">
        <v>581</v>
      </c>
      <c r="B5742" s="12" t="s">
        <v>567</v>
      </c>
      <c r="C5742" s="12" t="s">
        <v>557</v>
      </c>
      <c r="D5742" s="13">
        <v>4639</v>
      </c>
      <c r="E5742" s="13">
        <v>4875.9434030000002</v>
      </c>
      <c r="F5742" s="13">
        <v>4584.6933880000006</v>
      </c>
      <c r="G5742" s="13">
        <v>4767.7277529999992</v>
      </c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</row>
    <row r="5743" spans="1:19" x14ac:dyDescent="0.2">
      <c r="A5743" s="12" t="s">
        <v>581</v>
      </c>
      <c r="B5743" s="12" t="s">
        <v>567</v>
      </c>
      <c r="C5743" s="12" t="s">
        <v>558</v>
      </c>
      <c r="D5743" s="13">
        <v>-24</v>
      </c>
      <c r="E5743" s="13">
        <v>-37.859544999999997</v>
      </c>
      <c r="F5743" s="13">
        <v>-5.2907000000000002</v>
      </c>
      <c r="G5743" s="13">
        <v>-4.8896930000000003</v>
      </c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</row>
    <row r="5744" spans="1:19" x14ac:dyDescent="0.2">
      <c r="A5744" s="12" t="s">
        <v>581</v>
      </c>
      <c r="B5744" s="12" t="s">
        <v>567</v>
      </c>
      <c r="C5744" s="12" t="s">
        <v>560</v>
      </c>
      <c r="D5744" s="13">
        <v>-4015</v>
      </c>
      <c r="E5744" s="13">
        <v>-4152.4249150000014</v>
      </c>
      <c r="F5744" s="13">
        <v>-4047.9287260000001</v>
      </c>
      <c r="G5744" s="13">
        <v>-3830.4655929999999</v>
      </c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</row>
    <row r="5745" spans="1:19" x14ac:dyDescent="0.2">
      <c r="A5745" s="12" t="s">
        <v>581</v>
      </c>
      <c r="B5745" s="12" t="s">
        <v>567</v>
      </c>
      <c r="C5745" s="12" t="s">
        <v>561</v>
      </c>
      <c r="D5745" s="13">
        <v>57</v>
      </c>
      <c r="E5745" s="13">
        <v>61.459088000000001</v>
      </c>
      <c r="F5745" s="13">
        <v>61.378504999999997</v>
      </c>
      <c r="G5745" s="13">
        <v>63.318081999999997</v>
      </c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</row>
    <row r="5746" spans="1:19" x14ac:dyDescent="0.2">
      <c r="A5746" s="12" t="s">
        <v>581</v>
      </c>
      <c r="B5746" s="12" t="s">
        <v>567</v>
      </c>
      <c r="C5746" s="12" t="s">
        <v>562</v>
      </c>
      <c r="D5746" s="13">
        <v>0</v>
      </c>
      <c r="E5746" s="13">
        <v>0</v>
      </c>
      <c r="F5746" s="13">
        <v>0</v>
      </c>
      <c r="G5746" s="13">
        <v>0</v>
      </c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</row>
    <row r="5747" spans="1:19" x14ac:dyDescent="0.2">
      <c r="A5747" s="12" t="s">
        <v>581</v>
      </c>
      <c r="B5747" s="12" t="s">
        <v>567</v>
      </c>
      <c r="C5747" s="12" t="s">
        <v>563</v>
      </c>
      <c r="D5747" s="13">
        <v>1</v>
      </c>
      <c r="E5747" s="13">
        <v>8.0583000000000002E-2</v>
      </c>
      <c r="F5747" s="13">
        <v>0</v>
      </c>
      <c r="G5747" s="13">
        <v>1.9395770000000001</v>
      </c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</row>
    <row r="5748" spans="1:19" x14ac:dyDescent="0.2">
      <c r="A5748" s="12" t="s">
        <v>581</v>
      </c>
      <c r="B5748" s="12" t="s">
        <v>567</v>
      </c>
      <c r="C5748" s="12" t="s">
        <v>564</v>
      </c>
      <c r="D5748" s="13">
        <v>0</v>
      </c>
      <c r="E5748" s="13">
        <v>0</v>
      </c>
      <c r="F5748" s="13">
        <v>0</v>
      </c>
      <c r="G5748" s="13">
        <v>0</v>
      </c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</row>
    <row r="5749" spans="1:19" x14ac:dyDescent="0.2">
      <c r="A5749" s="12" t="s">
        <v>581</v>
      </c>
      <c r="B5749" s="12" t="s">
        <v>567</v>
      </c>
      <c r="C5749" s="12" t="s">
        <v>565</v>
      </c>
      <c r="D5749" s="13">
        <v>0</v>
      </c>
      <c r="E5749" s="13">
        <v>0</v>
      </c>
      <c r="F5749" s="13">
        <v>0</v>
      </c>
      <c r="G5749" s="13">
        <v>0</v>
      </c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</row>
    <row r="5750" spans="1:19" x14ac:dyDescent="0.2">
      <c r="A5750" s="12" t="s">
        <v>581</v>
      </c>
      <c r="B5750" s="12" t="s">
        <v>567</v>
      </c>
      <c r="C5750" s="12" t="s">
        <v>566</v>
      </c>
      <c r="D5750" s="13">
        <v>56</v>
      </c>
      <c r="E5750" s="13">
        <v>61.378504999999997</v>
      </c>
      <c r="F5750" s="13">
        <v>61.378504999999997</v>
      </c>
      <c r="G5750" s="13">
        <v>61.378504999999997</v>
      </c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</row>
    <row r="5751" spans="1:19" x14ac:dyDescent="0.2">
      <c r="A5751" s="12" t="s">
        <v>581</v>
      </c>
      <c r="B5751" s="12" t="s">
        <v>568</v>
      </c>
      <c r="C5751" s="12" t="s">
        <v>554</v>
      </c>
      <c r="D5751" s="13">
        <v>0</v>
      </c>
      <c r="E5751" s="13">
        <v>0</v>
      </c>
      <c r="F5751" s="13">
        <v>0</v>
      </c>
      <c r="G5751" s="13">
        <v>0</v>
      </c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</row>
    <row r="5752" spans="1:19" x14ac:dyDescent="0.2">
      <c r="A5752" s="12" t="s">
        <v>581</v>
      </c>
      <c r="B5752" s="12" t="s">
        <v>568</v>
      </c>
      <c r="C5752" s="12" t="s">
        <v>555</v>
      </c>
      <c r="D5752" s="13">
        <v>4925</v>
      </c>
      <c r="E5752" s="13">
        <v>5354.1956679999994</v>
      </c>
      <c r="F5752" s="13">
        <v>5861.989571000001</v>
      </c>
      <c r="G5752" s="13">
        <v>6215.6126900000008</v>
      </c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</row>
    <row r="5753" spans="1:19" x14ac:dyDescent="0.2">
      <c r="A5753" s="12" t="s">
        <v>581</v>
      </c>
      <c r="B5753" s="12" t="s">
        <v>568</v>
      </c>
      <c r="C5753" s="12" t="s">
        <v>556</v>
      </c>
      <c r="D5753" s="13">
        <v>-1678</v>
      </c>
      <c r="E5753" s="13">
        <v>-1527.2478160000001</v>
      </c>
      <c r="F5753" s="13">
        <v>-1462.7270799999999</v>
      </c>
      <c r="G5753" s="13">
        <v>-1395.3420040000001</v>
      </c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</row>
    <row r="5754" spans="1:19" x14ac:dyDescent="0.2">
      <c r="A5754" s="12" t="s">
        <v>581</v>
      </c>
      <c r="B5754" s="12" t="s">
        <v>568</v>
      </c>
      <c r="C5754" s="12" t="s">
        <v>557</v>
      </c>
      <c r="D5754" s="13">
        <v>2848</v>
      </c>
      <c r="E5754" s="13">
        <v>3378.1235620000002</v>
      </c>
      <c r="F5754" s="13">
        <v>3892.1428209999999</v>
      </c>
      <c r="G5754" s="13">
        <v>4242.3409330000004</v>
      </c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</row>
    <row r="5755" spans="1:19" x14ac:dyDescent="0.2">
      <c r="A5755" s="12" t="s">
        <v>581</v>
      </c>
      <c r="B5755" s="12" t="s">
        <v>568</v>
      </c>
      <c r="C5755" s="12" t="s">
        <v>558</v>
      </c>
      <c r="D5755" s="13">
        <v>-426</v>
      </c>
      <c r="E5755" s="13">
        <v>-590.89456499999994</v>
      </c>
      <c r="F5755" s="13">
        <v>-703.70227999999997</v>
      </c>
      <c r="G5755" s="13">
        <v>-760.60768700000006</v>
      </c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</row>
    <row r="5756" spans="1:19" x14ac:dyDescent="0.2">
      <c r="A5756" s="12" t="s">
        <v>581</v>
      </c>
      <c r="B5756" s="12" t="s">
        <v>568</v>
      </c>
      <c r="C5756" s="12" t="s">
        <v>560</v>
      </c>
      <c r="D5756" s="13">
        <v>3807</v>
      </c>
      <c r="E5756" s="13">
        <v>3899.6316459999998</v>
      </c>
      <c r="F5756" s="13">
        <v>3822.3284800000001</v>
      </c>
      <c r="G5756" s="13">
        <v>3642.1907780000001</v>
      </c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</row>
    <row r="5757" spans="1:19" x14ac:dyDescent="0.2">
      <c r="A5757" s="12" t="s">
        <v>581</v>
      </c>
      <c r="B5757" s="12" t="s">
        <v>568</v>
      </c>
      <c r="C5757" s="12" t="s">
        <v>561</v>
      </c>
      <c r="D5757" s="13">
        <v>6694</v>
      </c>
      <c r="E5757" s="13">
        <v>7360.3688810000003</v>
      </c>
      <c r="F5757" s="13">
        <v>7633.5993200000003</v>
      </c>
      <c r="G5757" s="13">
        <v>7801.1814030000014</v>
      </c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</row>
    <row r="5758" spans="1:19" x14ac:dyDescent="0.2">
      <c r="A5758" s="12" t="s">
        <v>581</v>
      </c>
      <c r="B5758" s="12" t="s">
        <v>568</v>
      </c>
      <c r="C5758" s="12" t="s">
        <v>562</v>
      </c>
      <c r="D5758" s="13">
        <v>646</v>
      </c>
      <c r="E5758" s="13">
        <v>691.83496700000001</v>
      </c>
      <c r="F5758" s="13">
        <v>736.08279900000002</v>
      </c>
      <c r="G5758" s="13">
        <v>761.31898699999999</v>
      </c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</row>
    <row r="5759" spans="1:19" x14ac:dyDescent="0.2">
      <c r="A5759" s="12" t="s">
        <v>581</v>
      </c>
      <c r="B5759" s="12" t="s">
        <v>568</v>
      </c>
      <c r="C5759" s="12" t="s">
        <v>563</v>
      </c>
      <c r="D5759" s="13">
        <v>4651</v>
      </c>
      <c r="E5759" s="13">
        <v>5232.7945870000003</v>
      </c>
      <c r="F5759" s="13">
        <v>5392.226009</v>
      </c>
      <c r="G5759" s="13">
        <v>5396.7579100000003</v>
      </c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</row>
    <row r="5760" spans="1:19" x14ac:dyDescent="0.2">
      <c r="A5760" s="12" t="s">
        <v>581</v>
      </c>
      <c r="B5760" s="12" t="s">
        <v>568</v>
      </c>
      <c r="C5760" s="12" t="s">
        <v>564</v>
      </c>
      <c r="D5760" s="13">
        <v>640</v>
      </c>
      <c r="E5760" s="13">
        <v>659.73022900000001</v>
      </c>
      <c r="F5760" s="13">
        <v>657.27451599999995</v>
      </c>
      <c r="G5760" s="13">
        <v>715.37058200000001</v>
      </c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</row>
    <row r="5761" spans="1:19" x14ac:dyDescent="0.2">
      <c r="A5761" s="12" t="s">
        <v>581</v>
      </c>
      <c r="B5761" s="12" t="s">
        <v>568</v>
      </c>
      <c r="C5761" s="12" t="s">
        <v>565</v>
      </c>
      <c r="D5761" s="13">
        <v>106</v>
      </c>
      <c r="E5761" s="13">
        <v>127.72644</v>
      </c>
      <c r="F5761" s="13">
        <v>128.479917</v>
      </c>
      <c r="G5761" s="13">
        <v>138.067463</v>
      </c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</row>
    <row r="5762" spans="1:19" x14ac:dyDescent="0.2">
      <c r="A5762" s="12" t="s">
        <v>581</v>
      </c>
      <c r="B5762" s="12" t="s">
        <v>568</v>
      </c>
      <c r="C5762" s="12" t="s">
        <v>566</v>
      </c>
      <c r="D5762" s="13">
        <v>651</v>
      </c>
      <c r="E5762" s="13">
        <v>648.28264200000001</v>
      </c>
      <c r="F5762" s="13">
        <v>719.53608300000008</v>
      </c>
      <c r="G5762" s="13">
        <v>789.66645700000004</v>
      </c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</row>
    <row r="5763" spans="1:19" x14ac:dyDescent="0.2">
      <c r="A5763" s="12" t="s">
        <v>581</v>
      </c>
      <c r="B5763" s="12" t="s">
        <v>569</v>
      </c>
      <c r="C5763" s="12" t="s">
        <v>554</v>
      </c>
      <c r="D5763" s="13">
        <v>8175</v>
      </c>
      <c r="E5763" s="13">
        <v>9158.491981000001</v>
      </c>
      <c r="F5763" s="13">
        <v>8912.0162540000001</v>
      </c>
      <c r="G5763" s="13">
        <v>8834.2242630000001</v>
      </c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</row>
    <row r="5764" spans="1:19" x14ac:dyDescent="0.2">
      <c r="A5764" s="12" t="s">
        <v>581</v>
      </c>
      <c r="B5764" s="12" t="s">
        <v>569</v>
      </c>
      <c r="C5764" s="12" t="s">
        <v>555</v>
      </c>
      <c r="D5764" s="13">
        <v>451</v>
      </c>
      <c r="E5764" s="13">
        <v>467.81868800000001</v>
      </c>
      <c r="F5764" s="13">
        <v>527.98310900000001</v>
      </c>
      <c r="G5764" s="13">
        <v>628.89572400000009</v>
      </c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</row>
    <row r="5765" spans="1:19" x14ac:dyDescent="0.2">
      <c r="A5765" s="12" t="s">
        <v>581</v>
      </c>
      <c r="B5765" s="12" t="s">
        <v>569</v>
      </c>
      <c r="C5765" s="12" t="s">
        <v>556</v>
      </c>
      <c r="D5765" s="13">
        <v>-3296</v>
      </c>
      <c r="E5765" s="13">
        <v>-3685.8414670000002</v>
      </c>
      <c r="F5765" s="13">
        <v>-3447.4633960000001</v>
      </c>
      <c r="G5765" s="13">
        <v>-3469.897121</v>
      </c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</row>
    <row r="5766" spans="1:19" x14ac:dyDescent="0.2">
      <c r="A5766" s="12" t="s">
        <v>581</v>
      </c>
      <c r="B5766" s="12" t="s">
        <v>569</v>
      </c>
      <c r="C5766" s="12" t="s">
        <v>557</v>
      </c>
      <c r="D5766" s="13">
        <v>5337</v>
      </c>
      <c r="E5766" s="13">
        <v>5938.3771919999999</v>
      </c>
      <c r="F5766" s="13">
        <v>5985.4039409999996</v>
      </c>
      <c r="G5766" s="13">
        <v>5996.8025799999996</v>
      </c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</row>
    <row r="5767" spans="1:19" x14ac:dyDescent="0.2">
      <c r="A5767" s="12" t="s">
        <v>581</v>
      </c>
      <c r="B5767" s="12" t="s">
        <v>569</v>
      </c>
      <c r="C5767" s="12" t="s">
        <v>558</v>
      </c>
      <c r="D5767" s="13">
        <v>-3043</v>
      </c>
      <c r="E5767" s="13">
        <v>-3165.407569</v>
      </c>
      <c r="F5767" s="13">
        <v>-3111.9819200000002</v>
      </c>
      <c r="G5767" s="13">
        <v>-3141.9355179999998</v>
      </c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</row>
    <row r="5768" spans="1:19" x14ac:dyDescent="0.2">
      <c r="A5768" s="12" t="s">
        <v>581</v>
      </c>
      <c r="B5768" s="12" t="s">
        <v>569</v>
      </c>
      <c r="C5768" s="12" t="s">
        <v>560</v>
      </c>
      <c r="D5768" s="13">
        <v>0</v>
      </c>
      <c r="E5768" s="13">
        <v>0</v>
      </c>
      <c r="F5768" s="13">
        <v>0</v>
      </c>
      <c r="G5768" s="13">
        <v>0</v>
      </c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</row>
    <row r="5769" spans="1:19" x14ac:dyDescent="0.2">
      <c r="A5769" s="12" t="s">
        <v>581</v>
      </c>
      <c r="B5769" s="12" t="s">
        <v>569</v>
      </c>
      <c r="C5769" s="12" t="s">
        <v>561</v>
      </c>
      <c r="D5769" s="13">
        <v>1804</v>
      </c>
      <c r="E5769" s="13">
        <v>1990.573574</v>
      </c>
      <c r="F5769" s="13">
        <v>2035.0412289999999</v>
      </c>
      <c r="G5769" s="13">
        <v>2022.043091</v>
      </c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</row>
    <row r="5770" spans="1:19" x14ac:dyDescent="0.2">
      <c r="A5770" s="12" t="s">
        <v>581</v>
      </c>
      <c r="B5770" s="12" t="s">
        <v>569</v>
      </c>
      <c r="C5770" s="12" t="s">
        <v>562</v>
      </c>
      <c r="D5770" s="13">
        <v>774</v>
      </c>
      <c r="E5770" s="13">
        <v>884.99738500000001</v>
      </c>
      <c r="F5770" s="13">
        <v>882.62985000000003</v>
      </c>
      <c r="G5770" s="13">
        <v>900.33570200000008</v>
      </c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</row>
    <row r="5771" spans="1:19" x14ac:dyDescent="0.2">
      <c r="A5771" s="12" t="s">
        <v>581</v>
      </c>
      <c r="B5771" s="12" t="s">
        <v>569</v>
      </c>
      <c r="C5771" s="12" t="s">
        <v>563</v>
      </c>
      <c r="D5771" s="13">
        <v>48</v>
      </c>
      <c r="E5771" s="13">
        <v>64.746780999999999</v>
      </c>
      <c r="F5771" s="13">
        <v>68.264831999999998</v>
      </c>
      <c r="G5771" s="13">
        <v>58.800102000000003</v>
      </c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</row>
    <row r="5772" spans="1:19" x14ac:dyDescent="0.2">
      <c r="A5772" s="12" t="s">
        <v>581</v>
      </c>
      <c r="B5772" s="12" t="s">
        <v>569</v>
      </c>
      <c r="C5772" s="12" t="s">
        <v>564</v>
      </c>
      <c r="D5772" s="13">
        <v>478</v>
      </c>
      <c r="E5772" s="13">
        <v>487.75154500000002</v>
      </c>
      <c r="F5772" s="13">
        <v>523.39232400000003</v>
      </c>
      <c r="G5772" s="13">
        <v>490.42164300000002</v>
      </c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</row>
    <row r="5773" spans="1:19" x14ac:dyDescent="0.2">
      <c r="A5773" s="12" t="s">
        <v>581</v>
      </c>
      <c r="B5773" s="12" t="s">
        <v>569</v>
      </c>
      <c r="C5773" s="12" t="s">
        <v>565</v>
      </c>
      <c r="D5773" s="13">
        <v>65</v>
      </c>
      <c r="E5773" s="13">
        <v>66.116354999999999</v>
      </c>
      <c r="F5773" s="13">
        <v>70.512146999999999</v>
      </c>
      <c r="G5773" s="13">
        <v>71.070042000000001</v>
      </c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</row>
    <row r="5774" spans="1:19" x14ac:dyDescent="0.2">
      <c r="A5774" s="12" t="s">
        <v>581</v>
      </c>
      <c r="B5774" s="12" t="s">
        <v>569</v>
      </c>
      <c r="C5774" s="12" t="s">
        <v>566</v>
      </c>
      <c r="D5774" s="13">
        <v>441</v>
      </c>
      <c r="E5774" s="13">
        <v>486.96150899999998</v>
      </c>
      <c r="F5774" s="13">
        <v>490.24206700000002</v>
      </c>
      <c r="G5774" s="13">
        <v>501.41559799999999</v>
      </c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</row>
    <row r="5775" spans="1:19" x14ac:dyDescent="0.2">
      <c r="A5775" s="12" t="s">
        <v>581</v>
      </c>
      <c r="B5775" s="12" t="s">
        <v>570</v>
      </c>
      <c r="C5775" s="12" t="s">
        <v>554</v>
      </c>
      <c r="D5775" s="13">
        <v>108</v>
      </c>
      <c r="E5775" s="13">
        <v>138.96003400000001</v>
      </c>
      <c r="F5775" s="13">
        <v>115.56723100000001</v>
      </c>
      <c r="G5775" s="13">
        <v>93.206846999999996</v>
      </c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</row>
    <row r="5776" spans="1:19" x14ac:dyDescent="0.2">
      <c r="A5776" s="12" t="s">
        <v>581</v>
      </c>
      <c r="B5776" s="12" t="s">
        <v>570</v>
      </c>
      <c r="C5776" s="12" t="s">
        <v>555</v>
      </c>
      <c r="D5776" s="13">
        <v>0</v>
      </c>
      <c r="E5776" s="13">
        <v>0</v>
      </c>
      <c r="F5776" s="13">
        <v>0</v>
      </c>
      <c r="G5776" s="13">
        <v>0</v>
      </c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</row>
    <row r="5777" spans="1:19" x14ac:dyDescent="0.2">
      <c r="A5777" s="12" t="s">
        <v>581</v>
      </c>
      <c r="B5777" s="12" t="s">
        <v>570</v>
      </c>
      <c r="C5777" s="12" t="s">
        <v>556</v>
      </c>
      <c r="D5777" s="13">
        <v>0</v>
      </c>
      <c r="E5777" s="13">
        <v>0</v>
      </c>
      <c r="F5777" s="13">
        <v>0</v>
      </c>
      <c r="G5777" s="13">
        <v>0</v>
      </c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</row>
    <row r="5778" spans="1:19" x14ac:dyDescent="0.2">
      <c r="A5778" s="12" t="s">
        <v>581</v>
      </c>
      <c r="B5778" s="12" t="s">
        <v>570</v>
      </c>
      <c r="C5778" s="12" t="s">
        <v>557</v>
      </c>
      <c r="D5778" s="13">
        <v>108</v>
      </c>
      <c r="E5778" s="13">
        <v>138.96003400000001</v>
      </c>
      <c r="F5778" s="13">
        <v>115.56723100000001</v>
      </c>
      <c r="G5778" s="13">
        <v>93.206846999999996</v>
      </c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</row>
    <row r="5779" spans="1:19" x14ac:dyDescent="0.2">
      <c r="A5779" s="12" t="s">
        <v>581</v>
      </c>
      <c r="B5779" s="12" t="s">
        <v>570</v>
      </c>
      <c r="C5779" s="12" t="s">
        <v>558</v>
      </c>
      <c r="D5779" s="13">
        <v>-108</v>
      </c>
      <c r="E5779" s="13">
        <v>-138.96003400000001</v>
      </c>
      <c r="F5779" s="13">
        <v>-115.56723100000001</v>
      </c>
      <c r="G5779" s="13">
        <v>-93.206846999999996</v>
      </c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</row>
    <row r="5780" spans="1:19" x14ac:dyDescent="0.2">
      <c r="A5780" s="12" t="s">
        <v>581</v>
      </c>
      <c r="B5780" s="12" t="s">
        <v>570</v>
      </c>
      <c r="C5780" s="12" t="s">
        <v>560</v>
      </c>
      <c r="D5780" s="13">
        <v>0</v>
      </c>
      <c r="E5780" s="13">
        <v>0</v>
      </c>
      <c r="F5780" s="13">
        <v>0</v>
      </c>
      <c r="G5780" s="13">
        <v>0</v>
      </c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</row>
    <row r="5781" spans="1:19" x14ac:dyDescent="0.2">
      <c r="A5781" s="12" t="s">
        <v>581</v>
      </c>
      <c r="B5781" s="12" t="s">
        <v>570</v>
      </c>
      <c r="C5781" s="12" t="s">
        <v>561</v>
      </c>
      <c r="D5781" s="13">
        <v>0</v>
      </c>
      <c r="E5781" s="13">
        <v>0</v>
      </c>
      <c r="F5781" s="13">
        <v>0</v>
      </c>
      <c r="G5781" s="13">
        <v>0</v>
      </c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</row>
    <row r="5782" spans="1:19" x14ac:dyDescent="0.2">
      <c r="A5782" s="12" t="s">
        <v>581</v>
      </c>
      <c r="B5782" s="12" t="s">
        <v>570</v>
      </c>
      <c r="C5782" s="12" t="s">
        <v>562</v>
      </c>
      <c r="D5782" s="13">
        <v>0</v>
      </c>
      <c r="E5782" s="13">
        <v>0</v>
      </c>
      <c r="F5782" s="13">
        <v>0</v>
      </c>
      <c r="G5782" s="13">
        <v>0</v>
      </c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</row>
    <row r="5783" spans="1:19" x14ac:dyDescent="0.2">
      <c r="A5783" s="12" t="s">
        <v>581</v>
      </c>
      <c r="B5783" s="12" t="s">
        <v>570</v>
      </c>
      <c r="C5783" s="12" t="s">
        <v>563</v>
      </c>
      <c r="D5783" s="13">
        <v>0</v>
      </c>
      <c r="E5783" s="13">
        <v>0</v>
      </c>
      <c r="F5783" s="13">
        <v>0</v>
      </c>
      <c r="G5783" s="13">
        <v>0</v>
      </c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</row>
    <row r="5784" spans="1:19" x14ac:dyDescent="0.2">
      <c r="A5784" s="12" t="s">
        <v>581</v>
      </c>
      <c r="B5784" s="12" t="s">
        <v>570</v>
      </c>
      <c r="C5784" s="12" t="s">
        <v>564</v>
      </c>
      <c r="D5784" s="13">
        <v>0</v>
      </c>
      <c r="E5784" s="13">
        <v>0</v>
      </c>
      <c r="F5784" s="13">
        <v>0</v>
      </c>
      <c r="G5784" s="13">
        <v>0</v>
      </c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</row>
    <row r="5785" spans="1:19" x14ac:dyDescent="0.2">
      <c r="A5785" s="12" t="s">
        <v>581</v>
      </c>
      <c r="B5785" s="12" t="s">
        <v>570</v>
      </c>
      <c r="C5785" s="12" t="s">
        <v>565</v>
      </c>
      <c r="D5785" s="13">
        <v>0</v>
      </c>
      <c r="E5785" s="13">
        <v>0</v>
      </c>
      <c r="F5785" s="13">
        <v>0</v>
      </c>
      <c r="G5785" s="13">
        <v>0</v>
      </c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</row>
    <row r="5786" spans="1:19" x14ac:dyDescent="0.2">
      <c r="A5786" s="12" t="s">
        <v>581</v>
      </c>
      <c r="B5786" s="12" t="s">
        <v>570</v>
      </c>
      <c r="C5786" s="12" t="s">
        <v>566</v>
      </c>
      <c r="D5786" s="13">
        <v>0</v>
      </c>
      <c r="E5786" s="13">
        <v>0</v>
      </c>
      <c r="F5786" s="13">
        <v>0</v>
      </c>
      <c r="G5786" s="13">
        <v>0</v>
      </c>
      <c r="H5786" s="13"/>
      <c r="I5786" s="13"/>
      <c r="J5786" s="13"/>
      <c r="K5786" s="13"/>
      <c r="L5786" s="13"/>
      <c r="M5786" s="13"/>
      <c r="N5786" s="13"/>
      <c r="O5786" s="13"/>
      <c r="P5786" s="13"/>
      <c r="Q5786" s="13"/>
      <c r="R5786" s="13"/>
      <c r="S5786" s="13"/>
    </row>
    <row r="5787" spans="1:19" x14ac:dyDescent="0.2">
      <c r="A5787" s="12" t="s">
        <v>581</v>
      </c>
      <c r="B5787" s="12" t="s">
        <v>571</v>
      </c>
      <c r="C5787" s="12" t="s">
        <v>554</v>
      </c>
      <c r="D5787" s="13">
        <v>13396</v>
      </c>
      <c r="E5787" s="13">
        <v>13845.642372</v>
      </c>
      <c r="F5787" s="13">
        <v>14282.343666999999</v>
      </c>
      <c r="G5787" s="13">
        <v>14594.836475</v>
      </c>
      <c r="H5787" s="13"/>
      <c r="I5787" s="13"/>
      <c r="J5787" s="13"/>
      <c r="K5787" s="13"/>
      <c r="L5787" s="13"/>
      <c r="M5787" s="13"/>
      <c r="N5787" s="13"/>
      <c r="O5787" s="13"/>
      <c r="P5787" s="13"/>
      <c r="Q5787" s="13"/>
      <c r="R5787" s="13"/>
      <c r="S5787" s="13"/>
    </row>
    <row r="5788" spans="1:19" x14ac:dyDescent="0.2">
      <c r="A5788" s="12" t="s">
        <v>581</v>
      </c>
      <c r="B5788" s="12" t="s">
        <v>571</v>
      </c>
      <c r="C5788" s="12" t="s">
        <v>555</v>
      </c>
      <c r="D5788" s="13">
        <v>8</v>
      </c>
      <c r="E5788" s="13">
        <v>10.518297</v>
      </c>
      <c r="F5788" s="13">
        <v>11.938275000000001</v>
      </c>
      <c r="G5788" s="13">
        <v>12.169834</v>
      </c>
      <c r="H5788" s="13"/>
      <c r="I5788" s="13"/>
      <c r="J5788" s="13"/>
      <c r="K5788" s="13"/>
      <c r="L5788" s="13"/>
      <c r="M5788" s="13"/>
      <c r="N5788" s="13"/>
      <c r="O5788" s="13"/>
      <c r="P5788" s="13"/>
      <c r="Q5788" s="13"/>
      <c r="R5788" s="13"/>
      <c r="S5788" s="13"/>
    </row>
    <row r="5789" spans="1:19" x14ac:dyDescent="0.2">
      <c r="A5789" s="12" t="s">
        <v>581</v>
      </c>
      <c r="B5789" s="12" t="s">
        <v>571</v>
      </c>
      <c r="C5789" s="12" t="s">
        <v>556</v>
      </c>
      <c r="D5789" s="13">
        <v>-11</v>
      </c>
      <c r="E5789" s="13">
        <v>-14.431657</v>
      </c>
      <c r="F5789" s="13">
        <v>-16.573343000000001</v>
      </c>
      <c r="G5789" s="13">
        <v>-16.851292000000001</v>
      </c>
      <c r="H5789" s="13"/>
      <c r="I5789" s="13"/>
      <c r="J5789" s="13"/>
      <c r="K5789" s="13"/>
      <c r="L5789" s="13"/>
      <c r="M5789" s="13"/>
      <c r="N5789" s="13"/>
      <c r="O5789" s="13"/>
      <c r="P5789" s="13"/>
      <c r="Q5789" s="13"/>
      <c r="R5789" s="13"/>
      <c r="S5789" s="13"/>
    </row>
    <row r="5790" spans="1:19" x14ac:dyDescent="0.2">
      <c r="A5790" s="12" t="s">
        <v>581</v>
      </c>
      <c r="B5790" s="12" t="s">
        <v>571</v>
      </c>
      <c r="C5790" s="12" t="s">
        <v>557</v>
      </c>
      <c r="D5790" s="13">
        <v>13392</v>
      </c>
      <c r="E5790" s="13">
        <v>13841.690397</v>
      </c>
      <c r="F5790" s="13">
        <v>14277.708595</v>
      </c>
      <c r="G5790" s="13">
        <v>14590.069267999999</v>
      </c>
      <c r="H5790" s="13"/>
      <c r="I5790" s="13"/>
      <c r="J5790" s="13"/>
      <c r="K5790" s="13"/>
      <c r="L5790" s="13"/>
      <c r="M5790" s="13"/>
      <c r="N5790" s="13"/>
      <c r="O5790" s="13"/>
      <c r="P5790" s="13"/>
      <c r="Q5790" s="13"/>
      <c r="R5790" s="13"/>
      <c r="S5790" s="13"/>
    </row>
    <row r="5791" spans="1:19" x14ac:dyDescent="0.2">
      <c r="A5791" s="12" t="s">
        <v>581</v>
      </c>
      <c r="B5791" s="12" t="s">
        <v>571</v>
      </c>
      <c r="C5791" s="12" t="s">
        <v>558</v>
      </c>
      <c r="D5791" s="13">
        <v>-903</v>
      </c>
      <c r="E5791" s="13">
        <v>-945.96538199999998</v>
      </c>
      <c r="F5791" s="13">
        <v>-996.11984200000006</v>
      </c>
      <c r="G5791" s="13">
        <v>-1050.3149330000001</v>
      </c>
      <c r="H5791" s="13"/>
      <c r="I5791" s="13"/>
      <c r="J5791" s="13"/>
      <c r="K5791" s="13"/>
      <c r="L5791" s="13"/>
      <c r="M5791" s="13"/>
      <c r="N5791" s="13"/>
      <c r="O5791" s="13"/>
      <c r="P5791" s="13"/>
      <c r="Q5791" s="13"/>
      <c r="R5791" s="13"/>
      <c r="S5791" s="13"/>
    </row>
    <row r="5792" spans="1:19" x14ac:dyDescent="0.2">
      <c r="A5792" s="12" t="s">
        <v>581</v>
      </c>
      <c r="B5792" s="12" t="s">
        <v>571</v>
      </c>
      <c r="C5792" s="12" t="s">
        <v>560</v>
      </c>
      <c r="D5792" s="13">
        <v>0</v>
      </c>
      <c r="E5792" s="13">
        <v>0</v>
      </c>
      <c r="F5792" s="13">
        <v>0</v>
      </c>
      <c r="G5792" s="13">
        <v>0</v>
      </c>
      <c r="H5792" s="13"/>
      <c r="I5792" s="13"/>
      <c r="J5792" s="13"/>
      <c r="K5792" s="13"/>
      <c r="L5792" s="13"/>
      <c r="M5792" s="13"/>
      <c r="N5792" s="13"/>
      <c r="O5792" s="13"/>
      <c r="P5792" s="13"/>
      <c r="Q5792" s="13"/>
      <c r="R5792" s="13"/>
      <c r="S5792" s="13"/>
    </row>
    <row r="5793" spans="1:19" x14ac:dyDescent="0.2">
      <c r="A5793" s="12" t="s">
        <v>581</v>
      </c>
      <c r="B5793" s="12" t="s">
        <v>571</v>
      </c>
      <c r="C5793" s="12" t="s">
        <v>561</v>
      </c>
      <c r="D5793" s="13">
        <v>9499</v>
      </c>
      <c r="E5793" s="13">
        <v>9746.2107070000002</v>
      </c>
      <c r="F5793" s="13">
        <v>10032.180404999999</v>
      </c>
      <c r="G5793" s="13">
        <v>10178.158496</v>
      </c>
      <c r="H5793" s="13"/>
      <c r="I5793" s="13"/>
      <c r="J5793" s="13"/>
      <c r="K5793" s="13"/>
      <c r="L5793" s="13"/>
      <c r="M5793" s="13"/>
      <c r="N5793" s="13"/>
      <c r="O5793" s="13"/>
      <c r="P5793" s="13"/>
      <c r="Q5793" s="13"/>
      <c r="R5793" s="13"/>
      <c r="S5793" s="13"/>
    </row>
    <row r="5794" spans="1:19" x14ac:dyDescent="0.2">
      <c r="A5794" s="12" t="s">
        <v>581</v>
      </c>
      <c r="B5794" s="12" t="s">
        <v>571</v>
      </c>
      <c r="C5794" s="12" t="s">
        <v>562</v>
      </c>
      <c r="D5794" s="13">
        <v>724</v>
      </c>
      <c r="E5794" s="13">
        <v>729.57806800000014</v>
      </c>
      <c r="F5794" s="13">
        <v>747.43974000000003</v>
      </c>
      <c r="G5794" s="13">
        <v>748.70377300000007</v>
      </c>
      <c r="H5794" s="13"/>
      <c r="I5794" s="13"/>
      <c r="J5794" s="13"/>
      <c r="K5794" s="13"/>
      <c r="L5794" s="13"/>
      <c r="M5794" s="13"/>
      <c r="N5794" s="13"/>
      <c r="O5794" s="13"/>
      <c r="P5794" s="13"/>
      <c r="Q5794" s="13"/>
      <c r="R5794" s="13"/>
      <c r="S5794" s="13"/>
    </row>
    <row r="5795" spans="1:19" x14ac:dyDescent="0.2">
      <c r="A5795" s="12" t="s">
        <v>581</v>
      </c>
      <c r="B5795" s="12" t="s">
        <v>571</v>
      </c>
      <c r="C5795" s="12" t="s">
        <v>563</v>
      </c>
      <c r="D5795" s="13">
        <v>2</v>
      </c>
      <c r="E5795" s="13">
        <v>2.5500210000000001</v>
      </c>
      <c r="F5795" s="13">
        <v>2.6016400000000002</v>
      </c>
      <c r="G5795" s="13">
        <v>2.745314</v>
      </c>
      <c r="H5795" s="13"/>
      <c r="I5795" s="13"/>
      <c r="J5795" s="13"/>
      <c r="K5795" s="13"/>
      <c r="L5795" s="13"/>
      <c r="M5795" s="13"/>
      <c r="N5795" s="13"/>
      <c r="O5795" s="13"/>
      <c r="P5795" s="13"/>
      <c r="Q5795" s="13"/>
      <c r="R5795" s="13"/>
      <c r="S5795" s="13"/>
    </row>
    <row r="5796" spans="1:19" x14ac:dyDescent="0.2">
      <c r="A5796" s="12" t="s">
        <v>581</v>
      </c>
      <c r="B5796" s="12" t="s">
        <v>571</v>
      </c>
      <c r="C5796" s="12" t="s">
        <v>564</v>
      </c>
      <c r="D5796" s="13">
        <v>8096</v>
      </c>
      <c r="E5796" s="13">
        <v>8319.2879839999987</v>
      </c>
      <c r="F5796" s="13">
        <v>8569.3541939999996</v>
      </c>
      <c r="G5796" s="13">
        <v>8701.2847000000002</v>
      </c>
      <c r="H5796" s="13"/>
      <c r="I5796" s="13"/>
      <c r="J5796" s="13"/>
      <c r="K5796" s="13"/>
      <c r="L5796" s="13"/>
      <c r="M5796" s="13"/>
      <c r="N5796" s="13"/>
      <c r="O5796" s="13"/>
      <c r="P5796" s="13"/>
      <c r="Q5796" s="13"/>
      <c r="R5796" s="13"/>
      <c r="S5796" s="13"/>
    </row>
    <row r="5797" spans="1:19" x14ac:dyDescent="0.2">
      <c r="A5797" s="12" t="s">
        <v>581</v>
      </c>
      <c r="B5797" s="12" t="s">
        <v>571</v>
      </c>
      <c r="C5797" s="12" t="s">
        <v>565</v>
      </c>
      <c r="D5797" s="13">
        <v>506</v>
      </c>
      <c r="E5797" s="13">
        <v>521.04064900000003</v>
      </c>
      <c r="F5797" s="13">
        <v>535.76264300000003</v>
      </c>
      <c r="G5797" s="13">
        <v>546.57433500000002</v>
      </c>
      <c r="H5797" s="13"/>
      <c r="I5797" s="13"/>
      <c r="J5797" s="13"/>
      <c r="K5797" s="13"/>
      <c r="L5797" s="13"/>
      <c r="M5797" s="13"/>
      <c r="N5797" s="13"/>
      <c r="O5797" s="13"/>
      <c r="P5797" s="13"/>
      <c r="Q5797" s="13"/>
      <c r="R5797" s="13"/>
      <c r="S5797" s="13"/>
    </row>
    <row r="5798" spans="1:19" x14ac:dyDescent="0.2">
      <c r="A5798" s="12" t="s">
        <v>581</v>
      </c>
      <c r="B5798" s="12" t="s">
        <v>571</v>
      </c>
      <c r="C5798" s="12" t="s">
        <v>566</v>
      </c>
      <c r="D5798" s="13">
        <v>170</v>
      </c>
      <c r="E5798" s="13">
        <v>173.75397899999999</v>
      </c>
      <c r="F5798" s="13">
        <v>177.022187</v>
      </c>
      <c r="G5798" s="13">
        <v>178.85036500000001</v>
      </c>
      <c r="H5798" s="13"/>
      <c r="I5798" s="13"/>
      <c r="J5798" s="13"/>
      <c r="K5798" s="13"/>
      <c r="L5798" s="13"/>
      <c r="M5798" s="13"/>
      <c r="N5798" s="13"/>
      <c r="O5798" s="13"/>
      <c r="P5798" s="13"/>
      <c r="Q5798" s="13"/>
      <c r="R5798" s="13"/>
      <c r="S5798" s="13"/>
    </row>
    <row r="5799" spans="1:19" x14ac:dyDescent="0.2">
      <c r="A5799" s="12" t="s">
        <v>581</v>
      </c>
      <c r="B5799" s="12" t="s">
        <v>572</v>
      </c>
      <c r="C5799" s="12" t="s">
        <v>554</v>
      </c>
      <c r="D5799" s="13">
        <v>0</v>
      </c>
      <c r="E5799" s="13">
        <v>0</v>
      </c>
      <c r="F5799" s="13">
        <v>0</v>
      </c>
      <c r="G5799" s="13">
        <v>0</v>
      </c>
      <c r="H5799" s="13"/>
      <c r="I5799" s="13"/>
      <c r="J5799" s="13"/>
      <c r="K5799" s="13"/>
      <c r="L5799" s="13"/>
      <c r="M5799" s="13"/>
      <c r="N5799" s="13"/>
      <c r="O5799" s="13"/>
      <c r="P5799" s="13"/>
      <c r="Q5799" s="13"/>
      <c r="R5799" s="13"/>
      <c r="S5799" s="13"/>
    </row>
    <row r="5800" spans="1:19" x14ac:dyDescent="0.2">
      <c r="A5800" s="12" t="s">
        <v>581</v>
      </c>
      <c r="B5800" s="12" t="s">
        <v>572</v>
      </c>
      <c r="C5800" s="12" t="s">
        <v>555</v>
      </c>
      <c r="D5800" s="13">
        <v>138</v>
      </c>
      <c r="E5800" s="13">
        <v>138.939008</v>
      </c>
      <c r="F5800" s="13">
        <v>152.17666500000001</v>
      </c>
      <c r="G5800" s="13">
        <v>158.801602</v>
      </c>
      <c r="H5800" s="13"/>
      <c r="I5800" s="13"/>
      <c r="J5800" s="13"/>
      <c r="K5800" s="13"/>
      <c r="L5800" s="13"/>
      <c r="M5800" s="13"/>
      <c r="N5800" s="13"/>
      <c r="O5800" s="13"/>
      <c r="P5800" s="13"/>
      <c r="Q5800" s="13"/>
      <c r="R5800" s="13"/>
      <c r="S5800" s="13"/>
    </row>
    <row r="5801" spans="1:19" x14ac:dyDescent="0.2">
      <c r="A5801" s="12" t="s">
        <v>581</v>
      </c>
      <c r="B5801" s="12" t="s">
        <v>572</v>
      </c>
      <c r="C5801" s="12" t="s">
        <v>556</v>
      </c>
      <c r="D5801" s="13">
        <v>-144</v>
      </c>
      <c r="E5801" s="13">
        <v>-146.52210700000001</v>
      </c>
      <c r="F5801" s="13">
        <v>-148.64570599999999</v>
      </c>
      <c r="G5801" s="13">
        <v>-145.82621900000001</v>
      </c>
      <c r="H5801" s="13"/>
      <c r="I5801" s="13"/>
      <c r="J5801" s="13"/>
      <c r="K5801" s="13"/>
      <c r="L5801" s="13"/>
      <c r="M5801" s="13"/>
      <c r="N5801" s="13"/>
      <c r="O5801" s="13"/>
      <c r="P5801" s="13"/>
      <c r="Q5801" s="13"/>
      <c r="R5801" s="13"/>
      <c r="S5801" s="13"/>
    </row>
    <row r="5802" spans="1:19" x14ac:dyDescent="0.2">
      <c r="A5802" s="12" t="s">
        <v>581</v>
      </c>
      <c r="B5802" s="12" t="s">
        <v>572</v>
      </c>
      <c r="C5802" s="12" t="s">
        <v>557</v>
      </c>
      <c r="D5802" s="13">
        <v>-6</v>
      </c>
      <c r="E5802" s="13">
        <v>-7.5830900000000003</v>
      </c>
      <c r="F5802" s="13">
        <v>3.5309710000000001</v>
      </c>
      <c r="G5802" s="13">
        <v>12.975396</v>
      </c>
      <c r="H5802" s="13"/>
      <c r="I5802" s="13"/>
      <c r="J5802" s="13"/>
      <c r="K5802" s="13"/>
      <c r="L5802" s="13"/>
      <c r="M5802" s="13"/>
      <c r="N5802" s="13"/>
      <c r="O5802" s="13"/>
      <c r="P5802" s="13"/>
      <c r="Q5802" s="13"/>
      <c r="R5802" s="13"/>
      <c r="S5802" s="13"/>
    </row>
    <row r="5803" spans="1:19" x14ac:dyDescent="0.2">
      <c r="A5803" s="12" t="s">
        <v>581</v>
      </c>
      <c r="B5803" s="12" t="s">
        <v>572</v>
      </c>
      <c r="C5803" s="12" t="s">
        <v>558</v>
      </c>
      <c r="D5803" s="13">
        <v>3080</v>
      </c>
      <c r="E5803" s="13">
        <v>3209.1817299999998</v>
      </c>
      <c r="F5803" s="13">
        <v>3246.3594600000001</v>
      </c>
      <c r="G5803" s="13">
        <v>3277.4005080000002</v>
      </c>
      <c r="H5803" s="13"/>
      <c r="I5803" s="13"/>
      <c r="J5803" s="13"/>
      <c r="K5803" s="13"/>
      <c r="L5803" s="13"/>
      <c r="M5803" s="13"/>
      <c r="N5803" s="13"/>
      <c r="O5803" s="13"/>
      <c r="P5803" s="13"/>
      <c r="Q5803" s="13"/>
      <c r="R5803" s="13"/>
      <c r="S5803" s="13"/>
    </row>
    <row r="5804" spans="1:19" x14ac:dyDescent="0.2">
      <c r="A5804" s="12" t="s">
        <v>581</v>
      </c>
      <c r="B5804" s="12" t="s">
        <v>572</v>
      </c>
      <c r="C5804" s="12" t="s">
        <v>560</v>
      </c>
      <c r="D5804" s="13">
        <v>0</v>
      </c>
      <c r="E5804" s="13">
        <v>0</v>
      </c>
      <c r="F5804" s="13">
        <v>0</v>
      </c>
      <c r="G5804" s="13">
        <v>0</v>
      </c>
      <c r="H5804" s="13"/>
      <c r="I5804" s="13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</row>
    <row r="5805" spans="1:19" x14ac:dyDescent="0.2">
      <c r="A5805" s="12" t="s">
        <v>581</v>
      </c>
      <c r="B5805" s="12" t="s">
        <v>572</v>
      </c>
      <c r="C5805" s="12" t="s">
        <v>561</v>
      </c>
      <c r="D5805" s="13">
        <v>2473</v>
      </c>
      <c r="E5805" s="13">
        <v>2550.9302419999999</v>
      </c>
      <c r="F5805" s="13">
        <v>2621.2669249999999</v>
      </c>
      <c r="G5805" s="13">
        <v>2658.66282</v>
      </c>
      <c r="H5805" s="13"/>
      <c r="I5805" s="13"/>
      <c r="J5805" s="13"/>
      <c r="K5805" s="13"/>
      <c r="L5805" s="13"/>
      <c r="M5805" s="13"/>
      <c r="N5805" s="13"/>
      <c r="O5805" s="13"/>
      <c r="P5805" s="13"/>
      <c r="Q5805" s="13"/>
      <c r="R5805" s="13"/>
      <c r="S5805" s="13"/>
    </row>
    <row r="5806" spans="1:19" x14ac:dyDescent="0.2">
      <c r="A5806" s="12" t="s">
        <v>581</v>
      </c>
      <c r="B5806" s="12" t="s">
        <v>572</v>
      </c>
      <c r="C5806" s="12" t="s">
        <v>562</v>
      </c>
      <c r="D5806" s="13">
        <v>960</v>
      </c>
      <c r="E5806" s="13">
        <v>988.44911400000001</v>
      </c>
      <c r="F5806" s="13">
        <v>1007.336058</v>
      </c>
      <c r="G5806" s="13">
        <v>1020.300694</v>
      </c>
      <c r="H5806" s="13"/>
      <c r="I5806" s="13"/>
      <c r="J5806" s="13"/>
      <c r="K5806" s="13"/>
      <c r="L5806" s="13"/>
      <c r="M5806" s="13"/>
      <c r="N5806" s="13"/>
      <c r="O5806" s="13"/>
      <c r="P5806" s="13"/>
      <c r="Q5806" s="13"/>
      <c r="R5806" s="13"/>
      <c r="S5806" s="13"/>
    </row>
    <row r="5807" spans="1:19" x14ac:dyDescent="0.2">
      <c r="A5807" s="12" t="s">
        <v>581</v>
      </c>
      <c r="B5807" s="12" t="s">
        <v>572</v>
      </c>
      <c r="C5807" s="12" t="s">
        <v>563</v>
      </c>
      <c r="D5807" s="13">
        <v>18</v>
      </c>
      <c r="E5807" s="13">
        <v>19.583538999999998</v>
      </c>
      <c r="F5807" s="13">
        <v>18.379235999999999</v>
      </c>
      <c r="G5807" s="13">
        <v>19.265810999999999</v>
      </c>
      <c r="H5807" s="13"/>
      <c r="I5807" s="13"/>
      <c r="J5807" s="13"/>
      <c r="K5807" s="13"/>
      <c r="L5807" s="13"/>
      <c r="M5807" s="13"/>
      <c r="N5807" s="13"/>
      <c r="O5807" s="13"/>
      <c r="P5807" s="13"/>
      <c r="Q5807" s="13"/>
      <c r="R5807" s="13"/>
      <c r="S5807" s="13"/>
    </row>
    <row r="5808" spans="1:19" x14ac:dyDescent="0.2">
      <c r="A5808" s="12" t="s">
        <v>581</v>
      </c>
      <c r="B5808" s="12" t="s">
        <v>572</v>
      </c>
      <c r="C5808" s="12" t="s">
        <v>564</v>
      </c>
      <c r="D5808" s="13">
        <v>889</v>
      </c>
      <c r="E5808" s="13">
        <v>915.172147</v>
      </c>
      <c r="F5808" s="13">
        <v>928.73112000000003</v>
      </c>
      <c r="G5808" s="13">
        <v>946.801244</v>
      </c>
      <c r="H5808" s="13"/>
      <c r="I5808" s="13"/>
      <c r="J5808" s="13"/>
      <c r="K5808" s="13"/>
      <c r="L5808" s="13"/>
      <c r="M5808" s="13"/>
      <c r="N5808" s="13"/>
      <c r="O5808" s="13"/>
      <c r="P5808" s="13"/>
      <c r="Q5808" s="13"/>
      <c r="R5808" s="13"/>
      <c r="S5808" s="13"/>
    </row>
    <row r="5809" spans="1:19" x14ac:dyDescent="0.2">
      <c r="A5809" s="12" t="s">
        <v>581</v>
      </c>
      <c r="B5809" s="12" t="s">
        <v>572</v>
      </c>
      <c r="C5809" s="12" t="s">
        <v>565</v>
      </c>
      <c r="D5809" s="13">
        <v>445</v>
      </c>
      <c r="E5809" s="13">
        <v>445.99152199999997</v>
      </c>
      <c r="F5809" s="13">
        <v>475.37750699999998</v>
      </c>
      <c r="G5809" s="13">
        <v>483.13748199999998</v>
      </c>
      <c r="H5809" s="13"/>
      <c r="I5809" s="13"/>
      <c r="J5809" s="13"/>
      <c r="K5809" s="13"/>
      <c r="L5809" s="13"/>
      <c r="M5809" s="13"/>
      <c r="N5809" s="13"/>
      <c r="O5809" s="13"/>
      <c r="P5809" s="13"/>
      <c r="Q5809" s="13"/>
      <c r="R5809" s="13"/>
      <c r="S5809" s="13"/>
    </row>
    <row r="5810" spans="1:19" x14ac:dyDescent="0.2">
      <c r="A5810" s="12" t="s">
        <v>581</v>
      </c>
      <c r="B5810" s="12" t="s">
        <v>572</v>
      </c>
      <c r="C5810" s="12" t="s">
        <v>566</v>
      </c>
      <c r="D5810" s="13">
        <v>161</v>
      </c>
      <c r="E5810" s="13">
        <v>181.73390699999999</v>
      </c>
      <c r="F5810" s="13">
        <v>191.44299100000001</v>
      </c>
      <c r="G5810" s="13">
        <v>189.15758099999999</v>
      </c>
      <c r="H5810" s="13"/>
      <c r="I5810" s="13"/>
      <c r="J5810" s="13"/>
      <c r="K5810" s="13"/>
      <c r="L5810" s="13"/>
      <c r="M5810" s="13"/>
      <c r="N5810" s="13"/>
      <c r="O5810" s="13"/>
      <c r="P5810" s="13"/>
      <c r="Q5810" s="13"/>
      <c r="R5810" s="13"/>
      <c r="S5810" s="13"/>
    </row>
    <row r="5811" spans="1:19" x14ac:dyDescent="0.2">
      <c r="A5811" s="12" t="s">
        <v>581</v>
      </c>
      <c r="B5811" s="12" t="s">
        <v>573</v>
      </c>
      <c r="C5811" s="12" t="s">
        <v>554</v>
      </c>
      <c r="D5811" s="13">
        <v>3</v>
      </c>
      <c r="E5811" s="13">
        <v>3.6510739999999999</v>
      </c>
      <c r="F5811" s="13">
        <v>3.5271859999999999</v>
      </c>
      <c r="G5811" s="13">
        <v>3.0755940000000002</v>
      </c>
      <c r="H5811" s="13"/>
      <c r="I5811" s="13"/>
      <c r="J5811" s="13"/>
      <c r="K5811" s="13"/>
      <c r="L5811" s="13"/>
      <c r="M5811" s="13"/>
      <c r="N5811" s="13"/>
      <c r="O5811" s="13"/>
      <c r="P5811" s="13"/>
      <c r="Q5811" s="13"/>
      <c r="R5811" s="13"/>
      <c r="S5811" s="13"/>
    </row>
    <row r="5812" spans="1:19" x14ac:dyDescent="0.2">
      <c r="A5812" s="12" t="s">
        <v>581</v>
      </c>
      <c r="B5812" s="12" t="s">
        <v>573</v>
      </c>
      <c r="C5812" s="12" t="s">
        <v>555</v>
      </c>
      <c r="D5812" s="13">
        <v>0</v>
      </c>
      <c r="E5812" s="13">
        <v>0</v>
      </c>
      <c r="F5812" s="13">
        <v>0</v>
      </c>
      <c r="G5812" s="13">
        <v>0</v>
      </c>
      <c r="H5812" s="13"/>
      <c r="I5812" s="13"/>
      <c r="J5812" s="13"/>
      <c r="K5812" s="13"/>
      <c r="L5812" s="13"/>
      <c r="M5812" s="13"/>
      <c r="N5812" s="13"/>
      <c r="O5812" s="13"/>
      <c r="P5812" s="13"/>
      <c r="Q5812" s="13"/>
      <c r="R5812" s="13"/>
      <c r="S5812" s="13"/>
    </row>
    <row r="5813" spans="1:19" x14ac:dyDescent="0.2">
      <c r="A5813" s="12" t="s">
        <v>581</v>
      </c>
      <c r="B5813" s="12" t="s">
        <v>573</v>
      </c>
      <c r="C5813" s="12" t="s">
        <v>556</v>
      </c>
      <c r="D5813" s="13">
        <v>0</v>
      </c>
      <c r="E5813" s="13">
        <v>0</v>
      </c>
      <c r="F5813" s="13">
        <v>0</v>
      </c>
      <c r="G5813" s="13">
        <v>0</v>
      </c>
      <c r="H5813" s="13"/>
      <c r="I5813" s="13"/>
      <c r="J5813" s="13"/>
      <c r="K5813" s="13"/>
      <c r="L5813" s="13"/>
      <c r="M5813" s="13"/>
      <c r="N5813" s="13"/>
      <c r="O5813" s="13"/>
      <c r="P5813" s="13"/>
      <c r="Q5813" s="13"/>
      <c r="R5813" s="13"/>
      <c r="S5813" s="13"/>
    </row>
    <row r="5814" spans="1:19" x14ac:dyDescent="0.2">
      <c r="A5814" s="12" t="s">
        <v>581</v>
      </c>
      <c r="B5814" s="12" t="s">
        <v>573</v>
      </c>
      <c r="C5814" s="12" t="s">
        <v>557</v>
      </c>
      <c r="D5814" s="13">
        <v>3</v>
      </c>
      <c r="E5814" s="13">
        <v>3.6510739999999999</v>
      </c>
      <c r="F5814" s="13">
        <v>3.5271859999999999</v>
      </c>
      <c r="G5814" s="13">
        <v>3.0755940000000002</v>
      </c>
      <c r="H5814" s="13"/>
      <c r="I5814" s="13"/>
      <c r="J5814" s="13"/>
      <c r="K5814" s="13"/>
      <c r="L5814" s="13"/>
      <c r="M5814" s="13"/>
      <c r="N5814" s="13"/>
      <c r="O5814" s="13"/>
      <c r="P5814" s="13"/>
      <c r="Q5814" s="13"/>
      <c r="R5814" s="13"/>
      <c r="S5814" s="13"/>
    </row>
    <row r="5815" spans="1:19" x14ac:dyDescent="0.2">
      <c r="A5815" s="12" t="s">
        <v>581</v>
      </c>
      <c r="B5815" s="12" t="s">
        <v>573</v>
      </c>
      <c r="C5815" s="12" t="s">
        <v>558</v>
      </c>
      <c r="D5815" s="13">
        <v>0</v>
      </c>
      <c r="E5815" s="13">
        <v>0</v>
      </c>
      <c r="F5815" s="13">
        <v>0</v>
      </c>
      <c r="G5815" s="13">
        <v>0</v>
      </c>
      <c r="H5815" s="13"/>
      <c r="I5815" s="13"/>
      <c r="J5815" s="13"/>
      <c r="K5815" s="13"/>
      <c r="L5815" s="13"/>
      <c r="M5815" s="13"/>
      <c r="N5815" s="13"/>
      <c r="O5815" s="13"/>
      <c r="P5815" s="13"/>
      <c r="Q5815" s="13"/>
      <c r="R5815" s="13"/>
      <c r="S5815" s="13"/>
    </row>
    <row r="5816" spans="1:19" x14ac:dyDescent="0.2">
      <c r="A5816" s="12" t="s">
        <v>581</v>
      </c>
      <c r="B5816" s="12" t="s">
        <v>573</v>
      </c>
      <c r="C5816" s="12" t="s">
        <v>560</v>
      </c>
      <c r="D5816" s="13">
        <v>0</v>
      </c>
      <c r="E5816" s="13">
        <v>0</v>
      </c>
      <c r="F5816" s="13">
        <v>0</v>
      </c>
      <c r="G5816" s="13">
        <v>0</v>
      </c>
      <c r="H5816" s="13"/>
      <c r="I5816" s="13"/>
      <c r="J5816" s="13"/>
      <c r="K5816" s="13"/>
      <c r="L5816" s="13"/>
      <c r="M5816" s="13"/>
      <c r="N5816" s="13"/>
      <c r="O5816" s="13"/>
      <c r="P5816" s="13"/>
      <c r="Q5816" s="13"/>
      <c r="R5816" s="13"/>
      <c r="S5816" s="13"/>
    </row>
    <row r="5817" spans="1:19" x14ac:dyDescent="0.2">
      <c r="A5817" s="12" t="s">
        <v>581</v>
      </c>
      <c r="B5817" s="12" t="s">
        <v>573</v>
      </c>
      <c r="C5817" s="12" t="s">
        <v>561</v>
      </c>
      <c r="D5817" s="13">
        <v>0</v>
      </c>
      <c r="E5817" s="13">
        <v>0</v>
      </c>
      <c r="F5817" s="13">
        <v>0</v>
      </c>
      <c r="G5817" s="13">
        <v>0</v>
      </c>
      <c r="H5817" s="13"/>
      <c r="I5817" s="13"/>
      <c r="J5817" s="13"/>
      <c r="K5817" s="13"/>
      <c r="L5817" s="13"/>
      <c r="M5817" s="13"/>
      <c r="N5817" s="13"/>
      <c r="O5817" s="13"/>
      <c r="P5817" s="13"/>
      <c r="Q5817" s="13"/>
      <c r="R5817" s="13"/>
      <c r="S5817" s="13"/>
    </row>
    <row r="5818" spans="1:19" x14ac:dyDescent="0.2">
      <c r="A5818" s="12" t="s">
        <v>581</v>
      </c>
      <c r="B5818" s="12" t="s">
        <v>573</v>
      </c>
      <c r="C5818" s="12" t="s">
        <v>562</v>
      </c>
      <c r="D5818" s="13">
        <v>0</v>
      </c>
      <c r="E5818" s="13">
        <v>0</v>
      </c>
      <c r="F5818" s="13">
        <v>0</v>
      </c>
      <c r="G5818" s="13">
        <v>0</v>
      </c>
      <c r="H5818" s="13"/>
      <c r="I5818" s="13"/>
      <c r="J5818" s="13"/>
      <c r="K5818" s="13"/>
      <c r="L5818" s="13"/>
      <c r="M5818" s="13"/>
      <c r="N5818" s="13"/>
      <c r="O5818" s="13"/>
      <c r="P5818" s="13"/>
      <c r="Q5818" s="13"/>
      <c r="R5818" s="13"/>
      <c r="S5818" s="13"/>
    </row>
    <row r="5819" spans="1:19" x14ac:dyDescent="0.2">
      <c r="A5819" s="12" t="s">
        <v>581</v>
      </c>
      <c r="B5819" s="12" t="s">
        <v>573</v>
      </c>
      <c r="C5819" s="12" t="s">
        <v>563</v>
      </c>
      <c r="D5819" s="13">
        <v>0</v>
      </c>
      <c r="E5819" s="13">
        <v>0</v>
      </c>
      <c r="F5819" s="13">
        <v>0</v>
      </c>
      <c r="G5819" s="13">
        <v>0</v>
      </c>
      <c r="H5819" s="13"/>
      <c r="I5819" s="13"/>
      <c r="J5819" s="13"/>
      <c r="K5819" s="13"/>
      <c r="L5819" s="13"/>
      <c r="M5819" s="13"/>
      <c r="N5819" s="13"/>
      <c r="O5819" s="13"/>
      <c r="P5819" s="13"/>
      <c r="Q5819" s="13"/>
      <c r="R5819" s="13"/>
      <c r="S5819" s="13"/>
    </row>
    <row r="5820" spans="1:19" x14ac:dyDescent="0.2">
      <c r="A5820" s="12" t="s">
        <v>581</v>
      </c>
      <c r="B5820" s="12" t="s">
        <v>573</v>
      </c>
      <c r="C5820" s="12" t="s">
        <v>564</v>
      </c>
      <c r="D5820" s="13">
        <v>0</v>
      </c>
      <c r="E5820" s="13">
        <v>0</v>
      </c>
      <c r="F5820" s="13">
        <v>0</v>
      </c>
      <c r="G5820" s="13">
        <v>0</v>
      </c>
      <c r="H5820" s="13"/>
      <c r="I5820" s="13"/>
      <c r="J5820" s="13"/>
      <c r="K5820" s="13"/>
      <c r="L5820" s="13"/>
      <c r="M5820" s="13"/>
      <c r="N5820" s="13"/>
      <c r="O5820" s="13"/>
      <c r="P5820" s="13"/>
      <c r="Q5820" s="13"/>
      <c r="R5820" s="13"/>
      <c r="S5820" s="13"/>
    </row>
    <row r="5821" spans="1:19" x14ac:dyDescent="0.2">
      <c r="A5821" s="12" t="s">
        <v>581</v>
      </c>
      <c r="B5821" s="12" t="s">
        <v>573</v>
      </c>
      <c r="C5821" s="12" t="s">
        <v>565</v>
      </c>
      <c r="D5821" s="13">
        <v>0</v>
      </c>
      <c r="E5821" s="13">
        <v>0</v>
      </c>
      <c r="F5821" s="13">
        <v>0</v>
      </c>
      <c r="G5821" s="13">
        <v>0</v>
      </c>
      <c r="H5821" s="13"/>
      <c r="I5821" s="13"/>
      <c r="J5821" s="13"/>
      <c r="K5821" s="13"/>
      <c r="L5821" s="13"/>
      <c r="M5821" s="13"/>
      <c r="N5821" s="13"/>
      <c r="O5821" s="13"/>
      <c r="P5821" s="13"/>
      <c r="Q5821" s="13"/>
      <c r="R5821" s="13"/>
      <c r="S5821" s="13"/>
    </row>
    <row r="5822" spans="1:19" x14ac:dyDescent="0.2">
      <c r="A5822" s="12" t="s">
        <v>581</v>
      </c>
      <c r="B5822" s="12" t="s">
        <v>573</v>
      </c>
      <c r="C5822" s="12" t="s">
        <v>566</v>
      </c>
      <c r="D5822" s="13">
        <v>0</v>
      </c>
      <c r="E5822" s="13">
        <v>0</v>
      </c>
      <c r="F5822" s="13">
        <v>0</v>
      </c>
      <c r="G5822" s="13">
        <v>0</v>
      </c>
      <c r="H5822" s="13"/>
      <c r="I5822" s="13"/>
      <c r="J5822" s="13"/>
      <c r="K5822" s="13"/>
      <c r="L5822" s="13"/>
      <c r="M5822" s="13"/>
      <c r="N5822" s="13"/>
      <c r="O5822" s="13"/>
      <c r="P5822" s="13"/>
      <c r="Q5822" s="13"/>
      <c r="R5822" s="13"/>
      <c r="S5822" s="13"/>
    </row>
    <row r="5823" spans="1:19" x14ac:dyDescent="0.2">
      <c r="A5823" s="12" t="s">
        <v>581</v>
      </c>
      <c r="B5823" s="12" t="s">
        <v>574</v>
      </c>
      <c r="C5823" s="12" t="s">
        <v>554</v>
      </c>
      <c r="D5823" s="13">
        <v>41941</v>
      </c>
      <c r="E5823" s="13">
        <v>44070.259032000002</v>
      </c>
      <c r="F5823" s="13">
        <v>43584.281765</v>
      </c>
      <c r="G5823" s="13">
        <v>44663.875862000001</v>
      </c>
      <c r="H5823" s="13"/>
      <c r="I5823" s="13"/>
      <c r="J5823" s="13"/>
      <c r="K5823" s="13"/>
      <c r="L5823" s="13"/>
      <c r="M5823" s="13"/>
      <c r="N5823" s="13"/>
      <c r="O5823" s="13"/>
      <c r="P5823" s="13"/>
      <c r="Q5823" s="13"/>
      <c r="R5823" s="13"/>
      <c r="S5823" s="13"/>
    </row>
    <row r="5824" spans="1:19" x14ac:dyDescent="0.2">
      <c r="A5824" s="12" t="s">
        <v>581</v>
      </c>
      <c r="B5824" s="12" t="s">
        <v>574</v>
      </c>
      <c r="C5824" s="12" t="s">
        <v>555</v>
      </c>
      <c r="D5824" s="13">
        <v>7278</v>
      </c>
      <c r="E5824" s="13">
        <v>7687.3981759999997</v>
      </c>
      <c r="F5824" s="13">
        <v>8133.0507180000004</v>
      </c>
      <c r="G5824" s="13">
        <v>8656.2325089999995</v>
      </c>
      <c r="H5824" s="13"/>
      <c r="I5824" s="13"/>
      <c r="J5824" s="13"/>
      <c r="K5824" s="13"/>
      <c r="L5824" s="13"/>
      <c r="M5824" s="13"/>
      <c r="N5824" s="13"/>
      <c r="O5824" s="13"/>
      <c r="P5824" s="13"/>
      <c r="Q5824" s="13"/>
      <c r="R5824" s="13"/>
      <c r="S5824" s="13"/>
    </row>
    <row r="5825" spans="1:19" x14ac:dyDescent="0.2">
      <c r="A5825" s="12" t="s">
        <v>581</v>
      </c>
      <c r="B5825" s="12" t="s">
        <v>574</v>
      </c>
      <c r="C5825" s="12" t="s">
        <v>556</v>
      </c>
      <c r="D5825" s="13">
        <v>-17961</v>
      </c>
      <c r="E5825" s="13">
        <v>-18541.612356000001</v>
      </c>
      <c r="F5825" s="13">
        <v>-17967.929869</v>
      </c>
      <c r="G5825" s="13">
        <v>-18775.812870999998</v>
      </c>
      <c r="H5825" s="13"/>
      <c r="I5825" s="13"/>
      <c r="J5825" s="13"/>
      <c r="K5825" s="13"/>
      <c r="L5825" s="13"/>
      <c r="M5825" s="13"/>
      <c r="N5825" s="13"/>
      <c r="O5825" s="13"/>
      <c r="P5825" s="13"/>
      <c r="Q5825" s="13"/>
      <c r="R5825" s="13"/>
      <c r="S5825" s="13"/>
    </row>
    <row r="5826" spans="1:19" x14ac:dyDescent="0.2">
      <c r="A5826" s="12" t="s">
        <v>581</v>
      </c>
      <c r="B5826" s="12" t="s">
        <v>574</v>
      </c>
      <c r="C5826" s="12" t="s">
        <v>557</v>
      </c>
      <c r="D5826" s="13">
        <v>30793</v>
      </c>
      <c r="E5826" s="13">
        <v>32674.432950999999</v>
      </c>
      <c r="F5826" s="13">
        <v>33156.482266999999</v>
      </c>
      <c r="G5826" s="13">
        <v>34029.725897999997</v>
      </c>
      <c r="H5826" s="13"/>
      <c r="I5826" s="13"/>
      <c r="J5826" s="13"/>
      <c r="K5826" s="13"/>
      <c r="L5826" s="13"/>
      <c r="M5826" s="13"/>
      <c r="N5826" s="13"/>
      <c r="O5826" s="13"/>
      <c r="P5826" s="13"/>
      <c r="Q5826" s="13"/>
      <c r="R5826" s="13"/>
      <c r="S5826" s="13"/>
    </row>
    <row r="5827" spans="1:19" x14ac:dyDescent="0.2">
      <c r="A5827" s="12" t="s">
        <v>581</v>
      </c>
      <c r="B5827" s="12" t="s">
        <v>574</v>
      </c>
      <c r="C5827" s="12" t="s">
        <v>558</v>
      </c>
      <c r="D5827" s="13">
        <v>-4437</v>
      </c>
      <c r="E5827" s="13">
        <v>-4533.2508590000007</v>
      </c>
      <c r="F5827" s="13">
        <v>-4259.0824270000003</v>
      </c>
      <c r="G5827" s="13">
        <v>-4226.3141559999985</v>
      </c>
      <c r="H5827" s="13"/>
      <c r="I5827" s="13"/>
      <c r="J5827" s="13"/>
      <c r="K5827" s="13"/>
      <c r="L5827" s="13"/>
      <c r="M5827" s="13"/>
      <c r="N5827" s="13"/>
      <c r="O5827" s="13"/>
      <c r="P5827" s="13"/>
      <c r="Q5827" s="13"/>
      <c r="R5827" s="13"/>
      <c r="S5827" s="13"/>
    </row>
    <row r="5828" spans="1:19" x14ac:dyDescent="0.2">
      <c r="A5828" s="12" t="s">
        <v>581</v>
      </c>
      <c r="B5828" s="12" t="s">
        <v>574</v>
      </c>
      <c r="C5828" s="12" t="s">
        <v>560</v>
      </c>
      <c r="D5828" s="13">
        <v>-209</v>
      </c>
      <c r="E5828" s="13">
        <v>-252.79329000000001</v>
      </c>
      <c r="F5828" s="13">
        <v>-225.600246</v>
      </c>
      <c r="G5828" s="13">
        <v>-188.274823</v>
      </c>
      <c r="H5828" s="13"/>
      <c r="I5828" s="13"/>
      <c r="J5828" s="13"/>
      <c r="K5828" s="13"/>
      <c r="L5828" s="13"/>
      <c r="M5828" s="13"/>
      <c r="N5828" s="13"/>
      <c r="O5828" s="13"/>
      <c r="P5828" s="13"/>
      <c r="Q5828" s="13"/>
      <c r="R5828" s="13"/>
      <c r="S5828" s="13"/>
    </row>
    <row r="5829" spans="1:19" x14ac:dyDescent="0.2">
      <c r="A5829" s="12" t="s">
        <v>581</v>
      </c>
      <c r="B5829" s="12" t="s">
        <v>574</v>
      </c>
      <c r="C5829" s="12" t="s">
        <v>561</v>
      </c>
      <c r="D5829" s="13">
        <v>21337</v>
      </c>
      <c r="E5829" s="13">
        <v>22559.710256999999</v>
      </c>
      <c r="F5829" s="13">
        <v>23230.329695</v>
      </c>
      <c r="G5829" s="13">
        <v>23603.258673</v>
      </c>
      <c r="H5829" s="13"/>
      <c r="I5829" s="13"/>
      <c r="J5829" s="13"/>
      <c r="K5829" s="13"/>
      <c r="L5829" s="13"/>
      <c r="M5829" s="13"/>
      <c r="N5829" s="13"/>
      <c r="O5829" s="13"/>
      <c r="P5829" s="13"/>
      <c r="Q5829" s="13"/>
      <c r="R5829" s="13"/>
      <c r="S5829" s="13"/>
    </row>
    <row r="5830" spans="1:19" x14ac:dyDescent="0.2">
      <c r="A5830" s="12" t="s">
        <v>581</v>
      </c>
      <c r="B5830" s="12" t="s">
        <v>574</v>
      </c>
      <c r="C5830" s="12" t="s">
        <v>562</v>
      </c>
      <c r="D5830" s="13">
        <v>3707</v>
      </c>
      <c r="E5830" s="13">
        <v>3941.22768</v>
      </c>
      <c r="F5830" s="13">
        <v>4027.751925</v>
      </c>
      <c r="G5830" s="13">
        <v>4117.3944119999996</v>
      </c>
      <c r="H5830" s="13"/>
      <c r="I5830" s="13"/>
      <c r="J5830" s="13"/>
      <c r="K5830" s="13"/>
      <c r="L5830" s="13"/>
      <c r="M5830" s="13"/>
      <c r="N5830" s="13"/>
      <c r="O5830" s="13"/>
      <c r="P5830" s="13"/>
      <c r="Q5830" s="13"/>
      <c r="R5830" s="13"/>
      <c r="S5830" s="13"/>
    </row>
    <row r="5831" spans="1:19" x14ac:dyDescent="0.2">
      <c r="A5831" s="12" t="s">
        <v>581</v>
      </c>
      <c r="B5831" s="12" t="s">
        <v>574</v>
      </c>
      <c r="C5831" s="12" t="s">
        <v>563</v>
      </c>
      <c r="D5831" s="13">
        <v>4720</v>
      </c>
      <c r="E5831" s="13">
        <v>5320.0248150000007</v>
      </c>
      <c r="F5831" s="13">
        <v>5481.830731</v>
      </c>
      <c r="G5831" s="13">
        <v>5479.8407699999998</v>
      </c>
      <c r="H5831" s="13"/>
      <c r="I5831" s="13"/>
      <c r="J5831" s="13"/>
      <c r="K5831" s="13"/>
      <c r="L5831" s="13"/>
      <c r="M5831" s="13"/>
      <c r="N5831" s="13"/>
      <c r="O5831" s="13"/>
      <c r="P5831" s="13"/>
      <c r="Q5831" s="13"/>
      <c r="R5831" s="13"/>
      <c r="S5831" s="13"/>
    </row>
    <row r="5832" spans="1:19" x14ac:dyDescent="0.2">
      <c r="A5832" s="12" t="s">
        <v>581</v>
      </c>
      <c r="B5832" s="12" t="s">
        <v>574</v>
      </c>
      <c r="C5832" s="12" t="s">
        <v>564</v>
      </c>
      <c r="D5832" s="13">
        <v>10205</v>
      </c>
      <c r="E5832" s="13">
        <v>10480.597793000001</v>
      </c>
      <c r="F5832" s="13">
        <v>10771.803583000001</v>
      </c>
      <c r="G5832" s="13">
        <v>10946.878016000001</v>
      </c>
      <c r="H5832" s="13"/>
      <c r="I5832" s="13"/>
      <c r="J5832" s="13"/>
      <c r="K5832" s="13"/>
      <c r="L5832" s="13"/>
      <c r="M5832" s="13"/>
      <c r="N5832" s="13"/>
      <c r="O5832" s="13"/>
      <c r="P5832" s="13"/>
      <c r="Q5832" s="13"/>
      <c r="R5832" s="13"/>
      <c r="S5832" s="13"/>
    </row>
    <row r="5833" spans="1:19" x14ac:dyDescent="0.2">
      <c r="A5833" s="12" t="s">
        <v>581</v>
      </c>
      <c r="B5833" s="12" t="s">
        <v>574</v>
      </c>
      <c r="C5833" s="12" t="s">
        <v>565</v>
      </c>
      <c r="D5833" s="13">
        <v>1172</v>
      </c>
      <c r="E5833" s="13">
        <v>1209.636373</v>
      </c>
      <c r="F5833" s="13">
        <v>1256.033586</v>
      </c>
      <c r="G5833" s="13">
        <v>1284.7530999999999</v>
      </c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</row>
    <row r="5834" spans="1:19" x14ac:dyDescent="0.2">
      <c r="A5834" s="12" t="s">
        <v>581</v>
      </c>
      <c r="B5834" s="12" t="s">
        <v>574</v>
      </c>
      <c r="C5834" s="12" t="s">
        <v>566</v>
      </c>
      <c r="D5834" s="13">
        <v>1534</v>
      </c>
      <c r="E5834" s="13">
        <v>1608.2235889999999</v>
      </c>
      <c r="F5834" s="13">
        <v>1692.909838</v>
      </c>
      <c r="G5834" s="13">
        <v>1774.3923930000001</v>
      </c>
      <c r="H5834" s="13"/>
      <c r="I5834" s="13"/>
      <c r="J5834" s="13"/>
      <c r="K5834" s="13"/>
      <c r="L5834" s="13"/>
      <c r="M5834" s="13"/>
      <c r="N5834" s="13"/>
      <c r="O5834" s="13"/>
      <c r="P5834" s="13"/>
      <c r="Q5834" s="13"/>
      <c r="R5834" s="13"/>
      <c r="S5834" s="13"/>
    </row>
    <row r="5835" spans="1:19" x14ac:dyDescent="0.2">
      <c r="A5835" s="12" t="s">
        <v>582</v>
      </c>
      <c r="B5835" s="12" t="s">
        <v>553</v>
      </c>
      <c r="C5835" s="12" t="s">
        <v>554</v>
      </c>
      <c r="D5835" s="13">
        <v>113</v>
      </c>
      <c r="E5835" s="13">
        <v>123.38992399999999</v>
      </c>
      <c r="F5835" s="13">
        <v>107.440916</v>
      </c>
      <c r="G5835" s="13">
        <v>118.032068</v>
      </c>
      <c r="H5835" s="13"/>
      <c r="I5835" s="13"/>
      <c r="J5835" s="13"/>
      <c r="K5835" s="13"/>
      <c r="L5835" s="13"/>
      <c r="M5835" s="13"/>
      <c r="N5835" s="13"/>
      <c r="O5835" s="13"/>
      <c r="P5835" s="13"/>
      <c r="Q5835" s="13"/>
      <c r="R5835" s="13"/>
      <c r="S5835" s="13"/>
    </row>
    <row r="5836" spans="1:19" x14ac:dyDescent="0.2">
      <c r="A5836" s="12" t="s">
        <v>582</v>
      </c>
      <c r="B5836" s="12" t="s">
        <v>553</v>
      </c>
      <c r="C5836" s="12" t="s">
        <v>555</v>
      </c>
      <c r="D5836" s="13">
        <v>660</v>
      </c>
      <c r="E5836" s="13">
        <v>814.76912399999992</v>
      </c>
      <c r="F5836" s="13">
        <v>676.14013199999999</v>
      </c>
      <c r="G5836" s="13">
        <v>663.78762300000005</v>
      </c>
      <c r="H5836" s="13"/>
      <c r="I5836" s="13"/>
      <c r="J5836" s="13"/>
      <c r="K5836" s="13"/>
      <c r="L5836" s="13"/>
      <c r="M5836" s="13"/>
      <c r="N5836" s="13"/>
      <c r="O5836" s="13"/>
      <c r="P5836" s="13"/>
      <c r="Q5836" s="13"/>
      <c r="R5836" s="13"/>
      <c r="S5836" s="13"/>
    </row>
    <row r="5837" spans="1:19" x14ac:dyDescent="0.2">
      <c r="A5837" s="12" t="s">
        <v>582</v>
      </c>
      <c r="B5837" s="12" t="s">
        <v>553</v>
      </c>
      <c r="C5837" s="12" t="s">
        <v>556</v>
      </c>
      <c r="D5837" s="13">
        <v>-20</v>
      </c>
      <c r="E5837" s="13">
        <v>-29.641493000000001</v>
      </c>
      <c r="F5837" s="13">
        <v>-4.4594740000000002</v>
      </c>
      <c r="G5837" s="13">
        <v>-9.4453619999999994</v>
      </c>
      <c r="H5837" s="13"/>
      <c r="I5837" s="13"/>
      <c r="J5837" s="13"/>
      <c r="K5837" s="13"/>
      <c r="L5837" s="13"/>
      <c r="M5837" s="13"/>
      <c r="N5837" s="13"/>
      <c r="O5837" s="13"/>
      <c r="P5837" s="13"/>
      <c r="Q5837" s="13"/>
      <c r="R5837" s="13"/>
      <c r="S5837" s="13"/>
    </row>
    <row r="5838" spans="1:19" x14ac:dyDescent="0.2">
      <c r="A5838" s="12" t="s">
        <v>582</v>
      </c>
      <c r="B5838" s="12" t="s">
        <v>553</v>
      </c>
      <c r="C5838" s="12" t="s">
        <v>557</v>
      </c>
      <c r="D5838" s="13">
        <v>771</v>
      </c>
      <c r="E5838" s="13">
        <v>925.31512199999997</v>
      </c>
      <c r="F5838" s="13">
        <v>780.85179900000003</v>
      </c>
      <c r="G5838" s="13">
        <v>769.39738</v>
      </c>
      <c r="H5838" s="13"/>
      <c r="I5838" s="13"/>
      <c r="J5838" s="13"/>
      <c r="K5838" s="13"/>
      <c r="L5838" s="13"/>
      <c r="M5838" s="13"/>
      <c r="N5838" s="13"/>
      <c r="O5838" s="13"/>
      <c r="P5838" s="13"/>
      <c r="Q5838" s="13"/>
      <c r="R5838" s="13"/>
      <c r="S5838" s="13"/>
    </row>
    <row r="5839" spans="1:19" x14ac:dyDescent="0.2">
      <c r="A5839" s="12" t="s">
        <v>582</v>
      </c>
      <c r="B5839" s="12" t="s">
        <v>553</v>
      </c>
      <c r="C5839" s="12" t="s">
        <v>558</v>
      </c>
      <c r="D5839" s="13">
        <v>-321</v>
      </c>
      <c r="E5839" s="13">
        <v>-407.74902300000002</v>
      </c>
      <c r="F5839" s="13">
        <v>-279.686756</v>
      </c>
      <c r="G5839" s="13">
        <v>-295.28853600000002</v>
      </c>
      <c r="H5839" s="13"/>
      <c r="I5839" s="13"/>
      <c r="J5839" s="13"/>
      <c r="K5839" s="13"/>
      <c r="L5839" s="13"/>
      <c r="M5839" s="13"/>
      <c r="N5839" s="13"/>
      <c r="O5839" s="13"/>
      <c r="P5839" s="13"/>
      <c r="Q5839" s="13"/>
      <c r="R5839" s="13"/>
      <c r="S5839" s="13"/>
    </row>
    <row r="5840" spans="1:19" x14ac:dyDescent="0.2">
      <c r="A5840" s="12" t="s">
        <v>582</v>
      </c>
      <c r="B5840" s="12" t="s">
        <v>553</v>
      </c>
      <c r="C5840" s="12" t="s">
        <v>560</v>
      </c>
      <c r="D5840" s="13">
        <v>0</v>
      </c>
      <c r="E5840" s="13">
        <v>0</v>
      </c>
      <c r="F5840" s="13">
        <v>0</v>
      </c>
      <c r="G5840" s="13">
        <v>0</v>
      </c>
      <c r="H5840" s="13"/>
      <c r="I5840" s="13"/>
      <c r="J5840" s="13"/>
      <c r="K5840" s="13"/>
      <c r="L5840" s="13"/>
      <c r="M5840" s="13"/>
      <c r="N5840" s="13"/>
      <c r="O5840" s="13"/>
      <c r="P5840" s="13"/>
      <c r="Q5840" s="13"/>
      <c r="R5840" s="13"/>
      <c r="S5840" s="13"/>
    </row>
    <row r="5841" spans="1:19" x14ac:dyDescent="0.2">
      <c r="A5841" s="12" t="s">
        <v>582</v>
      </c>
      <c r="B5841" s="12" t="s">
        <v>553</v>
      </c>
      <c r="C5841" s="12" t="s">
        <v>561</v>
      </c>
      <c r="D5841" s="13">
        <v>324</v>
      </c>
      <c r="E5841" s="13">
        <v>379.78760499999999</v>
      </c>
      <c r="F5841" s="13">
        <v>397.55804599999999</v>
      </c>
      <c r="G5841" s="13">
        <v>378.811511</v>
      </c>
      <c r="H5841" s="13"/>
      <c r="I5841" s="13"/>
      <c r="J5841" s="13"/>
      <c r="K5841" s="13"/>
      <c r="L5841" s="13"/>
      <c r="M5841" s="13"/>
      <c r="N5841" s="13"/>
      <c r="O5841" s="13"/>
      <c r="P5841" s="13"/>
      <c r="Q5841" s="13"/>
      <c r="R5841" s="13"/>
      <c r="S5841" s="13"/>
    </row>
    <row r="5842" spans="1:19" x14ac:dyDescent="0.2">
      <c r="A5842" s="12" t="s">
        <v>582</v>
      </c>
      <c r="B5842" s="12" t="s">
        <v>553</v>
      </c>
      <c r="C5842" s="12" t="s">
        <v>562</v>
      </c>
      <c r="D5842" s="13">
        <v>316</v>
      </c>
      <c r="E5842" s="13">
        <v>371.05916500000001</v>
      </c>
      <c r="F5842" s="13">
        <v>388.87830300000002</v>
      </c>
      <c r="G5842" s="13">
        <v>370.63148799999999</v>
      </c>
      <c r="H5842" s="13"/>
      <c r="I5842" s="13"/>
      <c r="J5842" s="13"/>
      <c r="K5842" s="13"/>
      <c r="L5842" s="13"/>
      <c r="M5842" s="13"/>
      <c r="N5842" s="13"/>
      <c r="O5842" s="13"/>
      <c r="P5842" s="13"/>
      <c r="Q5842" s="13"/>
      <c r="R5842" s="13"/>
      <c r="S5842" s="13"/>
    </row>
    <row r="5843" spans="1:19" x14ac:dyDescent="0.2">
      <c r="A5843" s="12" t="s">
        <v>582</v>
      </c>
      <c r="B5843" s="12" t="s">
        <v>553</v>
      </c>
      <c r="C5843" s="12" t="s">
        <v>563</v>
      </c>
      <c r="D5843" s="13">
        <v>0</v>
      </c>
      <c r="E5843" s="13">
        <v>0</v>
      </c>
      <c r="F5843" s="13">
        <v>0</v>
      </c>
      <c r="G5843" s="13">
        <v>0</v>
      </c>
      <c r="H5843" s="13"/>
      <c r="I5843" s="13"/>
      <c r="J5843" s="13"/>
      <c r="K5843" s="13"/>
      <c r="L5843" s="13"/>
      <c r="M5843" s="13"/>
      <c r="N5843" s="13"/>
      <c r="O5843" s="13"/>
      <c r="P5843" s="13"/>
      <c r="Q5843" s="13"/>
      <c r="R5843" s="13"/>
      <c r="S5843" s="13"/>
    </row>
    <row r="5844" spans="1:19" x14ac:dyDescent="0.2">
      <c r="A5844" s="12" t="s">
        <v>582</v>
      </c>
      <c r="B5844" s="12" t="s">
        <v>553</v>
      </c>
      <c r="C5844" s="12" t="s">
        <v>564</v>
      </c>
      <c r="D5844" s="13">
        <v>0</v>
      </c>
      <c r="E5844" s="13">
        <v>2.5648000000000001E-2</v>
      </c>
      <c r="F5844" s="13">
        <v>2.6352E-2</v>
      </c>
      <c r="G5844" s="13">
        <v>2.5648000000000001E-2</v>
      </c>
      <c r="H5844" s="13"/>
      <c r="I5844" s="13"/>
      <c r="J5844" s="13"/>
      <c r="K5844" s="13"/>
      <c r="L5844" s="13"/>
      <c r="M5844" s="13"/>
      <c r="N5844" s="13"/>
      <c r="O5844" s="13"/>
      <c r="P5844" s="13"/>
      <c r="Q5844" s="13"/>
      <c r="R5844" s="13"/>
      <c r="S5844" s="13"/>
    </row>
    <row r="5845" spans="1:19" x14ac:dyDescent="0.2">
      <c r="A5845" s="12" t="s">
        <v>582</v>
      </c>
      <c r="B5845" s="12" t="s">
        <v>553</v>
      </c>
      <c r="C5845" s="12" t="s">
        <v>565</v>
      </c>
      <c r="D5845" s="13">
        <v>0</v>
      </c>
      <c r="E5845" s="13">
        <v>4.0999999999999999E-4</v>
      </c>
      <c r="F5845" s="13">
        <v>4.0999999999999999E-4</v>
      </c>
      <c r="G5845" s="13">
        <v>0</v>
      </c>
      <c r="H5845" s="13"/>
      <c r="I5845" s="13"/>
      <c r="J5845" s="13"/>
      <c r="K5845" s="13"/>
      <c r="L5845" s="13"/>
      <c r="M5845" s="13"/>
      <c r="N5845" s="13"/>
      <c r="O5845" s="13"/>
      <c r="P5845" s="13"/>
      <c r="Q5845" s="13"/>
      <c r="R5845" s="13"/>
      <c r="S5845" s="13"/>
    </row>
    <row r="5846" spans="1:19" x14ac:dyDescent="0.2">
      <c r="A5846" s="12" t="s">
        <v>582</v>
      </c>
      <c r="B5846" s="12" t="s">
        <v>553</v>
      </c>
      <c r="C5846" s="12" t="s">
        <v>566</v>
      </c>
      <c r="D5846" s="13">
        <v>7</v>
      </c>
      <c r="E5846" s="13">
        <v>8.702380999999999</v>
      </c>
      <c r="F5846" s="13">
        <v>8.6529810000000005</v>
      </c>
      <c r="G5846" s="13">
        <v>8.1543749999999999</v>
      </c>
      <c r="H5846" s="13"/>
      <c r="I5846" s="13"/>
      <c r="J5846" s="13"/>
      <c r="K5846" s="13"/>
      <c r="L5846" s="13"/>
      <c r="M5846" s="13"/>
      <c r="N5846" s="13"/>
      <c r="O5846" s="13"/>
      <c r="P5846" s="13"/>
      <c r="Q5846" s="13"/>
      <c r="R5846" s="13"/>
      <c r="S5846" s="13"/>
    </row>
    <row r="5847" spans="1:19" x14ac:dyDescent="0.2">
      <c r="A5847" s="12" t="s">
        <v>582</v>
      </c>
      <c r="B5847" s="12" t="s">
        <v>567</v>
      </c>
      <c r="C5847" s="12" t="s">
        <v>554</v>
      </c>
      <c r="D5847" s="13">
        <v>11259</v>
      </c>
      <c r="E5847" s="13">
        <v>11466.284095999999</v>
      </c>
      <c r="F5847" s="13">
        <v>12388.571141</v>
      </c>
      <c r="G5847" s="13">
        <v>13726.009980999999</v>
      </c>
      <c r="H5847" s="13"/>
      <c r="I5847" s="13"/>
      <c r="J5847" s="13"/>
      <c r="K5847" s="13"/>
      <c r="L5847" s="13"/>
      <c r="M5847" s="13"/>
      <c r="N5847" s="13"/>
      <c r="O5847" s="13"/>
      <c r="P5847" s="13"/>
      <c r="Q5847" s="13"/>
      <c r="R5847" s="13"/>
      <c r="S5847" s="13"/>
    </row>
    <row r="5848" spans="1:19" x14ac:dyDescent="0.2">
      <c r="A5848" s="12" t="s">
        <v>582</v>
      </c>
      <c r="B5848" s="12" t="s">
        <v>567</v>
      </c>
      <c r="C5848" s="12" t="s">
        <v>555</v>
      </c>
      <c r="D5848" s="13">
        <v>967</v>
      </c>
      <c r="E5848" s="13">
        <v>889.15779200000009</v>
      </c>
      <c r="F5848" s="13">
        <v>1265.344388</v>
      </c>
      <c r="G5848" s="13">
        <v>1156.1639150000001</v>
      </c>
      <c r="H5848" s="13"/>
      <c r="I5848" s="13"/>
      <c r="J5848" s="13"/>
      <c r="K5848" s="13"/>
      <c r="L5848" s="13"/>
      <c r="M5848" s="13"/>
      <c r="N5848" s="13"/>
      <c r="O5848" s="13"/>
      <c r="P5848" s="13"/>
      <c r="Q5848" s="13"/>
      <c r="R5848" s="13"/>
      <c r="S5848" s="13"/>
    </row>
    <row r="5849" spans="1:19" x14ac:dyDescent="0.2">
      <c r="A5849" s="12" t="s">
        <v>582</v>
      </c>
      <c r="B5849" s="12" t="s">
        <v>567</v>
      </c>
      <c r="C5849" s="12" t="s">
        <v>556</v>
      </c>
      <c r="D5849" s="13">
        <v>-5606</v>
      </c>
      <c r="E5849" s="13">
        <v>-5403.634642</v>
      </c>
      <c r="F5849" s="13">
        <v>-6139.9223670000001</v>
      </c>
      <c r="G5849" s="13">
        <v>-7139.2575630000001</v>
      </c>
      <c r="H5849" s="13"/>
      <c r="I5849" s="13"/>
      <c r="J5849" s="13"/>
      <c r="K5849" s="13"/>
      <c r="L5849" s="13"/>
      <c r="M5849" s="13"/>
      <c r="N5849" s="13"/>
      <c r="O5849" s="13"/>
      <c r="P5849" s="13"/>
      <c r="Q5849" s="13"/>
      <c r="R5849" s="13"/>
      <c r="S5849" s="13"/>
    </row>
    <row r="5850" spans="1:19" x14ac:dyDescent="0.2">
      <c r="A5850" s="12" t="s">
        <v>582</v>
      </c>
      <c r="B5850" s="12" t="s">
        <v>567</v>
      </c>
      <c r="C5850" s="12" t="s">
        <v>557</v>
      </c>
      <c r="D5850" s="13">
        <v>6717</v>
      </c>
      <c r="E5850" s="13">
        <v>7251.8384380000007</v>
      </c>
      <c r="F5850" s="13">
        <v>7638.046601</v>
      </c>
      <c r="G5850" s="13">
        <v>7994.8786479999999</v>
      </c>
      <c r="H5850" s="13"/>
      <c r="I5850" s="13"/>
      <c r="J5850" s="13"/>
      <c r="K5850" s="13"/>
      <c r="L5850" s="13"/>
      <c r="M5850" s="13"/>
      <c r="N5850" s="13"/>
      <c r="O5850" s="13"/>
      <c r="P5850" s="13"/>
      <c r="Q5850" s="13"/>
      <c r="R5850" s="13"/>
      <c r="S5850" s="13"/>
    </row>
    <row r="5851" spans="1:19" x14ac:dyDescent="0.2">
      <c r="A5851" s="12" t="s">
        <v>582</v>
      </c>
      <c r="B5851" s="12" t="s">
        <v>567</v>
      </c>
      <c r="C5851" s="12" t="s">
        <v>558</v>
      </c>
      <c r="D5851" s="13">
        <v>-76</v>
      </c>
      <c r="E5851" s="13">
        <v>-84.507915999999994</v>
      </c>
      <c r="F5851" s="13">
        <v>-84.608068999999986</v>
      </c>
      <c r="G5851" s="13">
        <v>-84.848755000000011</v>
      </c>
      <c r="H5851" s="13"/>
      <c r="I5851" s="13"/>
      <c r="J5851" s="13"/>
      <c r="K5851" s="13"/>
      <c r="L5851" s="13"/>
      <c r="M5851" s="13"/>
      <c r="N5851" s="13"/>
      <c r="O5851" s="13"/>
      <c r="P5851" s="13"/>
      <c r="Q5851" s="13"/>
      <c r="R5851" s="13"/>
      <c r="S5851" s="13"/>
    </row>
    <row r="5852" spans="1:19" x14ac:dyDescent="0.2">
      <c r="A5852" s="12" t="s">
        <v>582</v>
      </c>
      <c r="B5852" s="12" t="s">
        <v>567</v>
      </c>
      <c r="C5852" s="12" t="s">
        <v>560</v>
      </c>
      <c r="D5852" s="13">
        <v>-6529</v>
      </c>
      <c r="E5852" s="13">
        <v>-6978.1486500000001</v>
      </c>
      <c r="F5852" s="13">
        <v>-7398.6826190000002</v>
      </c>
      <c r="G5852" s="13">
        <v>-7616.2353240000002</v>
      </c>
      <c r="H5852" s="13"/>
      <c r="I5852" s="13"/>
      <c r="J5852" s="13"/>
      <c r="K5852" s="13"/>
      <c r="L5852" s="13"/>
      <c r="M5852" s="13"/>
      <c r="N5852" s="13"/>
      <c r="O5852" s="13"/>
      <c r="P5852" s="13"/>
      <c r="Q5852" s="13"/>
      <c r="R5852" s="13"/>
      <c r="S5852" s="13"/>
    </row>
    <row r="5853" spans="1:19" x14ac:dyDescent="0.2">
      <c r="A5853" s="12" t="s">
        <v>582</v>
      </c>
      <c r="B5853" s="12" t="s">
        <v>567</v>
      </c>
      <c r="C5853" s="12" t="s">
        <v>561</v>
      </c>
      <c r="D5853" s="13">
        <v>8</v>
      </c>
      <c r="E5853" s="13">
        <v>9.1468889999999998</v>
      </c>
      <c r="F5853" s="13">
        <v>9.1511429999999994</v>
      </c>
      <c r="G5853" s="13">
        <v>9.3119829999999997</v>
      </c>
      <c r="H5853" s="13"/>
      <c r="I5853" s="13"/>
      <c r="J5853" s="13"/>
      <c r="K5853" s="13"/>
      <c r="L5853" s="13"/>
      <c r="M5853" s="13"/>
      <c r="N5853" s="13"/>
      <c r="O5853" s="13"/>
      <c r="P5853" s="13"/>
      <c r="Q5853" s="13"/>
      <c r="R5853" s="13"/>
      <c r="S5853" s="13"/>
    </row>
    <row r="5854" spans="1:19" x14ac:dyDescent="0.2">
      <c r="A5854" s="12" t="s">
        <v>582</v>
      </c>
      <c r="B5854" s="12" t="s">
        <v>567</v>
      </c>
      <c r="C5854" s="12" t="s">
        <v>562</v>
      </c>
      <c r="D5854" s="13">
        <v>8</v>
      </c>
      <c r="E5854" s="13">
        <v>8.7950979999999994</v>
      </c>
      <c r="F5854" s="13">
        <v>8.8229190000000006</v>
      </c>
      <c r="G5854" s="13">
        <v>8.9776880000000006</v>
      </c>
      <c r="H5854" s="13"/>
      <c r="I5854" s="13"/>
      <c r="J5854" s="13"/>
      <c r="K5854" s="13"/>
      <c r="L5854" s="13"/>
      <c r="M5854" s="13"/>
      <c r="N5854" s="13"/>
      <c r="O5854" s="13"/>
      <c r="P5854" s="13"/>
      <c r="Q5854" s="13"/>
      <c r="R5854" s="13"/>
      <c r="S5854" s="13"/>
    </row>
    <row r="5855" spans="1:19" x14ac:dyDescent="0.2">
      <c r="A5855" s="12" t="s">
        <v>582</v>
      </c>
      <c r="B5855" s="12" t="s">
        <v>567</v>
      </c>
      <c r="C5855" s="12" t="s">
        <v>563</v>
      </c>
      <c r="D5855" s="13">
        <v>0</v>
      </c>
      <c r="E5855" s="13">
        <v>0.35179199999999999</v>
      </c>
      <c r="F5855" s="13">
        <v>0.32822400000000002</v>
      </c>
      <c r="G5855" s="13">
        <v>0.33429500000000001</v>
      </c>
      <c r="H5855" s="13"/>
      <c r="I5855" s="13"/>
      <c r="J5855" s="13"/>
      <c r="K5855" s="13"/>
      <c r="L5855" s="13"/>
      <c r="M5855" s="13"/>
      <c r="N5855" s="13"/>
      <c r="O5855" s="13"/>
      <c r="P5855" s="13"/>
      <c r="Q5855" s="13"/>
      <c r="R5855" s="13"/>
      <c r="S5855" s="13"/>
    </row>
    <row r="5856" spans="1:19" x14ac:dyDescent="0.2">
      <c r="A5856" s="12" t="s">
        <v>582</v>
      </c>
      <c r="B5856" s="12" t="s">
        <v>567</v>
      </c>
      <c r="C5856" s="12" t="s">
        <v>564</v>
      </c>
      <c r="D5856" s="13">
        <v>0</v>
      </c>
      <c r="E5856" s="13">
        <v>0</v>
      </c>
      <c r="F5856" s="13">
        <v>0</v>
      </c>
      <c r="G5856" s="13">
        <v>0</v>
      </c>
      <c r="H5856" s="13"/>
      <c r="I5856" s="13"/>
      <c r="J5856" s="13"/>
      <c r="K5856" s="13"/>
      <c r="L5856" s="13"/>
      <c r="M5856" s="13"/>
      <c r="N5856" s="13"/>
      <c r="O5856" s="13"/>
      <c r="P5856" s="13"/>
      <c r="Q5856" s="13"/>
      <c r="R5856" s="13"/>
      <c r="S5856" s="13"/>
    </row>
    <row r="5857" spans="1:19" x14ac:dyDescent="0.2">
      <c r="A5857" s="12" t="s">
        <v>582</v>
      </c>
      <c r="B5857" s="12" t="s">
        <v>567</v>
      </c>
      <c r="C5857" s="12" t="s">
        <v>565</v>
      </c>
      <c r="D5857" s="13">
        <v>0</v>
      </c>
      <c r="E5857" s="13">
        <v>0</v>
      </c>
      <c r="F5857" s="13">
        <v>0</v>
      </c>
      <c r="G5857" s="13">
        <v>0</v>
      </c>
      <c r="H5857" s="13"/>
      <c r="I5857" s="13"/>
      <c r="J5857" s="13"/>
      <c r="K5857" s="13"/>
      <c r="L5857" s="13"/>
      <c r="M5857" s="13"/>
      <c r="N5857" s="13"/>
      <c r="O5857" s="13"/>
      <c r="P5857" s="13"/>
      <c r="Q5857" s="13"/>
      <c r="R5857" s="13"/>
      <c r="S5857" s="13"/>
    </row>
    <row r="5858" spans="1:19" x14ac:dyDescent="0.2">
      <c r="A5858" s="12" t="s">
        <v>582</v>
      </c>
      <c r="B5858" s="12" t="s">
        <v>567</v>
      </c>
      <c r="C5858" s="12" t="s">
        <v>566</v>
      </c>
      <c r="D5858" s="13">
        <v>0</v>
      </c>
      <c r="E5858" s="13">
        <v>0</v>
      </c>
      <c r="F5858" s="13">
        <v>0</v>
      </c>
      <c r="G5858" s="13">
        <v>0</v>
      </c>
      <c r="H5858" s="13"/>
      <c r="I5858" s="13"/>
      <c r="J5858" s="13"/>
      <c r="K5858" s="13"/>
      <c r="L5858" s="13"/>
      <c r="M5858" s="13"/>
      <c r="N5858" s="13"/>
      <c r="O5858" s="13"/>
      <c r="P5858" s="13"/>
      <c r="Q5858" s="13"/>
      <c r="R5858" s="13"/>
      <c r="S5858" s="13"/>
    </row>
    <row r="5859" spans="1:19" x14ac:dyDescent="0.2">
      <c r="A5859" s="12" t="s">
        <v>582</v>
      </c>
      <c r="B5859" s="12" t="s">
        <v>568</v>
      </c>
      <c r="C5859" s="12" t="s">
        <v>554</v>
      </c>
      <c r="D5859" s="13">
        <v>0</v>
      </c>
      <c r="E5859" s="13">
        <v>0</v>
      </c>
      <c r="F5859" s="13">
        <v>0</v>
      </c>
      <c r="G5859" s="13">
        <v>0</v>
      </c>
      <c r="H5859" s="13"/>
      <c r="I5859" s="13"/>
      <c r="J5859" s="13"/>
      <c r="K5859" s="13"/>
      <c r="L5859" s="13"/>
      <c r="M5859" s="13"/>
      <c r="N5859" s="13"/>
      <c r="O5859" s="13"/>
      <c r="P5859" s="13"/>
      <c r="Q5859" s="13"/>
      <c r="R5859" s="13"/>
      <c r="S5859" s="13"/>
    </row>
    <row r="5860" spans="1:19" x14ac:dyDescent="0.2">
      <c r="A5860" s="12" t="s">
        <v>582</v>
      </c>
      <c r="B5860" s="12" t="s">
        <v>568</v>
      </c>
      <c r="C5860" s="12" t="s">
        <v>555</v>
      </c>
      <c r="D5860" s="13">
        <v>3254</v>
      </c>
      <c r="E5860" s="13">
        <v>3888.2187220000001</v>
      </c>
      <c r="F5860" s="13">
        <v>4234.0201040000002</v>
      </c>
      <c r="G5860" s="13">
        <v>4170.3516909999998</v>
      </c>
      <c r="H5860" s="13"/>
      <c r="I5860" s="13"/>
      <c r="J5860" s="13"/>
      <c r="K5860" s="13"/>
      <c r="L5860" s="13"/>
      <c r="M5860" s="13"/>
      <c r="N5860" s="13"/>
      <c r="O5860" s="13"/>
      <c r="P5860" s="13"/>
      <c r="Q5860" s="13"/>
      <c r="R5860" s="13"/>
      <c r="S5860" s="13"/>
    </row>
    <row r="5861" spans="1:19" x14ac:dyDescent="0.2">
      <c r="A5861" s="12" t="s">
        <v>582</v>
      </c>
      <c r="B5861" s="12" t="s">
        <v>568</v>
      </c>
      <c r="C5861" s="12" t="s">
        <v>556</v>
      </c>
      <c r="D5861" s="13">
        <v>-1265</v>
      </c>
      <c r="E5861" s="13">
        <v>-1177.8136569999999</v>
      </c>
      <c r="F5861" s="13">
        <v>-1402.029307</v>
      </c>
      <c r="G5861" s="13">
        <v>-1532.276615</v>
      </c>
      <c r="H5861" s="13"/>
      <c r="I5861" s="13"/>
      <c r="J5861" s="13"/>
      <c r="K5861" s="13"/>
      <c r="L5861" s="13"/>
      <c r="M5861" s="13"/>
      <c r="N5861" s="13"/>
      <c r="O5861" s="13"/>
      <c r="P5861" s="13"/>
      <c r="Q5861" s="13"/>
      <c r="R5861" s="13"/>
      <c r="S5861" s="13"/>
    </row>
    <row r="5862" spans="1:19" x14ac:dyDescent="0.2">
      <c r="A5862" s="12" t="s">
        <v>582</v>
      </c>
      <c r="B5862" s="12" t="s">
        <v>568</v>
      </c>
      <c r="C5862" s="12" t="s">
        <v>557</v>
      </c>
      <c r="D5862" s="13">
        <v>1404</v>
      </c>
      <c r="E5862" s="13">
        <v>2063.2968369999999</v>
      </c>
      <c r="F5862" s="13">
        <v>2051.0892210000002</v>
      </c>
      <c r="G5862" s="13">
        <v>1768.2436709999999</v>
      </c>
      <c r="H5862" s="13"/>
      <c r="I5862" s="13"/>
      <c r="J5862" s="13"/>
      <c r="K5862" s="13"/>
      <c r="L5862" s="13"/>
      <c r="M5862" s="13"/>
      <c r="N5862" s="13"/>
      <c r="O5862" s="13"/>
      <c r="P5862" s="13"/>
      <c r="Q5862" s="13"/>
      <c r="R5862" s="13"/>
      <c r="S5862" s="13"/>
    </row>
    <row r="5863" spans="1:19" x14ac:dyDescent="0.2">
      <c r="A5863" s="12" t="s">
        <v>582</v>
      </c>
      <c r="B5863" s="12" t="s">
        <v>568</v>
      </c>
      <c r="C5863" s="12" t="s">
        <v>558</v>
      </c>
      <c r="D5863" s="13">
        <v>-566</v>
      </c>
      <c r="E5863" s="13">
        <v>-698.681423</v>
      </c>
      <c r="F5863" s="13">
        <v>-676.26150299999995</v>
      </c>
      <c r="G5863" s="13">
        <v>-609.30385200000001</v>
      </c>
      <c r="H5863" s="13"/>
      <c r="I5863" s="13"/>
      <c r="J5863" s="13"/>
      <c r="K5863" s="13"/>
      <c r="L5863" s="13"/>
      <c r="M5863" s="13"/>
      <c r="N5863" s="13"/>
      <c r="O5863" s="13"/>
      <c r="P5863" s="13"/>
      <c r="Q5863" s="13"/>
      <c r="R5863" s="13"/>
      <c r="S5863" s="13"/>
    </row>
    <row r="5864" spans="1:19" x14ac:dyDescent="0.2">
      <c r="A5864" s="12" t="s">
        <v>582</v>
      </c>
      <c r="B5864" s="12" t="s">
        <v>568</v>
      </c>
      <c r="C5864" s="12" t="s">
        <v>560</v>
      </c>
      <c r="D5864" s="13">
        <v>6220</v>
      </c>
      <c r="E5864" s="13">
        <v>6694.2368349999997</v>
      </c>
      <c r="F5864" s="13">
        <v>7050.8934369999997</v>
      </c>
      <c r="G5864" s="13">
        <v>7274.4752479999997</v>
      </c>
      <c r="H5864" s="13"/>
      <c r="I5864" s="13"/>
      <c r="J5864" s="13"/>
      <c r="K5864" s="13"/>
      <c r="L5864" s="13"/>
      <c r="M5864" s="13"/>
      <c r="N5864" s="13"/>
      <c r="O5864" s="13"/>
      <c r="P5864" s="13"/>
      <c r="Q5864" s="13"/>
      <c r="R5864" s="13"/>
      <c r="S5864" s="13"/>
    </row>
    <row r="5865" spans="1:19" x14ac:dyDescent="0.2">
      <c r="A5865" s="12" t="s">
        <v>582</v>
      </c>
      <c r="B5865" s="12" t="s">
        <v>568</v>
      </c>
      <c r="C5865" s="12" t="s">
        <v>561</v>
      </c>
      <c r="D5865" s="13">
        <v>6895</v>
      </c>
      <c r="E5865" s="13">
        <v>7723.5546690000001</v>
      </c>
      <c r="F5865" s="13">
        <v>8204.4347410000009</v>
      </c>
      <c r="G5865" s="13">
        <v>8310.6197640000009</v>
      </c>
      <c r="H5865" s="13"/>
      <c r="I5865" s="13"/>
      <c r="J5865" s="13"/>
      <c r="K5865" s="13"/>
      <c r="L5865" s="13"/>
      <c r="M5865" s="13"/>
      <c r="N5865" s="13"/>
      <c r="O5865" s="13"/>
      <c r="P5865" s="13"/>
      <c r="Q5865" s="13"/>
      <c r="R5865" s="13"/>
      <c r="S5865" s="13"/>
    </row>
    <row r="5866" spans="1:19" x14ac:dyDescent="0.2">
      <c r="A5866" s="12" t="s">
        <v>582</v>
      </c>
      <c r="B5866" s="12" t="s">
        <v>568</v>
      </c>
      <c r="C5866" s="12" t="s">
        <v>562</v>
      </c>
      <c r="D5866" s="13">
        <v>758</v>
      </c>
      <c r="E5866" s="13">
        <v>872.03321400000004</v>
      </c>
      <c r="F5866" s="13">
        <v>903.23921800000005</v>
      </c>
      <c r="G5866" s="13">
        <v>872.61265100000003</v>
      </c>
      <c r="H5866" s="13"/>
      <c r="I5866" s="13"/>
      <c r="J5866" s="13"/>
      <c r="K5866" s="13"/>
      <c r="L5866" s="13"/>
      <c r="M5866" s="13"/>
      <c r="N5866" s="13"/>
      <c r="O5866" s="13"/>
      <c r="P5866" s="13"/>
      <c r="Q5866" s="13"/>
      <c r="R5866" s="13"/>
      <c r="S5866" s="13"/>
    </row>
    <row r="5867" spans="1:19" x14ac:dyDescent="0.2">
      <c r="A5867" s="12" t="s">
        <v>582</v>
      </c>
      <c r="B5867" s="12" t="s">
        <v>568</v>
      </c>
      <c r="C5867" s="12" t="s">
        <v>563</v>
      </c>
      <c r="D5867" s="13">
        <v>4362</v>
      </c>
      <c r="E5867" s="13">
        <v>4983.37932</v>
      </c>
      <c r="F5867" s="13">
        <v>5330.4322199999997</v>
      </c>
      <c r="G5867" s="13">
        <v>5467.2880690000002</v>
      </c>
      <c r="H5867" s="13"/>
      <c r="I5867" s="13"/>
      <c r="J5867" s="13"/>
      <c r="K5867" s="13"/>
      <c r="L5867" s="13"/>
      <c r="M5867" s="13"/>
      <c r="N5867" s="13"/>
      <c r="O5867" s="13"/>
      <c r="P5867" s="13"/>
      <c r="Q5867" s="13"/>
      <c r="R5867" s="13"/>
      <c r="S5867" s="13"/>
    </row>
    <row r="5868" spans="1:19" x14ac:dyDescent="0.2">
      <c r="A5868" s="12" t="s">
        <v>582</v>
      </c>
      <c r="B5868" s="12" t="s">
        <v>568</v>
      </c>
      <c r="C5868" s="12" t="s">
        <v>564</v>
      </c>
      <c r="D5868" s="13">
        <v>529</v>
      </c>
      <c r="E5868" s="13">
        <v>540.87022100000002</v>
      </c>
      <c r="F5868" s="13">
        <v>542.62844299999995</v>
      </c>
      <c r="G5868" s="13">
        <v>550.16659600000003</v>
      </c>
      <c r="H5868" s="13"/>
      <c r="I5868" s="13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</row>
    <row r="5869" spans="1:19" x14ac:dyDescent="0.2">
      <c r="A5869" s="12" t="s">
        <v>582</v>
      </c>
      <c r="B5869" s="12" t="s">
        <v>568</v>
      </c>
      <c r="C5869" s="12" t="s">
        <v>565</v>
      </c>
      <c r="D5869" s="13">
        <v>87</v>
      </c>
      <c r="E5869" s="13">
        <v>99.191354000000004</v>
      </c>
      <c r="F5869" s="13">
        <v>102.870555</v>
      </c>
      <c r="G5869" s="13">
        <v>109.665313</v>
      </c>
      <c r="H5869" s="13"/>
      <c r="I5869" s="13"/>
      <c r="J5869" s="13"/>
      <c r="K5869" s="13"/>
      <c r="L5869" s="13"/>
      <c r="M5869" s="13"/>
      <c r="N5869" s="13"/>
      <c r="O5869" s="13"/>
      <c r="P5869" s="13"/>
      <c r="Q5869" s="13"/>
      <c r="R5869" s="13"/>
      <c r="S5869" s="13"/>
    </row>
    <row r="5870" spans="1:19" x14ac:dyDescent="0.2">
      <c r="A5870" s="12" t="s">
        <v>582</v>
      </c>
      <c r="B5870" s="12" t="s">
        <v>568</v>
      </c>
      <c r="C5870" s="12" t="s">
        <v>566</v>
      </c>
      <c r="D5870" s="13">
        <v>1159</v>
      </c>
      <c r="E5870" s="13">
        <v>1228.0805499999999</v>
      </c>
      <c r="F5870" s="13">
        <v>1325.2643049999999</v>
      </c>
      <c r="G5870" s="13">
        <v>1310.887127</v>
      </c>
      <c r="H5870" s="13"/>
      <c r="I5870" s="13"/>
      <c r="J5870" s="13"/>
      <c r="K5870" s="13"/>
      <c r="L5870" s="13"/>
      <c r="M5870" s="13"/>
      <c r="N5870" s="13"/>
      <c r="O5870" s="13"/>
      <c r="P5870" s="13"/>
      <c r="Q5870" s="13"/>
      <c r="R5870" s="13"/>
      <c r="S5870" s="13"/>
    </row>
    <row r="5871" spans="1:19" x14ac:dyDescent="0.2">
      <c r="A5871" s="12" t="s">
        <v>582</v>
      </c>
      <c r="B5871" s="12" t="s">
        <v>569</v>
      </c>
      <c r="C5871" s="12" t="s">
        <v>554</v>
      </c>
      <c r="D5871" s="13">
        <v>5113</v>
      </c>
      <c r="E5871" s="13">
        <v>5019.5985070000006</v>
      </c>
      <c r="F5871" s="13">
        <v>5195.806047</v>
      </c>
      <c r="G5871" s="13">
        <v>5086.3875500000004</v>
      </c>
      <c r="H5871" s="13"/>
      <c r="I5871" s="13"/>
      <c r="J5871" s="13"/>
      <c r="K5871" s="13"/>
      <c r="L5871" s="13"/>
      <c r="M5871" s="13"/>
      <c r="N5871" s="13"/>
      <c r="O5871" s="13"/>
      <c r="P5871" s="13"/>
      <c r="Q5871" s="13"/>
      <c r="R5871" s="13"/>
      <c r="S5871" s="13"/>
    </row>
    <row r="5872" spans="1:19" x14ac:dyDescent="0.2">
      <c r="A5872" s="12" t="s">
        <v>582</v>
      </c>
      <c r="B5872" s="12" t="s">
        <v>569</v>
      </c>
      <c r="C5872" s="12" t="s">
        <v>555</v>
      </c>
      <c r="D5872" s="13">
        <v>752</v>
      </c>
      <c r="E5872" s="13">
        <v>1089.706475</v>
      </c>
      <c r="F5872" s="13">
        <v>683.022423</v>
      </c>
      <c r="G5872" s="13">
        <v>611.101899</v>
      </c>
      <c r="H5872" s="13"/>
      <c r="I5872" s="13"/>
      <c r="J5872" s="13"/>
      <c r="K5872" s="13"/>
      <c r="L5872" s="13"/>
      <c r="M5872" s="13"/>
      <c r="N5872" s="13"/>
      <c r="O5872" s="13"/>
      <c r="P5872" s="13"/>
      <c r="Q5872" s="13"/>
      <c r="R5872" s="13"/>
      <c r="S5872" s="13"/>
    </row>
    <row r="5873" spans="1:19" x14ac:dyDescent="0.2">
      <c r="A5873" s="12" t="s">
        <v>582</v>
      </c>
      <c r="B5873" s="12" t="s">
        <v>569</v>
      </c>
      <c r="C5873" s="12" t="s">
        <v>556</v>
      </c>
      <c r="D5873" s="13">
        <v>-1161</v>
      </c>
      <c r="E5873" s="13">
        <v>-926.2163220000001</v>
      </c>
      <c r="F5873" s="13">
        <v>-1033.8509449999999</v>
      </c>
      <c r="G5873" s="13">
        <v>-911.20401900000002</v>
      </c>
      <c r="H5873" s="13"/>
      <c r="I5873" s="13"/>
      <c r="J5873" s="13"/>
      <c r="K5873" s="13"/>
      <c r="L5873" s="13"/>
      <c r="M5873" s="13"/>
      <c r="N5873" s="13"/>
      <c r="O5873" s="13"/>
      <c r="P5873" s="13"/>
      <c r="Q5873" s="13"/>
      <c r="R5873" s="13"/>
      <c r="S5873" s="13"/>
    </row>
    <row r="5874" spans="1:19" x14ac:dyDescent="0.2">
      <c r="A5874" s="12" t="s">
        <v>582</v>
      </c>
      <c r="B5874" s="12" t="s">
        <v>569</v>
      </c>
      <c r="C5874" s="12" t="s">
        <v>557</v>
      </c>
      <c r="D5874" s="13">
        <v>4703</v>
      </c>
      <c r="E5874" s="13">
        <v>5190.6489809999994</v>
      </c>
      <c r="F5874" s="13">
        <v>4840.3794970000008</v>
      </c>
      <c r="G5874" s="13">
        <v>4773.103537</v>
      </c>
      <c r="H5874" s="13"/>
      <c r="I5874" s="13"/>
      <c r="J5874" s="13"/>
      <c r="K5874" s="13"/>
      <c r="L5874" s="13"/>
      <c r="M5874" s="13"/>
      <c r="N5874" s="13"/>
      <c r="O5874" s="13"/>
      <c r="P5874" s="13"/>
      <c r="Q5874" s="13"/>
      <c r="R5874" s="13"/>
      <c r="S5874" s="13"/>
    </row>
    <row r="5875" spans="1:19" x14ac:dyDescent="0.2">
      <c r="A5875" s="12" t="s">
        <v>582</v>
      </c>
      <c r="B5875" s="12" t="s">
        <v>569</v>
      </c>
      <c r="C5875" s="12" t="s">
        <v>558</v>
      </c>
      <c r="D5875" s="13">
        <v>-1524</v>
      </c>
      <c r="E5875" s="13">
        <v>-1844.8778070000001</v>
      </c>
      <c r="F5875" s="13">
        <v>-1452.330113</v>
      </c>
      <c r="G5875" s="13">
        <v>-1436.071291</v>
      </c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</row>
    <row r="5876" spans="1:19" x14ac:dyDescent="0.2">
      <c r="A5876" s="12" t="s">
        <v>582</v>
      </c>
      <c r="B5876" s="12" t="s">
        <v>569</v>
      </c>
      <c r="C5876" s="12" t="s">
        <v>560</v>
      </c>
      <c r="D5876" s="13">
        <v>0</v>
      </c>
      <c r="E5876" s="13">
        <v>0</v>
      </c>
      <c r="F5876" s="13">
        <v>0</v>
      </c>
      <c r="G5876" s="13">
        <v>0</v>
      </c>
      <c r="H5876" s="13"/>
      <c r="I5876" s="13"/>
      <c r="J5876" s="13"/>
      <c r="K5876" s="13"/>
      <c r="L5876" s="13"/>
      <c r="M5876" s="13"/>
      <c r="N5876" s="13"/>
      <c r="O5876" s="13"/>
      <c r="P5876" s="13"/>
      <c r="Q5876" s="13"/>
      <c r="R5876" s="13"/>
      <c r="S5876" s="13"/>
    </row>
    <row r="5877" spans="1:19" x14ac:dyDescent="0.2">
      <c r="A5877" s="12" t="s">
        <v>582</v>
      </c>
      <c r="B5877" s="12" t="s">
        <v>569</v>
      </c>
      <c r="C5877" s="12" t="s">
        <v>561</v>
      </c>
      <c r="D5877" s="13">
        <v>1991</v>
      </c>
      <c r="E5877" s="13">
        <v>2040.9754949999999</v>
      </c>
      <c r="F5877" s="13">
        <v>2241.4842979999999</v>
      </c>
      <c r="G5877" s="13">
        <v>2152.7068469999999</v>
      </c>
      <c r="H5877" s="13"/>
      <c r="I5877" s="13"/>
      <c r="J5877" s="13"/>
      <c r="K5877" s="13"/>
      <c r="L5877" s="13"/>
      <c r="M5877" s="13"/>
      <c r="N5877" s="13"/>
      <c r="O5877" s="13"/>
      <c r="P5877" s="13"/>
      <c r="Q5877" s="13"/>
      <c r="R5877" s="13"/>
      <c r="S5877" s="13"/>
    </row>
    <row r="5878" spans="1:19" x14ac:dyDescent="0.2">
      <c r="A5878" s="12" t="s">
        <v>582</v>
      </c>
      <c r="B5878" s="12" t="s">
        <v>569</v>
      </c>
      <c r="C5878" s="12" t="s">
        <v>562</v>
      </c>
      <c r="D5878" s="13">
        <v>870</v>
      </c>
      <c r="E5878" s="13">
        <v>877.30040099999997</v>
      </c>
      <c r="F5878" s="13">
        <v>966.13653099999999</v>
      </c>
      <c r="G5878" s="13">
        <v>950.34141799999998</v>
      </c>
      <c r="H5878" s="13"/>
      <c r="I5878" s="13"/>
      <c r="J5878" s="13"/>
      <c r="K5878" s="13"/>
      <c r="L5878" s="13"/>
      <c r="M5878" s="13"/>
      <c r="N5878" s="13"/>
      <c r="O5878" s="13"/>
      <c r="P5878" s="13"/>
      <c r="Q5878" s="13"/>
      <c r="R5878" s="13"/>
      <c r="S5878" s="13"/>
    </row>
    <row r="5879" spans="1:19" x14ac:dyDescent="0.2">
      <c r="A5879" s="12" t="s">
        <v>582</v>
      </c>
      <c r="B5879" s="12" t="s">
        <v>569</v>
      </c>
      <c r="C5879" s="12" t="s">
        <v>563</v>
      </c>
      <c r="D5879" s="13">
        <v>250</v>
      </c>
      <c r="E5879" s="13">
        <v>277.42088899999999</v>
      </c>
      <c r="F5879" s="13">
        <v>294.536092</v>
      </c>
      <c r="G5879" s="13">
        <v>263.57602100000003</v>
      </c>
      <c r="H5879" s="13"/>
      <c r="I5879" s="13"/>
      <c r="J5879" s="13"/>
      <c r="K5879" s="13"/>
      <c r="L5879" s="13"/>
      <c r="M5879" s="13"/>
      <c r="N5879" s="13"/>
      <c r="O5879" s="13"/>
      <c r="P5879" s="13"/>
      <c r="Q5879" s="13"/>
      <c r="R5879" s="13"/>
      <c r="S5879" s="13"/>
    </row>
    <row r="5880" spans="1:19" x14ac:dyDescent="0.2">
      <c r="A5880" s="12" t="s">
        <v>582</v>
      </c>
      <c r="B5880" s="12" t="s">
        <v>569</v>
      </c>
      <c r="C5880" s="12" t="s">
        <v>564</v>
      </c>
      <c r="D5880" s="13">
        <v>424</v>
      </c>
      <c r="E5880" s="13">
        <v>396.45802700000002</v>
      </c>
      <c r="F5880" s="13">
        <v>455.80819500000001</v>
      </c>
      <c r="G5880" s="13">
        <v>436.42678599999999</v>
      </c>
      <c r="H5880" s="13"/>
      <c r="I5880" s="13"/>
      <c r="J5880" s="13"/>
      <c r="K5880" s="13"/>
      <c r="L5880" s="13"/>
      <c r="M5880" s="13"/>
      <c r="N5880" s="13"/>
      <c r="O5880" s="13"/>
      <c r="P5880" s="13"/>
      <c r="Q5880" s="13"/>
      <c r="R5880" s="13"/>
      <c r="S5880" s="13"/>
    </row>
    <row r="5881" spans="1:19" x14ac:dyDescent="0.2">
      <c r="A5881" s="12" t="s">
        <v>582</v>
      </c>
      <c r="B5881" s="12" t="s">
        <v>569</v>
      </c>
      <c r="C5881" s="12" t="s">
        <v>565</v>
      </c>
      <c r="D5881" s="13">
        <v>58</v>
      </c>
      <c r="E5881" s="13">
        <v>65.298592999999997</v>
      </c>
      <c r="F5881" s="13">
        <v>74.823499999999996</v>
      </c>
      <c r="G5881" s="13">
        <v>80.511615999999989</v>
      </c>
      <c r="H5881" s="13"/>
      <c r="I5881" s="13"/>
      <c r="J5881" s="13"/>
      <c r="K5881" s="13"/>
      <c r="L5881" s="13"/>
      <c r="M5881" s="13"/>
      <c r="N5881" s="13"/>
      <c r="O5881" s="13"/>
      <c r="P5881" s="13"/>
      <c r="Q5881" s="13"/>
      <c r="R5881" s="13"/>
      <c r="S5881" s="13"/>
    </row>
    <row r="5882" spans="1:19" x14ac:dyDescent="0.2">
      <c r="A5882" s="12" t="s">
        <v>582</v>
      </c>
      <c r="B5882" s="12" t="s">
        <v>569</v>
      </c>
      <c r="C5882" s="12" t="s">
        <v>566</v>
      </c>
      <c r="D5882" s="13">
        <v>389</v>
      </c>
      <c r="E5882" s="13">
        <v>424.49757899999997</v>
      </c>
      <c r="F5882" s="13">
        <v>450.17997500000001</v>
      </c>
      <c r="G5882" s="13">
        <v>421.85099500000001</v>
      </c>
      <c r="H5882" s="13"/>
      <c r="I5882" s="13"/>
      <c r="J5882" s="13"/>
      <c r="K5882" s="13"/>
      <c r="L5882" s="13"/>
      <c r="M5882" s="13"/>
      <c r="N5882" s="13"/>
      <c r="O5882" s="13"/>
      <c r="P5882" s="13"/>
      <c r="Q5882" s="13"/>
      <c r="R5882" s="13"/>
      <c r="S5882" s="13"/>
    </row>
    <row r="5883" spans="1:19" x14ac:dyDescent="0.2">
      <c r="A5883" s="12" t="s">
        <v>582</v>
      </c>
      <c r="B5883" s="12" t="s">
        <v>570</v>
      </c>
      <c r="C5883" s="12" t="s">
        <v>554</v>
      </c>
      <c r="D5883" s="13">
        <v>270</v>
      </c>
      <c r="E5883" s="13">
        <v>279.07192400000002</v>
      </c>
      <c r="F5883" s="13">
        <v>245.969978</v>
      </c>
      <c r="G5883" s="13">
        <v>262.79802500000011</v>
      </c>
      <c r="H5883" s="13"/>
      <c r="I5883" s="13"/>
      <c r="J5883" s="13"/>
      <c r="K5883" s="13"/>
      <c r="L5883" s="13"/>
      <c r="M5883" s="13"/>
      <c r="N5883" s="13"/>
      <c r="O5883" s="13"/>
      <c r="P5883" s="13"/>
      <c r="Q5883" s="13"/>
      <c r="R5883" s="13"/>
      <c r="S5883" s="13"/>
    </row>
    <row r="5884" spans="1:19" x14ac:dyDescent="0.2">
      <c r="A5884" s="12" t="s">
        <v>582</v>
      </c>
      <c r="B5884" s="12" t="s">
        <v>570</v>
      </c>
      <c r="C5884" s="12" t="s">
        <v>555</v>
      </c>
      <c r="D5884" s="13">
        <v>0</v>
      </c>
      <c r="E5884" s="13">
        <v>0</v>
      </c>
      <c r="F5884" s="13">
        <v>0</v>
      </c>
      <c r="G5884" s="13">
        <v>0</v>
      </c>
      <c r="H5884" s="13"/>
      <c r="I5884" s="13"/>
      <c r="J5884" s="13"/>
      <c r="K5884" s="13"/>
      <c r="L5884" s="13"/>
      <c r="M5884" s="13"/>
      <c r="N5884" s="13"/>
      <c r="O5884" s="13"/>
      <c r="P5884" s="13"/>
      <c r="Q5884" s="13"/>
      <c r="R5884" s="13"/>
      <c r="S5884" s="13"/>
    </row>
    <row r="5885" spans="1:19" x14ac:dyDescent="0.2">
      <c r="A5885" s="12" t="s">
        <v>582</v>
      </c>
      <c r="B5885" s="12" t="s">
        <v>570</v>
      </c>
      <c r="C5885" s="12" t="s">
        <v>556</v>
      </c>
      <c r="D5885" s="13">
        <v>0</v>
      </c>
      <c r="E5885" s="13">
        <v>0</v>
      </c>
      <c r="F5885" s="13">
        <v>0</v>
      </c>
      <c r="G5885" s="13">
        <v>0</v>
      </c>
      <c r="H5885" s="13"/>
      <c r="I5885" s="13"/>
      <c r="J5885" s="13"/>
      <c r="K5885" s="13"/>
      <c r="L5885" s="13"/>
      <c r="M5885" s="13"/>
      <c r="N5885" s="13"/>
      <c r="O5885" s="13"/>
      <c r="P5885" s="13"/>
      <c r="Q5885" s="13"/>
      <c r="R5885" s="13"/>
      <c r="S5885" s="13"/>
    </row>
    <row r="5886" spans="1:19" x14ac:dyDescent="0.2">
      <c r="A5886" s="12" t="s">
        <v>582</v>
      </c>
      <c r="B5886" s="12" t="s">
        <v>570</v>
      </c>
      <c r="C5886" s="12" t="s">
        <v>557</v>
      </c>
      <c r="D5886" s="13">
        <v>270</v>
      </c>
      <c r="E5886" s="13">
        <v>279.07192400000002</v>
      </c>
      <c r="F5886" s="13">
        <v>245.969978</v>
      </c>
      <c r="G5886" s="13">
        <v>262.79802500000011</v>
      </c>
      <c r="H5886" s="13"/>
      <c r="I5886" s="13"/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</row>
    <row r="5887" spans="1:19" x14ac:dyDescent="0.2">
      <c r="A5887" s="12" t="s">
        <v>582</v>
      </c>
      <c r="B5887" s="12" t="s">
        <v>570</v>
      </c>
      <c r="C5887" s="12" t="s">
        <v>558</v>
      </c>
      <c r="D5887" s="13">
        <v>-270</v>
      </c>
      <c r="E5887" s="13">
        <v>-279.07192400000002</v>
      </c>
      <c r="F5887" s="13">
        <v>-245.969978</v>
      </c>
      <c r="G5887" s="13">
        <v>-262.79802500000011</v>
      </c>
      <c r="H5887" s="13"/>
      <c r="I5887" s="13"/>
      <c r="J5887" s="13"/>
      <c r="K5887" s="13"/>
      <c r="L5887" s="13"/>
      <c r="M5887" s="13"/>
      <c r="N5887" s="13"/>
      <c r="O5887" s="13"/>
      <c r="P5887" s="13"/>
      <c r="Q5887" s="13"/>
      <c r="R5887" s="13"/>
      <c r="S5887" s="13"/>
    </row>
    <row r="5888" spans="1:19" x14ac:dyDescent="0.2">
      <c r="A5888" s="12" t="s">
        <v>582</v>
      </c>
      <c r="B5888" s="12" t="s">
        <v>570</v>
      </c>
      <c r="C5888" s="12" t="s">
        <v>560</v>
      </c>
      <c r="D5888" s="13">
        <v>0</v>
      </c>
      <c r="E5888" s="13">
        <v>0</v>
      </c>
      <c r="F5888" s="13">
        <v>0</v>
      </c>
      <c r="G5888" s="13">
        <v>0</v>
      </c>
      <c r="H5888" s="13"/>
      <c r="I5888" s="13"/>
      <c r="J5888" s="13"/>
      <c r="K5888" s="13"/>
      <c r="L5888" s="13"/>
      <c r="M5888" s="13"/>
      <c r="N5888" s="13"/>
      <c r="O5888" s="13"/>
      <c r="P5888" s="13"/>
      <c r="Q5888" s="13"/>
      <c r="R5888" s="13"/>
      <c r="S5888" s="13"/>
    </row>
    <row r="5889" spans="1:19" x14ac:dyDescent="0.2">
      <c r="A5889" s="12" t="s">
        <v>582</v>
      </c>
      <c r="B5889" s="12" t="s">
        <v>570</v>
      </c>
      <c r="C5889" s="12" t="s">
        <v>561</v>
      </c>
      <c r="D5889" s="13">
        <v>0</v>
      </c>
      <c r="E5889" s="13">
        <v>0</v>
      </c>
      <c r="F5889" s="13">
        <v>0</v>
      </c>
      <c r="G5889" s="13">
        <v>0</v>
      </c>
      <c r="H5889" s="13"/>
      <c r="I5889" s="13"/>
      <c r="J5889" s="13"/>
      <c r="K5889" s="13"/>
      <c r="L5889" s="13"/>
      <c r="M5889" s="13"/>
      <c r="N5889" s="13"/>
      <c r="O5889" s="13"/>
      <c r="P5889" s="13"/>
      <c r="Q5889" s="13"/>
      <c r="R5889" s="13"/>
      <c r="S5889" s="13"/>
    </row>
    <row r="5890" spans="1:19" x14ac:dyDescent="0.2">
      <c r="A5890" s="12" t="s">
        <v>582</v>
      </c>
      <c r="B5890" s="12" t="s">
        <v>570</v>
      </c>
      <c r="C5890" s="12" t="s">
        <v>562</v>
      </c>
      <c r="D5890" s="13">
        <v>0</v>
      </c>
      <c r="E5890" s="13">
        <v>0</v>
      </c>
      <c r="F5890" s="13">
        <v>0</v>
      </c>
      <c r="G5890" s="13">
        <v>0</v>
      </c>
      <c r="H5890" s="13"/>
      <c r="I5890" s="13"/>
      <c r="J5890" s="13"/>
      <c r="K5890" s="13"/>
      <c r="L5890" s="13"/>
      <c r="M5890" s="13"/>
      <c r="N5890" s="13"/>
      <c r="O5890" s="13"/>
      <c r="P5890" s="13"/>
      <c r="Q5890" s="13"/>
      <c r="R5890" s="13"/>
      <c r="S5890" s="13"/>
    </row>
    <row r="5891" spans="1:19" x14ac:dyDescent="0.2">
      <c r="A5891" s="12" t="s">
        <v>582</v>
      </c>
      <c r="B5891" s="12" t="s">
        <v>570</v>
      </c>
      <c r="C5891" s="12" t="s">
        <v>563</v>
      </c>
      <c r="D5891" s="13">
        <v>0</v>
      </c>
      <c r="E5891" s="13">
        <v>0</v>
      </c>
      <c r="F5891" s="13">
        <v>0</v>
      </c>
      <c r="G5891" s="13">
        <v>0</v>
      </c>
      <c r="H5891" s="13"/>
      <c r="I5891" s="13"/>
      <c r="J5891" s="13"/>
      <c r="K5891" s="13"/>
      <c r="L5891" s="13"/>
      <c r="M5891" s="13"/>
      <c r="N5891" s="13"/>
      <c r="O5891" s="13"/>
      <c r="P5891" s="13"/>
      <c r="Q5891" s="13"/>
      <c r="R5891" s="13"/>
      <c r="S5891" s="13"/>
    </row>
    <row r="5892" spans="1:19" x14ac:dyDescent="0.2">
      <c r="A5892" s="12" t="s">
        <v>582</v>
      </c>
      <c r="B5892" s="12" t="s">
        <v>570</v>
      </c>
      <c r="C5892" s="12" t="s">
        <v>564</v>
      </c>
      <c r="D5892" s="13">
        <v>0</v>
      </c>
      <c r="E5892" s="13">
        <v>0</v>
      </c>
      <c r="F5892" s="13">
        <v>0</v>
      </c>
      <c r="G5892" s="13">
        <v>0</v>
      </c>
      <c r="H5892" s="13"/>
      <c r="I5892" s="13"/>
      <c r="J5892" s="13"/>
      <c r="K5892" s="13"/>
      <c r="L5892" s="13"/>
      <c r="M5892" s="13"/>
      <c r="N5892" s="13"/>
      <c r="O5892" s="13"/>
      <c r="P5892" s="13"/>
      <c r="Q5892" s="13"/>
      <c r="R5892" s="13"/>
      <c r="S5892" s="13"/>
    </row>
    <row r="5893" spans="1:19" x14ac:dyDescent="0.2">
      <c r="A5893" s="12" t="s">
        <v>582</v>
      </c>
      <c r="B5893" s="12" t="s">
        <v>570</v>
      </c>
      <c r="C5893" s="12" t="s">
        <v>565</v>
      </c>
      <c r="D5893" s="13">
        <v>0</v>
      </c>
      <c r="E5893" s="13">
        <v>0</v>
      </c>
      <c r="F5893" s="13">
        <v>0</v>
      </c>
      <c r="G5893" s="13">
        <v>0</v>
      </c>
      <c r="H5893" s="13"/>
      <c r="I5893" s="13"/>
      <c r="J5893" s="13"/>
      <c r="K5893" s="13"/>
      <c r="L5893" s="13"/>
      <c r="M5893" s="13"/>
      <c r="N5893" s="13"/>
      <c r="O5893" s="13"/>
      <c r="P5893" s="13"/>
      <c r="Q5893" s="13"/>
      <c r="R5893" s="13"/>
      <c r="S5893" s="13"/>
    </row>
    <row r="5894" spans="1:19" x14ac:dyDescent="0.2">
      <c r="A5894" s="12" t="s">
        <v>582</v>
      </c>
      <c r="B5894" s="12" t="s">
        <v>570</v>
      </c>
      <c r="C5894" s="12" t="s">
        <v>566</v>
      </c>
      <c r="D5894" s="13">
        <v>0</v>
      </c>
      <c r="E5894" s="13">
        <v>0</v>
      </c>
      <c r="F5894" s="13">
        <v>0</v>
      </c>
      <c r="G5894" s="13">
        <v>0</v>
      </c>
      <c r="H5894" s="13"/>
      <c r="I5894" s="13"/>
      <c r="J5894" s="13"/>
      <c r="K5894" s="13"/>
      <c r="L5894" s="13"/>
      <c r="M5894" s="13"/>
      <c r="N5894" s="13"/>
      <c r="O5894" s="13"/>
      <c r="P5894" s="13"/>
      <c r="Q5894" s="13"/>
      <c r="R5894" s="13"/>
      <c r="S5894" s="13"/>
    </row>
    <row r="5895" spans="1:19" x14ac:dyDescent="0.2">
      <c r="A5895" s="12" t="s">
        <v>582</v>
      </c>
      <c r="B5895" s="12" t="s">
        <v>571</v>
      </c>
      <c r="C5895" s="12" t="s">
        <v>554</v>
      </c>
      <c r="D5895" s="13">
        <v>8241</v>
      </c>
      <c r="E5895" s="13">
        <v>8048.8039319999998</v>
      </c>
      <c r="F5895" s="13">
        <v>8493.8295050000015</v>
      </c>
      <c r="G5895" s="13">
        <v>9040.0404829999989</v>
      </c>
      <c r="H5895" s="13"/>
      <c r="I5895" s="13"/>
      <c r="J5895" s="13"/>
      <c r="K5895" s="13"/>
      <c r="L5895" s="13"/>
      <c r="M5895" s="13"/>
      <c r="N5895" s="13"/>
      <c r="O5895" s="13"/>
      <c r="P5895" s="13"/>
      <c r="Q5895" s="13"/>
      <c r="R5895" s="13"/>
      <c r="S5895" s="13"/>
    </row>
    <row r="5896" spans="1:19" x14ac:dyDescent="0.2">
      <c r="A5896" s="12" t="s">
        <v>582</v>
      </c>
      <c r="B5896" s="12" t="s">
        <v>571</v>
      </c>
      <c r="C5896" s="12" t="s">
        <v>555</v>
      </c>
      <c r="D5896" s="13">
        <v>31</v>
      </c>
      <c r="E5896" s="13">
        <v>19.806979999999999</v>
      </c>
      <c r="F5896" s="13">
        <v>11.738393</v>
      </c>
      <c r="G5896" s="13">
        <v>9.8169699999999995</v>
      </c>
      <c r="H5896" s="13"/>
      <c r="I5896" s="13"/>
      <c r="J5896" s="13"/>
      <c r="K5896" s="13"/>
      <c r="L5896" s="13"/>
      <c r="M5896" s="13"/>
      <c r="N5896" s="13"/>
      <c r="O5896" s="13"/>
      <c r="P5896" s="13"/>
      <c r="Q5896" s="13"/>
      <c r="R5896" s="13"/>
      <c r="S5896" s="13"/>
    </row>
    <row r="5897" spans="1:19" x14ac:dyDescent="0.2">
      <c r="A5897" s="12" t="s">
        <v>582</v>
      </c>
      <c r="B5897" s="12" t="s">
        <v>571</v>
      </c>
      <c r="C5897" s="12" t="s">
        <v>556</v>
      </c>
      <c r="D5897" s="13">
        <v>-73</v>
      </c>
      <c r="E5897" s="13">
        <v>-95.192763999999997</v>
      </c>
      <c r="F5897" s="13">
        <v>-105.91883900000001</v>
      </c>
      <c r="G5897" s="13">
        <v>-72.427085000000005</v>
      </c>
      <c r="H5897" s="13"/>
      <c r="I5897" s="13"/>
      <c r="J5897" s="13"/>
      <c r="K5897" s="13"/>
      <c r="L5897" s="13"/>
      <c r="M5897" s="13"/>
      <c r="N5897" s="13"/>
      <c r="O5897" s="13"/>
      <c r="P5897" s="13"/>
      <c r="Q5897" s="13"/>
      <c r="R5897" s="13"/>
      <c r="S5897" s="13"/>
    </row>
    <row r="5898" spans="1:19" x14ac:dyDescent="0.2">
      <c r="A5898" s="12" t="s">
        <v>582</v>
      </c>
      <c r="B5898" s="12" t="s">
        <v>571</v>
      </c>
      <c r="C5898" s="12" t="s">
        <v>557</v>
      </c>
      <c r="D5898" s="13">
        <v>8194</v>
      </c>
      <c r="E5898" s="13">
        <v>8006.296738</v>
      </c>
      <c r="F5898" s="13">
        <v>8407.2016359999998</v>
      </c>
      <c r="G5898" s="13">
        <v>8923.7372459999988</v>
      </c>
      <c r="H5898" s="13"/>
      <c r="I5898" s="13"/>
      <c r="J5898" s="13"/>
      <c r="K5898" s="13"/>
      <c r="L5898" s="13"/>
      <c r="M5898" s="13"/>
      <c r="N5898" s="13"/>
      <c r="O5898" s="13"/>
      <c r="P5898" s="13"/>
      <c r="Q5898" s="13"/>
      <c r="R5898" s="13"/>
      <c r="S5898" s="13"/>
    </row>
    <row r="5899" spans="1:19" x14ac:dyDescent="0.2">
      <c r="A5899" s="12" t="s">
        <v>582</v>
      </c>
      <c r="B5899" s="12" t="s">
        <v>571</v>
      </c>
      <c r="C5899" s="12" t="s">
        <v>558</v>
      </c>
      <c r="D5899" s="13">
        <v>-3352</v>
      </c>
      <c r="E5899" s="13">
        <v>-3333.9122470000002</v>
      </c>
      <c r="F5899" s="13">
        <v>-3653.4919799999998</v>
      </c>
      <c r="G5899" s="13">
        <v>-3841.9683650000002</v>
      </c>
      <c r="H5899" s="13"/>
      <c r="I5899" s="13"/>
      <c r="J5899" s="13"/>
      <c r="K5899" s="13"/>
      <c r="L5899" s="13"/>
      <c r="M5899" s="13"/>
      <c r="N5899" s="13"/>
      <c r="O5899" s="13"/>
      <c r="P5899" s="13"/>
      <c r="Q5899" s="13"/>
      <c r="R5899" s="13"/>
      <c r="S5899" s="13"/>
    </row>
    <row r="5900" spans="1:19" x14ac:dyDescent="0.2">
      <c r="A5900" s="12" t="s">
        <v>582</v>
      </c>
      <c r="B5900" s="12" t="s">
        <v>571</v>
      </c>
      <c r="C5900" s="12" t="s">
        <v>560</v>
      </c>
      <c r="D5900" s="13">
        <v>0</v>
      </c>
      <c r="E5900" s="13">
        <v>0</v>
      </c>
      <c r="F5900" s="13">
        <v>0</v>
      </c>
      <c r="G5900" s="13">
        <v>0</v>
      </c>
      <c r="H5900" s="13"/>
      <c r="I5900" s="13"/>
      <c r="J5900" s="13"/>
      <c r="K5900" s="13"/>
      <c r="L5900" s="13"/>
      <c r="M5900" s="13"/>
      <c r="N5900" s="13"/>
      <c r="O5900" s="13"/>
      <c r="P5900" s="13"/>
      <c r="Q5900" s="13"/>
      <c r="R5900" s="13"/>
      <c r="S5900" s="13"/>
    </row>
    <row r="5901" spans="1:19" x14ac:dyDescent="0.2">
      <c r="A5901" s="12" t="s">
        <v>582</v>
      </c>
      <c r="B5901" s="12" t="s">
        <v>571</v>
      </c>
      <c r="C5901" s="12" t="s">
        <v>561</v>
      </c>
      <c r="D5901" s="13">
        <v>4005</v>
      </c>
      <c r="E5901" s="13">
        <v>3918.9714130000002</v>
      </c>
      <c r="F5901" s="13">
        <v>4003.6466209999999</v>
      </c>
      <c r="G5901" s="13">
        <v>4276.1512359999997</v>
      </c>
      <c r="H5901" s="13"/>
      <c r="I5901" s="13"/>
      <c r="J5901" s="13"/>
      <c r="K5901" s="13"/>
      <c r="L5901" s="13"/>
      <c r="M5901" s="13"/>
      <c r="N5901" s="13"/>
      <c r="O5901" s="13"/>
      <c r="P5901" s="13"/>
      <c r="Q5901" s="13"/>
      <c r="R5901" s="13"/>
      <c r="S5901" s="13"/>
    </row>
    <row r="5902" spans="1:19" x14ac:dyDescent="0.2">
      <c r="A5902" s="12" t="s">
        <v>582</v>
      </c>
      <c r="B5902" s="12" t="s">
        <v>571</v>
      </c>
      <c r="C5902" s="12" t="s">
        <v>562</v>
      </c>
      <c r="D5902" s="13">
        <v>1855</v>
      </c>
      <c r="E5902" s="13">
        <v>1742.2853680000001</v>
      </c>
      <c r="F5902" s="13">
        <v>1812.237858</v>
      </c>
      <c r="G5902" s="13">
        <v>1995.858144</v>
      </c>
      <c r="H5902" s="13"/>
      <c r="I5902" s="13"/>
      <c r="J5902" s="13"/>
      <c r="K5902" s="13"/>
      <c r="L5902" s="13"/>
      <c r="M5902" s="13"/>
      <c r="N5902" s="13"/>
      <c r="O5902" s="13"/>
      <c r="P5902" s="13"/>
      <c r="Q5902" s="13"/>
      <c r="R5902" s="13"/>
      <c r="S5902" s="13"/>
    </row>
    <row r="5903" spans="1:19" x14ac:dyDescent="0.2">
      <c r="A5903" s="12" t="s">
        <v>582</v>
      </c>
      <c r="B5903" s="12" t="s">
        <v>571</v>
      </c>
      <c r="C5903" s="12" t="s">
        <v>563</v>
      </c>
      <c r="D5903" s="13">
        <v>876</v>
      </c>
      <c r="E5903" s="13">
        <v>874.93570099999999</v>
      </c>
      <c r="F5903" s="13">
        <v>888.85521200000005</v>
      </c>
      <c r="G5903" s="13">
        <v>956.53665100000001</v>
      </c>
      <c r="H5903" s="13"/>
      <c r="I5903" s="13"/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</row>
    <row r="5904" spans="1:19" x14ac:dyDescent="0.2">
      <c r="A5904" s="12" t="s">
        <v>582</v>
      </c>
      <c r="B5904" s="12" t="s">
        <v>571</v>
      </c>
      <c r="C5904" s="12" t="s">
        <v>564</v>
      </c>
      <c r="D5904" s="13">
        <v>1060</v>
      </c>
      <c r="E5904" s="13">
        <v>1086.466938</v>
      </c>
      <c r="F5904" s="13">
        <v>1091.896866</v>
      </c>
      <c r="G5904" s="13">
        <v>1096.440758</v>
      </c>
      <c r="H5904" s="13"/>
      <c r="I5904" s="13"/>
      <c r="J5904" s="13"/>
      <c r="K5904" s="13"/>
      <c r="L5904" s="13"/>
      <c r="M5904" s="13"/>
      <c r="N5904" s="13"/>
      <c r="O5904" s="13"/>
      <c r="P5904" s="13"/>
      <c r="Q5904" s="13"/>
      <c r="R5904" s="13"/>
      <c r="S5904" s="13"/>
    </row>
    <row r="5905" spans="1:19" x14ac:dyDescent="0.2">
      <c r="A5905" s="12" t="s">
        <v>582</v>
      </c>
      <c r="B5905" s="12" t="s">
        <v>571</v>
      </c>
      <c r="C5905" s="12" t="s">
        <v>565</v>
      </c>
      <c r="D5905" s="13">
        <v>43</v>
      </c>
      <c r="E5905" s="13">
        <v>46.428973999999997</v>
      </c>
      <c r="F5905" s="13">
        <v>46.232283000000002</v>
      </c>
      <c r="G5905" s="13">
        <v>45.015996000000001</v>
      </c>
      <c r="H5905" s="13"/>
      <c r="I5905" s="13"/>
      <c r="J5905" s="13"/>
      <c r="K5905" s="13"/>
      <c r="L5905" s="13"/>
      <c r="M5905" s="13"/>
      <c r="N5905" s="13"/>
      <c r="O5905" s="13"/>
      <c r="P5905" s="13"/>
      <c r="Q5905" s="13"/>
      <c r="R5905" s="13"/>
      <c r="S5905" s="13"/>
    </row>
    <row r="5906" spans="1:19" x14ac:dyDescent="0.2">
      <c r="A5906" s="12" t="s">
        <v>582</v>
      </c>
      <c r="B5906" s="12" t="s">
        <v>571</v>
      </c>
      <c r="C5906" s="12" t="s">
        <v>566</v>
      </c>
      <c r="D5906" s="13">
        <v>171</v>
      </c>
      <c r="E5906" s="13">
        <v>168.854465</v>
      </c>
      <c r="F5906" s="13">
        <v>164.42438999999999</v>
      </c>
      <c r="G5906" s="13">
        <v>182.29966899999999</v>
      </c>
      <c r="H5906" s="13"/>
      <c r="I5906" s="13"/>
      <c r="J5906" s="13"/>
      <c r="K5906" s="13"/>
      <c r="L5906" s="13"/>
      <c r="M5906" s="13"/>
      <c r="N5906" s="13"/>
      <c r="O5906" s="13"/>
      <c r="P5906" s="13"/>
      <c r="Q5906" s="13"/>
      <c r="R5906" s="13"/>
      <c r="S5906" s="13"/>
    </row>
    <row r="5907" spans="1:19" x14ac:dyDescent="0.2">
      <c r="A5907" s="12" t="s">
        <v>582</v>
      </c>
      <c r="B5907" s="12" t="s">
        <v>572</v>
      </c>
      <c r="C5907" s="12" t="s">
        <v>554</v>
      </c>
      <c r="D5907" s="13">
        <v>0</v>
      </c>
      <c r="E5907" s="13">
        <v>0</v>
      </c>
      <c r="F5907" s="13">
        <v>0</v>
      </c>
      <c r="G5907" s="13">
        <v>0</v>
      </c>
      <c r="H5907" s="13"/>
      <c r="I5907" s="13"/>
      <c r="J5907" s="13"/>
      <c r="K5907" s="13"/>
      <c r="L5907" s="13"/>
      <c r="M5907" s="13"/>
      <c r="N5907" s="13"/>
      <c r="O5907" s="13"/>
      <c r="P5907" s="13"/>
      <c r="Q5907" s="13"/>
      <c r="R5907" s="13"/>
      <c r="S5907" s="13"/>
    </row>
    <row r="5908" spans="1:19" x14ac:dyDescent="0.2">
      <c r="A5908" s="12" t="s">
        <v>582</v>
      </c>
      <c r="B5908" s="12" t="s">
        <v>572</v>
      </c>
      <c r="C5908" s="12" t="s">
        <v>555</v>
      </c>
      <c r="D5908" s="13">
        <v>136</v>
      </c>
      <c r="E5908" s="13">
        <v>122.646976</v>
      </c>
      <c r="F5908" s="13">
        <v>127.36575499999999</v>
      </c>
      <c r="G5908" s="13">
        <v>158.47146000000001</v>
      </c>
      <c r="H5908" s="13"/>
      <c r="I5908" s="13"/>
      <c r="J5908" s="13"/>
      <c r="K5908" s="13"/>
      <c r="L5908" s="13"/>
      <c r="M5908" s="13"/>
      <c r="N5908" s="13"/>
      <c r="O5908" s="13"/>
      <c r="P5908" s="13"/>
      <c r="Q5908" s="13"/>
      <c r="R5908" s="13"/>
      <c r="S5908" s="13"/>
    </row>
    <row r="5909" spans="1:19" x14ac:dyDescent="0.2">
      <c r="A5909" s="12" t="s">
        <v>582</v>
      </c>
      <c r="B5909" s="12" t="s">
        <v>572</v>
      </c>
      <c r="C5909" s="12" t="s">
        <v>556</v>
      </c>
      <c r="D5909" s="13">
        <v>-131</v>
      </c>
      <c r="E5909" s="13">
        <v>-110.29181699999999</v>
      </c>
      <c r="F5909" s="13">
        <v>-116.685153</v>
      </c>
      <c r="G5909" s="13">
        <v>-145.32989000000001</v>
      </c>
      <c r="H5909" s="13"/>
      <c r="I5909" s="13"/>
      <c r="J5909" s="13"/>
      <c r="K5909" s="13"/>
      <c r="L5909" s="13"/>
      <c r="M5909" s="13"/>
      <c r="N5909" s="13"/>
      <c r="O5909" s="13"/>
      <c r="P5909" s="13"/>
      <c r="Q5909" s="13"/>
      <c r="R5909" s="13"/>
      <c r="S5909" s="13"/>
    </row>
    <row r="5910" spans="1:19" x14ac:dyDescent="0.2">
      <c r="A5910" s="12" t="s">
        <v>582</v>
      </c>
      <c r="B5910" s="12" t="s">
        <v>572</v>
      </c>
      <c r="C5910" s="12" t="s">
        <v>557</v>
      </c>
      <c r="D5910" s="13">
        <v>5</v>
      </c>
      <c r="E5910" s="13">
        <v>12.355159</v>
      </c>
      <c r="F5910" s="13">
        <v>10.680602</v>
      </c>
      <c r="G5910" s="13">
        <v>13.141560999999999</v>
      </c>
      <c r="H5910" s="13"/>
      <c r="I5910" s="13"/>
      <c r="J5910" s="13"/>
      <c r="K5910" s="13"/>
      <c r="L5910" s="13"/>
      <c r="M5910" s="13"/>
      <c r="N5910" s="13"/>
      <c r="O5910" s="13"/>
      <c r="P5910" s="13"/>
      <c r="Q5910" s="13"/>
      <c r="R5910" s="13"/>
      <c r="S5910" s="13"/>
    </row>
    <row r="5911" spans="1:19" x14ac:dyDescent="0.2">
      <c r="A5911" s="12" t="s">
        <v>582</v>
      </c>
      <c r="B5911" s="12" t="s">
        <v>572</v>
      </c>
      <c r="C5911" s="12" t="s">
        <v>558</v>
      </c>
      <c r="D5911" s="13">
        <v>4005</v>
      </c>
      <c r="E5911" s="13">
        <v>4178.573813</v>
      </c>
      <c r="F5911" s="13">
        <v>4241.6469510000006</v>
      </c>
      <c r="G5911" s="13">
        <v>4405.0291050000014</v>
      </c>
      <c r="H5911" s="13"/>
      <c r="I5911" s="13"/>
      <c r="J5911" s="13"/>
      <c r="K5911" s="13"/>
      <c r="L5911" s="13"/>
      <c r="M5911" s="13"/>
      <c r="N5911" s="13"/>
      <c r="O5911" s="13"/>
      <c r="P5911" s="13"/>
      <c r="Q5911" s="13"/>
      <c r="R5911" s="13"/>
      <c r="S5911" s="13"/>
    </row>
    <row r="5912" spans="1:19" x14ac:dyDescent="0.2">
      <c r="A5912" s="12" t="s">
        <v>582</v>
      </c>
      <c r="B5912" s="12" t="s">
        <v>572</v>
      </c>
      <c r="C5912" s="12" t="s">
        <v>560</v>
      </c>
      <c r="D5912" s="13">
        <v>0</v>
      </c>
      <c r="E5912" s="13">
        <v>0</v>
      </c>
      <c r="F5912" s="13">
        <v>0</v>
      </c>
      <c r="G5912" s="13">
        <v>0</v>
      </c>
      <c r="H5912" s="13"/>
      <c r="I5912" s="13"/>
      <c r="J5912" s="13"/>
      <c r="K5912" s="13"/>
      <c r="L5912" s="13"/>
      <c r="M5912" s="13"/>
      <c r="N5912" s="13"/>
      <c r="O5912" s="13"/>
      <c r="P5912" s="13"/>
      <c r="Q5912" s="13"/>
      <c r="R5912" s="13"/>
      <c r="S5912" s="13"/>
    </row>
    <row r="5913" spans="1:19" x14ac:dyDescent="0.2">
      <c r="A5913" s="12" t="s">
        <v>582</v>
      </c>
      <c r="B5913" s="12" t="s">
        <v>572</v>
      </c>
      <c r="C5913" s="12" t="s">
        <v>561</v>
      </c>
      <c r="D5913" s="13">
        <v>3206</v>
      </c>
      <c r="E5913" s="13">
        <v>3341.3100589999999</v>
      </c>
      <c r="F5913" s="13">
        <v>3422.3846950000002</v>
      </c>
      <c r="G5913" s="13">
        <v>3550.8180630000002</v>
      </c>
      <c r="H5913" s="13"/>
      <c r="I5913" s="13"/>
      <c r="J5913" s="13"/>
      <c r="K5913" s="13"/>
      <c r="L5913" s="13"/>
      <c r="M5913" s="13"/>
      <c r="N5913" s="13"/>
      <c r="O5913" s="13"/>
      <c r="P5913" s="13"/>
      <c r="Q5913" s="13"/>
      <c r="R5913" s="13"/>
      <c r="S5913" s="13"/>
    </row>
    <row r="5914" spans="1:19" x14ac:dyDescent="0.2">
      <c r="A5914" s="12" t="s">
        <v>582</v>
      </c>
      <c r="B5914" s="12" t="s">
        <v>572</v>
      </c>
      <c r="C5914" s="12" t="s">
        <v>562</v>
      </c>
      <c r="D5914" s="13">
        <v>1195</v>
      </c>
      <c r="E5914" s="13">
        <v>1262.1659749999999</v>
      </c>
      <c r="F5914" s="13">
        <v>1274.41903</v>
      </c>
      <c r="G5914" s="13">
        <v>1296.0061040000001</v>
      </c>
      <c r="H5914" s="13"/>
      <c r="I5914" s="13"/>
      <c r="J5914" s="13"/>
      <c r="K5914" s="13"/>
      <c r="L5914" s="13"/>
      <c r="M5914" s="13"/>
      <c r="N5914" s="13"/>
      <c r="O5914" s="13"/>
      <c r="P5914" s="13"/>
      <c r="Q5914" s="13"/>
      <c r="R5914" s="13"/>
      <c r="S5914" s="13"/>
    </row>
    <row r="5915" spans="1:19" x14ac:dyDescent="0.2">
      <c r="A5915" s="12" t="s">
        <v>582</v>
      </c>
      <c r="B5915" s="12" t="s">
        <v>572</v>
      </c>
      <c r="C5915" s="12" t="s">
        <v>563</v>
      </c>
      <c r="D5915" s="13">
        <v>12</v>
      </c>
      <c r="E5915" s="13">
        <v>13.136148</v>
      </c>
      <c r="F5915" s="13">
        <v>12.297053999999999</v>
      </c>
      <c r="G5915" s="13">
        <v>10.96443</v>
      </c>
      <c r="H5915" s="13"/>
      <c r="I5915" s="13"/>
      <c r="J5915" s="13"/>
      <c r="K5915" s="13"/>
      <c r="L5915" s="13"/>
      <c r="M5915" s="13"/>
      <c r="N5915" s="13"/>
      <c r="O5915" s="13"/>
      <c r="P5915" s="13"/>
      <c r="Q5915" s="13"/>
      <c r="R5915" s="13"/>
      <c r="S5915" s="13"/>
    </row>
    <row r="5916" spans="1:19" x14ac:dyDescent="0.2">
      <c r="A5916" s="12" t="s">
        <v>582</v>
      </c>
      <c r="B5916" s="12" t="s">
        <v>572</v>
      </c>
      <c r="C5916" s="12" t="s">
        <v>564</v>
      </c>
      <c r="D5916" s="13">
        <v>1061</v>
      </c>
      <c r="E5916" s="13">
        <v>1089.7397719999999</v>
      </c>
      <c r="F5916" s="13">
        <v>1112.3311670000001</v>
      </c>
      <c r="G5916" s="13">
        <v>1178.449423</v>
      </c>
      <c r="H5916" s="13"/>
      <c r="I5916" s="13"/>
      <c r="J5916" s="13"/>
      <c r="K5916" s="13"/>
      <c r="L5916" s="13"/>
      <c r="M5916" s="13"/>
      <c r="N5916" s="13"/>
      <c r="O5916" s="13"/>
      <c r="P5916" s="13"/>
      <c r="Q5916" s="13"/>
      <c r="R5916" s="13"/>
      <c r="S5916" s="13"/>
    </row>
    <row r="5917" spans="1:19" x14ac:dyDescent="0.2">
      <c r="A5917" s="12" t="s">
        <v>582</v>
      </c>
      <c r="B5917" s="12" t="s">
        <v>572</v>
      </c>
      <c r="C5917" s="12" t="s">
        <v>565</v>
      </c>
      <c r="D5917" s="13">
        <v>797</v>
      </c>
      <c r="E5917" s="13">
        <v>828.87568799999997</v>
      </c>
      <c r="F5917" s="13">
        <v>877.70189000000005</v>
      </c>
      <c r="G5917" s="13">
        <v>912.42101300000002</v>
      </c>
      <c r="H5917" s="13"/>
      <c r="I5917" s="13"/>
      <c r="J5917" s="13"/>
      <c r="K5917" s="13"/>
      <c r="L5917" s="13"/>
      <c r="M5917" s="13"/>
      <c r="N5917" s="13"/>
      <c r="O5917" s="13"/>
      <c r="P5917" s="13"/>
      <c r="Q5917" s="13"/>
      <c r="R5917" s="13"/>
      <c r="S5917" s="13"/>
    </row>
    <row r="5918" spans="1:19" x14ac:dyDescent="0.2">
      <c r="A5918" s="12" t="s">
        <v>582</v>
      </c>
      <c r="B5918" s="12" t="s">
        <v>572</v>
      </c>
      <c r="C5918" s="12" t="s">
        <v>566</v>
      </c>
      <c r="D5918" s="13">
        <v>140</v>
      </c>
      <c r="E5918" s="13">
        <v>147.392484</v>
      </c>
      <c r="F5918" s="13">
        <v>145.63554300000001</v>
      </c>
      <c r="G5918" s="13">
        <v>152.97707199999999</v>
      </c>
      <c r="H5918" s="13"/>
      <c r="I5918" s="13"/>
      <c r="J5918" s="13"/>
      <c r="K5918" s="13"/>
      <c r="L5918" s="13"/>
      <c r="M5918" s="13"/>
      <c r="N5918" s="13"/>
      <c r="O5918" s="13"/>
      <c r="P5918" s="13"/>
      <c r="Q5918" s="13"/>
      <c r="R5918" s="13"/>
      <c r="S5918" s="13"/>
    </row>
    <row r="5919" spans="1:19" x14ac:dyDescent="0.2">
      <c r="A5919" s="12" t="s">
        <v>582</v>
      </c>
      <c r="B5919" s="12" t="s">
        <v>573</v>
      </c>
      <c r="C5919" s="12" t="s">
        <v>554</v>
      </c>
      <c r="D5919" s="13">
        <v>2</v>
      </c>
      <c r="E5919" s="13">
        <v>2.1030509999999998</v>
      </c>
      <c r="F5919" s="13">
        <v>4.0423299999999998</v>
      </c>
      <c r="G5919" s="13">
        <v>4.5916430000000004</v>
      </c>
      <c r="H5919" s="13"/>
      <c r="I5919" s="13"/>
      <c r="J5919" s="13"/>
      <c r="K5919" s="13"/>
      <c r="L5919" s="13"/>
      <c r="M5919" s="13"/>
      <c r="N5919" s="13"/>
      <c r="O5919" s="13"/>
      <c r="P5919" s="13"/>
      <c r="Q5919" s="13"/>
      <c r="R5919" s="13"/>
      <c r="S5919" s="13"/>
    </row>
    <row r="5920" spans="1:19" x14ac:dyDescent="0.2">
      <c r="A5920" s="12" t="s">
        <v>582</v>
      </c>
      <c r="B5920" s="12" t="s">
        <v>573</v>
      </c>
      <c r="C5920" s="12" t="s">
        <v>555</v>
      </c>
      <c r="D5920" s="13">
        <v>0</v>
      </c>
      <c r="E5920" s="13">
        <v>0</v>
      </c>
      <c r="F5920" s="13">
        <v>0</v>
      </c>
      <c r="G5920" s="13">
        <v>0</v>
      </c>
      <c r="H5920" s="13"/>
      <c r="I5920" s="13"/>
      <c r="J5920" s="13"/>
      <c r="K5920" s="13"/>
      <c r="L5920" s="13"/>
      <c r="M5920" s="13"/>
      <c r="N5920" s="13"/>
      <c r="O5920" s="13"/>
      <c r="P5920" s="13"/>
      <c r="Q5920" s="13"/>
      <c r="R5920" s="13"/>
      <c r="S5920" s="13"/>
    </row>
    <row r="5921" spans="1:19" x14ac:dyDescent="0.2">
      <c r="A5921" s="12" t="s">
        <v>582</v>
      </c>
      <c r="B5921" s="12" t="s">
        <v>573</v>
      </c>
      <c r="C5921" s="12" t="s">
        <v>556</v>
      </c>
      <c r="D5921" s="13">
        <v>0</v>
      </c>
      <c r="E5921" s="13">
        <v>0</v>
      </c>
      <c r="F5921" s="13">
        <v>0</v>
      </c>
      <c r="G5921" s="13">
        <v>0</v>
      </c>
      <c r="H5921" s="13"/>
      <c r="I5921" s="13"/>
      <c r="J5921" s="13"/>
      <c r="K5921" s="13"/>
      <c r="L5921" s="13"/>
      <c r="M5921" s="13"/>
      <c r="N5921" s="13"/>
      <c r="O5921" s="13"/>
      <c r="P5921" s="13"/>
      <c r="Q5921" s="13"/>
      <c r="R5921" s="13"/>
      <c r="S5921" s="13"/>
    </row>
    <row r="5922" spans="1:19" x14ac:dyDescent="0.2">
      <c r="A5922" s="12" t="s">
        <v>582</v>
      </c>
      <c r="B5922" s="12" t="s">
        <v>573</v>
      </c>
      <c r="C5922" s="12" t="s">
        <v>557</v>
      </c>
      <c r="D5922" s="13">
        <v>2</v>
      </c>
      <c r="E5922" s="13">
        <v>2.1030509999999998</v>
      </c>
      <c r="F5922" s="13">
        <v>4.0423299999999998</v>
      </c>
      <c r="G5922" s="13">
        <v>4.5916430000000004</v>
      </c>
      <c r="H5922" s="13"/>
      <c r="I5922" s="13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</row>
    <row r="5923" spans="1:19" x14ac:dyDescent="0.2">
      <c r="A5923" s="12" t="s">
        <v>582</v>
      </c>
      <c r="B5923" s="12" t="s">
        <v>573</v>
      </c>
      <c r="C5923" s="12" t="s">
        <v>558</v>
      </c>
      <c r="D5923" s="13">
        <v>0</v>
      </c>
      <c r="E5923" s="13">
        <v>0</v>
      </c>
      <c r="F5923" s="13">
        <v>0</v>
      </c>
      <c r="G5923" s="13">
        <v>0.41254200000000002</v>
      </c>
      <c r="H5923" s="13"/>
      <c r="I5923" s="13"/>
      <c r="J5923" s="13"/>
      <c r="K5923" s="13"/>
      <c r="L5923" s="13"/>
      <c r="M5923" s="13"/>
      <c r="N5923" s="13"/>
      <c r="O5923" s="13"/>
      <c r="P5923" s="13"/>
      <c r="Q5923" s="13"/>
      <c r="R5923" s="13"/>
      <c r="S5923" s="13"/>
    </row>
    <row r="5924" spans="1:19" x14ac:dyDescent="0.2">
      <c r="A5924" s="12" t="s">
        <v>582</v>
      </c>
      <c r="B5924" s="12" t="s">
        <v>573</v>
      </c>
      <c r="C5924" s="12" t="s">
        <v>560</v>
      </c>
      <c r="D5924" s="13">
        <v>0</v>
      </c>
      <c r="E5924" s="13">
        <v>0</v>
      </c>
      <c r="F5924" s="13">
        <v>0</v>
      </c>
      <c r="G5924" s="13">
        <v>0</v>
      </c>
      <c r="H5924" s="13"/>
      <c r="I5924" s="13"/>
      <c r="J5924" s="13"/>
      <c r="K5924" s="13"/>
      <c r="L5924" s="13"/>
      <c r="M5924" s="13"/>
      <c r="N5924" s="13"/>
      <c r="O5924" s="13"/>
      <c r="P5924" s="13"/>
      <c r="Q5924" s="13"/>
      <c r="R5924" s="13"/>
      <c r="S5924" s="13"/>
    </row>
    <row r="5925" spans="1:19" x14ac:dyDescent="0.2">
      <c r="A5925" s="12" t="s">
        <v>582</v>
      </c>
      <c r="B5925" s="12" t="s">
        <v>573</v>
      </c>
      <c r="C5925" s="12" t="s">
        <v>561</v>
      </c>
      <c r="D5925" s="13">
        <v>0</v>
      </c>
      <c r="E5925" s="13">
        <v>0</v>
      </c>
      <c r="F5925" s="13">
        <v>0</v>
      </c>
      <c r="G5925" s="13">
        <v>0.41254200000000002</v>
      </c>
      <c r="H5925" s="13"/>
      <c r="I5925" s="13"/>
      <c r="J5925" s="13"/>
      <c r="K5925" s="13"/>
      <c r="L5925" s="13"/>
      <c r="M5925" s="13"/>
      <c r="N5925" s="13"/>
      <c r="O5925" s="13"/>
      <c r="P5925" s="13"/>
      <c r="Q5925" s="13"/>
      <c r="R5925" s="13"/>
      <c r="S5925" s="13"/>
    </row>
    <row r="5926" spans="1:19" x14ac:dyDescent="0.2">
      <c r="A5926" s="12" t="s">
        <v>582</v>
      </c>
      <c r="B5926" s="12" t="s">
        <v>573</v>
      </c>
      <c r="C5926" s="12" t="s">
        <v>562</v>
      </c>
      <c r="D5926" s="13">
        <v>0</v>
      </c>
      <c r="E5926" s="13">
        <v>0</v>
      </c>
      <c r="F5926" s="13">
        <v>0</v>
      </c>
      <c r="G5926" s="13">
        <v>0.41254200000000002</v>
      </c>
      <c r="H5926" s="13"/>
      <c r="I5926" s="13"/>
      <c r="J5926" s="13"/>
      <c r="K5926" s="13"/>
      <c r="L5926" s="13"/>
      <c r="M5926" s="13"/>
      <c r="N5926" s="13"/>
      <c r="O5926" s="13"/>
      <c r="P5926" s="13"/>
      <c r="Q5926" s="13"/>
      <c r="R5926" s="13"/>
      <c r="S5926" s="13"/>
    </row>
    <row r="5927" spans="1:19" x14ac:dyDescent="0.2">
      <c r="A5927" s="12" t="s">
        <v>582</v>
      </c>
      <c r="B5927" s="12" t="s">
        <v>573</v>
      </c>
      <c r="C5927" s="12" t="s">
        <v>563</v>
      </c>
      <c r="D5927" s="13">
        <v>0</v>
      </c>
      <c r="E5927" s="13">
        <v>0</v>
      </c>
      <c r="F5927" s="13">
        <v>0</v>
      </c>
      <c r="G5927" s="13">
        <v>0</v>
      </c>
      <c r="H5927" s="13"/>
      <c r="I5927" s="13"/>
      <c r="J5927" s="13"/>
      <c r="K5927" s="13"/>
      <c r="L5927" s="13"/>
      <c r="M5927" s="13"/>
      <c r="N5927" s="13"/>
      <c r="O5927" s="13"/>
      <c r="P5927" s="13"/>
      <c r="Q5927" s="13"/>
      <c r="R5927" s="13"/>
      <c r="S5927" s="13"/>
    </row>
    <row r="5928" spans="1:19" x14ac:dyDescent="0.2">
      <c r="A5928" s="12" t="s">
        <v>582</v>
      </c>
      <c r="B5928" s="12" t="s">
        <v>573</v>
      </c>
      <c r="C5928" s="12" t="s">
        <v>564</v>
      </c>
      <c r="D5928" s="13">
        <v>0</v>
      </c>
      <c r="E5928" s="13">
        <v>0</v>
      </c>
      <c r="F5928" s="13">
        <v>0</v>
      </c>
      <c r="G5928" s="13">
        <v>0</v>
      </c>
      <c r="H5928" s="13"/>
      <c r="I5928" s="13"/>
      <c r="J5928" s="13"/>
      <c r="K5928" s="13"/>
      <c r="L5928" s="13"/>
      <c r="M5928" s="13"/>
      <c r="N5928" s="13"/>
      <c r="O5928" s="13"/>
      <c r="P5928" s="13"/>
      <c r="Q5928" s="13"/>
      <c r="R5928" s="13"/>
      <c r="S5928" s="13"/>
    </row>
    <row r="5929" spans="1:19" x14ac:dyDescent="0.2">
      <c r="A5929" s="12" t="s">
        <v>582</v>
      </c>
      <c r="B5929" s="12" t="s">
        <v>573</v>
      </c>
      <c r="C5929" s="12" t="s">
        <v>565</v>
      </c>
      <c r="D5929" s="13">
        <v>0</v>
      </c>
      <c r="E5929" s="13">
        <v>0</v>
      </c>
      <c r="F5929" s="13">
        <v>0</v>
      </c>
      <c r="G5929" s="13">
        <v>0</v>
      </c>
      <c r="H5929" s="13"/>
      <c r="I5929" s="13"/>
      <c r="J5929" s="13"/>
      <c r="K5929" s="13"/>
      <c r="L5929" s="13"/>
      <c r="M5929" s="13"/>
      <c r="N5929" s="13"/>
      <c r="O5929" s="13"/>
      <c r="P5929" s="13"/>
      <c r="Q5929" s="13"/>
      <c r="R5929" s="13"/>
      <c r="S5929" s="13"/>
    </row>
    <row r="5930" spans="1:19" x14ac:dyDescent="0.2">
      <c r="A5930" s="12" t="s">
        <v>582</v>
      </c>
      <c r="B5930" s="12" t="s">
        <v>573</v>
      </c>
      <c r="C5930" s="12" t="s">
        <v>566</v>
      </c>
      <c r="D5930" s="13">
        <v>0</v>
      </c>
      <c r="E5930" s="13">
        <v>0</v>
      </c>
      <c r="F5930" s="13">
        <v>0</v>
      </c>
      <c r="G5930" s="13">
        <v>0</v>
      </c>
      <c r="H5930" s="13"/>
      <c r="I5930" s="13"/>
      <c r="J5930" s="13"/>
      <c r="K5930" s="13"/>
      <c r="L5930" s="13"/>
      <c r="M5930" s="13"/>
      <c r="N5930" s="13"/>
      <c r="O5930" s="13"/>
      <c r="P5930" s="13"/>
      <c r="Q5930" s="13"/>
      <c r="R5930" s="13"/>
      <c r="S5930" s="13"/>
    </row>
    <row r="5931" spans="1:19" x14ac:dyDescent="0.2">
      <c r="A5931" s="12" t="s">
        <v>582</v>
      </c>
      <c r="B5931" s="12" t="s">
        <v>574</v>
      </c>
      <c r="C5931" s="12" t="s">
        <v>554</v>
      </c>
      <c r="D5931" s="13">
        <v>24998</v>
      </c>
      <c r="E5931" s="13">
        <v>24939.251434000002</v>
      </c>
      <c r="F5931" s="13">
        <v>26435.659918000001</v>
      </c>
      <c r="G5931" s="13">
        <v>28237.859746999999</v>
      </c>
      <c r="H5931" s="13"/>
      <c r="I5931" s="13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</row>
    <row r="5932" spans="1:19" x14ac:dyDescent="0.2">
      <c r="A5932" s="12" t="s">
        <v>582</v>
      </c>
      <c r="B5932" s="12" t="s">
        <v>574</v>
      </c>
      <c r="C5932" s="12" t="s">
        <v>555</v>
      </c>
      <c r="D5932" s="13">
        <v>5799</v>
      </c>
      <c r="E5932" s="13">
        <v>6824.3060860000014</v>
      </c>
      <c r="F5932" s="13">
        <v>6997.6311950000008</v>
      </c>
      <c r="G5932" s="13">
        <v>6769.6935510000003</v>
      </c>
      <c r="H5932" s="13"/>
      <c r="I5932" s="13"/>
      <c r="J5932" s="13"/>
      <c r="K5932" s="13"/>
      <c r="L5932" s="13"/>
      <c r="M5932" s="13"/>
      <c r="N5932" s="13"/>
      <c r="O5932" s="13"/>
      <c r="P5932" s="13"/>
      <c r="Q5932" s="13"/>
      <c r="R5932" s="13"/>
      <c r="S5932" s="13"/>
    </row>
    <row r="5933" spans="1:19" x14ac:dyDescent="0.2">
      <c r="A5933" s="12" t="s">
        <v>582</v>
      </c>
      <c r="B5933" s="12" t="s">
        <v>574</v>
      </c>
      <c r="C5933" s="12" t="s">
        <v>556</v>
      </c>
      <c r="D5933" s="13">
        <v>-8256</v>
      </c>
      <c r="E5933" s="13">
        <v>-7742.790704</v>
      </c>
      <c r="F5933" s="13">
        <v>-8802.8660940000009</v>
      </c>
      <c r="G5933" s="13">
        <v>-9809.9405310000002</v>
      </c>
      <c r="H5933" s="13"/>
      <c r="I5933" s="13"/>
      <c r="J5933" s="13"/>
      <c r="K5933" s="13"/>
      <c r="L5933" s="13"/>
      <c r="M5933" s="13"/>
      <c r="N5933" s="13"/>
      <c r="O5933" s="13"/>
      <c r="P5933" s="13"/>
      <c r="Q5933" s="13"/>
      <c r="R5933" s="13"/>
      <c r="S5933" s="13"/>
    </row>
    <row r="5934" spans="1:19" x14ac:dyDescent="0.2">
      <c r="A5934" s="12" t="s">
        <v>582</v>
      </c>
      <c r="B5934" s="12" t="s">
        <v>574</v>
      </c>
      <c r="C5934" s="12" t="s">
        <v>557</v>
      </c>
      <c r="D5934" s="13">
        <v>22066</v>
      </c>
      <c r="E5934" s="13">
        <v>23730.926258</v>
      </c>
      <c r="F5934" s="13">
        <v>23978.261653000001</v>
      </c>
      <c r="G5934" s="13">
        <v>24509.891699</v>
      </c>
      <c r="H5934" s="13"/>
      <c r="I5934" s="13"/>
      <c r="J5934" s="13"/>
      <c r="K5934" s="13"/>
      <c r="L5934" s="13"/>
      <c r="M5934" s="13"/>
      <c r="N5934" s="13"/>
      <c r="O5934" s="13"/>
      <c r="P5934" s="13"/>
      <c r="Q5934" s="13"/>
      <c r="R5934" s="13"/>
      <c r="S5934" s="13"/>
    </row>
    <row r="5935" spans="1:19" x14ac:dyDescent="0.2">
      <c r="A5935" s="12" t="s">
        <v>582</v>
      </c>
      <c r="B5935" s="12" t="s">
        <v>574</v>
      </c>
      <c r="C5935" s="12" t="s">
        <v>558</v>
      </c>
      <c r="D5935" s="13">
        <v>-2105</v>
      </c>
      <c r="E5935" s="13">
        <v>-2470.2265400000001</v>
      </c>
      <c r="F5935" s="13">
        <v>-2150.701458</v>
      </c>
      <c r="G5935" s="13">
        <v>-2124.8371910000001</v>
      </c>
      <c r="H5935" s="13"/>
      <c r="I5935" s="13"/>
      <c r="J5935" s="13"/>
      <c r="K5935" s="13"/>
      <c r="L5935" s="13"/>
      <c r="M5935" s="13"/>
      <c r="N5935" s="13"/>
      <c r="O5935" s="13"/>
      <c r="P5935" s="13"/>
      <c r="Q5935" s="13"/>
      <c r="R5935" s="13"/>
      <c r="S5935" s="13"/>
    </row>
    <row r="5936" spans="1:19" x14ac:dyDescent="0.2">
      <c r="A5936" s="12" t="s">
        <v>582</v>
      </c>
      <c r="B5936" s="12" t="s">
        <v>574</v>
      </c>
      <c r="C5936" s="12" t="s">
        <v>560</v>
      </c>
      <c r="D5936" s="13">
        <v>-309</v>
      </c>
      <c r="E5936" s="13">
        <v>-283.91180200000002</v>
      </c>
      <c r="F5936" s="13">
        <v>-347.78920299999999</v>
      </c>
      <c r="G5936" s="13">
        <v>-341.76008100000001</v>
      </c>
      <c r="H5936" s="13"/>
      <c r="I5936" s="13"/>
      <c r="J5936" s="13"/>
      <c r="K5936" s="13"/>
      <c r="L5936" s="13"/>
      <c r="M5936" s="13"/>
      <c r="N5936" s="13"/>
      <c r="O5936" s="13"/>
      <c r="P5936" s="13"/>
      <c r="Q5936" s="13"/>
      <c r="R5936" s="13"/>
      <c r="S5936" s="13"/>
    </row>
    <row r="5937" spans="1:19" x14ac:dyDescent="0.2">
      <c r="A5937" s="12" t="s">
        <v>582</v>
      </c>
      <c r="B5937" s="12" t="s">
        <v>574</v>
      </c>
      <c r="C5937" s="12" t="s">
        <v>561</v>
      </c>
      <c r="D5937" s="13">
        <v>16430</v>
      </c>
      <c r="E5937" s="13">
        <v>17413.746125999998</v>
      </c>
      <c r="F5937" s="13">
        <v>18278.659553000001</v>
      </c>
      <c r="G5937" s="13">
        <v>18678.83195</v>
      </c>
      <c r="H5937" s="13"/>
      <c r="I5937" s="13"/>
      <c r="J5937" s="13"/>
      <c r="K5937" s="13"/>
      <c r="L5937" s="13"/>
      <c r="M5937" s="13"/>
      <c r="N5937" s="13"/>
      <c r="O5937" s="13"/>
      <c r="P5937" s="13"/>
      <c r="Q5937" s="13"/>
      <c r="R5937" s="13"/>
      <c r="S5937" s="13"/>
    </row>
    <row r="5938" spans="1:19" x14ac:dyDescent="0.2">
      <c r="A5938" s="12" t="s">
        <v>582</v>
      </c>
      <c r="B5938" s="12" t="s">
        <v>574</v>
      </c>
      <c r="C5938" s="12" t="s">
        <v>562</v>
      </c>
      <c r="D5938" s="13">
        <v>5002</v>
      </c>
      <c r="E5938" s="13">
        <v>5133.6392219999998</v>
      </c>
      <c r="F5938" s="13">
        <v>5353.7338300000001</v>
      </c>
      <c r="G5938" s="13">
        <v>5494.8399970000009</v>
      </c>
      <c r="H5938" s="13"/>
      <c r="I5938" s="13"/>
      <c r="J5938" s="13"/>
      <c r="K5938" s="13"/>
      <c r="L5938" s="13"/>
      <c r="M5938" s="13"/>
      <c r="N5938" s="13"/>
      <c r="O5938" s="13"/>
      <c r="P5938" s="13"/>
      <c r="Q5938" s="13"/>
      <c r="R5938" s="13"/>
      <c r="S5938" s="13"/>
    </row>
    <row r="5939" spans="1:19" x14ac:dyDescent="0.2">
      <c r="A5939" s="12" t="s">
        <v>582</v>
      </c>
      <c r="B5939" s="12" t="s">
        <v>574</v>
      </c>
      <c r="C5939" s="12" t="s">
        <v>563</v>
      </c>
      <c r="D5939" s="13">
        <v>5500</v>
      </c>
      <c r="E5939" s="13">
        <v>6149.2238540000008</v>
      </c>
      <c r="F5939" s="13">
        <v>6526.4487939999999</v>
      </c>
      <c r="G5939" s="13">
        <v>6698.6994690000001</v>
      </c>
      <c r="H5939" s="13"/>
      <c r="I5939" s="13"/>
      <c r="J5939" s="13"/>
      <c r="K5939" s="13"/>
      <c r="L5939" s="13"/>
      <c r="M5939" s="13"/>
      <c r="N5939" s="13"/>
      <c r="O5939" s="13"/>
      <c r="P5939" s="13"/>
      <c r="Q5939" s="13"/>
      <c r="R5939" s="13"/>
      <c r="S5939" s="13"/>
    </row>
    <row r="5940" spans="1:19" x14ac:dyDescent="0.2">
      <c r="A5940" s="12" t="s">
        <v>582</v>
      </c>
      <c r="B5940" s="12" t="s">
        <v>574</v>
      </c>
      <c r="C5940" s="12" t="s">
        <v>564</v>
      </c>
      <c r="D5940" s="13">
        <v>3075</v>
      </c>
      <c r="E5940" s="13">
        <v>3113.5606120000002</v>
      </c>
      <c r="F5940" s="13">
        <v>3202.6910309999998</v>
      </c>
      <c r="G5940" s="13">
        <v>3261.5092279999999</v>
      </c>
      <c r="H5940" s="13"/>
      <c r="I5940" s="13"/>
      <c r="J5940" s="13"/>
      <c r="K5940" s="13"/>
      <c r="L5940" s="13"/>
      <c r="M5940" s="13"/>
      <c r="N5940" s="13"/>
      <c r="O5940" s="13"/>
      <c r="P5940" s="13"/>
      <c r="Q5940" s="13"/>
      <c r="R5940" s="13"/>
      <c r="S5940" s="13"/>
    </row>
    <row r="5941" spans="1:19" x14ac:dyDescent="0.2">
      <c r="A5941" s="12" t="s">
        <v>582</v>
      </c>
      <c r="B5941" s="12" t="s">
        <v>574</v>
      </c>
      <c r="C5941" s="12" t="s">
        <v>565</v>
      </c>
      <c r="D5941" s="13">
        <v>985</v>
      </c>
      <c r="E5941" s="13">
        <v>1039.795012</v>
      </c>
      <c r="F5941" s="13">
        <v>1101.6286299999999</v>
      </c>
      <c r="G5941" s="13">
        <v>1147.613938</v>
      </c>
      <c r="H5941" s="13"/>
      <c r="I5941" s="13"/>
      <c r="J5941" s="13"/>
      <c r="K5941" s="13"/>
      <c r="L5941" s="13"/>
      <c r="M5941" s="13"/>
      <c r="N5941" s="13"/>
      <c r="O5941" s="13"/>
      <c r="P5941" s="13"/>
      <c r="Q5941" s="13"/>
      <c r="R5941" s="13"/>
      <c r="S5941" s="13"/>
    </row>
    <row r="5942" spans="1:19" x14ac:dyDescent="0.2">
      <c r="A5942" s="12" t="s">
        <v>582</v>
      </c>
      <c r="B5942" s="12" t="s">
        <v>574</v>
      </c>
      <c r="C5942" s="12" t="s">
        <v>566</v>
      </c>
      <c r="D5942" s="13">
        <v>1867</v>
      </c>
      <c r="E5942" s="13">
        <v>1977.5274460000001</v>
      </c>
      <c r="F5942" s="13">
        <v>2094.1571869999998</v>
      </c>
      <c r="G5942" s="13">
        <v>2076.169245</v>
      </c>
      <c r="H5942" s="13"/>
      <c r="I5942" s="13"/>
      <c r="J5942" s="13"/>
      <c r="K5942" s="13"/>
      <c r="L5942" s="13"/>
      <c r="M5942" s="13"/>
      <c r="N5942" s="13"/>
      <c r="O5942" s="13"/>
      <c r="P5942" s="13"/>
      <c r="Q5942" s="13"/>
      <c r="R5942" s="13"/>
      <c r="S5942" s="13"/>
    </row>
    <row r="5943" spans="1:19" x14ac:dyDescent="0.2">
      <c r="A5943" s="12" t="s">
        <v>583</v>
      </c>
      <c r="B5943" s="12" t="s">
        <v>553</v>
      </c>
      <c r="C5943" s="12" t="s">
        <v>554</v>
      </c>
      <c r="D5943" s="13">
        <v>110672</v>
      </c>
      <c r="E5943" s="13">
        <v>117978.544593</v>
      </c>
      <c r="F5943" s="13">
        <v>126749.226671</v>
      </c>
      <c r="G5943" s="13">
        <v>134623.53260800001</v>
      </c>
      <c r="H5943" s="13"/>
      <c r="I5943" s="13"/>
      <c r="J5943" s="13"/>
      <c r="K5943" s="13"/>
      <c r="L5943" s="13"/>
      <c r="M5943" s="13"/>
      <c r="N5943" s="13"/>
      <c r="O5943" s="13"/>
      <c r="P5943" s="13"/>
      <c r="Q5943" s="13"/>
      <c r="R5943" s="13"/>
      <c r="S5943" s="13"/>
    </row>
    <row r="5944" spans="1:19" x14ac:dyDescent="0.2">
      <c r="A5944" s="12" t="s">
        <v>583</v>
      </c>
      <c r="B5944" s="12" t="s">
        <v>553</v>
      </c>
      <c r="C5944" s="12" t="s">
        <v>555</v>
      </c>
      <c r="D5944" s="13">
        <v>18337</v>
      </c>
      <c r="E5944" s="13">
        <v>18418.578154999999</v>
      </c>
      <c r="F5944" s="13">
        <v>17643.122998999999</v>
      </c>
      <c r="G5944" s="13">
        <v>22335.572284999998</v>
      </c>
      <c r="H5944" s="13"/>
      <c r="I5944" s="13"/>
      <c r="J5944" s="13"/>
      <c r="K5944" s="13"/>
      <c r="L5944" s="13"/>
      <c r="M5944" s="13"/>
      <c r="N5944" s="13"/>
      <c r="O5944" s="13"/>
      <c r="P5944" s="13"/>
      <c r="Q5944" s="13"/>
      <c r="R5944" s="13"/>
      <c r="S5944" s="13"/>
    </row>
    <row r="5945" spans="1:19" x14ac:dyDescent="0.2">
      <c r="A5945" s="12" t="s">
        <v>583</v>
      </c>
      <c r="B5945" s="12" t="s">
        <v>553</v>
      </c>
      <c r="C5945" s="12" t="s">
        <v>556</v>
      </c>
      <c r="D5945" s="13">
        <v>-10339</v>
      </c>
      <c r="E5945" s="13">
        <v>-10891.670021</v>
      </c>
      <c r="F5945" s="13">
        <v>-11897.018919</v>
      </c>
      <c r="G5945" s="13">
        <v>-13978.66815</v>
      </c>
      <c r="H5945" s="13"/>
      <c r="I5945" s="13"/>
      <c r="J5945" s="13"/>
      <c r="K5945" s="13"/>
      <c r="L5945" s="13"/>
      <c r="M5945" s="13"/>
      <c r="N5945" s="13"/>
      <c r="O5945" s="13"/>
      <c r="P5945" s="13"/>
      <c r="Q5945" s="13"/>
      <c r="R5945" s="13"/>
      <c r="S5945" s="13"/>
    </row>
    <row r="5946" spans="1:19" x14ac:dyDescent="0.2">
      <c r="A5946" s="12" t="s">
        <v>583</v>
      </c>
      <c r="B5946" s="12" t="s">
        <v>553</v>
      </c>
      <c r="C5946" s="12" t="s">
        <v>557</v>
      </c>
      <c r="D5946" s="13">
        <v>116453</v>
      </c>
      <c r="E5946" s="13">
        <v>124646.969893</v>
      </c>
      <c r="F5946" s="13">
        <v>128228.061823</v>
      </c>
      <c r="G5946" s="13">
        <v>136341.67047400001</v>
      </c>
      <c r="H5946" s="13"/>
      <c r="I5946" s="13"/>
      <c r="J5946" s="13"/>
      <c r="K5946" s="13"/>
      <c r="L5946" s="13"/>
      <c r="M5946" s="13"/>
      <c r="N5946" s="13"/>
      <c r="O5946" s="13"/>
      <c r="P5946" s="13"/>
      <c r="Q5946" s="13"/>
      <c r="R5946" s="13"/>
      <c r="S5946" s="13"/>
    </row>
    <row r="5947" spans="1:19" x14ac:dyDescent="0.2">
      <c r="A5947" s="12" t="s">
        <v>583</v>
      </c>
      <c r="B5947" s="12" t="s">
        <v>553</v>
      </c>
      <c r="C5947" s="12" t="s">
        <v>558</v>
      </c>
      <c r="D5947" s="13">
        <v>-71493</v>
      </c>
      <c r="E5947" s="13">
        <v>-78814.142071000009</v>
      </c>
      <c r="F5947" s="13">
        <v>-81876.465282999998</v>
      </c>
      <c r="G5947" s="13">
        <v>-88007.209530999986</v>
      </c>
      <c r="H5947" s="13"/>
      <c r="I5947" s="13"/>
      <c r="J5947" s="13"/>
      <c r="K5947" s="13"/>
      <c r="L5947" s="13"/>
      <c r="M5947" s="13"/>
      <c r="N5947" s="13"/>
      <c r="O5947" s="13"/>
      <c r="P5947" s="13"/>
      <c r="Q5947" s="13"/>
      <c r="R5947" s="13"/>
      <c r="S5947" s="13"/>
    </row>
    <row r="5948" spans="1:19" x14ac:dyDescent="0.2">
      <c r="A5948" s="12" t="s">
        <v>583</v>
      </c>
      <c r="B5948" s="12" t="s">
        <v>553</v>
      </c>
      <c r="C5948" s="12" t="s">
        <v>560</v>
      </c>
      <c r="D5948" s="13">
        <v>0</v>
      </c>
      <c r="E5948" s="13">
        <v>0</v>
      </c>
      <c r="F5948" s="13">
        <v>0</v>
      </c>
      <c r="G5948" s="13">
        <v>0</v>
      </c>
      <c r="H5948" s="13"/>
      <c r="I5948" s="13"/>
      <c r="J5948" s="13"/>
      <c r="K5948" s="13"/>
      <c r="L5948" s="13"/>
      <c r="M5948" s="13"/>
      <c r="N5948" s="13"/>
      <c r="O5948" s="13"/>
      <c r="P5948" s="13"/>
      <c r="Q5948" s="13"/>
      <c r="R5948" s="13"/>
      <c r="S5948" s="13"/>
    </row>
    <row r="5949" spans="1:19" x14ac:dyDescent="0.2">
      <c r="A5949" s="12" t="s">
        <v>583</v>
      </c>
      <c r="B5949" s="12" t="s">
        <v>553</v>
      </c>
      <c r="C5949" s="12" t="s">
        <v>561</v>
      </c>
      <c r="D5949" s="13">
        <v>30808</v>
      </c>
      <c r="E5949" s="13">
        <v>30190.488485999998</v>
      </c>
      <c r="F5949" s="13">
        <v>29657.258580000002</v>
      </c>
      <c r="G5949" s="13">
        <v>30198.840268</v>
      </c>
      <c r="H5949" s="13"/>
      <c r="I5949" s="13"/>
      <c r="J5949" s="13"/>
      <c r="K5949" s="13"/>
      <c r="L5949" s="13"/>
      <c r="M5949" s="13"/>
      <c r="N5949" s="13"/>
      <c r="O5949" s="13"/>
      <c r="P5949" s="13"/>
      <c r="Q5949" s="13"/>
      <c r="R5949" s="13"/>
      <c r="S5949" s="13"/>
    </row>
    <row r="5950" spans="1:19" x14ac:dyDescent="0.2">
      <c r="A5950" s="12" t="s">
        <v>583</v>
      </c>
      <c r="B5950" s="12" t="s">
        <v>553</v>
      </c>
      <c r="C5950" s="12" t="s">
        <v>562</v>
      </c>
      <c r="D5950" s="13">
        <v>24613</v>
      </c>
      <c r="E5950" s="13">
        <v>24246.517800000001</v>
      </c>
      <c r="F5950" s="13">
        <v>23641.603037000001</v>
      </c>
      <c r="G5950" s="13">
        <v>24028.782512000002</v>
      </c>
      <c r="H5950" s="13"/>
      <c r="I5950" s="13"/>
      <c r="J5950" s="13"/>
      <c r="K5950" s="13"/>
      <c r="L5950" s="13"/>
      <c r="M5950" s="13"/>
      <c r="N5950" s="13"/>
      <c r="O5950" s="13"/>
      <c r="P5950" s="13"/>
      <c r="Q5950" s="13"/>
      <c r="R5950" s="13"/>
      <c r="S5950" s="13"/>
    </row>
    <row r="5951" spans="1:19" x14ac:dyDescent="0.2">
      <c r="A5951" s="12" t="s">
        <v>583</v>
      </c>
      <c r="B5951" s="12" t="s">
        <v>553</v>
      </c>
      <c r="C5951" s="12" t="s">
        <v>563</v>
      </c>
      <c r="D5951" s="13">
        <v>40</v>
      </c>
      <c r="E5951" s="13">
        <v>32.711542999999999</v>
      </c>
      <c r="F5951" s="13">
        <v>34.196263000000002</v>
      </c>
      <c r="G5951" s="13">
        <v>37.147655</v>
      </c>
      <c r="H5951" s="13"/>
      <c r="I5951" s="13"/>
      <c r="J5951" s="13"/>
      <c r="K5951" s="13"/>
      <c r="L5951" s="13"/>
      <c r="M5951" s="13"/>
      <c r="N5951" s="13"/>
      <c r="O5951" s="13"/>
      <c r="P5951" s="13"/>
      <c r="Q5951" s="13"/>
      <c r="R5951" s="13"/>
      <c r="S5951" s="13"/>
    </row>
    <row r="5952" spans="1:19" x14ac:dyDescent="0.2">
      <c r="A5952" s="12" t="s">
        <v>583</v>
      </c>
      <c r="B5952" s="12" t="s">
        <v>553</v>
      </c>
      <c r="C5952" s="12" t="s">
        <v>564</v>
      </c>
      <c r="D5952" s="13">
        <v>1583</v>
      </c>
      <c r="E5952" s="13">
        <v>1483.2193810000001</v>
      </c>
      <c r="F5952" s="13">
        <v>1395.3500260000001</v>
      </c>
      <c r="G5952" s="13">
        <v>1344.6835120000001</v>
      </c>
      <c r="H5952" s="13"/>
      <c r="I5952" s="13"/>
      <c r="J5952" s="13"/>
      <c r="K5952" s="13"/>
      <c r="L5952" s="13"/>
      <c r="M5952" s="13"/>
      <c r="N5952" s="13"/>
      <c r="O5952" s="13"/>
      <c r="P5952" s="13"/>
      <c r="Q5952" s="13"/>
      <c r="R5952" s="13"/>
      <c r="S5952" s="13"/>
    </row>
    <row r="5953" spans="1:19" x14ac:dyDescent="0.2">
      <c r="A5953" s="12" t="s">
        <v>583</v>
      </c>
      <c r="B5953" s="12" t="s">
        <v>553</v>
      </c>
      <c r="C5953" s="12" t="s">
        <v>565</v>
      </c>
      <c r="D5953" s="13">
        <v>664</v>
      </c>
      <c r="E5953" s="13">
        <v>561.080106</v>
      </c>
      <c r="F5953" s="13">
        <v>536.97869900000001</v>
      </c>
      <c r="G5953" s="13">
        <v>534.79109699999992</v>
      </c>
      <c r="H5953" s="13"/>
      <c r="I5953" s="13"/>
      <c r="J5953" s="13"/>
      <c r="K5953" s="13"/>
      <c r="L5953" s="13"/>
      <c r="M5953" s="13"/>
      <c r="N5953" s="13"/>
      <c r="O5953" s="13"/>
      <c r="P5953" s="13"/>
      <c r="Q5953" s="13"/>
      <c r="R5953" s="13"/>
      <c r="S5953" s="13"/>
    </row>
    <row r="5954" spans="1:19" x14ac:dyDescent="0.2">
      <c r="A5954" s="12" t="s">
        <v>583</v>
      </c>
      <c r="B5954" s="12" t="s">
        <v>553</v>
      </c>
      <c r="C5954" s="12" t="s">
        <v>566</v>
      </c>
      <c r="D5954" s="13">
        <v>3908</v>
      </c>
      <c r="E5954" s="13">
        <v>3866.9596539999998</v>
      </c>
      <c r="F5954" s="13">
        <v>4049.1305419999999</v>
      </c>
      <c r="G5954" s="13">
        <v>4253.4354840000015</v>
      </c>
      <c r="H5954" s="13"/>
      <c r="I5954" s="13"/>
      <c r="J5954" s="13"/>
      <c r="K5954" s="13"/>
      <c r="L5954" s="13"/>
      <c r="M5954" s="13"/>
      <c r="N5954" s="13"/>
      <c r="O5954" s="13"/>
      <c r="P5954" s="13"/>
      <c r="Q5954" s="13"/>
      <c r="R5954" s="13"/>
      <c r="S5954" s="13"/>
    </row>
    <row r="5955" spans="1:19" x14ac:dyDescent="0.2">
      <c r="A5955" s="12" t="s">
        <v>583</v>
      </c>
      <c r="B5955" s="12" t="s">
        <v>567</v>
      </c>
      <c r="C5955" s="12" t="s">
        <v>554</v>
      </c>
      <c r="D5955" s="13">
        <v>14103</v>
      </c>
      <c r="E5955" s="13">
        <v>13983.885054</v>
      </c>
      <c r="F5955" s="13">
        <v>13883.289935999999</v>
      </c>
      <c r="G5955" s="13">
        <v>13955.026882</v>
      </c>
      <c r="H5955" s="13"/>
      <c r="I5955" s="13"/>
      <c r="J5955" s="13"/>
      <c r="K5955" s="13"/>
      <c r="L5955" s="13"/>
      <c r="M5955" s="13"/>
      <c r="N5955" s="13"/>
      <c r="O5955" s="13"/>
      <c r="P5955" s="13"/>
      <c r="Q5955" s="13"/>
      <c r="R5955" s="13"/>
      <c r="S5955" s="13"/>
    </row>
    <row r="5956" spans="1:19" x14ac:dyDescent="0.2">
      <c r="A5956" s="12" t="s">
        <v>583</v>
      </c>
      <c r="B5956" s="12" t="s">
        <v>567</v>
      </c>
      <c r="C5956" s="12" t="s">
        <v>555</v>
      </c>
      <c r="D5956" s="13">
        <v>39187</v>
      </c>
      <c r="E5956" s="13">
        <v>38717.960185000004</v>
      </c>
      <c r="F5956" s="13">
        <v>40186.908901000003</v>
      </c>
      <c r="G5956" s="13">
        <v>43358.998924</v>
      </c>
      <c r="H5956" s="13"/>
      <c r="I5956" s="13"/>
      <c r="J5956" s="13"/>
      <c r="K5956" s="13"/>
      <c r="L5956" s="13"/>
      <c r="M5956" s="13"/>
      <c r="N5956" s="13"/>
      <c r="O5956" s="13"/>
      <c r="P5956" s="13"/>
      <c r="Q5956" s="13"/>
      <c r="R5956" s="13"/>
      <c r="S5956" s="13"/>
    </row>
    <row r="5957" spans="1:19" x14ac:dyDescent="0.2">
      <c r="A5957" s="12" t="s">
        <v>583</v>
      </c>
      <c r="B5957" s="12" t="s">
        <v>567</v>
      </c>
      <c r="C5957" s="12" t="s">
        <v>556</v>
      </c>
      <c r="D5957" s="13">
        <v>-1265</v>
      </c>
      <c r="E5957" s="13">
        <v>-1238.686195</v>
      </c>
      <c r="F5957" s="13">
        <v>-972.21568500000012</v>
      </c>
      <c r="G5957" s="13">
        <v>-1012.674576</v>
      </c>
      <c r="H5957" s="13"/>
      <c r="I5957" s="13"/>
      <c r="J5957" s="13"/>
      <c r="K5957" s="13"/>
      <c r="L5957" s="13"/>
      <c r="M5957" s="13"/>
      <c r="N5957" s="13"/>
      <c r="O5957" s="13"/>
      <c r="P5957" s="13"/>
      <c r="Q5957" s="13"/>
      <c r="R5957" s="13"/>
      <c r="S5957" s="13"/>
    </row>
    <row r="5958" spans="1:19" x14ac:dyDescent="0.2">
      <c r="A5958" s="12" t="s">
        <v>583</v>
      </c>
      <c r="B5958" s="12" t="s">
        <v>567</v>
      </c>
      <c r="C5958" s="12" t="s">
        <v>557</v>
      </c>
      <c r="D5958" s="13">
        <v>50665</v>
      </c>
      <c r="E5958" s="13">
        <v>52300.848972000007</v>
      </c>
      <c r="F5958" s="13">
        <v>52728.941614000003</v>
      </c>
      <c r="G5958" s="13">
        <v>55825.801181000003</v>
      </c>
      <c r="H5958" s="13"/>
      <c r="I5958" s="13"/>
      <c r="J5958" s="13"/>
      <c r="K5958" s="13"/>
      <c r="L5958" s="13"/>
      <c r="M5958" s="13"/>
      <c r="N5958" s="13"/>
      <c r="O5958" s="13"/>
      <c r="P5958" s="13"/>
      <c r="Q5958" s="13"/>
      <c r="R5958" s="13"/>
      <c r="S5958" s="13"/>
    </row>
    <row r="5959" spans="1:19" x14ac:dyDescent="0.2">
      <c r="A5959" s="12" t="s">
        <v>583</v>
      </c>
      <c r="B5959" s="12" t="s">
        <v>567</v>
      </c>
      <c r="C5959" s="12" t="s">
        <v>558</v>
      </c>
      <c r="D5959" s="13">
        <v>-7</v>
      </c>
      <c r="E5959" s="13">
        <v>-5.1706980000000007</v>
      </c>
      <c r="F5959" s="13">
        <v>-0.57869899999999996</v>
      </c>
      <c r="G5959" s="13">
        <v>-0.60608099999999998</v>
      </c>
      <c r="H5959" s="13"/>
      <c r="I5959" s="13"/>
      <c r="J5959" s="13"/>
      <c r="K5959" s="13"/>
      <c r="L5959" s="13"/>
      <c r="M5959" s="13"/>
      <c r="N5959" s="13"/>
      <c r="O5959" s="13"/>
      <c r="P5959" s="13"/>
      <c r="Q5959" s="13"/>
      <c r="R5959" s="13"/>
      <c r="S5959" s="13"/>
    </row>
    <row r="5960" spans="1:19" x14ac:dyDescent="0.2">
      <c r="A5960" s="12" t="s">
        <v>583</v>
      </c>
      <c r="B5960" s="12" t="s">
        <v>567</v>
      </c>
      <c r="C5960" s="12" t="s">
        <v>560</v>
      </c>
      <c r="D5960" s="13">
        <v>-49920</v>
      </c>
      <c r="E5960" s="13">
        <v>-51967.259246000001</v>
      </c>
      <c r="F5960" s="13">
        <v>-52766.024290000008</v>
      </c>
      <c r="G5960" s="13">
        <v>-56198.244639999997</v>
      </c>
      <c r="H5960" s="13"/>
      <c r="I5960" s="13"/>
      <c r="J5960" s="13"/>
      <c r="K5960" s="13"/>
      <c r="L5960" s="13"/>
      <c r="M5960" s="13"/>
      <c r="N5960" s="13"/>
      <c r="O5960" s="13"/>
      <c r="P5960" s="13"/>
      <c r="Q5960" s="13"/>
      <c r="R5960" s="13"/>
      <c r="S5960" s="13"/>
    </row>
    <row r="5961" spans="1:19" x14ac:dyDescent="0.2">
      <c r="A5961" s="12" t="s">
        <v>583</v>
      </c>
      <c r="B5961" s="12" t="s">
        <v>567</v>
      </c>
      <c r="C5961" s="12" t="s">
        <v>561</v>
      </c>
      <c r="D5961" s="13">
        <v>185</v>
      </c>
      <c r="E5961" s="13">
        <v>198.43401399999999</v>
      </c>
      <c r="F5961" s="13">
        <v>118.853798</v>
      </c>
      <c r="G5961" s="13">
        <v>75.299091000000004</v>
      </c>
      <c r="H5961" s="13"/>
      <c r="I5961" s="13"/>
      <c r="J5961" s="13"/>
      <c r="K5961" s="13"/>
      <c r="L5961" s="13"/>
      <c r="M5961" s="13"/>
      <c r="N5961" s="13"/>
      <c r="O5961" s="13"/>
      <c r="P5961" s="13"/>
      <c r="Q5961" s="13"/>
      <c r="R5961" s="13"/>
      <c r="S5961" s="13"/>
    </row>
    <row r="5962" spans="1:19" x14ac:dyDescent="0.2">
      <c r="A5962" s="12" t="s">
        <v>583</v>
      </c>
      <c r="B5962" s="12" t="s">
        <v>567</v>
      </c>
      <c r="C5962" s="12" t="s">
        <v>562</v>
      </c>
      <c r="D5962" s="13">
        <v>72</v>
      </c>
      <c r="E5962" s="13">
        <v>87.487373000000005</v>
      </c>
      <c r="F5962" s="13">
        <v>26.106497999999998</v>
      </c>
      <c r="G5962" s="13">
        <v>26.106497999999998</v>
      </c>
      <c r="H5962" s="13"/>
      <c r="I5962" s="13"/>
      <c r="J5962" s="13"/>
      <c r="K5962" s="13"/>
      <c r="L5962" s="13"/>
      <c r="M5962" s="13"/>
      <c r="N5962" s="13"/>
      <c r="O5962" s="13"/>
      <c r="P5962" s="13"/>
      <c r="Q5962" s="13"/>
      <c r="R5962" s="13"/>
      <c r="S5962" s="13"/>
    </row>
    <row r="5963" spans="1:19" x14ac:dyDescent="0.2">
      <c r="A5963" s="12" t="s">
        <v>583</v>
      </c>
      <c r="B5963" s="12" t="s">
        <v>567</v>
      </c>
      <c r="C5963" s="12" t="s">
        <v>563</v>
      </c>
      <c r="D5963" s="13">
        <v>0</v>
      </c>
      <c r="E5963" s="13">
        <v>0</v>
      </c>
      <c r="F5963" s="13">
        <v>0</v>
      </c>
      <c r="G5963" s="13">
        <v>0</v>
      </c>
      <c r="H5963" s="13"/>
      <c r="I5963" s="13"/>
      <c r="J5963" s="13"/>
      <c r="K5963" s="13"/>
      <c r="L5963" s="13"/>
      <c r="M5963" s="13"/>
      <c r="N5963" s="13"/>
      <c r="O5963" s="13"/>
      <c r="P5963" s="13"/>
      <c r="Q5963" s="13"/>
      <c r="R5963" s="13"/>
      <c r="S5963" s="13"/>
    </row>
    <row r="5964" spans="1:19" x14ac:dyDescent="0.2">
      <c r="A5964" s="12" t="s">
        <v>583</v>
      </c>
      <c r="B5964" s="12" t="s">
        <v>567</v>
      </c>
      <c r="C5964" s="12" t="s">
        <v>564</v>
      </c>
      <c r="D5964" s="13">
        <v>0</v>
      </c>
      <c r="E5964" s="13">
        <v>0</v>
      </c>
      <c r="F5964" s="13">
        <v>0</v>
      </c>
      <c r="G5964" s="13">
        <v>0</v>
      </c>
      <c r="H5964" s="13"/>
      <c r="I5964" s="13"/>
      <c r="J5964" s="13"/>
      <c r="K5964" s="13"/>
      <c r="L5964" s="13"/>
      <c r="M5964" s="13"/>
      <c r="N5964" s="13"/>
      <c r="O5964" s="13"/>
      <c r="P5964" s="13"/>
      <c r="Q5964" s="13"/>
      <c r="R5964" s="13"/>
      <c r="S5964" s="13"/>
    </row>
    <row r="5965" spans="1:19" x14ac:dyDescent="0.2">
      <c r="A5965" s="12" t="s">
        <v>583</v>
      </c>
      <c r="B5965" s="12" t="s">
        <v>567</v>
      </c>
      <c r="C5965" s="12" t="s">
        <v>565</v>
      </c>
      <c r="D5965" s="13">
        <v>0</v>
      </c>
      <c r="E5965" s="13">
        <v>0</v>
      </c>
      <c r="F5965" s="13">
        <v>0</v>
      </c>
      <c r="G5965" s="13">
        <v>0</v>
      </c>
      <c r="H5965" s="13"/>
      <c r="I5965" s="13"/>
      <c r="J5965" s="13"/>
      <c r="K5965" s="13"/>
      <c r="L5965" s="13"/>
      <c r="M5965" s="13"/>
      <c r="N5965" s="13"/>
      <c r="O5965" s="13"/>
      <c r="P5965" s="13"/>
      <c r="Q5965" s="13"/>
      <c r="R5965" s="13"/>
      <c r="S5965" s="13"/>
    </row>
    <row r="5966" spans="1:19" x14ac:dyDescent="0.2">
      <c r="A5966" s="12" t="s">
        <v>583</v>
      </c>
      <c r="B5966" s="12" t="s">
        <v>567</v>
      </c>
      <c r="C5966" s="12" t="s">
        <v>566</v>
      </c>
      <c r="D5966" s="13">
        <v>113</v>
      </c>
      <c r="E5966" s="13">
        <v>110.946641</v>
      </c>
      <c r="F5966" s="13">
        <v>92.74730000000001</v>
      </c>
      <c r="G5966" s="13">
        <v>49.192593000000002</v>
      </c>
      <c r="H5966" s="13"/>
      <c r="I5966" s="13"/>
      <c r="J5966" s="13"/>
      <c r="K5966" s="13"/>
      <c r="L5966" s="13"/>
      <c r="M5966" s="13"/>
      <c r="N5966" s="13"/>
      <c r="O5966" s="13"/>
      <c r="P5966" s="13"/>
      <c r="Q5966" s="13"/>
      <c r="R5966" s="13"/>
      <c r="S5966" s="13"/>
    </row>
    <row r="5967" spans="1:19" x14ac:dyDescent="0.2">
      <c r="A5967" s="12" t="s">
        <v>583</v>
      </c>
      <c r="B5967" s="12" t="s">
        <v>568</v>
      </c>
      <c r="C5967" s="12" t="s">
        <v>554</v>
      </c>
      <c r="D5967" s="13">
        <v>0</v>
      </c>
      <c r="E5967" s="13">
        <v>0</v>
      </c>
      <c r="F5967" s="13">
        <v>0</v>
      </c>
      <c r="G5967" s="13">
        <v>0</v>
      </c>
      <c r="H5967" s="13"/>
      <c r="I5967" s="13"/>
      <c r="J5967" s="13"/>
      <c r="K5967" s="13"/>
      <c r="L5967" s="13"/>
      <c r="M5967" s="13"/>
      <c r="N5967" s="13"/>
      <c r="O5967" s="13"/>
      <c r="P5967" s="13"/>
      <c r="Q5967" s="13"/>
      <c r="R5967" s="13"/>
      <c r="S5967" s="13"/>
    </row>
    <row r="5968" spans="1:19" x14ac:dyDescent="0.2">
      <c r="A5968" s="12" t="s">
        <v>583</v>
      </c>
      <c r="B5968" s="12" t="s">
        <v>568</v>
      </c>
      <c r="C5968" s="12" t="s">
        <v>555</v>
      </c>
      <c r="D5968" s="13">
        <v>14869</v>
      </c>
      <c r="E5968" s="13">
        <v>15188.06299</v>
      </c>
      <c r="F5968" s="13">
        <v>15653.621074000001</v>
      </c>
      <c r="G5968" s="13">
        <v>17489.088798000001</v>
      </c>
      <c r="H5968" s="13"/>
      <c r="I5968" s="13"/>
      <c r="J5968" s="13"/>
      <c r="K5968" s="13"/>
      <c r="L5968" s="13"/>
      <c r="M5968" s="13"/>
      <c r="N5968" s="13"/>
      <c r="O5968" s="13"/>
      <c r="P5968" s="13"/>
      <c r="Q5968" s="13"/>
      <c r="R5968" s="13"/>
      <c r="S5968" s="13"/>
    </row>
    <row r="5969" spans="1:19" x14ac:dyDescent="0.2">
      <c r="A5969" s="12" t="s">
        <v>583</v>
      </c>
      <c r="B5969" s="12" t="s">
        <v>568</v>
      </c>
      <c r="C5969" s="12" t="s">
        <v>556</v>
      </c>
      <c r="D5969" s="13">
        <v>-10544</v>
      </c>
      <c r="E5969" s="13">
        <v>-11021.525582</v>
      </c>
      <c r="F5969" s="13">
        <v>-10219.011162999999</v>
      </c>
      <c r="G5969" s="13">
        <v>-10855.819269</v>
      </c>
      <c r="H5969" s="13"/>
      <c r="I5969" s="13"/>
      <c r="J5969" s="13"/>
      <c r="K5969" s="13"/>
      <c r="L5969" s="13"/>
      <c r="M5969" s="13"/>
      <c r="N5969" s="13"/>
      <c r="O5969" s="13"/>
      <c r="P5969" s="13"/>
      <c r="Q5969" s="13"/>
      <c r="R5969" s="13"/>
      <c r="S5969" s="13"/>
    </row>
    <row r="5970" spans="1:19" x14ac:dyDescent="0.2">
      <c r="A5970" s="12" t="s">
        <v>583</v>
      </c>
      <c r="B5970" s="12" t="s">
        <v>568</v>
      </c>
      <c r="C5970" s="12" t="s">
        <v>557</v>
      </c>
      <c r="D5970" s="13">
        <v>-549</v>
      </c>
      <c r="E5970" s="13">
        <v>-953.03043200000002</v>
      </c>
      <c r="F5970" s="13">
        <v>579.97453099999996</v>
      </c>
      <c r="G5970" s="13">
        <v>31.280638000000039</v>
      </c>
      <c r="H5970" s="13"/>
      <c r="I5970" s="13"/>
      <c r="J5970" s="13"/>
      <c r="K5970" s="13"/>
      <c r="L5970" s="13"/>
      <c r="M5970" s="13"/>
      <c r="N5970" s="13"/>
      <c r="O5970" s="13"/>
      <c r="P5970" s="13"/>
      <c r="Q5970" s="13"/>
      <c r="R5970" s="13"/>
      <c r="S5970" s="13"/>
    </row>
    <row r="5971" spans="1:19" x14ac:dyDescent="0.2">
      <c r="A5971" s="12" t="s">
        <v>583</v>
      </c>
      <c r="B5971" s="12" t="s">
        <v>568</v>
      </c>
      <c r="C5971" s="12" t="s">
        <v>558</v>
      </c>
      <c r="D5971" s="13">
        <v>-1106</v>
      </c>
      <c r="E5971" s="13">
        <v>-1326.639901</v>
      </c>
      <c r="F5971" s="13">
        <v>-1398.6023290000001</v>
      </c>
      <c r="G5971" s="13">
        <v>-1324.6297460000001</v>
      </c>
      <c r="H5971" s="13"/>
      <c r="I5971" s="13"/>
      <c r="J5971" s="13"/>
      <c r="K5971" s="13"/>
      <c r="L5971" s="13"/>
      <c r="M5971" s="13"/>
      <c r="N5971" s="13"/>
      <c r="O5971" s="13"/>
      <c r="P5971" s="13"/>
      <c r="Q5971" s="13"/>
      <c r="R5971" s="13"/>
      <c r="S5971" s="13"/>
    </row>
    <row r="5972" spans="1:19" x14ac:dyDescent="0.2">
      <c r="A5972" s="12" t="s">
        <v>583</v>
      </c>
      <c r="B5972" s="12" t="s">
        <v>568</v>
      </c>
      <c r="C5972" s="12" t="s">
        <v>560</v>
      </c>
      <c r="D5972" s="13">
        <v>49643</v>
      </c>
      <c r="E5972" s="13">
        <v>51866.604694000009</v>
      </c>
      <c r="F5972" s="13">
        <v>52150.570305000001</v>
      </c>
      <c r="G5972" s="13">
        <v>55350.842579999997</v>
      </c>
      <c r="H5972" s="13"/>
      <c r="I5972" s="13"/>
      <c r="J5972" s="13"/>
      <c r="K5972" s="13"/>
      <c r="L5972" s="13"/>
      <c r="M5972" s="13"/>
      <c r="N5972" s="13"/>
      <c r="O5972" s="13"/>
      <c r="P5972" s="13"/>
      <c r="Q5972" s="13"/>
      <c r="R5972" s="13"/>
      <c r="S5972" s="13"/>
    </row>
    <row r="5973" spans="1:19" x14ac:dyDescent="0.2">
      <c r="A5973" s="12" t="s">
        <v>583</v>
      </c>
      <c r="B5973" s="12" t="s">
        <v>568</v>
      </c>
      <c r="C5973" s="12" t="s">
        <v>561</v>
      </c>
      <c r="D5973" s="13">
        <v>44493</v>
      </c>
      <c r="E5973" s="13">
        <v>46439.23242</v>
      </c>
      <c r="F5973" s="13">
        <v>47493.452089000013</v>
      </c>
      <c r="G5973" s="13">
        <v>49849.393350000013</v>
      </c>
      <c r="H5973" s="13"/>
      <c r="I5973" s="13"/>
      <c r="J5973" s="13"/>
      <c r="K5973" s="13"/>
      <c r="L5973" s="13"/>
      <c r="M5973" s="13"/>
      <c r="N5973" s="13"/>
      <c r="O5973" s="13"/>
      <c r="P5973" s="13"/>
      <c r="Q5973" s="13"/>
      <c r="R5973" s="13"/>
      <c r="S5973" s="13"/>
    </row>
    <row r="5974" spans="1:19" x14ac:dyDescent="0.2">
      <c r="A5974" s="12" t="s">
        <v>583</v>
      </c>
      <c r="B5974" s="12" t="s">
        <v>568</v>
      </c>
      <c r="C5974" s="12" t="s">
        <v>562</v>
      </c>
      <c r="D5974" s="13">
        <v>4549</v>
      </c>
      <c r="E5974" s="13">
        <v>4166.8339920000008</v>
      </c>
      <c r="F5974" s="13">
        <v>5461.6890860000003</v>
      </c>
      <c r="G5974" s="13">
        <v>5561.8837649999996</v>
      </c>
      <c r="H5974" s="13"/>
      <c r="I5974" s="13"/>
      <c r="J5974" s="13"/>
      <c r="K5974" s="13"/>
      <c r="L5974" s="13"/>
      <c r="M5974" s="13"/>
      <c r="N5974" s="13"/>
      <c r="O5974" s="13"/>
      <c r="P5974" s="13"/>
      <c r="Q5974" s="13"/>
      <c r="R5974" s="13"/>
      <c r="S5974" s="13"/>
    </row>
    <row r="5975" spans="1:19" x14ac:dyDescent="0.2">
      <c r="A5975" s="12" t="s">
        <v>583</v>
      </c>
      <c r="B5975" s="12" t="s">
        <v>568</v>
      </c>
      <c r="C5975" s="12" t="s">
        <v>563</v>
      </c>
      <c r="D5975" s="13">
        <v>23750</v>
      </c>
      <c r="E5975" s="13">
        <v>25036.702683</v>
      </c>
      <c r="F5975" s="13">
        <v>24829.257645999998</v>
      </c>
      <c r="G5975" s="13">
        <v>25788.207735</v>
      </c>
      <c r="H5975" s="13"/>
      <c r="I5975" s="13"/>
      <c r="J5975" s="13"/>
      <c r="K5975" s="13"/>
      <c r="L5975" s="13"/>
      <c r="M5975" s="13"/>
      <c r="N5975" s="13"/>
      <c r="O5975" s="13"/>
      <c r="P5975" s="13"/>
      <c r="Q5975" s="13"/>
      <c r="R5975" s="13"/>
      <c r="S5975" s="13"/>
    </row>
    <row r="5976" spans="1:19" x14ac:dyDescent="0.2">
      <c r="A5976" s="12" t="s">
        <v>583</v>
      </c>
      <c r="B5976" s="12" t="s">
        <v>568</v>
      </c>
      <c r="C5976" s="12" t="s">
        <v>564</v>
      </c>
      <c r="D5976" s="13">
        <v>3633</v>
      </c>
      <c r="E5976" s="13">
        <v>3633.0082459999999</v>
      </c>
      <c r="F5976" s="13">
        <v>3575.7287689999998</v>
      </c>
      <c r="G5976" s="13">
        <v>3540.5355290000002</v>
      </c>
      <c r="H5976" s="13"/>
      <c r="I5976" s="13"/>
      <c r="J5976" s="13"/>
      <c r="K5976" s="13"/>
      <c r="L5976" s="13"/>
      <c r="M5976" s="13"/>
      <c r="N5976" s="13"/>
      <c r="O5976" s="13"/>
      <c r="P5976" s="13"/>
      <c r="Q5976" s="13"/>
      <c r="R5976" s="13"/>
      <c r="S5976" s="13"/>
    </row>
    <row r="5977" spans="1:19" x14ac:dyDescent="0.2">
      <c r="A5977" s="12" t="s">
        <v>583</v>
      </c>
      <c r="B5977" s="12" t="s">
        <v>568</v>
      </c>
      <c r="C5977" s="12" t="s">
        <v>565</v>
      </c>
      <c r="D5977" s="13">
        <v>1059</v>
      </c>
      <c r="E5977" s="13">
        <v>1107.6047349999999</v>
      </c>
      <c r="F5977" s="13">
        <v>1070.2268140000001</v>
      </c>
      <c r="G5977" s="13">
        <v>1054.577452</v>
      </c>
      <c r="H5977" s="13"/>
      <c r="I5977" s="13"/>
      <c r="J5977" s="13"/>
      <c r="K5977" s="13"/>
      <c r="L5977" s="13"/>
      <c r="M5977" s="13"/>
      <c r="N5977" s="13"/>
      <c r="O5977" s="13"/>
      <c r="P5977" s="13"/>
      <c r="Q5977" s="13"/>
      <c r="R5977" s="13"/>
      <c r="S5977" s="13"/>
    </row>
    <row r="5978" spans="1:19" x14ac:dyDescent="0.2">
      <c r="A5978" s="12" t="s">
        <v>583</v>
      </c>
      <c r="B5978" s="12" t="s">
        <v>568</v>
      </c>
      <c r="C5978" s="12" t="s">
        <v>566</v>
      </c>
      <c r="D5978" s="13">
        <v>11501</v>
      </c>
      <c r="E5978" s="13">
        <v>12495.082773</v>
      </c>
      <c r="F5978" s="13">
        <v>12556.549781</v>
      </c>
      <c r="G5978" s="13">
        <v>13904.188855</v>
      </c>
      <c r="H5978" s="13"/>
      <c r="I5978" s="13"/>
      <c r="J5978" s="13"/>
      <c r="K5978" s="13"/>
      <c r="L5978" s="13"/>
      <c r="M5978" s="13"/>
      <c r="N5978" s="13"/>
      <c r="O5978" s="13"/>
      <c r="P5978" s="13"/>
      <c r="Q5978" s="13"/>
      <c r="R5978" s="13"/>
      <c r="S5978" s="13"/>
    </row>
    <row r="5979" spans="1:19" x14ac:dyDescent="0.2">
      <c r="A5979" s="12" t="s">
        <v>583</v>
      </c>
      <c r="B5979" s="12" t="s">
        <v>569</v>
      </c>
      <c r="C5979" s="12" t="s">
        <v>554</v>
      </c>
      <c r="D5979" s="13">
        <v>17504</v>
      </c>
      <c r="E5979" s="13">
        <v>18199.684933</v>
      </c>
      <c r="F5979" s="13">
        <v>18519.674771999998</v>
      </c>
      <c r="G5979" s="13">
        <v>18788.550535999999</v>
      </c>
      <c r="H5979" s="13"/>
      <c r="I5979" s="13"/>
      <c r="J5979" s="13"/>
      <c r="K5979" s="13"/>
      <c r="L5979" s="13"/>
      <c r="M5979" s="13"/>
      <c r="N5979" s="13"/>
      <c r="O5979" s="13"/>
      <c r="P5979" s="13"/>
      <c r="Q5979" s="13"/>
      <c r="R5979" s="13"/>
      <c r="S5979" s="13"/>
    </row>
    <row r="5980" spans="1:19" x14ac:dyDescent="0.2">
      <c r="A5980" s="12" t="s">
        <v>583</v>
      </c>
      <c r="B5980" s="12" t="s">
        <v>569</v>
      </c>
      <c r="C5980" s="12" t="s">
        <v>555</v>
      </c>
      <c r="D5980" s="13">
        <v>8775</v>
      </c>
      <c r="E5980" s="13">
        <v>9712.1287140000004</v>
      </c>
      <c r="F5980" s="13">
        <v>9222.5861409999998</v>
      </c>
      <c r="G5980" s="13">
        <v>9944.1617140000017</v>
      </c>
      <c r="H5980" s="13"/>
      <c r="I5980" s="13"/>
      <c r="J5980" s="13"/>
      <c r="K5980" s="13"/>
      <c r="L5980" s="13"/>
      <c r="M5980" s="13"/>
      <c r="N5980" s="13"/>
      <c r="O5980" s="13"/>
      <c r="P5980" s="13"/>
      <c r="Q5980" s="13"/>
      <c r="R5980" s="13"/>
      <c r="S5980" s="13"/>
    </row>
    <row r="5981" spans="1:19" x14ac:dyDescent="0.2">
      <c r="A5981" s="12" t="s">
        <v>583</v>
      </c>
      <c r="B5981" s="12" t="s">
        <v>569</v>
      </c>
      <c r="C5981" s="12" t="s">
        <v>556</v>
      </c>
      <c r="D5981" s="13">
        <v>-3487</v>
      </c>
      <c r="E5981" s="13">
        <v>-3329.376624</v>
      </c>
      <c r="F5981" s="13">
        <v>-3339.710333</v>
      </c>
      <c r="G5981" s="13">
        <v>-3227.8678759999998</v>
      </c>
      <c r="H5981" s="13"/>
      <c r="I5981" s="13"/>
      <c r="J5981" s="13"/>
      <c r="K5981" s="13"/>
      <c r="L5981" s="13"/>
      <c r="M5981" s="13"/>
      <c r="N5981" s="13"/>
      <c r="O5981" s="13"/>
      <c r="P5981" s="13"/>
      <c r="Q5981" s="13"/>
      <c r="R5981" s="13"/>
      <c r="S5981" s="13"/>
    </row>
    <row r="5982" spans="1:19" x14ac:dyDescent="0.2">
      <c r="A5982" s="12" t="s">
        <v>583</v>
      </c>
      <c r="B5982" s="12" t="s">
        <v>569</v>
      </c>
      <c r="C5982" s="12" t="s">
        <v>557</v>
      </c>
      <c r="D5982" s="13">
        <v>22741</v>
      </c>
      <c r="E5982" s="13">
        <v>24527.720197999999</v>
      </c>
      <c r="F5982" s="13">
        <v>24392.602696000002</v>
      </c>
      <c r="G5982" s="13">
        <v>25462.801880999999</v>
      </c>
      <c r="H5982" s="13"/>
      <c r="I5982" s="13"/>
      <c r="J5982" s="13"/>
      <c r="K5982" s="13"/>
      <c r="L5982" s="13"/>
      <c r="M5982" s="13"/>
      <c r="N5982" s="13"/>
      <c r="O5982" s="13"/>
      <c r="P5982" s="13"/>
      <c r="Q5982" s="13"/>
      <c r="R5982" s="13"/>
      <c r="S5982" s="13"/>
    </row>
    <row r="5983" spans="1:19" x14ac:dyDescent="0.2">
      <c r="A5983" s="12" t="s">
        <v>583</v>
      </c>
      <c r="B5983" s="12" t="s">
        <v>569</v>
      </c>
      <c r="C5983" s="12" t="s">
        <v>558</v>
      </c>
      <c r="D5983" s="13">
        <v>-7397</v>
      </c>
      <c r="E5983" s="13">
        <v>-7666.3237680000002</v>
      </c>
      <c r="F5983" s="13">
        <v>-7681.6652900000008</v>
      </c>
      <c r="G5983" s="13">
        <v>-7905.412112</v>
      </c>
      <c r="H5983" s="13"/>
      <c r="I5983" s="13"/>
      <c r="J5983" s="13"/>
      <c r="K5983" s="13"/>
      <c r="L5983" s="13"/>
      <c r="M5983" s="13"/>
      <c r="N5983" s="13"/>
      <c r="O5983" s="13"/>
      <c r="P5983" s="13"/>
      <c r="Q5983" s="13"/>
      <c r="R5983" s="13"/>
      <c r="S5983" s="13"/>
    </row>
    <row r="5984" spans="1:19" x14ac:dyDescent="0.2">
      <c r="A5984" s="12" t="s">
        <v>583</v>
      </c>
      <c r="B5984" s="12" t="s">
        <v>569</v>
      </c>
      <c r="C5984" s="12" t="s">
        <v>560</v>
      </c>
      <c r="D5984" s="13">
        <v>0</v>
      </c>
      <c r="E5984" s="13">
        <v>0</v>
      </c>
      <c r="F5984" s="13">
        <v>0</v>
      </c>
      <c r="G5984" s="13">
        <v>0</v>
      </c>
      <c r="H5984" s="13"/>
      <c r="I5984" s="13"/>
      <c r="J5984" s="13"/>
      <c r="K5984" s="13"/>
      <c r="L5984" s="13"/>
      <c r="M5984" s="13"/>
      <c r="N5984" s="13"/>
      <c r="O5984" s="13"/>
      <c r="P5984" s="13"/>
      <c r="Q5984" s="13"/>
      <c r="R5984" s="13"/>
      <c r="S5984" s="13"/>
    </row>
    <row r="5985" spans="1:19" x14ac:dyDescent="0.2">
      <c r="A5985" s="12" t="s">
        <v>583</v>
      </c>
      <c r="B5985" s="12" t="s">
        <v>569</v>
      </c>
      <c r="C5985" s="12" t="s">
        <v>561</v>
      </c>
      <c r="D5985" s="13">
        <v>12857</v>
      </c>
      <c r="E5985" s="13">
        <v>14449.077325</v>
      </c>
      <c r="F5985" s="13">
        <v>14272.753051</v>
      </c>
      <c r="G5985" s="13">
        <v>15355.828737</v>
      </c>
      <c r="H5985" s="13"/>
      <c r="I5985" s="13"/>
      <c r="J5985" s="13"/>
      <c r="K5985" s="13"/>
      <c r="L5985" s="13"/>
      <c r="M5985" s="13"/>
      <c r="N5985" s="13"/>
      <c r="O5985" s="13"/>
      <c r="P5985" s="13"/>
      <c r="Q5985" s="13"/>
      <c r="R5985" s="13"/>
      <c r="S5985" s="13"/>
    </row>
    <row r="5986" spans="1:19" x14ac:dyDescent="0.2">
      <c r="A5986" s="12" t="s">
        <v>583</v>
      </c>
      <c r="B5986" s="12" t="s">
        <v>569</v>
      </c>
      <c r="C5986" s="12" t="s">
        <v>562</v>
      </c>
      <c r="D5986" s="13">
        <v>6314</v>
      </c>
      <c r="E5986" s="13">
        <v>7604.9866069999998</v>
      </c>
      <c r="F5986" s="13">
        <v>7452.377144</v>
      </c>
      <c r="G5986" s="13">
        <v>8102.5981659999998</v>
      </c>
      <c r="H5986" s="13"/>
      <c r="I5986" s="13"/>
      <c r="J5986" s="13"/>
      <c r="K5986" s="13"/>
      <c r="L5986" s="13"/>
      <c r="M5986" s="13"/>
      <c r="N5986" s="13"/>
      <c r="O5986" s="13"/>
      <c r="P5986" s="13"/>
      <c r="Q5986" s="13"/>
      <c r="R5986" s="13"/>
      <c r="S5986" s="13"/>
    </row>
    <row r="5987" spans="1:19" x14ac:dyDescent="0.2">
      <c r="A5987" s="12" t="s">
        <v>583</v>
      </c>
      <c r="B5987" s="12" t="s">
        <v>569</v>
      </c>
      <c r="C5987" s="12" t="s">
        <v>563</v>
      </c>
      <c r="D5987" s="13">
        <v>1444</v>
      </c>
      <c r="E5987" s="13">
        <v>1498.615605</v>
      </c>
      <c r="F5987" s="13">
        <v>1473.0642849999999</v>
      </c>
      <c r="G5987" s="13">
        <v>1600.8610920000001</v>
      </c>
      <c r="H5987" s="13"/>
      <c r="I5987" s="13"/>
      <c r="J5987" s="13"/>
      <c r="K5987" s="13"/>
      <c r="L5987" s="13"/>
      <c r="M5987" s="13"/>
      <c r="N5987" s="13"/>
      <c r="O5987" s="13"/>
      <c r="P5987" s="13"/>
      <c r="Q5987" s="13"/>
      <c r="R5987" s="13"/>
      <c r="S5987" s="13"/>
    </row>
    <row r="5988" spans="1:19" x14ac:dyDescent="0.2">
      <c r="A5988" s="12" t="s">
        <v>583</v>
      </c>
      <c r="B5988" s="12" t="s">
        <v>569</v>
      </c>
      <c r="C5988" s="12" t="s">
        <v>564</v>
      </c>
      <c r="D5988" s="13">
        <v>2457</v>
      </c>
      <c r="E5988" s="13">
        <v>2574.7172369999998</v>
      </c>
      <c r="F5988" s="13">
        <v>2562.849635</v>
      </c>
      <c r="G5988" s="13">
        <v>2716.1751250000002</v>
      </c>
      <c r="H5988" s="13"/>
      <c r="I5988" s="13"/>
      <c r="J5988" s="13"/>
      <c r="K5988" s="13"/>
      <c r="L5988" s="13"/>
      <c r="M5988" s="13"/>
      <c r="N5988" s="13"/>
      <c r="O5988" s="13"/>
      <c r="P5988" s="13"/>
      <c r="Q5988" s="13"/>
      <c r="R5988" s="13"/>
      <c r="S5988" s="13"/>
    </row>
    <row r="5989" spans="1:19" x14ac:dyDescent="0.2">
      <c r="A5989" s="12" t="s">
        <v>583</v>
      </c>
      <c r="B5989" s="12" t="s">
        <v>569</v>
      </c>
      <c r="C5989" s="12" t="s">
        <v>565</v>
      </c>
      <c r="D5989" s="13">
        <v>588</v>
      </c>
      <c r="E5989" s="13">
        <v>640.32179800000006</v>
      </c>
      <c r="F5989" s="13">
        <v>650.94546000000003</v>
      </c>
      <c r="G5989" s="13">
        <v>675.64316700000006</v>
      </c>
      <c r="H5989" s="13"/>
      <c r="I5989" s="13"/>
      <c r="J5989" s="13"/>
      <c r="K5989" s="13"/>
      <c r="L5989" s="13"/>
      <c r="M5989" s="13"/>
      <c r="N5989" s="13"/>
      <c r="O5989" s="13"/>
      <c r="P5989" s="13"/>
      <c r="Q5989" s="13"/>
      <c r="R5989" s="13"/>
      <c r="S5989" s="13"/>
    </row>
    <row r="5990" spans="1:19" x14ac:dyDescent="0.2">
      <c r="A5990" s="12" t="s">
        <v>583</v>
      </c>
      <c r="B5990" s="12" t="s">
        <v>569</v>
      </c>
      <c r="C5990" s="12" t="s">
        <v>566</v>
      </c>
      <c r="D5990" s="13">
        <v>2053</v>
      </c>
      <c r="E5990" s="13">
        <v>2130.4360809999998</v>
      </c>
      <c r="F5990" s="13">
        <v>2133.5165229999998</v>
      </c>
      <c r="G5990" s="13">
        <v>2260.5511820000002</v>
      </c>
      <c r="H5990" s="13"/>
      <c r="I5990" s="13"/>
      <c r="J5990" s="13"/>
      <c r="K5990" s="13"/>
      <c r="L5990" s="13"/>
      <c r="M5990" s="13"/>
      <c r="N5990" s="13"/>
      <c r="O5990" s="13"/>
      <c r="P5990" s="13"/>
      <c r="Q5990" s="13"/>
      <c r="R5990" s="13"/>
      <c r="S5990" s="13"/>
    </row>
    <row r="5991" spans="1:19" x14ac:dyDescent="0.2">
      <c r="A5991" s="12" t="s">
        <v>583</v>
      </c>
      <c r="B5991" s="12" t="s">
        <v>570</v>
      </c>
      <c r="C5991" s="12" t="s">
        <v>554</v>
      </c>
      <c r="D5991" s="13">
        <v>4910</v>
      </c>
      <c r="E5991" s="13">
        <v>5471.9667009999994</v>
      </c>
      <c r="F5991" s="13">
        <v>5600.183059</v>
      </c>
      <c r="G5991" s="13">
        <v>5745.0353609999993</v>
      </c>
      <c r="H5991" s="13"/>
      <c r="I5991" s="13"/>
      <c r="J5991" s="13"/>
      <c r="K5991" s="13"/>
      <c r="L5991" s="13"/>
      <c r="M5991" s="13"/>
      <c r="N5991" s="13"/>
      <c r="O5991" s="13"/>
      <c r="P5991" s="13"/>
      <c r="Q5991" s="13"/>
      <c r="R5991" s="13"/>
      <c r="S5991" s="13"/>
    </row>
    <row r="5992" spans="1:19" x14ac:dyDescent="0.2">
      <c r="A5992" s="12" t="s">
        <v>583</v>
      </c>
      <c r="B5992" s="12" t="s">
        <v>570</v>
      </c>
      <c r="C5992" s="12" t="s">
        <v>555</v>
      </c>
      <c r="D5992" s="13">
        <v>0</v>
      </c>
      <c r="E5992" s="13">
        <v>0</v>
      </c>
      <c r="F5992" s="13">
        <v>0</v>
      </c>
      <c r="G5992" s="13">
        <v>0</v>
      </c>
      <c r="H5992" s="13"/>
      <c r="I5992" s="13"/>
      <c r="J5992" s="13"/>
      <c r="K5992" s="13"/>
      <c r="L5992" s="13"/>
      <c r="M5992" s="13"/>
      <c r="N5992" s="13"/>
      <c r="O5992" s="13"/>
      <c r="P5992" s="13"/>
      <c r="Q5992" s="13"/>
      <c r="R5992" s="13"/>
      <c r="S5992" s="13"/>
    </row>
    <row r="5993" spans="1:19" x14ac:dyDescent="0.2">
      <c r="A5993" s="12" t="s">
        <v>583</v>
      </c>
      <c r="B5993" s="12" t="s">
        <v>570</v>
      </c>
      <c r="C5993" s="12" t="s">
        <v>556</v>
      </c>
      <c r="D5993" s="13">
        <v>0</v>
      </c>
      <c r="E5993" s="13">
        <v>0</v>
      </c>
      <c r="F5993" s="13">
        <v>0</v>
      </c>
      <c r="G5993" s="13">
        <v>0</v>
      </c>
      <c r="H5993" s="13"/>
      <c r="I5993" s="13"/>
      <c r="J5993" s="13"/>
      <c r="K5993" s="13"/>
      <c r="L5993" s="13"/>
      <c r="M5993" s="13"/>
      <c r="N5993" s="13"/>
      <c r="O5993" s="13"/>
      <c r="P5993" s="13"/>
      <c r="Q5993" s="13"/>
      <c r="R5993" s="13"/>
      <c r="S5993" s="13"/>
    </row>
    <row r="5994" spans="1:19" x14ac:dyDescent="0.2">
      <c r="A5994" s="12" t="s">
        <v>583</v>
      </c>
      <c r="B5994" s="12" t="s">
        <v>570</v>
      </c>
      <c r="C5994" s="12" t="s">
        <v>557</v>
      </c>
      <c r="D5994" s="13">
        <v>4910</v>
      </c>
      <c r="E5994" s="13">
        <v>5471.9667009999994</v>
      </c>
      <c r="F5994" s="13">
        <v>5600.183059</v>
      </c>
      <c r="G5994" s="13">
        <v>5745.0353609999993</v>
      </c>
      <c r="H5994" s="13"/>
      <c r="I5994" s="13"/>
      <c r="J5994" s="13"/>
      <c r="K5994" s="13"/>
      <c r="L5994" s="13"/>
      <c r="M5994" s="13"/>
      <c r="N5994" s="13"/>
      <c r="O5994" s="13"/>
      <c r="P5994" s="13"/>
      <c r="Q5994" s="13"/>
      <c r="R5994" s="13"/>
      <c r="S5994" s="13"/>
    </row>
    <row r="5995" spans="1:19" x14ac:dyDescent="0.2">
      <c r="A5995" s="12" t="s">
        <v>583</v>
      </c>
      <c r="B5995" s="12" t="s">
        <v>570</v>
      </c>
      <c r="C5995" s="12" t="s">
        <v>558</v>
      </c>
      <c r="D5995" s="13">
        <v>-4910</v>
      </c>
      <c r="E5995" s="13">
        <v>-5471.9667009999994</v>
      </c>
      <c r="F5995" s="13">
        <v>-5600.183059</v>
      </c>
      <c r="G5995" s="13">
        <v>-5745.0353609999993</v>
      </c>
      <c r="H5995" s="13"/>
      <c r="I5995" s="13"/>
      <c r="J5995" s="13"/>
      <c r="K5995" s="13"/>
      <c r="L5995" s="13"/>
      <c r="M5995" s="13"/>
      <c r="N5995" s="13"/>
      <c r="O5995" s="13"/>
      <c r="P5995" s="13"/>
      <c r="Q5995" s="13"/>
      <c r="R5995" s="13"/>
      <c r="S5995" s="13"/>
    </row>
    <row r="5996" spans="1:19" x14ac:dyDescent="0.2">
      <c r="A5996" s="12" t="s">
        <v>583</v>
      </c>
      <c r="B5996" s="12" t="s">
        <v>570</v>
      </c>
      <c r="C5996" s="12" t="s">
        <v>560</v>
      </c>
      <c r="D5996" s="13">
        <v>0</v>
      </c>
      <c r="E5996" s="13">
        <v>0</v>
      </c>
      <c r="F5996" s="13">
        <v>0</v>
      </c>
      <c r="G5996" s="13">
        <v>0</v>
      </c>
      <c r="H5996" s="13"/>
      <c r="I5996" s="13"/>
      <c r="J5996" s="13"/>
      <c r="K5996" s="13"/>
      <c r="L5996" s="13"/>
      <c r="M5996" s="13"/>
      <c r="N5996" s="13"/>
      <c r="O5996" s="13"/>
      <c r="P5996" s="13"/>
      <c r="Q5996" s="13"/>
      <c r="R5996" s="13"/>
      <c r="S5996" s="13"/>
    </row>
    <row r="5997" spans="1:19" x14ac:dyDescent="0.2">
      <c r="A5997" s="12" t="s">
        <v>583</v>
      </c>
      <c r="B5997" s="12" t="s">
        <v>570</v>
      </c>
      <c r="C5997" s="12" t="s">
        <v>561</v>
      </c>
      <c r="D5997" s="13">
        <v>0</v>
      </c>
      <c r="E5997" s="13">
        <v>0</v>
      </c>
      <c r="F5997" s="13">
        <v>0</v>
      </c>
      <c r="G5997" s="13">
        <v>0</v>
      </c>
      <c r="H5997" s="13"/>
      <c r="I5997" s="13"/>
      <c r="J5997" s="13"/>
      <c r="K5997" s="13"/>
      <c r="L5997" s="13"/>
      <c r="M5997" s="13"/>
      <c r="N5997" s="13"/>
      <c r="O5997" s="13"/>
      <c r="P5997" s="13"/>
      <c r="Q5997" s="13"/>
      <c r="R5997" s="13"/>
      <c r="S5997" s="13"/>
    </row>
    <row r="5998" spans="1:19" x14ac:dyDescent="0.2">
      <c r="A5998" s="12" t="s">
        <v>583</v>
      </c>
      <c r="B5998" s="12" t="s">
        <v>570</v>
      </c>
      <c r="C5998" s="12" t="s">
        <v>562</v>
      </c>
      <c r="D5998" s="13">
        <v>0</v>
      </c>
      <c r="E5998" s="13">
        <v>0</v>
      </c>
      <c r="F5998" s="13">
        <v>0</v>
      </c>
      <c r="G5998" s="13">
        <v>0</v>
      </c>
      <c r="H5998" s="13"/>
      <c r="I5998" s="13"/>
      <c r="J5998" s="13"/>
      <c r="K5998" s="13"/>
      <c r="L5998" s="13"/>
      <c r="M5998" s="13"/>
      <c r="N5998" s="13"/>
      <c r="O5998" s="13"/>
      <c r="P5998" s="13"/>
      <c r="Q5998" s="13"/>
      <c r="R5998" s="13"/>
      <c r="S5998" s="13"/>
    </row>
    <row r="5999" spans="1:19" x14ac:dyDescent="0.2">
      <c r="A5999" s="12" t="s">
        <v>583</v>
      </c>
      <c r="B5999" s="12" t="s">
        <v>570</v>
      </c>
      <c r="C5999" s="12" t="s">
        <v>563</v>
      </c>
      <c r="D5999" s="13">
        <v>0</v>
      </c>
      <c r="E5999" s="13">
        <v>0</v>
      </c>
      <c r="F5999" s="13">
        <v>0</v>
      </c>
      <c r="G5999" s="13">
        <v>0</v>
      </c>
      <c r="H5999" s="13"/>
      <c r="I5999" s="13"/>
      <c r="J5999" s="13"/>
      <c r="K5999" s="13"/>
      <c r="L5999" s="13"/>
      <c r="M5999" s="13"/>
      <c r="N5999" s="13"/>
      <c r="O5999" s="13"/>
      <c r="P5999" s="13"/>
      <c r="Q5999" s="13"/>
      <c r="R5999" s="13"/>
      <c r="S5999" s="13"/>
    </row>
    <row r="6000" spans="1:19" x14ac:dyDescent="0.2">
      <c r="A6000" s="12" t="s">
        <v>583</v>
      </c>
      <c r="B6000" s="12" t="s">
        <v>570</v>
      </c>
      <c r="C6000" s="12" t="s">
        <v>564</v>
      </c>
      <c r="D6000" s="13">
        <v>0</v>
      </c>
      <c r="E6000" s="13">
        <v>0</v>
      </c>
      <c r="F6000" s="13">
        <v>0</v>
      </c>
      <c r="G6000" s="13">
        <v>0</v>
      </c>
      <c r="H6000" s="13"/>
      <c r="I6000" s="13"/>
      <c r="J6000" s="13"/>
      <c r="K6000" s="13"/>
      <c r="L6000" s="13"/>
      <c r="M6000" s="13"/>
      <c r="N6000" s="13"/>
      <c r="O6000" s="13"/>
      <c r="P6000" s="13"/>
      <c r="Q6000" s="13"/>
      <c r="R6000" s="13"/>
      <c r="S6000" s="13"/>
    </row>
    <row r="6001" spans="1:19" x14ac:dyDescent="0.2">
      <c r="A6001" s="12" t="s">
        <v>583</v>
      </c>
      <c r="B6001" s="12" t="s">
        <v>570</v>
      </c>
      <c r="C6001" s="12" t="s">
        <v>565</v>
      </c>
      <c r="D6001" s="13">
        <v>0</v>
      </c>
      <c r="E6001" s="13">
        <v>0</v>
      </c>
      <c r="F6001" s="13">
        <v>0</v>
      </c>
      <c r="G6001" s="13">
        <v>0</v>
      </c>
      <c r="H6001" s="13"/>
      <c r="I6001" s="13"/>
      <c r="J6001" s="13"/>
      <c r="K6001" s="13"/>
      <c r="L6001" s="13"/>
      <c r="M6001" s="13"/>
      <c r="N6001" s="13"/>
      <c r="O6001" s="13"/>
      <c r="P6001" s="13"/>
      <c r="Q6001" s="13"/>
      <c r="R6001" s="13"/>
      <c r="S6001" s="13"/>
    </row>
    <row r="6002" spans="1:19" x14ac:dyDescent="0.2">
      <c r="A6002" s="12" t="s">
        <v>583</v>
      </c>
      <c r="B6002" s="12" t="s">
        <v>570</v>
      </c>
      <c r="C6002" s="12" t="s">
        <v>566</v>
      </c>
      <c r="D6002" s="13">
        <v>0</v>
      </c>
      <c r="E6002" s="13">
        <v>0</v>
      </c>
      <c r="F6002" s="13">
        <v>0</v>
      </c>
      <c r="G6002" s="13">
        <v>0</v>
      </c>
      <c r="H6002" s="13"/>
      <c r="I6002" s="13"/>
      <c r="J6002" s="13"/>
      <c r="K6002" s="13"/>
      <c r="L6002" s="13"/>
      <c r="M6002" s="13"/>
      <c r="N6002" s="13"/>
      <c r="O6002" s="13"/>
      <c r="P6002" s="13"/>
      <c r="Q6002" s="13"/>
      <c r="R6002" s="13"/>
      <c r="S6002" s="13"/>
    </row>
    <row r="6003" spans="1:19" x14ac:dyDescent="0.2">
      <c r="A6003" s="12" t="s">
        <v>583</v>
      </c>
      <c r="B6003" s="12" t="s">
        <v>571</v>
      </c>
      <c r="C6003" s="12" t="s">
        <v>554</v>
      </c>
      <c r="D6003" s="13">
        <v>32058</v>
      </c>
      <c r="E6003" s="13">
        <v>33842.210376000003</v>
      </c>
      <c r="F6003" s="13">
        <v>35804.359706000003</v>
      </c>
      <c r="G6003" s="13">
        <v>36861.477481000009</v>
      </c>
      <c r="H6003" s="13"/>
      <c r="I6003" s="13"/>
      <c r="J6003" s="13"/>
      <c r="K6003" s="13"/>
      <c r="L6003" s="13"/>
      <c r="M6003" s="13"/>
      <c r="N6003" s="13"/>
      <c r="O6003" s="13"/>
      <c r="P6003" s="13"/>
      <c r="Q6003" s="13"/>
      <c r="R6003" s="13"/>
      <c r="S6003" s="13"/>
    </row>
    <row r="6004" spans="1:19" x14ac:dyDescent="0.2">
      <c r="A6004" s="12" t="s">
        <v>583</v>
      </c>
      <c r="B6004" s="12" t="s">
        <v>571</v>
      </c>
      <c r="C6004" s="12" t="s">
        <v>555</v>
      </c>
      <c r="D6004" s="13">
        <v>32</v>
      </c>
      <c r="E6004" s="13">
        <v>31.079868000000001</v>
      </c>
      <c r="F6004" s="13">
        <v>38.386654999999998</v>
      </c>
      <c r="G6004" s="13">
        <v>41.569794999999999</v>
      </c>
      <c r="H6004" s="13"/>
      <c r="I6004" s="13"/>
      <c r="J6004" s="13"/>
      <c r="K6004" s="13"/>
      <c r="L6004" s="13"/>
      <c r="M6004" s="13"/>
      <c r="N6004" s="13"/>
      <c r="O6004" s="13"/>
      <c r="P6004" s="13"/>
      <c r="Q6004" s="13"/>
      <c r="R6004" s="13"/>
      <c r="S6004" s="13"/>
    </row>
    <row r="6005" spans="1:19" x14ac:dyDescent="0.2">
      <c r="A6005" s="12" t="s">
        <v>583</v>
      </c>
      <c r="B6005" s="12" t="s">
        <v>571</v>
      </c>
      <c r="C6005" s="12" t="s">
        <v>556</v>
      </c>
      <c r="D6005" s="13">
        <v>-71</v>
      </c>
      <c r="E6005" s="13">
        <v>-88.906208000000007</v>
      </c>
      <c r="F6005" s="13">
        <v>-115.390929</v>
      </c>
      <c r="G6005" s="13">
        <v>-143.00722200000001</v>
      </c>
      <c r="H6005" s="13"/>
      <c r="I6005" s="13"/>
      <c r="J6005" s="13"/>
      <c r="K6005" s="13"/>
      <c r="L6005" s="13"/>
      <c r="M6005" s="13"/>
      <c r="N6005" s="13"/>
      <c r="O6005" s="13"/>
      <c r="P6005" s="13"/>
      <c r="Q6005" s="13"/>
      <c r="R6005" s="13"/>
      <c r="S6005" s="13"/>
    </row>
    <row r="6006" spans="1:19" x14ac:dyDescent="0.2">
      <c r="A6006" s="12" t="s">
        <v>583</v>
      </c>
      <c r="B6006" s="12" t="s">
        <v>571</v>
      </c>
      <c r="C6006" s="12" t="s">
        <v>557</v>
      </c>
      <c r="D6006" s="13">
        <v>32033</v>
      </c>
      <c r="E6006" s="13">
        <v>33787.373800000001</v>
      </c>
      <c r="F6006" s="13">
        <v>35729.930077999998</v>
      </c>
      <c r="G6006" s="13">
        <v>36756.811611999998</v>
      </c>
      <c r="H6006" s="13"/>
      <c r="I6006" s="13"/>
      <c r="J6006" s="13"/>
      <c r="K6006" s="13"/>
      <c r="L6006" s="13"/>
      <c r="M6006" s="13"/>
      <c r="N6006" s="13"/>
      <c r="O6006" s="13"/>
      <c r="P6006" s="13"/>
      <c r="Q6006" s="13"/>
      <c r="R6006" s="13"/>
      <c r="S6006" s="13"/>
    </row>
    <row r="6007" spans="1:19" x14ac:dyDescent="0.2">
      <c r="A6007" s="12" t="s">
        <v>583</v>
      </c>
      <c r="B6007" s="12" t="s">
        <v>571</v>
      </c>
      <c r="C6007" s="12" t="s">
        <v>558</v>
      </c>
      <c r="D6007" s="13">
        <v>-15278</v>
      </c>
      <c r="E6007" s="13">
        <v>-17032.440568000002</v>
      </c>
      <c r="F6007" s="13">
        <v>-18986.199100000002</v>
      </c>
      <c r="G6007" s="13">
        <v>-19918.993283</v>
      </c>
      <c r="H6007" s="13"/>
      <c r="I6007" s="13"/>
      <c r="J6007" s="13"/>
      <c r="K6007" s="13"/>
      <c r="L6007" s="13"/>
      <c r="M6007" s="13"/>
      <c r="N6007" s="13"/>
      <c r="O6007" s="13"/>
      <c r="P6007" s="13"/>
      <c r="Q6007" s="13"/>
      <c r="R6007" s="13"/>
      <c r="S6007" s="13"/>
    </row>
    <row r="6008" spans="1:19" x14ac:dyDescent="0.2">
      <c r="A6008" s="12" t="s">
        <v>583</v>
      </c>
      <c r="B6008" s="12" t="s">
        <v>571</v>
      </c>
      <c r="C6008" s="12" t="s">
        <v>560</v>
      </c>
      <c r="D6008" s="13">
        <v>0</v>
      </c>
      <c r="E6008" s="13">
        <v>0</v>
      </c>
      <c r="F6008" s="13">
        <v>0</v>
      </c>
      <c r="G6008" s="13">
        <v>0</v>
      </c>
      <c r="H6008" s="13"/>
      <c r="I6008" s="13"/>
      <c r="J6008" s="13"/>
      <c r="K6008" s="13"/>
      <c r="L6008" s="13"/>
      <c r="M6008" s="13"/>
      <c r="N6008" s="13"/>
      <c r="O6008" s="13"/>
      <c r="P6008" s="13"/>
      <c r="Q6008" s="13"/>
      <c r="R6008" s="13"/>
      <c r="S6008" s="13"/>
    </row>
    <row r="6009" spans="1:19" x14ac:dyDescent="0.2">
      <c r="A6009" s="12" t="s">
        <v>583</v>
      </c>
      <c r="B6009" s="12" t="s">
        <v>571</v>
      </c>
      <c r="C6009" s="12" t="s">
        <v>561</v>
      </c>
      <c r="D6009" s="13">
        <v>16312</v>
      </c>
      <c r="E6009" s="13">
        <v>16334.066564000001</v>
      </c>
      <c r="F6009" s="13">
        <v>16365.111335</v>
      </c>
      <c r="G6009" s="13">
        <v>16421.010084000001</v>
      </c>
      <c r="H6009" s="13"/>
      <c r="I6009" s="13"/>
      <c r="J6009" s="13"/>
      <c r="K6009" s="13"/>
      <c r="L6009" s="13"/>
      <c r="M6009" s="13"/>
      <c r="N6009" s="13"/>
      <c r="O6009" s="13"/>
      <c r="P6009" s="13"/>
      <c r="Q6009" s="13"/>
      <c r="R6009" s="13"/>
      <c r="S6009" s="13"/>
    </row>
    <row r="6010" spans="1:19" x14ac:dyDescent="0.2">
      <c r="A6010" s="12" t="s">
        <v>583</v>
      </c>
      <c r="B6010" s="12" t="s">
        <v>571</v>
      </c>
      <c r="C6010" s="12" t="s">
        <v>562</v>
      </c>
      <c r="D6010" s="13">
        <v>4130</v>
      </c>
      <c r="E6010" s="13">
        <v>4466.7628329999998</v>
      </c>
      <c r="F6010" s="13">
        <v>4754.1099190000004</v>
      </c>
      <c r="G6010" s="13">
        <v>4990.6449350000003</v>
      </c>
      <c r="H6010" s="13"/>
      <c r="I6010" s="13"/>
      <c r="J6010" s="13"/>
      <c r="K6010" s="13"/>
      <c r="L6010" s="13"/>
      <c r="M6010" s="13"/>
      <c r="N6010" s="13"/>
      <c r="O6010" s="13"/>
      <c r="P6010" s="13"/>
      <c r="Q6010" s="13"/>
      <c r="R6010" s="13"/>
      <c r="S6010" s="13"/>
    </row>
    <row r="6011" spans="1:19" x14ac:dyDescent="0.2">
      <c r="A6011" s="12" t="s">
        <v>583</v>
      </c>
      <c r="B6011" s="12" t="s">
        <v>571</v>
      </c>
      <c r="C6011" s="12" t="s">
        <v>563</v>
      </c>
      <c r="D6011" s="13">
        <v>557</v>
      </c>
      <c r="E6011" s="13">
        <v>605.08958299999995</v>
      </c>
      <c r="F6011" s="13">
        <v>677.40516100000013</v>
      </c>
      <c r="G6011" s="13">
        <v>748.64373000000001</v>
      </c>
      <c r="H6011" s="13"/>
      <c r="I6011" s="13"/>
      <c r="J6011" s="13"/>
      <c r="K6011" s="13"/>
      <c r="L6011" s="13"/>
      <c r="M6011" s="13"/>
      <c r="N6011" s="13"/>
      <c r="O6011" s="13"/>
      <c r="P6011" s="13"/>
      <c r="Q6011" s="13"/>
      <c r="R6011" s="13"/>
      <c r="S6011" s="13"/>
    </row>
    <row r="6012" spans="1:19" x14ac:dyDescent="0.2">
      <c r="A6012" s="12" t="s">
        <v>583</v>
      </c>
      <c r="B6012" s="12" t="s">
        <v>571</v>
      </c>
      <c r="C6012" s="12" t="s">
        <v>564</v>
      </c>
      <c r="D6012" s="13">
        <v>11194</v>
      </c>
      <c r="E6012" s="13">
        <v>10814.255139000001</v>
      </c>
      <c r="F6012" s="13">
        <v>10462.841675</v>
      </c>
      <c r="G6012" s="13">
        <v>10187.445476000001</v>
      </c>
      <c r="H6012" s="13"/>
      <c r="I6012" s="13"/>
      <c r="J6012" s="13"/>
      <c r="K6012" s="13"/>
      <c r="L6012" s="13"/>
      <c r="M6012" s="13"/>
      <c r="N6012" s="13"/>
      <c r="O6012" s="13"/>
      <c r="P6012" s="13"/>
      <c r="Q6012" s="13"/>
      <c r="R6012" s="13"/>
      <c r="S6012" s="13"/>
    </row>
    <row r="6013" spans="1:19" x14ac:dyDescent="0.2">
      <c r="A6013" s="12" t="s">
        <v>583</v>
      </c>
      <c r="B6013" s="12" t="s">
        <v>571</v>
      </c>
      <c r="C6013" s="12" t="s">
        <v>565</v>
      </c>
      <c r="D6013" s="13">
        <v>313</v>
      </c>
      <c r="E6013" s="13">
        <v>317.86183999999997</v>
      </c>
      <c r="F6013" s="13">
        <v>330.60612300000003</v>
      </c>
      <c r="G6013" s="13">
        <v>345.05038300000001</v>
      </c>
      <c r="H6013" s="13"/>
      <c r="I6013" s="13"/>
      <c r="J6013" s="13"/>
      <c r="K6013" s="13"/>
      <c r="L6013" s="13"/>
      <c r="M6013" s="13"/>
      <c r="N6013" s="13"/>
      <c r="O6013" s="13"/>
      <c r="P6013" s="13"/>
      <c r="Q6013" s="13"/>
      <c r="R6013" s="13"/>
      <c r="S6013" s="13"/>
    </row>
    <row r="6014" spans="1:19" x14ac:dyDescent="0.2">
      <c r="A6014" s="12" t="s">
        <v>583</v>
      </c>
      <c r="B6014" s="12" t="s">
        <v>571</v>
      </c>
      <c r="C6014" s="12" t="s">
        <v>566</v>
      </c>
      <c r="D6014" s="13">
        <v>117</v>
      </c>
      <c r="E6014" s="13">
        <v>130.09716900000001</v>
      </c>
      <c r="F6014" s="13">
        <v>140.14845</v>
      </c>
      <c r="G6014" s="13">
        <v>149.22556</v>
      </c>
      <c r="H6014" s="13"/>
      <c r="I6014" s="13"/>
      <c r="J6014" s="13"/>
      <c r="K6014" s="13"/>
      <c r="L6014" s="13"/>
      <c r="M6014" s="13"/>
      <c r="N6014" s="13"/>
      <c r="O6014" s="13"/>
      <c r="P6014" s="13"/>
      <c r="Q6014" s="13"/>
      <c r="R6014" s="13"/>
      <c r="S6014" s="13"/>
    </row>
    <row r="6015" spans="1:19" x14ac:dyDescent="0.2">
      <c r="A6015" s="12" t="s">
        <v>583</v>
      </c>
      <c r="B6015" s="12" t="s">
        <v>572</v>
      </c>
      <c r="C6015" s="12" t="s">
        <v>554</v>
      </c>
      <c r="D6015" s="13">
        <v>0</v>
      </c>
      <c r="E6015" s="13">
        <v>0</v>
      </c>
      <c r="F6015" s="13">
        <v>0</v>
      </c>
      <c r="G6015" s="13">
        <v>0</v>
      </c>
      <c r="H6015" s="13"/>
      <c r="I6015" s="13"/>
      <c r="J6015" s="13"/>
      <c r="K6015" s="13"/>
      <c r="L6015" s="13"/>
      <c r="M6015" s="13"/>
      <c r="N6015" s="13"/>
      <c r="O6015" s="13"/>
      <c r="P6015" s="13"/>
      <c r="Q6015" s="13"/>
      <c r="R6015" s="13"/>
      <c r="S6015" s="13"/>
    </row>
    <row r="6016" spans="1:19" x14ac:dyDescent="0.2">
      <c r="A6016" s="12" t="s">
        <v>583</v>
      </c>
      <c r="B6016" s="12" t="s">
        <v>572</v>
      </c>
      <c r="C6016" s="12" t="s">
        <v>555</v>
      </c>
      <c r="D6016" s="13">
        <v>318</v>
      </c>
      <c r="E6016" s="13">
        <v>320.43389500000001</v>
      </c>
      <c r="F6016" s="13">
        <v>334.615835</v>
      </c>
      <c r="G6016" s="13">
        <v>339.661745</v>
      </c>
      <c r="H6016" s="13"/>
      <c r="I6016" s="13"/>
      <c r="J6016" s="13"/>
      <c r="K6016" s="13"/>
      <c r="L6016" s="13"/>
      <c r="M6016" s="13"/>
      <c r="N6016" s="13"/>
      <c r="O6016" s="13"/>
      <c r="P6016" s="13"/>
      <c r="Q6016" s="13"/>
      <c r="R6016" s="13"/>
      <c r="S6016" s="13"/>
    </row>
    <row r="6017" spans="1:19" x14ac:dyDescent="0.2">
      <c r="A6017" s="12" t="s">
        <v>583</v>
      </c>
      <c r="B6017" s="12" t="s">
        <v>572</v>
      </c>
      <c r="C6017" s="12" t="s">
        <v>556</v>
      </c>
      <c r="D6017" s="13">
        <v>-294</v>
      </c>
      <c r="E6017" s="13">
        <v>-282.83449300000001</v>
      </c>
      <c r="F6017" s="13">
        <v>-295.58464199999997</v>
      </c>
      <c r="G6017" s="13">
        <v>-304.30835200000001</v>
      </c>
      <c r="H6017" s="13"/>
      <c r="I6017" s="13"/>
      <c r="J6017" s="13"/>
      <c r="K6017" s="13"/>
      <c r="L6017" s="13"/>
      <c r="M6017" s="13"/>
      <c r="N6017" s="13"/>
      <c r="O6017" s="13"/>
      <c r="P6017" s="13"/>
      <c r="Q6017" s="13"/>
      <c r="R6017" s="13"/>
      <c r="S6017" s="13"/>
    </row>
    <row r="6018" spans="1:19" x14ac:dyDescent="0.2">
      <c r="A6018" s="12" t="s">
        <v>583</v>
      </c>
      <c r="B6018" s="12" t="s">
        <v>572</v>
      </c>
      <c r="C6018" s="12" t="s">
        <v>557</v>
      </c>
      <c r="D6018" s="13">
        <v>24</v>
      </c>
      <c r="E6018" s="13">
        <v>37.599401999999998</v>
      </c>
      <c r="F6018" s="13">
        <v>39.031195999999987</v>
      </c>
      <c r="G6018" s="13">
        <v>35.353385000000003</v>
      </c>
      <c r="H6018" s="13"/>
      <c r="I6018" s="13"/>
      <c r="J6018" s="13"/>
      <c r="K6018" s="13"/>
      <c r="L6018" s="13"/>
      <c r="M6018" s="13"/>
      <c r="N6018" s="13"/>
      <c r="O6018" s="13"/>
      <c r="P6018" s="13"/>
      <c r="Q6018" s="13"/>
      <c r="R6018" s="13"/>
      <c r="S6018" s="13"/>
    </row>
    <row r="6019" spans="1:19" x14ac:dyDescent="0.2">
      <c r="A6019" s="12" t="s">
        <v>583</v>
      </c>
      <c r="B6019" s="12" t="s">
        <v>572</v>
      </c>
      <c r="C6019" s="12" t="s">
        <v>558</v>
      </c>
      <c r="D6019" s="13">
        <v>39753</v>
      </c>
      <c r="E6019" s="13">
        <v>43484.880499999999</v>
      </c>
      <c r="F6019" s="13">
        <v>45686.116674999997</v>
      </c>
      <c r="G6019" s="13">
        <v>48595.635138999998</v>
      </c>
      <c r="H6019" s="13"/>
      <c r="I6019" s="13"/>
      <c r="J6019" s="13"/>
      <c r="K6019" s="13"/>
      <c r="L6019" s="13"/>
      <c r="M6019" s="13"/>
      <c r="N6019" s="13"/>
      <c r="O6019" s="13"/>
      <c r="P6019" s="13"/>
      <c r="Q6019" s="13"/>
      <c r="R6019" s="13"/>
      <c r="S6019" s="13"/>
    </row>
    <row r="6020" spans="1:19" x14ac:dyDescent="0.2">
      <c r="A6020" s="12" t="s">
        <v>583</v>
      </c>
      <c r="B6020" s="12" t="s">
        <v>572</v>
      </c>
      <c r="C6020" s="12" t="s">
        <v>560</v>
      </c>
      <c r="D6020" s="13">
        <v>0</v>
      </c>
      <c r="E6020" s="13">
        <v>0</v>
      </c>
      <c r="F6020" s="13">
        <v>0</v>
      </c>
      <c r="G6020" s="13">
        <v>0</v>
      </c>
      <c r="H6020" s="13"/>
      <c r="I6020" s="13"/>
      <c r="J6020" s="13"/>
      <c r="K6020" s="13"/>
      <c r="L6020" s="13"/>
      <c r="M6020" s="13"/>
      <c r="N6020" s="13"/>
      <c r="O6020" s="13"/>
      <c r="P6020" s="13"/>
      <c r="Q6020" s="13"/>
      <c r="R6020" s="13"/>
      <c r="S6020" s="13"/>
    </row>
    <row r="6021" spans="1:19" x14ac:dyDescent="0.2">
      <c r="A6021" s="12" t="s">
        <v>583</v>
      </c>
      <c r="B6021" s="12" t="s">
        <v>572</v>
      </c>
      <c r="C6021" s="12" t="s">
        <v>561</v>
      </c>
      <c r="D6021" s="13">
        <v>33643</v>
      </c>
      <c r="E6021" s="13">
        <v>36673.578193000001</v>
      </c>
      <c r="F6021" s="13">
        <v>38750.807879</v>
      </c>
      <c r="G6021" s="13">
        <v>41269.693539000007</v>
      </c>
      <c r="H6021" s="13"/>
      <c r="I6021" s="13"/>
      <c r="J6021" s="13"/>
      <c r="K6021" s="13"/>
      <c r="L6021" s="13"/>
      <c r="M6021" s="13"/>
      <c r="N6021" s="13"/>
      <c r="O6021" s="13"/>
      <c r="P6021" s="13"/>
      <c r="Q6021" s="13"/>
      <c r="R6021" s="13"/>
      <c r="S6021" s="13"/>
    </row>
    <row r="6022" spans="1:19" x14ac:dyDescent="0.2">
      <c r="A6022" s="12" t="s">
        <v>583</v>
      </c>
      <c r="B6022" s="12" t="s">
        <v>572</v>
      </c>
      <c r="C6022" s="12" t="s">
        <v>562</v>
      </c>
      <c r="D6022" s="13">
        <v>19054</v>
      </c>
      <c r="E6022" s="13">
        <v>20723.328108000002</v>
      </c>
      <c r="F6022" s="13">
        <v>21206.673053999999</v>
      </c>
      <c r="G6022" s="13">
        <v>22491.701928999999</v>
      </c>
      <c r="H6022" s="13"/>
      <c r="I6022" s="13"/>
      <c r="J6022" s="13"/>
      <c r="K6022" s="13"/>
      <c r="L6022" s="13"/>
      <c r="M6022" s="13"/>
      <c r="N6022" s="13"/>
      <c r="O6022" s="13"/>
      <c r="P6022" s="13"/>
      <c r="Q6022" s="13"/>
      <c r="R6022" s="13"/>
      <c r="S6022" s="13"/>
    </row>
    <row r="6023" spans="1:19" x14ac:dyDescent="0.2">
      <c r="A6023" s="12" t="s">
        <v>583</v>
      </c>
      <c r="B6023" s="12" t="s">
        <v>572</v>
      </c>
      <c r="C6023" s="12" t="s">
        <v>563</v>
      </c>
      <c r="D6023" s="13">
        <v>555</v>
      </c>
      <c r="E6023" s="13">
        <v>674.40621899999996</v>
      </c>
      <c r="F6023" s="13">
        <v>775.0433220000001</v>
      </c>
      <c r="G6023" s="13">
        <v>896.93702600000006</v>
      </c>
      <c r="H6023" s="13"/>
      <c r="I6023" s="13"/>
      <c r="J6023" s="13"/>
      <c r="K6023" s="13"/>
      <c r="L6023" s="13"/>
      <c r="M6023" s="13"/>
      <c r="N6023" s="13"/>
      <c r="O6023" s="13"/>
      <c r="P6023" s="13"/>
      <c r="Q6023" s="13"/>
      <c r="R6023" s="13"/>
      <c r="S6023" s="13"/>
    </row>
    <row r="6024" spans="1:19" x14ac:dyDescent="0.2">
      <c r="A6024" s="12" t="s">
        <v>583</v>
      </c>
      <c r="B6024" s="12" t="s">
        <v>572</v>
      </c>
      <c r="C6024" s="12" t="s">
        <v>564</v>
      </c>
      <c r="D6024" s="13">
        <v>7061</v>
      </c>
      <c r="E6024" s="13">
        <v>7447.6892260000004</v>
      </c>
      <c r="F6024" s="13">
        <v>8208.5087070000009</v>
      </c>
      <c r="G6024" s="13">
        <v>8424.2298840000003</v>
      </c>
      <c r="H6024" s="13"/>
      <c r="I6024" s="13"/>
      <c r="J6024" s="13"/>
      <c r="K6024" s="13"/>
      <c r="L6024" s="13"/>
      <c r="M6024" s="13"/>
      <c r="N6024" s="13"/>
      <c r="O6024" s="13"/>
      <c r="P6024" s="13"/>
      <c r="Q6024" s="13"/>
      <c r="R6024" s="13"/>
      <c r="S6024" s="13"/>
    </row>
    <row r="6025" spans="1:19" x14ac:dyDescent="0.2">
      <c r="A6025" s="12" t="s">
        <v>583</v>
      </c>
      <c r="B6025" s="12" t="s">
        <v>572</v>
      </c>
      <c r="C6025" s="12" t="s">
        <v>565</v>
      </c>
      <c r="D6025" s="13">
        <v>3092</v>
      </c>
      <c r="E6025" s="13">
        <v>3440.431063</v>
      </c>
      <c r="F6025" s="13">
        <v>3807.131954</v>
      </c>
      <c r="G6025" s="13">
        <v>4205.9605259999998</v>
      </c>
      <c r="H6025" s="13"/>
      <c r="I6025" s="13"/>
      <c r="J6025" s="13"/>
      <c r="K6025" s="13"/>
      <c r="L6025" s="13"/>
      <c r="M6025" s="13"/>
      <c r="N6025" s="13"/>
      <c r="O6025" s="13"/>
      <c r="P6025" s="13"/>
      <c r="Q6025" s="13"/>
      <c r="R6025" s="13"/>
      <c r="S6025" s="13"/>
    </row>
    <row r="6026" spans="1:19" x14ac:dyDescent="0.2">
      <c r="A6026" s="12" t="s">
        <v>583</v>
      </c>
      <c r="B6026" s="12" t="s">
        <v>572</v>
      </c>
      <c r="C6026" s="12" t="s">
        <v>566</v>
      </c>
      <c r="D6026" s="13">
        <v>3881</v>
      </c>
      <c r="E6026" s="13">
        <v>4387.7235820000014</v>
      </c>
      <c r="F6026" s="13">
        <v>4753.4508409999999</v>
      </c>
      <c r="G6026" s="13">
        <v>5250.8641710000002</v>
      </c>
      <c r="H6026" s="13"/>
      <c r="I6026" s="13"/>
      <c r="J6026" s="13"/>
      <c r="K6026" s="13"/>
      <c r="L6026" s="13"/>
      <c r="M6026" s="13"/>
      <c r="N6026" s="13"/>
      <c r="O6026" s="13"/>
      <c r="P6026" s="13"/>
      <c r="Q6026" s="13"/>
      <c r="R6026" s="13"/>
      <c r="S6026" s="13"/>
    </row>
    <row r="6027" spans="1:19" x14ac:dyDescent="0.2">
      <c r="A6027" s="12" t="s">
        <v>583</v>
      </c>
      <c r="B6027" s="12" t="s">
        <v>573</v>
      </c>
      <c r="C6027" s="12" t="s">
        <v>554</v>
      </c>
      <c r="D6027" s="13">
        <v>0</v>
      </c>
      <c r="E6027" s="13">
        <v>0</v>
      </c>
      <c r="F6027" s="13">
        <v>0</v>
      </c>
      <c r="G6027" s="13">
        <v>0</v>
      </c>
      <c r="H6027" s="13"/>
      <c r="I6027" s="13"/>
      <c r="J6027" s="13"/>
      <c r="K6027" s="13"/>
      <c r="L6027" s="13"/>
      <c r="M6027" s="13"/>
      <c r="N6027" s="13"/>
      <c r="O6027" s="13"/>
      <c r="P6027" s="13"/>
      <c r="Q6027" s="13"/>
      <c r="R6027" s="13"/>
      <c r="S6027" s="13"/>
    </row>
    <row r="6028" spans="1:19" x14ac:dyDescent="0.2">
      <c r="A6028" s="12" t="s">
        <v>583</v>
      </c>
      <c r="B6028" s="12" t="s">
        <v>573</v>
      </c>
      <c r="C6028" s="12" t="s">
        <v>555</v>
      </c>
      <c r="D6028" s="13">
        <v>0</v>
      </c>
      <c r="E6028" s="13">
        <v>0</v>
      </c>
      <c r="F6028" s="13">
        <v>0</v>
      </c>
      <c r="G6028" s="13">
        <v>0</v>
      </c>
      <c r="H6028" s="13"/>
      <c r="I6028" s="13"/>
      <c r="J6028" s="13"/>
      <c r="K6028" s="13"/>
      <c r="L6028" s="13"/>
      <c r="M6028" s="13"/>
      <c r="N6028" s="13"/>
      <c r="O6028" s="13"/>
      <c r="P6028" s="13"/>
      <c r="Q6028" s="13"/>
      <c r="R6028" s="13"/>
      <c r="S6028" s="13"/>
    </row>
    <row r="6029" spans="1:19" x14ac:dyDescent="0.2">
      <c r="A6029" s="12" t="s">
        <v>583</v>
      </c>
      <c r="B6029" s="12" t="s">
        <v>573</v>
      </c>
      <c r="C6029" s="12" t="s">
        <v>556</v>
      </c>
      <c r="D6029" s="13">
        <v>0</v>
      </c>
      <c r="E6029" s="13">
        <v>0</v>
      </c>
      <c r="F6029" s="13">
        <v>0</v>
      </c>
      <c r="G6029" s="13">
        <v>0</v>
      </c>
      <c r="H6029" s="13"/>
      <c r="I6029" s="13"/>
      <c r="J6029" s="13"/>
      <c r="K6029" s="13"/>
      <c r="L6029" s="13"/>
      <c r="M6029" s="13"/>
      <c r="N6029" s="13"/>
      <c r="O6029" s="13"/>
      <c r="P6029" s="13"/>
      <c r="Q6029" s="13"/>
      <c r="R6029" s="13"/>
      <c r="S6029" s="13"/>
    </row>
    <row r="6030" spans="1:19" x14ac:dyDescent="0.2">
      <c r="A6030" s="12" t="s">
        <v>583</v>
      </c>
      <c r="B6030" s="12" t="s">
        <v>573</v>
      </c>
      <c r="C6030" s="12" t="s">
        <v>557</v>
      </c>
      <c r="D6030" s="13">
        <v>0</v>
      </c>
      <c r="E6030" s="13">
        <v>0</v>
      </c>
      <c r="F6030" s="13">
        <v>0</v>
      </c>
      <c r="G6030" s="13">
        <v>0</v>
      </c>
      <c r="H6030" s="13"/>
      <c r="I6030" s="13"/>
      <c r="J6030" s="13"/>
      <c r="K6030" s="13"/>
      <c r="L6030" s="13"/>
      <c r="M6030" s="13"/>
      <c r="N6030" s="13"/>
      <c r="O6030" s="13"/>
      <c r="P6030" s="13"/>
      <c r="Q6030" s="13"/>
      <c r="R6030" s="13"/>
      <c r="S6030" s="13"/>
    </row>
    <row r="6031" spans="1:19" x14ac:dyDescent="0.2">
      <c r="A6031" s="12" t="s">
        <v>583</v>
      </c>
      <c r="B6031" s="12" t="s">
        <v>573</v>
      </c>
      <c r="C6031" s="12" t="s">
        <v>558</v>
      </c>
      <c r="D6031" s="13">
        <v>6391</v>
      </c>
      <c r="E6031" s="13">
        <v>7459.4262319999998</v>
      </c>
      <c r="F6031" s="13">
        <v>8480.9383019999987</v>
      </c>
      <c r="G6031" s="13">
        <v>9158.5332510000007</v>
      </c>
      <c r="H6031" s="13"/>
      <c r="I6031" s="13"/>
      <c r="J6031" s="13"/>
      <c r="K6031" s="13"/>
      <c r="L6031" s="13"/>
      <c r="M6031" s="13"/>
      <c r="N6031" s="13"/>
      <c r="O6031" s="13"/>
      <c r="P6031" s="13"/>
      <c r="Q6031" s="13"/>
      <c r="R6031" s="13"/>
      <c r="S6031" s="13"/>
    </row>
    <row r="6032" spans="1:19" x14ac:dyDescent="0.2">
      <c r="A6032" s="12" t="s">
        <v>583</v>
      </c>
      <c r="B6032" s="12" t="s">
        <v>573</v>
      </c>
      <c r="C6032" s="12" t="s">
        <v>560</v>
      </c>
      <c r="D6032" s="13">
        <v>0</v>
      </c>
      <c r="E6032" s="13">
        <v>0</v>
      </c>
      <c r="F6032" s="13">
        <v>0</v>
      </c>
      <c r="G6032" s="13">
        <v>0</v>
      </c>
      <c r="H6032" s="13"/>
      <c r="I6032" s="13"/>
      <c r="J6032" s="13"/>
      <c r="K6032" s="13"/>
      <c r="L6032" s="13"/>
      <c r="M6032" s="13"/>
      <c r="N6032" s="13"/>
      <c r="O6032" s="13"/>
      <c r="P6032" s="13"/>
      <c r="Q6032" s="13"/>
      <c r="R6032" s="13"/>
      <c r="S6032" s="13"/>
    </row>
    <row r="6033" spans="1:19" x14ac:dyDescent="0.2">
      <c r="A6033" s="12" t="s">
        <v>583</v>
      </c>
      <c r="B6033" s="12" t="s">
        <v>573</v>
      </c>
      <c r="C6033" s="12" t="s">
        <v>561</v>
      </c>
      <c r="D6033" s="13">
        <v>5495</v>
      </c>
      <c r="E6033" s="13">
        <v>6630.8084470000003</v>
      </c>
      <c r="F6033" s="13">
        <v>7646.8065800000004</v>
      </c>
      <c r="G6033" s="13">
        <v>8270.9474730000002</v>
      </c>
      <c r="H6033" s="13"/>
      <c r="I6033" s="13"/>
      <c r="J6033" s="13"/>
      <c r="K6033" s="13"/>
      <c r="L6033" s="13"/>
      <c r="M6033" s="13"/>
      <c r="N6033" s="13"/>
      <c r="O6033" s="13"/>
      <c r="P6033" s="13"/>
      <c r="Q6033" s="13"/>
      <c r="R6033" s="13"/>
      <c r="S6033" s="13"/>
    </row>
    <row r="6034" spans="1:19" x14ac:dyDescent="0.2">
      <c r="A6034" s="12" t="s">
        <v>583</v>
      </c>
      <c r="B6034" s="12" t="s">
        <v>573</v>
      </c>
      <c r="C6034" s="12" t="s">
        <v>562</v>
      </c>
      <c r="D6034" s="13">
        <v>3394</v>
      </c>
      <c r="E6034" s="13">
        <v>4304.4946620000001</v>
      </c>
      <c r="F6034" s="13">
        <v>5184.9002740000014</v>
      </c>
      <c r="G6034" s="13">
        <v>5677.335462</v>
      </c>
      <c r="H6034" s="13"/>
      <c r="I6034" s="13"/>
      <c r="J6034" s="13"/>
      <c r="K6034" s="13"/>
      <c r="L6034" s="13"/>
      <c r="M6034" s="13"/>
      <c r="N6034" s="13"/>
      <c r="O6034" s="13"/>
      <c r="P6034" s="13"/>
      <c r="Q6034" s="13"/>
      <c r="R6034" s="13"/>
      <c r="S6034" s="13"/>
    </row>
    <row r="6035" spans="1:19" x14ac:dyDescent="0.2">
      <c r="A6035" s="12" t="s">
        <v>583</v>
      </c>
      <c r="B6035" s="12" t="s">
        <v>573</v>
      </c>
      <c r="C6035" s="12" t="s">
        <v>563</v>
      </c>
      <c r="D6035" s="13">
        <v>0</v>
      </c>
      <c r="E6035" s="13">
        <v>0</v>
      </c>
      <c r="F6035" s="13">
        <v>0</v>
      </c>
      <c r="G6035" s="13">
        <v>0</v>
      </c>
      <c r="H6035" s="13"/>
      <c r="I6035" s="13"/>
      <c r="J6035" s="13"/>
      <c r="K6035" s="13"/>
      <c r="L6035" s="13"/>
      <c r="M6035" s="13"/>
      <c r="N6035" s="13"/>
      <c r="O6035" s="13"/>
      <c r="P6035" s="13"/>
      <c r="Q6035" s="13"/>
      <c r="R6035" s="13"/>
      <c r="S6035" s="13"/>
    </row>
    <row r="6036" spans="1:19" x14ac:dyDescent="0.2">
      <c r="A6036" s="12" t="s">
        <v>583</v>
      </c>
      <c r="B6036" s="12" t="s">
        <v>573</v>
      </c>
      <c r="C6036" s="12" t="s">
        <v>564</v>
      </c>
      <c r="D6036" s="13">
        <v>1665</v>
      </c>
      <c r="E6036" s="13">
        <v>1854.259534</v>
      </c>
      <c r="F6036" s="13">
        <v>1955.743199</v>
      </c>
      <c r="G6036" s="13">
        <v>2054.6070920000002</v>
      </c>
      <c r="H6036" s="13"/>
      <c r="I6036" s="13"/>
      <c r="J6036" s="13"/>
      <c r="K6036" s="13"/>
      <c r="L6036" s="13"/>
      <c r="M6036" s="13"/>
      <c r="N6036" s="13"/>
      <c r="O6036" s="13"/>
      <c r="P6036" s="13"/>
      <c r="Q6036" s="13"/>
      <c r="R6036" s="13"/>
      <c r="S6036" s="13"/>
    </row>
    <row r="6037" spans="1:19" x14ac:dyDescent="0.2">
      <c r="A6037" s="12" t="s">
        <v>583</v>
      </c>
      <c r="B6037" s="12" t="s">
        <v>573</v>
      </c>
      <c r="C6037" s="12" t="s">
        <v>565</v>
      </c>
      <c r="D6037" s="13">
        <v>221</v>
      </c>
      <c r="E6037" s="13">
        <v>247.57178500000001</v>
      </c>
      <c r="F6037" s="13">
        <v>262.85866700000003</v>
      </c>
      <c r="G6037" s="13">
        <v>275.52264000000002</v>
      </c>
      <c r="H6037" s="13"/>
      <c r="I6037" s="13"/>
      <c r="J6037" s="13"/>
      <c r="K6037" s="13"/>
      <c r="L6037" s="13"/>
      <c r="M6037" s="13"/>
      <c r="N6037" s="13"/>
      <c r="O6037" s="13"/>
      <c r="P6037" s="13"/>
      <c r="Q6037" s="13"/>
      <c r="R6037" s="13"/>
      <c r="S6037" s="13"/>
    </row>
    <row r="6038" spans="1:19" x14ac:dyDescent="0.2">
      <c r="A6038" s="12" t="s">
        <v>583</v>
      </c>
      <c r="B6038" s="12" t="s">
        <v>573</v>
      </c>
      <c r="C6038" s="12" t="s">
        <v>566</v>
      </c>
      <c r="D6038" s="13">
        <v>215</v>
      </c>
      <c r="E6038" s="13">
        <v>224.48246700000001</v>
      </c>
      <c r="F6038" s="13">
        <v>243.30444299999999</v>
      </c>
      <c r="G6038" s="13">
        <v>263.48227900000001</v>
      </c>
      <c r="H6038" s="13"/>
      <c r="I6038" s="13"/>
      <c r="J6038" s="13"/>
      <c r="K6038" s="13"/>
      <c r="L6038" s="13"/>
      <c r="M6038" s="13"/>
      <c r="N6038" s="13"/>
      <c r="O6038" s="13"/>
      <c r="P6038" s="13"/>
      <c r="Q6038" s="13"/>
      <c r="R6038" s="13"/>
      <c r="S6038" s="13"/>
    </row>
    <row r="6039" spans="1:19" x14ac:dyDescent="0.2">
      <c r="A6039" s="12" t="s">
        <v>583</v>
      </c>
      <c r="B6039" s="12" t="s">
        <v>574</v>
      </c>
      <c r="C6039" s="12" t="s">
        <v>554</v>
      </c>
      <c r="D6039" s="13">
        <v>179247</v>
      </c>
      <c r="E6039" s="13">
        <v>189476.29165900001</v>
      </c>
      <c r="F6039" s="13">
        <v>200556.73413500001</v>
      </c>
      <c r="G6039" s="13">
        <v>209973.62287600001</v>
      </c>
      <c r="H6039" s="13"/>
      <c r="I6039" s="13"/>
      <c r="J6039" s="13"/>
      <c r="K6039" s="13"/>
      <c r="L6039" s="13"/>
      <c r="M6039" s="13"/>
      <c r="N6039" s="13"/>
      <c r="O6039" s="13"/>
      <c r="P6039" s="13"/>
      <c r="Q6039" s="13"/>
      <c r="R6039" s="13"/>
      <c r="S6039" s="13"/>
    </row>
    <row r="6040" spans="1:19" x14ac:dyDescent="0.2">
      <c r="A6040" s="12" t="s">
        <v>583</v>
      </c>
      <c r="B6040" s="12" t="s">
        <v>574</v>
      </c>
      <c r="C6040" s="12" t="s">
        <v>555</v>
      </c>
      <c r="D6040" s="13">
        <v>81519</v>
      </c>
      <c r="E6040" s="13">
        <v>82388.24379600001</v>
      </c>
      <c r="F6040" s="13">
        <v>83079.241620999994</v>
      </c>
      <c r="G6040" s="13">
        <v>93509.053277999992</v>
      </c>
      <c r="H6040" s="13"/>
      <c r="I6040" s="13"/>
      <c r="J6040" s="13"/>
      <c r="K6040" s="13"/>
      <c r="L6040" s="13"/>
      <c r="M6040" s="13"/>
      <c r="N6040" s="13"/>
      <c r="O6040" s="13"/>
      <c r="P6040" s="13"/>
      <c r="Q6040" s="13"/>
      <c r="R6040" s="13"/>
      <c r="S6040" s="13"/>
    </row>
    <row r="6041" spans="1:19" x14ac:dyDescent="0.2">
      <c r="A6041" s="12" t="s">
        <v>583</v>
      </c>
      <c r="B6041" s="12" t="s">
        <v>574</v>
      </c>
      <c r="C6041" s="12" t="s">
        <v>556</v>
      </c>
      <c r="D6041" s="13">
        <v>-25999</v>
      </c>
      <c r="E6041" s="13">
        <v>-26852.999103999999</v>
      </c>
      <c r="F6041" s="13">
        <v>-26838.931677</v>
      </c>
      <c r="G6041" s="13">
        <v>-29522.345434999999</v>
      </c>
      <c r="H6041" s="13"/>
      <c r="I6041" s="13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</row>
    <row r="6042" spans="1:19" x14ac:dyDescent="0.2">
      <c r="A6042" s="12" t="s">
        <v>583</v>
      </c>
      <c r="B6042" s="12" t="s">
        <v>574</v>
      </c>
      <c r="C6042" s="12" t="s">
        <v>557</v>
      </c>
      <c r="D6042" s="13">
        <v>226277</v>
      </c>
      <c r="E6042" s="13">
        <v>239819.44851799999</v>
      </c>
      <c r="F6042" s="13">
        <v>247298.725007</v>
      </c>
      <c r="G6042" s="13">
        <v>260198.75454200001</v>
      </c>
      <c r="H6042" s="13"/>
      <c r="I6042" s="13"/>
      <c r="J6042" s="13"/>
      <c r="K6042" s="13"/>
      <c r="L6042" s="13"/>
      <c r="M6042" s="13"/>
      <c r="N6042" s="13"/>
      <c r="O6042" s="13"/>
      <c r="P6042" s="13"/>
      <c r="Q6042" s="13"/>
      <c r="R6042" s="13"/>
      <c r="S6042" s="13"/>
    </row>
    <row r="6043" spans="1:19" x14ac:dyDescent="0.2">
      <c r="A6043" s="12" t="s">
        <v>583</v>
      </c>
      <c r="B6043" s="12" t="s">
        <v>574</v>
      </c>
      <c r="C6043" s="12" t="s">
        <v>558</v>
      </c>
      <c r="D6043" s="13">
        <v>-54046</v>
      </c>
      <c r="E6043" s="13">
        <v>-59372.376981000001</v>
      </c>
      <c r="F6043" s="13">
        <v>-61376.638799</v>
      </c>
      <c r="G6043" s="13">
        <v>-65147.717736999999</v>
      </c>
      <c r="H6043" s="13"/>
      <c r="I6043" s="13"/>
      <c r="J6043" s="13"/>
      <c r="K6043" s="13"/>
      <c r="L6043" s="13"/>
      <c r="M6043" s="13"/>
      <c r="N6043" s="13"/>
      <c r="O6043" s="13"/>
      <c r="P6043" s="13"/>
      <c r="Q6043" s="13"/>
      <c r="R6043" s="13"/>
      <c r="S6043" s="13"/>
    </row>
    <row r="6044" spans="1:19" x14ac:dyDescent="0.2">
      <c r="A6044" s="12" t="s">
        <v>583</v>
      </c>
      <c r="B6044" s="12" t="s">
        <v>574</v>
      </c>
      <c r="C6044" s="12" t="s">
        <v>560</v>
      </c>
      <c r="D6044" s="13">
        <v>-277</v>
      </c>
      <c r="E6044" s="13">
        <v>-100.65451899999999</v>
      </c>
      <c r="F6044" s="13">
        <v>-615.45395999999994</v>
      </c>
      <c r="G6044" s="13">
        <v>-847.40205200000003</v>
      </c>
      <c r="H6044" s="13"/>
      <c r="I6044" s="13"/>
      <c r="J6044" s="13"/>
      <c r="K6044" s="13"/>
      <c r="L6044" s="13"/>
      <c r="M6044" s="13"/>
      <c r="N6044" s="13"/>
      <c r="O6044" s="13"/>
      <c r="P6044" s="13"/>
      <c r="Q6044" s="13"/>
      <c r="R6044" s="13"/>
      <c r="S6044" s="13"/>
    </row>
    <row r="6045" spans="1:19" x14ac:dyDescent="0.2">
      <c r="A6045" s="12" t="s">
        <v>583</v>
      </c>
      <c r="B6045" s="12" t="s">
        <v>574</v>
      </c>
      <c r="C6045" s="12" t="s">
        <v>561</v>
      </c>
      <c r="D6045" s="13">
        <v>143792</v>
      </c>
      <c r="E6045" s="13">
        <v>150915.685482</v>
      </c>
      <c r="F6045" s="13">
        <v>154305.04330799999</v>
      </c>
      <c r="G6045" s="13">
        <v>161441.01253400001</v>
      </c>
      <c r="H6045" s="13"/>
      <c r="I6045" s="13"/>
      <c r="J6045" s="13"/>
      <c r="K6045" s="13"/>
      <c r="L6045" s="13"/>
      <c r="M6045" s="13"/>
      <c r="N6045" s="13"/>
      <c r="O6045" s="13"/>
      <c r="P6045" s="13"/>
      <c r="Q6045" s="13"/>
      <c r="R6045" s="13"/>
      <c r="S6045" s="13"/>
    </row>
    <row r="6046" spans="1:19" x14ac:dyDescent="0.2">
      <c r="A6046" s="12" t="s">
        <v>583</v>
      </c>
      <c r="B6046" s="12" t="s">
        <v>574</v>
      </c>
      <c r="C6046" s="12" t="s">
        <v>562</v>
      </c>
      <c r="D6046" s="13">
        <v>62126</v>
      </c>
      <c r="E6046" s="13">
        <v>65600.411363000007</v>
      </c>
      <c r="F6046" s="13">
        <v>67727.459003000011</v>
      </c>
      <c r="G6046" s="13">
        <v>70879.053281</v>
      </c>
      <c r="H6046" s="13"/>
      <c r="I6046" s="13"/>
      <c r="J6046" s="13"/>
      <c r="K6046" s="13"/>
      <c r="L6046" s="13"/>
      <c r="M6046" s="13"/>
      <c r="N6046" s="13"/>
      <c r="O6046" s="13"/>
      <c r="P6046" s="13"/>
      <c r="Q6046" s="13"/>
      <c r="R6046" s="13"/>
      <c r="S6046" s="13"/>
    </row>
    <row r="6047" spans="1:19" x14ac:dyDescent="0.2">
      <c r="A6047" s="12" t="s">
        <v>583</v>
      </c>
      <c r="B6047" s="12" t="s">
        <v>574</v>
      </c>
      <c r="C6047" s="12" t="s">
        <v>563</v>
      </c>
      <c r="D6047" s="13">
        <v>26347</v>
      </c>
      <c r="E6047" s="13">
        <v>27847.525643000001</v>
      </c>
      <c r="F6047" s="13">
        <v>27788.966668000001</v>
      </c>
      <c r="G6047" s="13">
        <v>29071.797234000001</v>
      </c>
      <c r="H6047" s="13"/>
      <c r="I6047" s="13"/>
      <c r="J6047" s="13"/>
      <c r="K6047" s="13"/>
      <c r="L6047" s="13"/>
      <c r="M6047" s="13"/>
      <c r="N6047" s="13"/>
      <c r="O6047" s="13"/>
      <c r="P6047" s="13"/>
      <c r="Q6047" s="13"/>
      <c r="R6047" s="13"/>
      <c r="S6047" s="13"/>
    </row>
    <row r="6048" spans="1:19" x14ac:dyDescent="0.2">
      <c r="A6048" s="12" t="s">
        <v>583</v>
      </c>
      <c r="B6048" s="12" t="s">
        <v>574</v>
      </c>
      <c r="C6048" s="12" t="s">
        <v>564</v>
      </c>
      <c r="D6048" s="13">
        <v>27594</v>
      </c>
      <c r="E6048" s="13">
        <v>27807.148766999999</v>
      </c>
      <c r="F6048" s="13">
        <v>28161.022010000001</v>
      </c>
      <c r="G6048" s="13">
        <v>28267.676616000001</v>
      </c>
      <c r="H6048" s="13"/>
      <c r="I6048" s="13"/>
      <c r="J6048" s="13"/>
      <c r="K6048" s="13"/>
      <c r="L6048" s="13"/>
      <c r="M6048" s="13"/>
      <c r="N6048" s="13"/>
      <c r="O6048" s="13"/>
      <c r="P6048" s="13"/>
      <c r="Q6048" s="13"/>
      <c r="R6048" s="13"/>
      <c r="S6048" s="13"/>
    </row>
    <row r="6049" spans="1:19" x14ac:dyDescent="0.2">
      <c r="A6049" s="12" t="s">
        <v>583</v>
      </c>
      <c r="B6049" s="12" t="s">
        <v>574</v>
      </c>
      <c r="C6049" s="12" t="s">
        <v>565</v>
      </c>
      <c r="D6049" s="13">
        <v>5936</v>
      </c>
      <c r="E6049" s="13">
        <v>6314.8713390000003</v>
      </c>
      <c r="F6049" s="13">
        <v>6658.7477220000001</v>
      </c>
      <c r="G6049" s="13">
        <v>7091.5452509999996</v>
      </c>
      <c r="H6049" s="13"/>
      <c r="I6049" s="13"/>
      <c r="J6049" s="13"/>
      <c r="K6049" s="13"/>
      <c r="L6049" s="13"/>
      <c r="M6049" s="13"/>
      <c r="N6049" s="13"/>
      <c r="O6049" s="13"/>
      <c r="P6049" s="13"/>
      <c r="Q6049" s="13"/>
      <c r="R6049" s="13"/>
      <c r="S6049" s="13"/>
    </row>
    <row r="6050" spans="1:19" x14ac:dyDescent="0.2">
      <c r="A6050" s="12" t="s">
        <v>583</v>
      </c>
      <c r="B6050" s="12" t="s">
        <v>574</v>
      </c>
      <c r="C6050" s="12" t="s">
        <v>566</v>
      </c>
      <c r="D6050" s="13">
        <v>21788</v>
      </c>
      <c r="E6050" s="13">
        <v>23345.728378</v>
      </c>
      <c r="F6050" s="13">
        <v>23968.847861999999</v>
      </c>
      <c r="G6050" s="13">
        <v>26130.940114000001</v>
      </c>
      <c r="H6050" s="13"/>
      <c r="I6050" s="13"/>
      <c r="J6050" s="13"/>
      <c r="K6050" s="13"/>
      <c r="L6050" s="13"/>
      <c r="M6050" s="13"/>
      <c r="N6050" s="13"/>
      <c r="O6050" s="13"/>
      <c r="P6050" s="13"/>
      <c r="Q6050" s="13"/>
      <c r="R6050" s="13"/>
      <c r="S6050" s="13"/>
    </row>
    <row r="6051" spans="1:19" x14ac:dyDescent="0.2">
      <c r="A6051" s="12" t="s">
        <v>584</v>
      </c>
      <c r="B6051" s="12" t="s">
        <v>553</v>
      </c>
      <c r="C6051" s="12" t="s">
        <v>554</v>
      </c>
      <c r="D6051" s="13">
        <v>12902</v>
      </c>
      <c r="E6051" s="13">
        <v>14013.175781</v>
      </c>
      <c r="F6051" s="13">
        <v>13704.247090999999</v>
      </c>
      <c r="G6051" s="13">
        <v>13486.557360000001</v>
      </c>
      <c r="H6051" s="13"/>
      <c r="I6051" s="13"/>
      <c r="J6051" s="13"/>
      <c r="K6051" s="13"/>
      <c r="L6051" s="13"/>
      <c r="M6051" s="13"/>
      <c r="N6051" s="13"/>
      <c r="O6051" s="13"/>
      <c r="P6051" s="13"/>
      <c r="Q6051" s="13"/>
      <c r="R6051" s="13"/>
      <c r="S6051" s="13"/>
    </row>
    <row r="6052" spans="1:19" x14ac:dyDescent="0.2">
      <c r="A6052" s="12" t="s">
        <v>584</v>
      </c>
      <c r="B6052" s="12" t="s">
        <v>553</v>
      </c>
      <c r="C6052" s="12" t="s">
        <v>555</v>
      </c>
      <c r="D6052" s="13">
        <v>1361</v>
      </c>
      <c r="E6052" s="13">
        <v>1434.5511349999999</v>
      </c>
      <c r="F6052" s="13">
        <v>976.736537</v>
      </c>
      <c r="G6052" s="13">
        <v>927.59281700000008</v>
      </c>
      <c r="H6052" s="13"/>
      <c r="I6052" s="13"/>
      <c r="J6052" s="13"/>
      <c r="K6052" s="13"/>
      <c r="L6052" s="13"/>
      <c r="M6052" s="13"/>
      <c r="N6052" s="13"/>
      <c r="O6052" s="13"/>
      <c r="P6052" s="13"/>
      <c r="Q6052" s="13"/>
      <c r="R6052" s="13"/>
      <c r="S6052" s="13"/>
    </row>
    <row r="6053" spans="1:19" x14ac:dyDescent="0.2">
      <c r="A6053" s="12" t="s">
        <v>584</v>
      </c>
      <c r="B6053" s="12" t="s">
        <v>553</v>
      </c>
      <c r="C6053" s="12" t="s">
        <v>556</v>
      </c>
      <c r="D6053" s="13">
        <v>-5912</v>
      </c>
      <c r="E6053" s="13">
        <v>-6087.7513260000014</v>
      </c>
      <c r="F6053" s="13">
        <v>-5618.6918720000003</v>
      </c>
      <c r="G6053" s="13">
        <v>-5368.0068869999996</v>
      </c>
      <c r="H6053" s="13"/>
      <c r="I6053" s="13"/>
      <c r="J6053" s="13"/>
      <c r="K6053" s="13"/>
      <c r="L6053" s="13"/>
      <c r="M6053" s="13"/>
      <c r="N6053" s="13"/>
      <c r="O6053" s="13"/>
      <c r="P6053" s="13"/>
      <c r="Q6053" s="13"/>
      <c r="R6053" s="13"/>
      <c r="S6053" s="13"/>
    </row>
    <row r="6054" spans="1:19" x14ac:dyDescent="0.2">
      <c r="A6054" s="12" t="s">
        <v>584</v>
      </c>
      <c r="B6054" s="12" t="s">
        <v>553</v>
      </c>
      <c r="C6054" s="12" t="s">
        <v>557</v>
      </c>
      <c r="D6054" s="13">
        <v>8414</v>
      </c>
      <c r="E6054" s="13">
        <v>9196.5516850000004</v>
      </c>
      <c r="F6054" s="13">
        <v>9388.2163300000011</v>
      </c>
      <c r="G6054" s="13">
        <v>9140.8516989999989</v>
      </c>
      <c r="H6054" s="13"/>
      <c r="I6054" s="13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</row>
    <row r="6055" spans="1:19" x14ac:dyDescent="0.2">
      <c r="A6055" s="12" t="s">
        <v>584</v>
      </c>
      <c r="B6055" s="12" t="s">
        <v>553</v>
      </c>
      <c r="C6055" s="12" t="s">
        <v>558</v>
      </c>
      <c r="D6055" s="13">
        <v>-4951</v>
      </c>
      <c r="E6055" s="13">
        <v>-5093.5141450000001</v>
      </c>
      <c r="F6055" s="13">
        <v>-5430.1595229999994</v>
      </c>
      <c r="G6055" s="13">
        <v>-5420.0627139999997</v>
      </c>
      <c r="H6055" s="13"/>
      <c r="I6055" s="13"/>
      <c r="J6055" s="13"/>
      <c r="K6055" s="13"/>
      <c r="L6055" s="13"/>
      <c r="M6055" s="13"/>
      <c r="N6055" s="13"/>
      <c r="O6055" s="13"/>
      <c r="P6055" s="13"/>
      <c r="Q6055" s="13"/>
      <c r="R6055" s="13"/>
      <c r="S6055" s="13"/>
    </row>
    <row r="6056" spans="1:19" x14ac:dyDescent="0.2">
      <c r="A6056" s="12" t="s">
        <v>584</v>
      </c>
      <c r="B6056" s="12" t="s">
        <v>553</v>
      </c>
      <c r="C6056" s="12" t="s">
        <v>560</v>
      </c>
      <c r="D6056" s="13">
        <v>0</v>
      </c>
      <c r="E6056" s="13">
        <v>0</v>
      </c>
      <c r="F6056" s="13">
        <v>0</v>
      </c>
      <c r="G6056" s="13">
        <v>0</v>
      </c>
      <c r="H6056" s="13"/>
      <c r="I6056" s="13"/>
      <c r="J6056" s="13"/>
      <c r="K6056" s="13"/>
      <c r="L6056" s="13"/>
      <c r="M6056" s="13"/>
      <c r="N6056" s="13"/>
      <c r="O6056" s="13"/>
      <c r="P6056" s="13"/>
      <c r="Q6056" s="13"/>
      <c r="R6056" s="13"/>
      <c r="S6056" s="13"/>
    </row>
    <row r="6057" spans="1:19" x14ac:dyDescent="0.2">
      <c r="A6057" s="12" t="s">
        <v>584</v>
      </c>
      <c r="B6057" s="12" t="s">
        <v>553</v>
      </c>
      <c r="C6057" s="12" t="s">
        <v>561</v>
      </c>
      <c r="D6057" s="13">
        <v>2139</v>
      </c>
      <c r="E6057" s="13">
        <v>2171.6835350000001</v>
      </c>
      <c r="F6057" s="13">
        <v>1954.8241089999999</v>
      </c>
      <c r="G6057" s="13">
        <v>1976.5879990000001</v>
      </c>
      <c r="H6057" s="13"/>
      <c r="I6057" s="13"/>
      <c r="J6057" s="13"/>
      <c r="K6057" s="13"/>
      <c r="L6057" s="13"/>
      <c r="M6057" s="13"/>
      <c r="N6057" s="13"/>
      <c r="O6057" s="13"/>
      <c r="P6057" s="13"/>
      <c r="Q6057" s="13"/>
      <c r="R6057" s="13"/>
      <c r="S6057" s="13"/>
    </row>
    <row r="6058" spans="1:19" x14ac:dyDescent="0.2">
      <c r="A6058" s="12" t="s">
        <v>584</v>
      </c>
      <c r="B6058" s="12" t="s">
        <v>553</v>
      </c>
      <c r="C6058" s="12" t="s">
        <v>562</v>
      </c>
      <c r="D6058" s="13">
        <v>1693</v>
      </c>
      <c r="E6058" s="13">
        <v>1742.453669</v>
      </c>
      <c r="F6058" s="13">
        <v>1534.1855109999999</v>
      </c>
      <c r="G6058" s="13">
        <v>1566.5713969999999</v>
      </c>
      <c r="H6058" s="13"/>
      <c r="I6058" s="13"/>
      <c r="J6058" s="13"/>
      <c r="K6058" s="13"/>
      <c r="L6058" s="13"/>
      <c r="M6058" s="13"/>
      <c r="N6058" s="13"/>
      <c r="O6058" s="13"/>
      <c r="P6058" s="13"/>
      <c r="Q6058" s="13"/>
      <c r="R6058" s="13"/>
      <c r="S6058" s="13"/>
    </row>
    <row r="6059" spans="1:19" x14ac:dyDescent="0.2">
      <c r="A6059" s="12" t="s">
        <v>584</v>
      </c>
      <c r="B6059" s="12" t="s">
        <v>553</v>
      </c>
      <c r="C6059" s="12" t="s">
        <v>563</v>
      </c>
      <c r="D6059" s="13">
        <v>1</v>
      </c>
      <c r="E6059" s="13">
        <v>0.96688300000000005</v>
      </c>
      <c r="F6059" s="13">
        <v>0.97399999999999998</v>
      </c>
      <c r="G6059" s="13">
        <v>0.94710900000000009</v>
      </c>
      <c r="H6059" s="13"/>
      <c r="I6059" s="13"/>
      <c r="J6059" s="13"/>
      <c r="K6059" s="13"/>
      <c r="L6059" s="13"/>
      <c r="M6059" s="13"/>
      <c r="N6059" s="13"/>
      <c r="O6059" s="13"/>
      <c r="P6059" s="13"/>
      <c r="Q6059" s="13"/>
      <c r="R6059" s="13"/>
      <c r="S6059" s="13"/>
    </row>
    <row r="6060" spans="1:19" x14ac:dyDescent="0.2">
      <c r="A6060" s="12" t="s">
        <v>584</v>
      </c>
      <c r="B6060" s="12" t="s">
        <v>553</v>
      </c>
      <c r="C6060" s="12" t="s">
        <v>564</v>
      </c>
      <c r="D6060" s="13">
        <v>291</v>
      </c>
      <c r="E6060" s="13">
        <v>295.51624299999997</v>
      </c>
      <c r="F6060" s="13">
        <v>280.51333499999998</v>
      </c>
      <c r="G6060" s="13">
        <v>289.48548</v>
      </c>
      <c r="H6060" s="13"/>
      <c r="I6060" s="13"/>
      <c r="J6060" s="13"/>
      <c r="K6060" s="13"/>
      <c r="L6060" s="13"/>
      <c r="M6060" s="13"/>
      <c r="N6060" s="13"/>
      <c r="O6060" s="13"/>
      <c r="P6060" s="13"/>
      <c r="Q6060" s="13"/>
      <c r="R6060" s="13"/>
      <c r="S6060" s="13"/>
    </row>
    <row r="6061" spans="1:19" x14ac:dyDescent="0.2">
      <c r="A6061" s="12" t="s">
        <v>584</v>
      </c>
      <c r="B6061" s="12" t="s">
        <v>553</v>
      </c>
      <c r="C6061" s="12" t="s">
        <v>565</v>
      </c>
      <c r="D6061" s="13">
        <v>90</v>
      </c>
      <c r="E6061" s="13">
        <v>95.438490999999999</v>
      </c>
      <c r="F6061" s="13">
        <v>98.114895000000004</v>
      </c>
      <c r="G6061" s="13">
        <v>82.745407000000014</v>
      </c>
      <c r="H6061" s="13"/>
      <c r="I6061" s="13"/>
      <c r="J6061" s="13"/>
      <c r="K6061" s="13"/>
      <c r="L6061" s="13"/>
      <c r="M6061" s="13"/>
      <c r="N6061" s="13"/>
      <c r="O6061" s="13"/>
      <c r="P6061" s="13"/>
      <c r="Q6061" s="13"/>
      <c r="R6061" s="13"/>
      <c r="S6061" s="13"/>
    </row>
    <row r="6062" spans="1:19" x14ac:dyDescent="0.2">
      <c r="A6062" s="12" t="s">
        <v>584</v>
      </c>
      <c r="B6062" s="12" t="s">
        <v>553</v>
      </c>
      <c r="C6062" s="12" t="s">
        <v>566</v>
      </c>
      <c r="D6062" s="13">
        <v>65</v>
      </c>
      <c r="E6062" s="13">
        <v>37.308236000000008</v>
      </c>
      <c r="F6062" s="13">
        <v>41.036351000000003</v>
      </c>
      <c r="G6062" s="13">
        <v>36.838607000000003</v>
      </c>
      <c r="H6062" s="13"/>
      <c r="I6062" s="13"/>
      <c r="J6062" s="13"/>
      <c r="K6062" s="13"/>
      <c r="L6062" s="13"/>
      <c r="M6062" s="13"/>
      <c r="N6062" s="13"/>
      <c r="O6062" s="13"/>
      <c r="P6062" s="13"/>
      <c r="Q6062" s="13"/>
      <c r="R6062" s="13"/>
      <c r="S6062" s="13"/>
    </row>
    <row r="6063" spans="1:19" x14ac:dyDescent="0.2">
      <c r="A6063" s="12" t="s">
        <v>584</v>
      </c>
      <c r="B6063" s="12" t="s">
        <v>567</v>
      </c>
      <c r="C6063" s="12" t="s">
        <v>554</v>
      </c>
      <c r="D6063" s="13">
        <v>27881</v>
      </c>
      <c r="E6063" s="13">
        <v>28425.290991999998</v>
      </c>
      <c r="F6063" s="13">
        <v>28714.446548</v>
      </c>
      <c r="G6063" s="13">
        <v>28255.155387999999</v>
      </c>
      <c r="H6063" s="13"/>
      <c r="I6063" s="13"/>
      <c r="J6063" s="13"/>
      <c r="K6063" s="13"/>
      <c r="L6063" s="13"/>
      <c r="M6063" s="13"/>
      <c r="N6063" s="13"/>
      <c r="O6063" s="13"/>
      <c r="P6063" s="13"/>
      <c r="Q6063" s="13"/>
      <c r="R6063" s="13"/>
      <c r="S6063" s="13"/>
    </row>
    <row r="6064" spans="1:19" x14ac:dyDescent="0.2">
      <c r="A6064" s="12" t="s">
        <v>584</v>
      </c>
      <c r="B6064" s="12" t="s">
        <v>567</v>
      </c>
      <c r="C6064" s="12" t="s">
        <v>555</v>
      </c>
      <c r="D6064" s="13">
        <v>1549</v>
      </c>
      <c r="E6064" s="13">
        <v>1543.0367080000001</v>
      </c>
      <c r="F6064" s="13">
        <v>1582.719454</v>
      </c>
      <c r="G6064" s="13">
        <v>1565.47477</v>
      </c>
      <c r="H6064" s="13"/>
      <c r="I6064" s="13"/>
      <c r="J6064" s="13"/>
      <c r="K6064" s="13"/>
      <c r="L6064" s="13"/>
      <c r="M6064" s="13"/>
      <c r="N6064" s="13"/>
      <c r="O6064" s="13"/>
      <c r="P6064" s="13"/>
      <c r="Q6064" s="13"/>
      <c r="R6064" s="13"/>
      <c r="S6064" s="13"/>
    </row>
    <row r="6065" spans="1:19" x14ac:dyDescent="0.2">
      <c r="A6065" s="12" t="s">
        <v>584</v>
      </c>
      <c r="B6065" s="12" t="s">
        <v>567</v>
      </c>
      <c r="C6065" s="12" t="s">
        <v>556</v>
      </c>
      <c r="D6065" s="13">
        <v>-14342</v>
      </c>
      <c r="E6065" s="13">
        <v>-14113.346156</v>
      </c>
      <c r="F6065" s="13">
        <v>-14636.042708999999</v>
      </c>
      <c r="G6065" s="13">
        <v>-15354.556787</v>
      </c>
      <c r="H6065" s="13"/>
      <c r="I6065" s="13"/>
      <c r="J6065" s="13"/>
      <c r="K6065" s="13"/>
      <c r="L6065" s="13"/>
      <c r="M6065" s="13"/>
      <c r="N6065" s="13"/>
      <c r="O6065" s="13"/>
      <c r="P6065" s="13"/>
      <c r="Q6065" s="13"/>
      <c r="R6065" s="13"/>
      <c r="S6065" s="13"/>
    </row>
    <row r="6066" spans="1:19" x14ac:dyDescent="0.2">
      <c r="A6066" s="12" t="s">
        <v>584</v>
      </c>
      <c r="B6066" s="12" t="s">
        <v>567</v>
      </c>
      <c r="C6066" s="12" t="s">
        <v>557</v>
      </c>
      <c r="D6066" s="13">
        <v>15099</v>
      </c>
      <c r="E6066" s="13">
        <v>15803.03263</v>
      </c>
      <c r="F6066" s="13">
        <v>15637.349708</v>
      </c>
      <c r="G6066" s="13">
        <v>14469.141211</v>
      </c>
      <c r="H6066" s="13"/>
      <c r="I6066" s="13"/>
      <c r="J6066" s="13"/>
      <c r="K6066" s="13"/>
      <c r="L6066" s="13"/>
      <c r="M6066" s="13"/>
      <c r="N6066" s="13"/>
      <c r="O6066" s="13"/>
      <c r="P6066" s="13"/>
      <c r="Q6066" s="13"/>
      <c r="R6066" s="13"/>
      <c r="S6066" s="13"/>
    </row>
    <row r="6067" spans="1:19" x14ac:dyDescent="0.2">
      <c r="A6067" s="12" t="s">
        <v>584</v>
      </c>
      <c r="B6067" s="12" t="s">
        <v>567</v>
      </c>
      <c r="C6067" s="12" t="s">
        <v>558</v>
      </c>
      <c r="D6067" s="13">
        <v>-20</v>
      </c>
      <c r="E6067" s="13">
        <v>-23.664819000000001</v>
      </c>
      <c r="F6067" s="13">
        <v>-24.211359999999999</v>
      </c>
      <c r="G6067" s="13">
        <v>-23.726566999999999</v>
      </c>
      <c r="H6067" s="13"/>
      <c r="I6067" s="13"/>
      <c r="J6067" s="13"/>
      <c r="K6067" s="13"/>
      <c r="L6067" s="13"/>
      <c r="M6067" s="13"/>
      <c r="N6067" s="13"/>
      <c r="O6067" s="13"/>
      <c r="P6067" s="13"/>
      <c r="Q6067" s="13"/>
      <c r="R6067" s="13"/>
      <c r="S6067" s="13"/>
    </row>
    <row r="6068" spans="1:19" x14ac:dyDescent="0.2">
      <c r="A6068" s="12" t="s">
        <v>584</v>
      </c>
      <c r="B6068" s="12" t="s">
        <v>567</v>
      </c>
      <c r="C6068" s="12" t="s">
        <v>560</v>
      </c>
      <c r="D6068" s="13">
        <v>-14784</v>
      </c>
      <c r="E6068" s="13">
        <v>-15400.174573</v>
      </c>
      <c r="F6068" s="13">
        <v>-15162.75288</v>
      </c>
      <c r="G6068" s="13">
        <v>-14131.098833</v>
      </c>
      <c r="H6068" s="13"/>
      <c r="I6068" s="13"/>
      <c r="J6068" s="13"/>
      <c r="K6068" s="13"/>
      <c r="L6068" s="13"/>
      <c r="M6068" s="13"/>
      <c r="N6068" s="13"/>
      <c r="O6068" s="13"/>
      <c r="P6068" s="13"/>
      <c r="Q6068" s="13"/>
      <c r="R6068" s="13"/>
      <c r="S6068" s="13"/>
    </row>
    <row r="6069" spans="1:19" x14ac:dyDescent="0.2">
      <c r="A6069" s="12" t="s">
        <v>584</v>
      </c>
      <c r="B6069" s="12" t="s">
        <v>567</v>
      </c>
      <c r="C6069" s="12" t="s">
        <v>561</v>
      </c>
      <c r="D6069" s="13">
        <v>3</v>
      </c>
      <c r="E6069" s="13">
        <v>2.3497539999999999</v>
      </c>
      <c r="F6069" s="13">
        <v>1.604725</v>
      </c>
      <c r="G6069" s="13">
        <v>1.6881299999999999</v>
      </c>
      <c r="H6069" s="13"/>
      <c r="I6069" s="13"/>
      <c r="J6069" s="13"/>
      <c r="K6069" s="13"/>
      <c r="L6069" s="13"/>
      <c r="M6069" s="13"/>
      <c r="N6069" s="13"/>
      <c r="O6069" s="13"/>
      <c r="P6069" s="13"/>
      <c r="Q6069" s="13"/>
      <c r="R6069" s="13"/>
      <c r="S6069" s="13"/>
    </row>
    <row r="6070" spans="1:19" x14ac:dyDescent="0.2">
      <c r="A6070" s="12" t="s">
        <v>584</v>
      </c>
      <c r="B6070" s="12" t="s">
        <v>567</v>
      </c>
      <c r="C6070" s="12" t="s">
        <v>562</v>
      </c>
      <c r="D6070" s="13">
        <v>2</v>
      </c>
      <c r="E6070" s="13">
        <v>1.4553400000000001</v>
      </c>
      <c r="F6070" s="13">
        <v>0.99845100000000009</v>
      </c>
      <c r="G6070" s="13">
        <v>1.100592</v>
      </c>
      <c r="H6070" s="13"/>
      <c r="I6070" s="13"/>
      <c r="J6070" s="13"/>
      <c r="K6070" s="13"/>
      <c r="L6070" s="13"/>
      <c r="M6070" s="13"/>
      <c r="N6070" s="13"/>
      <c r="O6070" s="13"/>
      <c r="P6070" s="13"/>
      <c r="Q6070" s="13"/>
      <c r="R6070" s="13"/>
      <c r="S6070" s="13"/>
    </row>
    <row r="6071" spans="1:19" x14ac:dyDescent="0.2">
      <c r="A6071" s="12" t="s">
        <v>584</v>
      </c>
      <c r="B6071" s="12" t="s">
        <v>567</v>
      </c>
      <c r="C6071" s="12" t="s">
        <v>563</v>
      </c>
      <c r="D6071" s="13">
        <v>0</v>
      </c>
      <c r="E6071" s="13">
        <v>7.0188E-2</v>
      </c>
      <c r="F6071" s="13">
        <v>6.9388000000000005E-2</v>
      </c>
      <c r="G6071" s="13">
        <v>8.2162000000000013E-2</v>
      </c>
      <c r="H6071" s="13"/>
      <c r="I6071" s="13"/>
      <c r="J6071" s="13"/>
      <c r="K6071" s="13"/>
      <c r="L6071" s="13"/>
      <c r="M6071" s="13"/>
      <c r="N6071" s="13"/>
      <c r="O6071" s="13"/>
      <c r="P6071" s="13"/>
      <c r="Q6071" s="13"/>
      <c r="R6071" s="13"/>
      <c r="S6071" s="13"/>
    </row>
    <row r="6072" spans="1:19" x14ac:dyDescent="0.2">
      <c r="A6072" s="12" t="s">
        <v>584</v>
      </c>
      <c r="B6072" s="12" t="s">
        <v>567</v>
      </c>
      <c r="C6072" s="12" t="s">
        <v>564</v>
      </c>
      <c r="D6072" s="13">
        <v>0</v>
      </c>
      <c r="E6072" s="13">
        <v>0</v>
      </c>
      <c r="F6072" s="13">
        <v>0</v>
      </c>
      <c r="G6072" s="13">
        <v>0</v>
      </c>
      <c r="H6072" s="13"/>
      <c r="I6072" s="13"/>
      <c r="J6072" s="13"/>
      <c r="K6072" s="13"/>
      <c r="L6072" s="13"/>
      <c r="M6072" s="13"/>
      <c r="N6072" s="13"/>
      <c r="O6072" s="13"/>
      <c r="P6072" s="13"/>
      <c r="Q6072" s="13"/>
      <c r="R6072" s="13"/>
      <c r="S6072" s="13"/>
    </row>
    <row r="6073" spans="1:19" x14ac:dyDescent="0.2">
      <c r="A6073" s="12" t="s">
        <v>584</v>
      </c>
      <c r="B6073" s="12" t="s">
        <v>567</v>
      </c>
      <c r="C6073" s="12" t="s">
        <v>565</v>
      </c>
      <c r="D6073" s="13">
        <v>0</v>
      </c>
      <c r="E6073" s="13">
        <v>0</v>
      </c>
      <c r="F6073" s="13">
        <v>0</v>
      </c>
      <c r="G6073" s="13">
        <v>4.1949999999999999E-3</v>
      </c>
      <c r="H6073" s="13"/>
      <c r="I6073" s="13"/>
      <c r="J6073" s="13"/>
      <c r="K6073" s="13"/>
      <c r="L6073" s="13"/>
      <c r="M6073" s="13"/>
      <c r="N6073" s="13"/>
      <c r="O6073" s="13"/>
      <c r="P6073" s="13"/>
      <c r="Q6073" s="13"/>
      <c r="R6073" s="13"/>
      <c r="S6073" s="13"/>
    </row>
    <row r="6074" spans="1:19" x14ac:dyDescent="0.2">
      <c r="A6074" s="12" t="s">
        <v>584</v>
      </c>
      <c r="B6074" s="12" t="s">
        <v>567</v>
      </c>
      <c r="C6074" s="12" t="s">
        <v>566</v>
      </c>
      <c r="D6074" s="13">
        <v>1</v>
      </c>
      <c r="E6074" s="13">
        <v>0.82422600000000001</v>
      </c>
      <c r="F6074" s="13">
        <v>0.53688599999999997</v>
      </c>
      <c r="G6074" s="13">
        <v>0.50118000000000007</v>
      </c>
      <c r="H6074" s="13"/>
      <c r="I6074" s="13"/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</row>
    <row r="6075" spans="1:19" x14ac:dyDescent="0.2">
      <c r="A6075" s="12" t="s">
        <v>584</v>
      </c>
      <c r="B6075" s="12" t="s">
        <v>568</v>
      </c>
      <c r="C6075" s="12" t="s">
        <v>554</v>
      </c>
      <c r="D6075" s="13">
        <v>0</v>
      </c>
      <c r="E6075" s="13">
        <v>0</v>
      </c>
      <c r="F6075" s="13">
        <v>0</v>
      </c>
      <c r="G6075" s="13">
        <v>0</v>
      </c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</row>
    <row r="6076" spans="1:19" x14ac:dyDescent="0.2">
      <c r="A6076" s="12" t="s">
        <v>584</v>
      </c>
      <c r="B6076" s="12" t="s">
        <v>568</v>
      </c>
      <c r="C6076" s="12" t="s">
        <v>555</v>
      </c>
      <c r="D6076" s="13">
        <v>1720</v>
      </c>
      <c r="E6076" s="13">
        <v>1780.9697799999999</v>
      </c>
      <c r="F6076" s="13">
        <v>1796.1907619999999</v>
      </c>
      <c r="G6076" s="13">
        <v>1861.3477109999999</v>
      </c>
      <c r="H6076" s="13"/>
      <c r="I6076" s="13"/>
      <c r="J6076" s="13"/>
      <c r="K6076" s="13"/>
      <c r="L6076" s="13"/>
      <c r="M6076" s="13"/>
      <c r="N6076" s="13"/>
      <c r="O6076" s="13"/>
      <c r="P6076" s="13"/>
      <c r="Q6076" s="13"/>
      <c r="R6076" s="13"/>
      <c r="S6076" s="13"/>
    </row>
    <row r="6077" spans="1:19" x14ac:dyDescent="0.2">
      <c r="A6077" s="12" t="s">
        <v>584</v>
      </c>
      <c r="B6077" s="12" t="s">
        <v>568</v>
      </c>
      <c r="C6077" s="12" t="s">
        <v>556</v>
      </c>
      <c r="D6077" s="13">
        <v>-6285</v>
      </c>
      <c r="E6077" s="13">
        <v>-6222.8391229999997</v>
      </c>
      <c r="F6077" s="13">
        <v>-5931.1076640000001</v>
      </c>
      <c r="G6077" s="13">
        <v>-5614.2952210000003</v>
      </c>
      <c r="H6077" s="13"/>
      <c r="I6077" s="13"/>
      <c r="J6077" s="13"/>
      <c r="K6077" s="13"/>
      <c r="L6077" s="13"/>
      <c r="M6077" s="13"/>
      <c r="N6077" s="13"/>
      <c r="O6077" s="13"/>
      <c r="P6077" s="13"/>
      <c r="Q6077" s="13"/>
      <c r="R6077" s="13"/>
      <c r="S6077" s="13"/>
    </row>
    <row r="6078" spans="1:19" x14ac:dyDescent="0.2">
      <c r="A6078" s="12" t="s">
        <v>584</v>
      </c>
      <c r="B6078" s="12" t="s">
        <v>568</v>
      </c>
      <c r="C6078" s="12" t="s">
        <v>557</v>
      </c>
      <c r="D6078" s="13">
        <v>-5330</v>
      </c>
      <c r="E6078" s="13">
        <v>-5122.2082529999998</v>
      </c>
      <c r="F6078" s="13">
        <v>-4998.7135760000001</v>
      </c>
      <c r="G6078" s="13">
        <v>-4545.252426</v>
      </c>
      <c r="H6078" s="13"/>
      <c r="I6078" s="13"/>
      <c r="J6078" s="13"/>
      <c r="K6078" s="13"/>
      <c r="L6078" s="13"/>
      <c r="M6078" s="13"/>
      <c r="N6078" s="13"/>
      <c r="O6078" s="13"/>
      <c r="P6078" s="13"/>
      <c r="Q6078" s="13"/>
      <c r="R6078" s="13"/>
      <c r="S6078" s="13"/>
    </row>
    <row r="6079" spans="1:19" x14ac:dyDescent="0.2">
      <c r="A6079" s="12" t="s">
        <v>584</v>
      </c>
      <c r="B6079" s="12" t="s">
        <v>568</v>
      </c>
      <c r="C6079" s="12" t="s">
        <v>558</v>
      </c>
      <c r="D6079" s="13">
        <v>-323</v>
      </c>
      <c r="E6079" s="13">
        <v>-391.365388</v>
      </c>
      <c r="F6079" s="13">
        <v>-384.16557799999998</v>
      </c>
      <c r="G6079" s="13">
        <v>-390.82649300000003</v>
      </c>
      <c r="H6079" s="13"/>
      <c r="I6079" s="13"/>
      <c r="J6079" s="13"/>
      <c r="K6079" s="13"/>
      <c r="L6079" s="13"/>
      <c r="M6079" s="13"/>
      <c r="N6079" s="13"/>
      <c r="O6079" s="13"/>
      <c r="P6079" s="13"/>
      <c r="Q6079" s="13"/>
      <c r="R6079" s="13"/>
      <c r="S6079" s="13"/>
    </row>
    <row r="6080" spans="1:19" x14ac:dyDescent="0.2">
      <c r="A6080" s="12" t="s">
        <v>584</v>
      </c>
      <c r="B6080" s="12" t="s">
        <v>568</v>
      </c>
      <c r="C6080" s="12" t="s">
        <v>560</v>
      </c>
      <c r="D6080" s="13">
        <v>13974</v>
      </c>
      <c r="E6080" s="13">
        <v>14550.870741999999</v>
      </c>
      <c r="F6080" s="13">
        <v>14459.337308</v>
      </c>
      <c r="G6080" s="13">
        <v>14066.473706999999</v>
      </c>
      <c r="H6080" s="13"/>
      <c r="I6080" s="13"/>
      <c r="J6080" s="13"/>
      <c r="K6080" s="13"/>
      <c r="L6080" s="13"/>
      <c r="M6080" s="13"/>
      <c r="N6080" s="13"/>
      <c r="O6080" s="13"/>
      <c r="P6080" s="13"/>
      <c r="Q6080" s="13"/>
      <c r="R6080" s="13"/>
      <c r="S6080" s="13"/>
    </row>
    <row r="6081" spans="1:19" x14ac:dyDescent="0.2">
      <c r="A6081" s="12" t="s">
        <v>584</v>
      </c>
      <c r="B6081" s="12" t="s">
        <v>568</v>
      </c>
      <c r="C6081" s="12" t="s">
        <v>561</v>
      </c>
      <c r="D6081" s="13">
        <v>8246</v>
      </c>
      <c r="E6081" s="13">
        <v>8793.5575730000019</v>
      </c>
      <c r="F6081" s="13">
        <v>8899.1693100000011</v>
      </c>
      <c r="G6081" s="13">
        <v>8929.5897690000002</v>
      </c>
      <c r="H6081" s="13"/>
      <c r="I6081" s="13"/>
      <c r="J6081" s="13"/>
      <c r="K6081" s="13"/>
      <c r="L6081" s="13"/>
      <c r="M6081" s="13"/>
      <c r="N6081" s="13"/>
      <c r="O6081" s="13"/>
      <c r="P6081" s="13"/>
      <c r="Q6081" s="13"/>
      <c r="R6081" s="13"/>
      <c r="S6081" s="13"/>
    </row>
    <row r="6082" spans="1:19" x14ac:dyDescent="0.2">
      <c r="A6082" s="12" t="s">
        <v>584</v>
      </c>
      <c r="B6082" s="12" t="s">
        <v>568</v>
      </c>
      <c r="C6082" s="12" t="s">
        <v>562</v>
      </c>
      <c r="D6082" s="13">
        <v>645</v>
      </c>
      <c r="E6082" s="13">
        <v>657.97162200000002</v>
      </c>
      <c r="F6082" s="13">
        <v>695.01877300000001</v>
      </c>
      <c r="G6082" s="13">
        <v>674.08380599999998</v>
      </c>
      <c r="H6082" s="13"/>
      <c r="I6082" s="13"/>
      <c r="J6082" s="13"/>
      <c r="K6082" s="13"/>
      <c r="L6082" s="13"/>
      <c r="M6082" s="13"/>
      <c r="N6082" s="13"/>
      <c r="O6082" s="13"/>
      <c r="P6082" s="13"/>
      <c r="Q6082" s="13"/>
      <c r="R6082" s="13"/>
      <c r="S6082" s="13"/>
    </row>
    <row r="6083" spans="1:19" x14ac:dyDescent="0.2">
      <c r="A6083" s="12" t="s">
        <v>584</v>
      </c>
      <c r="B6083" s="12" t="s">
        <v>568</v>
      </c>
      <c r="C6083" s="12" t="s">
        <v>563</v>
      </c>
      <c r="D6083" s="13">
        <v>4350</v>
      </c>
      <c r="E6083" s="13">
        <v>4774.4759280000007</v>
      </c>
      <c r="F6083" s="13">
        <v>4643.264518</v>
      </c>
      <c r="G6083" s="13">
        <v>4808.0762500000001</v>
      </c>
      <c r="H6083" s="13"/>
      <c r="I6083" s="13"/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</row>
    <row r="6084" spans="1:19" x14ac:dyDescent="0.2">
      <c r="A6084" s="12" t="s">
        <v>584</v>
      </c>
      <c r="B6084" s="12" t="s">
        <v>568</v>
      </c>
      <c r="C6084" s="12" t="s">
        <v>564</v>
      </c>
      <c r="D6084" s="13">
        <v>781</v>
      </c>
      <c r="E6084" s="13">
        <v>823.59177899999997</v>
      </c>
      <c r="F6084" s="13">
        <v>831.35701599999993</v>
      </c>
      <c r="G6084" s="13">
        <v>817.67252800000006</v>
      </c>
      <c r="H6084" s="13"/>
      <c r="I6084" s="13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</row>
    <row r="6085" spans="1:19" x14ac:dyDescent="0.2">
      <c r="A6085" s="12" t="s">
        <v>584</v>
      </c>
      <c r="B6085" s="12" t="s">
        <v>568</v>
      </c>
      <c r="C6085" s="12" t="s">
        <v>565</v>
      </c>
      <c r="D6085" s="13">
        <v>139</v>
      </c>
      <c r="E6085" s="13">
        <v>110.972905</v>
      </c>
      <c r="F6085" s="13">
        <v>116.37696699999999</v>
      </c>
      <c r="G6085" s="13">
        <v>115.650817</v>
      </c>
      <c r="H6085" s="13"/>
      <c r="I6085" s="13"/>
      <c r="J6085" s="13"/>
      <c r="K6085" s="13"/>
      <c r="L6085" s="13"/>
      <c r="M6085" s="13"/>
      <c r="N6085" s="13"/>
      <c r="O6085" s="13"/>
      <c r="P6085" s="13"/>
      <c r="Q6085" s="13"/>
      <c r="R6085" s="13"/>
      <c r="S6085" s="13"/>
    </row>
    <row r="6086" spans="1:19" x14ac:dyDescent="0.2">
      <c r="A6086" s="12" t="s">
        <v>584</v>
      </c>
      <c r="B6086" s="12" t="s">
        <v>568</v>
      </c>
      <c r="C6086" s="12" t="s">
        <v>566</v>
      </c>
      <c r="D6086" s="13">
        <v>2331</v>
      </c>
      <c r="E6086" s="13">
        <v>2426.545341</v>
      </c>
      <c r="F6086" s="13">
        <v>2613.1520350000001</v>
      </c>
      <c r="G6086" s="13">
        <v>2514.1063570000001</v>
      </c>
      <c r="H6086" s="13"/>
      <c r="I6086" s="13"/>
      <c r="J6086" s="13"/>
      <c r="K6086" s="13"/>
      <c r="L6086" s="13"/>
      <c r="M6086" s="13"/>
      <c r="N6086" s="13"/>
      <c r="O6086" s="13"/>
      <c r="P6086" s="13"/>
      <c r="Q6086" s="13"/>
      <c r="R6086" s="13"/>
      <c r="S6086" s="13"/>
    </row>
    <row r="6087" spans="1:19" x14ac:dyDescent="0.2">
      <c r="A6087" s="12" t="s">
        <v>584</v>
      </c>
      <c r="B6087" s="12" t="s">
        <v>569</v>
      </c>
      <c r="C6087" s="12" t="s">
        <v>554</v>
      </c>
      <c r="D6087" s="13">
        <v>31130</v>
      </c>
      <c r="E6087" s="13">
        <v>34543.156879000002</v>
      </c>
      <c r="F6087" s="13">
        <v>31453.333748000001</v>
      </c>
      <c r="G6087" s="13">
        <v>29684.806952999999</v>
      </c>
      <c r="H6087" s="13"/>
      <c r="I6087" s="13"/>
      <c r="J6087" s="13"/>
      <c r="K6087" s="13"/>
      <c r="L6087" s="13"/>
      <c r="M6087" s="13"/>
      <c r="N6087" s="13"/>
      <c r="O6087" s="13"/>
      <c r="P6087" s="13"/>
      <c r="Q6087" s="13"/>
      <c r="R6087" s="13"/>
      <c r="S6087" s="13"/>
    </row>
    <row r="6088" spans="1:19" x14ac:dyDescent="0.2">
      <c r="A6088" s="12" t="s">
        <v>584</v>
      </c>
      <c r="B6088" s="12" t="s">
        <v>569</v>
      </c>
      <c r="C6088" s="12" t="s">
        <v>555</v>
      </c>
      <c r="D6088" s="13">
        <v>2351</v>
      </c>
      <c r="E6088" s="13">
        <v>2100.5162909999999</v>
      </c>
      <c r="F6088" s="13">
        <v>1923.3297600000001</v>
      </c>
      <c r="G6088" s="13">
        <v>1842.8740929999999</v>
      </c>
      <c r="H6088" s="13"/>
      <c r="I6088" s="13"/>
      <c r="J6088" s="13"/>
      <c r="K6088" s="13"/>
      <c r="L6088" s="13"/>
      <c r="M6088" s="13"/>
      <c r="N6088" s="13"/>
      <c r="O6088" s="13"/>
      <c r="P6088" s="13"/>
      <c r="Q6088" s="13"/>
      <c r="R6088" s="13"/>
      <c r="S6088" s="13"/>
    </row>
    <row r="6089" spans="1:19" x14ac:dyDescent="0.2">
      <c r="A6089" s="12" t="s">
        <v>584</v>
      </c>
      <c r="B6089" s="12" t="s">
        <v>569</v>
      </c>
      <c r="C6089" s="12" t="s">
        <v>556</v>
      </c>
      <c r="D6089" s="13">
        <v>-11582</v>
      </c>
      <c r="E6089" s="13">
        <v>-11115.723077000001</v>
      </c>
      <c r="F6089" s="13">
        <v>-8575.7797719999999</v>
      </c>
      <c r="G6089" s="13">
        <v>-7661.0575600000002</v>
      </c>
      <c r="H6089" s="13"/>
      <c r="I6089" s="13"/>
      <c r="J6089" s="13"/>
      <c r="K6089" s="13"/>
      <c r="L6089" s="13"/>
      <c r="M6089" s="13"/>
      <c r="N6089" s="13"/>
      <c r="O6089" s="13"/>
      <c r="P6089" s="13"/>
      <c r="Q6089" s="13"/>
      <c r="R6089" s="13"/>
      <c r="S6089" s="13"/>
    </row>
    <row r="6090" spans="1:19" x14ac:dyDescent="0.2">
      <c r="A6090" s="12" t="s">
        <v>584</v>
      </c>
      <c r="B6090" s="12" t="s">
        <v>569</v>
      </c>
      <c r="C6090" s="12" t="s">
        <v>557</v>
      </c>
      <c r="D6090" s="13">
        <v>22272</v>
      </c>
      <c r="E6090" s="13">
        <v>25593.257046999999</v>
      </c>
      <c r="F6090" s="13">
        <v>24168.430161</v>
      </c>
      <c r="G6090" s="13">
        <v>23663.891264999998</v>
      </c>
      <c r="H6090" s="13"/>
      <c r="I6090" s="13"/>
      <c r="J6090" s="13"/>
      <c r="K6090" s="13"/>
      <c r="L6090" s="13"/>
      <c r="M6090" s="13"/>
      <c r="N6090" s="13"/>
      <c r="O6090" s="13"/>
      <c r="P6090" s="13"/>
      <c r="Q6090" s="13"/>
      <c r="R6090" s="13"/>
      <c r="S6090" s="13"/>
    </row>
    <row r="6091" spans="1:19" x14ac:dyDescent="0.2">
      <c r="A6091" s="12" t="s">
        <v>584</v>
      </c>
      <c r="B6091" s="12" t="s">
        <v>569</v>
      </c>
      <c r="C6091" s="12" t="s">
        <v>558</v>
      </c>
      <c r="D6091" s="13">
        <v>-10430</v>
      </c>
      <c r="E6091" s="13">
        <v>-11910.94031</v>
      </c>
      <c r="F6091" s="13">
        <v>-11191.430867999999</v>
      </c>
      <c r="G6091" s="13">
        <v>-11775.398266</v>
      </c>
      <c r="H6091" s="13"/>
      <c r="I6091" s="13"/>
      <c r="J6091" s="13"/>
      <c r="K6091" s="13"/>
      <c r="L6091" s="13"/>
      <c r="M6091" s="13"/>
      <c r="N6091" s="13"/>
      <c r="O6091" s="13"/>
      <c r="P6091" s="13"/>
      <c r="Q6091" s="13"/>
      <c r="R6091" s="13"/>
      <c r="S6091" s="13"/>
    </row>
    <row r="6092" spans="1:19" x14ac:dyDescent="0.2">
      <c r="A6092" s="12" t="s">
        <v>584</v>
      </c>
      <c r="B6092" s="12" t="s">
        <v>569</v>
      </c>
      <c r="C6092" s="12" t="s">
        <v>560</v>
      </c>
      <c r="D6092" s="13">
        <v>0</v>
      </c>
      <c r="E6092" s="13">
        <v>0</v>
      </c>
      <c r="F6092" s="13">
        <v>0</v>
      </c>
      <c r="G6092" s="13">
        <v>0</v>
      </c>
      <c r="H6092" s="13"/>
      <c r="I6092" s="13"/>
      <c r="J6092" s="13"/>
      <c r="K6092" s="13"/>
      <c r="L6092" s="13"/>
      <c r="M6092" s="13"/>
      <c r="N6092" s="13"/>
      <c r="O6092" s="13"/>
      <c r="P6092" s="13"/>
      <c r="Q6092" s="13"/>
      <c r="R6092" s="13"/>
      <c r="S6092" s="13"/>
    </row>
    <row r="6093" spans="1:19" x14ac:dyDescent="0.2">
      <c r="A6093" s="12" t="s">
        <v>584</v>
      </c>
      <c r="B6093" s="12" t="s">
        <v>569</v>
      </c>
      <c r="C6093" s="12" t="s">
        <v>561</v>
      </c>
      <c r="D6093" s="13">
        <v>10144</v>
      </c>
      <c r="E6093" s="13">
        <v>11203.732019999999</v>
      </c>
      <c r="F6093" s="13">
        <v>10495.418742</v>
      </c>
      <c r="G6093" s="13">
        <v>10150.811893</v>
      </c>
      <c r="H6093" s="13"/>
      <c r="I6093" s="13"/>
      <c r="J6093" s="13"/>
      <c r="K6093" s="13"/>
      <c r="L6093" s="13"/>
      <c r="M6093" s="13"/>
      <c r="N6093" s="13"/>
      <c r="O6093" s="13"/>
      <c r="P6093" s="13"/>
      <c r="Q6093" s="13"/>
      <c r="R6093" s="13"/>
      <c r="S6093" s="13"/>
    </row>
    <row r="6094" spans="1:19" x14ac:dyDescent="0.2">
      <c r="A6094" s="12" t="s">
        <v>584</v>
      </c>
      <c r="B6094" s="12" t="s">
        <v>569</v>
      </c>
      <c r="C6094" s="12" t="s">
        <v>562</v>
      </c>
      <c r="D6094" s="13">
        <v>2069</v>
      </c>
      <c r="E6094" s="13">
        <v>2507.2036680000001</v>
      </c>
      <c r="F6094" s="13">
        <v>2403.4596409999999</v>
      </c>
      <c r="G6094" s="13">
        <v>2280.1111919999998</v>
      </c>
      <c r="H6094" s="13"/>
      <c r="I6094" s="13"/>
      <c r="J6094" s="13"/>
      <c r="K6094" s="13"/>
      <c r="L6094" s="13"/>
      <c r="M6094" s="13"/>
      <c r="N6094" s="13"/>
      <c r="O6094" s="13"/>
      <c r="P6094" s="13"/>
      <c r="Q6094" s="13"/>
      <c r="R6094" s="13"/>
      <c r="S6094" s="13"/>
    </row>
    <row r="6095" spans="1:19" x14ac:dyDescent="0.2">
      <c r="A6095" s="12" t="s">
        <v>584</v>
      </c>
      <c r="B6095" s="12" t="s">
        <v>569</v>
      </c>
      <c r="C6095" s="12" t="s">
        <v>563</v>
      </c>
      <c r="D6095" s="13">
        <v>1404</v>
      </c>
      <c r="E6095" s="13">
        <v>1548.23089</v>
      </c>
      <c r="F6095" s="13">
        <v>1478.037865</v>
      </c>
      <c r="G6095" s="13">
        <v>1548.524116</v>
      </c>
      <c r="H6095" s="13"/>
      <c r="I6095" s="13"/>
      <c r="J6095" s="13"/>
      <c r="K6095" s="13"/>
      <c r="L6095" s="13"/>
      <c r="M6095" s="13"/>
      <c r="N6095" s="13"/>
      <c r="O6095" s="13"/>
      <c r="P6095" s="13"/>
      <c r="Q6095" s="13"/>
      <c r="R6095" s="13"/>
      <c r="S6095" s="13"/>
    </row>
    <row r="6096" spans="1:19" x14ac:dyDescent="0.2">
      <c r="A6096" s="12" t="s">
        <v>584</v>
      </c>
      <c r="B6096" s="12" t="s">
        <v>569</v>
      </c>
      <c r="C6096" s="12" t="s">
        <v>564</v>
      </c>
      <c r="D6096" s="13">
        <v>3704</v>
      </c>
      <c r="E6096" s="13">
        <v>3972.190263</v>
      </c>
      <c r="F6096" s="13">
        <v>3724.1271529999999</v>
      </c>
      <c r="G6096" s="13">
        <v>3562.6405060000002</v>
      </c>
      <c r="H6096" s="13"/>
      <c r="I6096" s="13"/>
      <c r="J6096" s="13"/>
      <c r="K6096" s="13"/>
      <c r="L6096" s="13"/>
      <c r="M6096" s="13"/>
      <c r="N6096" s="13"/>
      <c r="O6096" s="13"/>
      <c r="P6096" s="13"/>
      <c r="Q6096" s="13"/>
      <c r="R6096" s="13"/>
      <c r="S6096" s="13"/>
    </row>
    <row r="6097" spans="1:19" x14ac:dyDescent="0.2">
      <c r="A6097" s="12" t="s">
        <v>584</v>
      </c>
      <c r="B6097" s="12" t="s">
        <v>569</v>
      </c>
      <c r="C6097" s="12" t="s">
        <v>565</v>
      </c>
      <c r="D6097" s="13">
        <v>713</v>
      </c>
      <c r="E6097" s="13">
        <v>805.63983600000006</v>
      </c>
      <c r="F6097" s="13">
        <v>722.06817599999999</v>
      </c>
      <c r="G6097" s="13">
        <v>742.93223999999998</v>
      </c>
      <c r="H6097" s="13"/>
      <c r="I6097" s="13"/>
      <c r="J6097" s="13"/>
      <c r="K6097" s="13"/>
      <c r="L6097" s="13"/>
      <c r="M6097" s="13"/>
      <c r="N6097" s="13"/>
      <c r="O6097" s="13"/>
      <c r="P6097" s="13"/>
      <c r="Q6097" s="13"/>
      <c r="R6097" s="13"/>
      <c r="S6097" s="13"/>
    </row>
    <row r="6098" spans="1:19" x14ac:dyDescent="0.2">
      <c r="A6098" s="12" t="s">
        <v>584</v>
      </c>
      <c r="B6098" s="12" t="s">
        <v>569</v>
      </c>
      <c r="C6098" s="12" t="s">
        <v>566</v>
      </c>
      <c r="D6098" s="13">
        <v>2254</v>
      </c>
      <c r="E6098" s="13">
        <v>2370.467373</v>
      </c>
      <c r="F6098" s="13">
        <v>2167.7259119999999</v>
      </c>
      <c r="G6098" s="13">
        <v>2016.6038349999999</v>
      </c>
      <c r="H6098" s="13"/>
      <c r="I6098" s="13"/>
      <c r="J6098" s="13"/>
      <c r="K6098" s="13"/>
      <c r="L6098" s="13"/>
      <c r="M6098" s="13"/>
      <c r="N6098" s="13"/>
      <c r="O6098" s="13"/>
      <c r="P6098" s="13"/>
      <c r="Q6098" s="13"/>
      <c r="R6098" s="13"/>
      <c r="S6098" s="13"/>
    </row>
    <row r="6099" spans="1:19" x14ac:dyDescent="0.2">
      <c r="A6099" s="12" t="s">
        <v>584</v>
      </c>
      <c r="B6099" s="12" t="s">
        <v>570</v>
      </c>
      <c r="C6099" s="12" t="s">
        <v>554</v>
      </c>
      <c r="D6099" s="13">
        <v>3546</v>
      </c>
      <c r="E6099" s="13">
        <v>3786.3513579999999</v>
      </c>
      <c r="F6099" s="13">
        <v>3539.6054610000001</v>
      </c>
      <c r="G6099" s="13">
        <v>3409.5588050000001</v>
      </c>
      <c r="H6099" s="13"/>
      <c r="I6099" s="13"/>
      <c r="J6099" s="13"/>
      <c r="K6099" s="13"/>
      <c r="L6099" s="13"/>
      <c r="M6099" s="13"/>
      <c r="N6099" s="13"/>
      <c r="O6099" s="13"/>
      <c r="P6099" s="13"/>
      <c r="Q6099" s="13"/>
      <c r="R6099" s="13"/>
      <c r="S6099" s="13"/>
    </row>
    <row r="6100" spans="1:19" x14ac:dyDescent="0.2">
      <c r="A6100" s="12" t="s">
        <v>584</v>
      </c>
      <c r="B6100" s="12" t="s">
        <v>570</v>
      </c>
      <c r="C6100" s="12" t="s">
        <v>555</v>
      </c>
      <c r="D6100" s="13">
        <v>0</v>
      </c>
      <c r="E6100" s="13">
        <v>0</v>
      </c>
      <c r="F6100" s="13">
        <v>0</v>
      </c>
      <c r="G6100" s="13">
        <v>0</v>
      </c>
      <c r="H6100" s="13"/>
      <c r="I6100" s="13"/>
      <c r="J6100" s="13"/>
      <c r="K6100" s="13"/>
      <c r="L6100" s="13"/>
      <c r="M6100" s="13"/>
      <c r="N6100" s="13"/>
      <c r="O6100" s="13"/>
      <c r="P6100" s="13"/>
      <c r="Q6100" s="13"/>
      <c r="R6100" s="13"/>
      <c r="S6100" s="13"/>
    </row>
    <row r="6101" spans="1:19" x14ac:dyDescent="0.2">
      <c r="A6101" s="12" t="s">
        <v>584</v>
      </c>
      <c r="B6101" s="12" t="s">
        <v>570</v>
      </c>
      <c r="C6101" s="12" t="s">
        <v>556</v>
      </c>
      <c r="D6101" s="13">
        <v>0</v>
      </c>
      <c r="E6101" s="13">
        <v>0</v>
      </c>
      <c r="F6101" s="13">
        <v>0</v>
      </c>
      <c r="G6101" s="13">
        <v>0</v>
      </c>
      <c r="H6101" s="13"/>
      <c r="I6101" s="13"/>
      <c r="J6101" s="13"/>
      <c r="K6101" s="13"/>
      <c r="L6101" s="13"/>
      <c r="M6101" s="13"/>
      <c r="N6101" s="13"/>
      <c r="O6101" s="13"/>
      <c r="P6101" s="13"/>
      <c r="Q6101" s="13"/>
      <c r="R6101" s="13"/>
      <c r="S6101" s="13"/>
    </row>
    <row r="6102" spans="1:19" x14ac:dyDescent="0.2">
      <c r="A6102" s="12" t="s">
        <v>584</v>
      </c>
      <c r="B6102" s="12" t="s">
        <v>570</v>
      </c>
      <c r="C6102" s="12" t="s">
        <v>557</v>
      </c>
      <c r="D6102" s="13">
        <v>3546</v>
      </c>
      <c r="E6102" s="13">
        <v>3786.3513579999999</v>
      </c>
      <c r="F6102" s="13">
        <v>3539.6054610000001</v>
      </c>
      <c r="G6102" s="13">
        <v>3409.5588050000001</v>
      </c>
      <c r="H6102" s="13"/>
      <c r="I6102" s="13"/>
      <c r="J6102" s="13"/>
      <c r="K6102" s="13"/>
      <c r="L6102" s="13"/>
      <c r="M6102" s="13"/>
      <c r="N6102" s="13"/>
      <c r="O6102" s="13"/>
      <c r="P6102" s="13"/>
      <c r="Q6102" s="13"/>
      <c r="R6102" s="13"/>
      <c r="S6102" s="13"/>
    </row>
    <row r="6103" spans="1:19" x14ac:dyDescent="0.2">
      <c r="A6103" s="12" t="s">
        <v>584</v>
      </c>
      <c r="B6103" s="12" t="s">
        <v>570</v>
      </c>
      <c r="C6103" s="12" t="s">
        <v>558</v>
      </c>
      <c r="D6103" s="13">
        <v>-3546</v>
      </c>
      <c r="E6103" s="13">
        <v>-3786.351357</v>
      </c>
      <c r="F6103" s="13">
        <v>-3539.6054690000001</v>
      </c>
      <c r="G6103" s="13">
        <v>-3409.55881</v>
      </c>
      <c r="H6103" s="13"/>
      <c r="I6103" s="13"/>
      <c r="J6103" s="13"/>
      <c r="K6103" s="13"/>
      <c r="L6103" s="13"/>
      <c r="M6103" s="13"/>
      <c r="N6103" s="13"/>
      <c r="O6103" s="13"/>
      <c r="P6103" s="13"/>
      <c r="Q6103" s="13"/>
      <c r="R6103" s="13"/>
      <c r="S6103" s="13"/>
    </row>
    <row r="6104" spans="1:19" x14ac:dyDescent="0.2">
      <c r="A6104" s="12" t="s">
        <v>584</v>
      </c>
      <c r="B6104" s="12" t="s">
        <v>570</v>
      </c>
      <c r="C6104" s="12" t="s">
        <v>560</v>
      </c>
      <c r="D6104" s="13">
        <v>0</v>
      </c>
      <c r="E6104" s="13">
        <v>0</v>
      </c>
      <c r="F6104" s="13">
        <v>0</v>
      </c>
      <c r="G6104" s="13">
        <v>0</v>
      </c>
      <c r="H6104" s="13"/>
      <c r="I6104" s="13"/>
      <c r="J6104" s="13"/>
      <c r="K6104" s="13"/>
      <c r="L6104" s="13"/>
      <c r="M6104" s="13"/>
      <c r="N6104" s="13"/>
      <c r="O6104" s="13"/>
      <c r="P6104" s="13"/>
      <c r="Q6104" s="13"/>
      <c r="R6104" s="13"/>
      <c r="S6104" s="13"/>
    </row>
    <row r="6105" spans="1:19" x14ac:dyDescent="0.2">
      <c r="A6105" s="12" t="s">
        <v>584</v>
      </c>
      <c r="B6105" s="12" t="s">
        <v>570</v>
      </c>
      <c r="C6105" s="12" t="s">
        <v>561</v>
      </c>
      <c r="D6105" s="13">
        <v>0</v>
      </c>
      <c r="E6105" s="13">
        <v>0</v>
      </c>
      <c r="F6105" s="13">
        <v>0</v>
      </c>
      <c r="G6105" s="13">
        <v>0</v>
      </c>
      <c r="H6105" s="13"/>
      <c r="I6105" s="13"/>
      <c r="J6105" s="13"/>
      <c r="K6105" s="13"/>
      <c r="L6105" s="13"/>
      <c r="M6105" s="13"/>
      <c r="N6105" s="13"/>
      <c r="O6105" s="13"/>
      <c r="P6105" s="13"/>
      <c r="Q6105" s="13"/>
      <c r="R6105" s="13"/>
      <c r="S6105" s="13"/>
    </row>
    <row r="6106" spans="1:19" x14ac:dyDescent="0.2">
      <c r="A6106" s="12" t="s">
        <v>584</v>
      </c>
      <c r="B6106" s="12" t="s">
        <v>570</v>
      </c>
      <c r="C6106" s="12" t="s">
        <v>562</v>
      </c>
      <c r="D6106" s="13">
        <v>0</v>
      </c>
      <c r="E6106" s="13">
        <v>0</v>
      </c>
      <c r="F6106" s="13">
        <v>0</v>
      </c>
      <c r="G6106" s="13">
        <v>0</v>
      </c>
      <c r="H6106" s="13"/>
      <c r="I6106" s="13"/>
      <c r="J6106" s="13"/>
      <c r="K6106" s="13"/>
      <c r="L6106" s="13"/>
      <c r="M6106" s="13"/>
      <c r="N6106" s="13"/>
      <c r="O6106" s="13"/>
      <c r="P6106" s="13"/>
      <c r="Q6106" s="13"/>
      <c r="R6106" s="13"/>
      <c r="S6106" s="13"/>
    </row>
    <row r="6107" spans="1:19" x14ac:dyDescent="0.2">
      <c r="A6107" s="12" t="s">
        <v>584</v>
      </c>
      <c r="B6107" s="12" t="s">
        <v>570</v>
      </c>
      <c r="C6107" s="12" t="s">
        <v>563</v>
      </c>
      <c r="D6107" s="13">
        <v>0</v>
      </c>
      <c r="E6107" s="13">
        <v>0</v>
      </c>
      <c r="F6107" s="13">
        <v>0</v>
      </c>
      <c r="G6107" s="13">
        <v>0</v>
      </c>
      <c r="H6107" s="13"/>
      <c r="I6107" s="13"/>
      <c r="J6107" s="13"/>
      <c r="K6107" s="13"/>
      <c r="L6107" s="13"/>
      <c r="M6107" s="13"/>
      <c r="N6107" s="13"/>
      <c r="O6107" s="13"/>
      <c r="P6107" s="13"/>
      <c r="Q6107" s="13"/>
      <c r="R6107" s="13"/>
      <c r="S6107" s="13"/>
    </row>
    <row r="6108" spans="1:19" x14ac:dyDescent="0.2">
      <c r="A6108" s="12" t="s">
        <v>584</v>
      </c>
      <c r="B6108" s="12" t="s">
        <v>570</v>
      </c>
      <c r="C6108" s="12" t="s">
        <v>564</v>
      </c>
      <c r="D6108" s="13">
        <v>0</v>
      </c>
      <c r="E6108" s="13">
        <v>0</v>
      </c>
      <c r="F6108" s="13">
        <v>0</v>
      </c>
      <c r="G6108" s="13">
        <v>0</v>
      </c>
      <c r="H6108" s="13"/>
      <c r="I6108" s="13"/>
      <c r="J6108" s="13"/>
      <c r="K6108" s="13"/>
      <c r="L6108" s="13"/>
      <c r="M6108" s="13"/>
      <c r="N6108" s="13"/>
      <c r="O6108" s="13"/>
      <c r="P6108" s="13"/>
      <c r="Q6108" s="13"/>
      <c r="R6108" s="13"/>
      <c r="S6108" s="13"/>
    </row>
    <row r="6109" spans="1:19" x14ac:dyDescent="0.2">
      <c r="A6109" s="12" t="s">
        <v>584</v>
      </c>
      <c r="B6109" s="12" t="s">
        <v>570</v>
      </c>
      <c r="C6109" s="12" t="s">
        <v>565</v>
      </c>
      <c r="D6109" s="13">
        <v>0</v>
      </c>
      <c r="E6109" s="13">
        <v>0</v>
      </c>
      <c r="F6109" s="13">
        <v>0</v>
      </c>
      <c r="G6109" s="13">
        <v>0</v>
      </c>
      <c r="H6109" s="13"/>
      <c r="I6109" s="13"/>
      <c r="J6109" s="13"/>
      <c r="K6109" s="13"/>
      <c r="L6109" s="13"/>
      <c r="M6109" s="13"/>
      <c r="N6109" s="13"/>
      <c r="O6109" s="13"/>
      <c r="P6109" s="13"/>
      <c r="Q6109" s="13"/>
      <c r="R6109" s="13"/>
      <c r="S6109" s="13"/>
    </row>
    <row r="6110" spans="1:19" x14ac:dyDescent="0.2">
      <c r="A6110" s="12" t="s">
        <v>584</v>
      </c>
      <c r="B6110" s="12" t="s">
        <v>570</v>
      </c>
      <c r="C6110" s="12" t="s">
        <v>566</v>
      </c>
      <c r="D6110" s="13">
        <v>0</v>
      </c>
      <c r="E6110" s="13">
        <v>0</v>
      </c>
      <c r="F6110" s="13">
        <v>0</v>
      </c>
      <c r="G6110" s="13">
        <v>0</v>
      </c>
      <c r="H6110" s="13"/>
      <c r="I6110" s="13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</row>
    <row r="6111" spans="1:19" x14ac:dyDescent="0.2">
      <c r="A6111" s="12" t="s">
        <v>584</v>
      </c>
      <c r="B6111" s="12" t="s">
        <v>571</v>
      </c>
      <c r="C6111" s="12" t="s">
        <v>554</v>
      </c>
      <c r="D6111" s="13">
        <v>2534</v>
      </c>
      <c r="E6111" s="13">
        <v>2693.8156749999998</v>
      </c>
      <c r="F6111" s="13">
        <v>2512.576407</v>
      </c>
      <c r="G6111" s="13">
        <v>2580.5741889999999</v>
      </c>
      <c r="H6111" s="13"/>
      <c r="I6111" s="13"/>
      <c r="J6111" s="13"/>
      <c r="K6111" s="13"/>
      <c r="L6111" s="13"/>
      <c r="M6111" s="13"/>
      <c r="N6111" s="13"/>
      <c r="O6111" s="13"/>
      <c r="P6111" s="13"/>
      <c r="Q6111" s="13"/>
      <c r="R6111" s="13"/>
      <c r="S6111" s="13"/>
    </row>
    <row r="6112" spans="1:19" x14ac:dyDescent="0.2">
      <c r="A6112" s="12" t="s">
        <v>584</v>
      </c>
      <c r="B6112" s="12" t="s">
        <v>571</v>
      </c>
      <c r="C6112" s="12" t="s">
        <v>555</v>
      </c>
      <c r="D6112" s="13">
        <v>41</v>
      </c>
      <c r="E6112" s="13">
        <v>44.551136</v>
      </c>
      <c r="F6112" s="13">
        <v>43.930124999999997</v>
      </c>
      <c r="G6112" s="13">
        <v>40.206866000000012</v>
      </c>
      <c r="H6112" s="13"/>
      <c r="I6112" s="13"/>
      <c r="J6112" s="13"/>
      <c r="K6112" s="13"/>
      <c r="L6112" s="13"/>
      <c r="M6112" s="13"/>
      <c r="N6112" s="13"/>
      <c r="O6112" s="13"/>
      <c r="P6112" s="13"/>
      <c r="Q6112" s="13"/>
      <c r="R6112" s="13"/>
      <c r="S6112" s="13"/>
    </row>
    <row r="6113" spans="1:19" x14ac:dyDescent="0.2">
      <c r="A6113" s="12" t="s">
        <v>584</v>
      </c>
      <c r="B6113" s="12" t="s">
        <v>571</v>
      </c>
      <c r="C6113" s="12" t="s">
        <v>556</v>
      </c>
      <c r="D6113" s="13">
        <v>-60</v>
      </c>
      <c r="E6113" s="13">
        <v>-73.480714000000006</v>
      </c>
      <c r="F6113" s="13">
        <v>-64.800322000000008</v>
      </c>
      <c r="G6113" s="13">
        <v>-58.975792000000013</v>
      </c>
      <c r="H6113" s="13"/>
      <c r="I6113" s="13"/>
      <c r="J6113" s="13"/>
      <c r="K6113" s="13"/>
      <c r="L6113" s="13"/>
      <c r="M6113" s="13"/>
      <c r="N6113" s="13"/>
      <c r="O6113" s="13"/>
      <c r="P6113" s="13"/>
      <c r="Q6113" s="13"/>
      <c r="R6113" s="13"/>
      <c r="S6113" s="13"/>
    </row>
    <row r="6114" spans="1:19" x14ac:dyDescent="0.2">
      <c r="A6114" s="12" t="s">
        <v>584</v>
      </c>
      <c r="B6114" s="12" t="s">
        <v>571</v>
      </c>
      <c r="C6114" s="12" t="s">
        <v>557</v>
      </c>
      <c r="D6114" s="13">
        <v>2523</v>
      </c>
      <c r="E6114" s="13">
        <v>2670.727214</v>
      </c>
      <c r="F6114" s="13">
        <v>2493.644229</v>
      </c>
      <c r="G6114" s="13">
        <v>2561.2669329999999</v>
      </c>
      <c r="H6114" s="13"/>
      <c r="I6114" s="13"/>
      <c r="J6114" s="13"/>
      <c r="K6114" s="13"/>
      <c r="L6114" s="13"/>
      <c r="M6114" s="13"/>
      <c r="N6114" s="13"/>
      <c r="O6114" s="13"/>
      <c r="P6114" s="13"/>
      <c r="Q6114" s="13"/>
      <c r="R6114" s="13"/>
      <c r="S6114" s="13"/>
    </row>
    <row r="6115" spans="1:19" x14ac:dyDescent="0.2">
      <c r="A6115" s="12" t="s">
        <v>584</v>
      </c>
      <c r="B6115" s="12" t="s">
        <v>571</v>
      </c>
      <c r="C6115" s="12" t="s">
        <v>558</v>
      </c>
      <c r="D6115" s="13">
        <v>-1658</v>
      </c>
      <c r="E6115" s="13">
        <v>-1777.4860619999999</v>
      </c>
      <c r="F6115" s="13">
        <v>-1641.672405</v>
      </c>
      <c r="G6115" s="13">
        <v>-1725.609739</v>
      </c>
      <c r="H6115" s="13"/>
      <c r="I6115" s="13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</row>
    <row r="6116" spans="1:19" x14ac:dyDescent="0.2">
      <c r="A6116" s="12" t="s">
        <v>584</v>
      </c>
      <c r="B6116" s="12" t="s">
        <v>571</v>
      </c>
      <c r="C6116" s="12" t="s">
        <v>560</v>
      </c>
      <c r="D6116" s="13">
        <v>0</v>
      </c>
      <c r="E6116" s="13">
        <v>0</v>
      </c>
      <c r="F6116" s="13">
        <v>0</v>
      </c>
      <c r="G6116" s="13">
        <v>0</v>
      </c>
      <c r="H6116" s="13"/>
      <c r="I6116" s="13"/>
      <c r="J6116" s="13"/>
      <c r="K6116" s="13"/>
      <c r="L6116" s="13"/>
      <c r="M6116" s="13"/>
      <c r="N6116" s="13"/>
      <c r="O6116" s="13"/>
      <c r="P6116" s="13"/>
      <c r="Q6116" s="13"/>
      <c r="R6116" s="13"/>
      <c r="S6116" s="13"/>
    </row>
    <row r="6117" spans="1:19" x14ac:dyDescent="0.2">
      <c r="A6117" s="12" t="s">
        <v>584</v>
      </c>
      <c r="B6117" s="12" t="s">
        <v>571</v>
      </c>
      <c r="C6117" s="12" t="s">
        <v>561</v>
      </c>
      <c r="D6117" s="13">
        <v>844</v>
      </c>
      <c r="E6117" s="13">
        <v>873.28676300000006</v>
      </c>
      <c r="F6117" s="13">
        <v>838.67827299999999</v>
      </c>
      <c r="G6117" s="13">
        <v>821.76586900000007</v>
      </c>
      <c r="H6117" s="13"/>
      <c r="I6117" s="13"/>
      <c r="J6117" s="13"/>
      <c r="K6117" s="13"/>
      <c r="L6117" s="13"/>
      <c r="M6117" s="13"/>
      <c r="N6117" s="13"/>
      <c r="O6117" s="13"/>
      <c r="P6117" s="13"/>
      <c r="Q6117" s="13"/>
      <c r="R6117" s="13"/>
      <c r="S6117" s="13"/>
    </row>
    <row r="6118" spans="1:19" x14ac:dyDescent="0.2">
      <c r="A6118" s="12" t="s">
        <v>584</v>
      </c>
      <c r="B6118" s="12" t="s">
        <v>571</v>
      </c>
      <c r="C6118" s="12" t="s">
        <v>562</v>
      </c>
      <c r="D6118" s="13">
        <v>186</v>
      </c>
      <c r="E6118" s="13">
        <v>196.557109</v>
      </c>
      <c r="F6118" s="13">
        <v>196.185866</v>
      </c>
      <c r="G6118" s="13">
        <v>201.39131699999999</v>
      </c>
      <c r="H6118" s="13"/>
      <c r="I6118" s="13"/>
      <c r="J6118" s="13"/>
      <c r="K6118" s="13"/>
      <c r="L6118" s="13"/>
      <c r="M6118" s="13"/>
      <c r="N6118" s="13"/>
      <c r="O6118" s="13"/>
      <c r="P6118" s="13"/>
      <c r="Q6118" s="13"/>
      <c r="R6118" s="13"/>
      <c r="S6118" s="13"/>
    </row>
    <row r="6119" spans="1:19" x14ac:dyDescent="0.2">
      <c r="A6119" s="12" t="s">
        <v>584</v>
      </c>
      <c r="B6119" s="12" t="s">
        <v>571</v>
      </c>
      <c r="C6119" s="12" t="s">
        <v>563</v>
      </c>
      <c r="D6119" s="13">
        <v>38</v>
      </c>
      <c r="E6119" s="13">
        <v>39.670608000000001</v>
      </c>
      <c r="F6119" s="13">
        <v>39.204667999999998</v>
      </c>
      <c r="G6119" s="13">
        <v>37.053423000000002</v>
      </c>
      <c r="H6119" s="13"/>
      <c r="I6119" s="13"/>
      <c r="J6119" s="13"/>
      <c r="K6119" s="13"/>
      <c r="L6119" s="13"/>
      <c r="M6119" s="13"/>
      <c r="N6119" s="13"/>
      <c r="O6119" s="13"/>
      <c r="P6119" s="13"/>
      <c r="Q6119" s="13"/>
      <c r="R6119" s="13"/>
      <c r="S6119" s="13"/>
    </row>
    <row r="6120" spans="1:19" x14ac:dyDescent="0.2">
      <c r="A6120" s="12" t="s">
        <v>584</v>
      </c>
      <c r="B6120" s="12" t="s">
        <v>571</v>
      </c>
      <c r="C6120" s="12" t="s">
        <v>564</v>
      </c>
      <c r="D6120" s="13">
        <v>534</v>
      </c>
      <c r="E6120" s="13">
        <v>549.34495300000003</v>
      </c>
      <c r="F6120" s="13">
        <v>520.47926199999995</v>
      </c>
      <c r="G6120" s="13">
        <v>504.88601499999999</v>
      </c>
      <c r="H6120" s="13"/>
      <c r="I6120" s="13"/>
      <c r="J6120" s="13"/>
      <c r="K6120" s="13"/>
      <c r="L6120" s="13"/>
      <c r="M6120" s="13"/>
      <c r="N6120" s="13"/>
      <c r="O6120" s="13"/>
      <c r="P6120" s="13"/>
      <c r="Q6120" s="13"/>
      <c r="R6120" s="13"/>
      <c r="S6120" s="13"/>
    </row>
    <row r="6121" spans="1:19" x14ac:dyDescent="0.2">
      <c r="A6121" s="12" t="s">
        <v>584</v>
      </c>
      <c r="B6121" s="12" t="s">
        <v>571</v>
      </c>
      <c r="C6121" s="12" t="s">
        <v>565</v>
      </c>
      <c r="D6121" s="13">
        <v>77</v>
      </c>
      <c r="E6121" s="13">
        <v>78.646563</v>
      </c>
      <c r="F6121" s="13">
        <v>73.703652000000005</v>
      </c>
      <c r="G6121" s="13">
        <v>69.362929000000008</v>
      </c>
      <c r="H6121" s="13"/>
      <c r="I6121" s="13"/>
      <c r="J6121" s="13"/>
      <c r="K6121" s="13"/>
      <c r="L6121" s="13"/>
      <c r="M6121" s="13"/>
      <c r="N6121" s="13"/>
      <c r="O6121" s="13"/>
      <c r="P6121" s="13"/>
      <c r="Q6121" s="13"/>
      <c r="R6121" s="13"/>
      <c r="S6121" s="13"/>
    </row>
    <row r="6122" spans="1:19" x14ac:dyDescent="0.2">
      <c r="A6122" s="12" t="s">
        <v>584</v>
      </c>
      <c r="B6122" s="12" t="s">
        <v>571</v>
      </c>
      <c r="C6122" s="12" t="s">
        <v>566</v>
      </c>
      <c r="D6122" s="13">
        <v>9</v>
      </c>
      <c r="E6122" s="13">
        <v>9.0675289999999986</v>
      </c>
      <c r="F6122" s="13">
        <v>9.1048159999999996</v>
      </c>
      <c r="G6122" s="13">
        <v>9.0721849999999993</v>
      </c>
      <c r="H6122" s="13"/>
      <c r="I6122" s="13"/>
      <c r="J6122" s="13"/>
      <c r="K6122" s="13"/>
      <c r="L6122" s="13"/>
      <c r="M6122" s="13"/>
      <c r="N6122" s="13"/>
      <c r="O6122" s="13"/>
      <c r="P6122" s="13"/>
      <c r="Q6122" s="13"/>
      <c r="R6122" s="13"/>
      <c r="S6122" s="13"/>
    </row>
    <row r="6123" spans="1:19" x14ac:dyDescent="0.2">
      <c r="A6123" s="12" t="s">
        <v>584</v>
      </c>
      <c r="B6123" s="12" t="s">
        <v>572</v>
      </c>
      <c r="C6123" s="12" t="s">
        <v>554</v>
      </c>
      <c r="D6123" s="13">
        <v>0</v>
      </c>
      <c r="E6123" s="13">
        <v>0</v>
      </c>
      <c r="F6123" s="13">
        <v>0</v>
      </c>
      <c r="G6123" s="13">
        <v>0</v>
      </c>
      <c r="H6123" s="13"/>
      <c r="I6123" s="13"/>
      <c r="J6123" s="13"/>
      <c r="K6123" s="13"/>
      <c r="L6123" s="13"/>
      <c r="M6123" s="13"/>
      <c r="N6123" s="13"/>
      <c r="O6123" s="13"/>
      <c r="P6123" s="13"/>
      <c r="Q6123" s="13"/>
      <c r="R6123" s="13"/>
      <c r="S6123" s="13"/>
    </row>
    <row r="6124" spans="1:19" x14ac:dyDescent="0.2">
      <c r="A6124" s="12" t="s">
        <v>584</v>
      </c>
      <c r="B6124" s="12" t="s">
        <v>572</v>
      </c>
      <c r="C6124" s="12" t="s">
        <v>555</v>
      </c>
      <c r="D6124" s="13">
        <v>239</v>
      </c>
      <c r="E6124" s="13">
        <v>263.60908799999999</v>
      </c>
      <c r="F6124" s="13">
        <v>283.654088</v>
      </c>
      <c r="G6124" s="13">
        <v>278.04519099999999</v>
      </c>
      <c r="H6124" s="13"/>
      <c r="I6124" s="13"/>
      <c r="J6124" s="13"/>
      <c r="K6124" s="13"/>
      <c r="L6124" s="13"/>
      <c r="M6124" s="13"/>
      <c r="N6124" s="13"/>
      <c r="O6124" s="13"/>
      <c r="P6124" s="13"/>
      <c r="Q6124" s="13"/>
      <c r="R6124" s="13"/>
      <c r="S6124" s="13"/>
    </row>
    <row r="6125" spans="1:19" x14ac:dyDescent="0.2">
      <c r="A6125" s="12" t="s">
        <v>584</v>
      </c>
      <c r="B6125" s="12" t="s">
        <v>572</v>
      </c>
      <c r="C6125" s="12" t="s">
        <v>556</v>
      </c>
      <c r="D6125" s="13">
        <v>-289</v>
      </c>
      <c r="E6125" s="13">
        <v>-380.84014100000002</v>
      </c>
      <c r="F6125" s="13">
        <v>-393.00040899999999</v>
      </c>
      <c r="G6125" s="13">
        <v>-406.64886999999999</v>
      </c>
      <c r="H6125" s="13"/>
      <c r="I6125" s="13"/>
      <c r="J6125" s="13"/>
      <c r="K6125" s="13"/>
      <c r="L6125" s="13"/>
      <c r="M6125" s="13"/>
      <c r="N6125" s="13"/>
      <c r="O6125" s="13"/>
      <c r="P6125" s="13"/>
      <c r="Q6125" s="13"/>
      <c r="R6125" s="13"/>
      <c r="S6125" s="13"/>
    </row>
    <row r="6126" spans="1:19" x14ac:dyDescent="0.2">
      <c r="A6126" s="12" t="s">
        <v>584</v>
      </c>
      <c r="B6126" s="12" t="s">
        <v>572</v>
      </c>
      <c r="C6126" s="12" t="s">
        <v>557</v>
      </c>
      <c r="D6126" s="13">
        <v>-51</v>
      </c>
      <c r="E6126" s="13">
        <v>-117.231036</v>
      </c>
      <c r="F6126" s="13">
        <v>-109.34632499999999</v>
      </c>
      <c r="G6126" s="13">
        <v>-128.603666</v>
      </c>
      <c r="H6126" s="13"/>
      <c r="I6126" s="13"/>
      <c r="J6126" s="13"/>
      <c r="K6126" s="13"/>
      <c r="L6126" s="13"/>
      <c r="M6126" s="13"/>
      <c r="N6126" s="13"/>
      <c r="O6126" s="13"/>
      <c r="P6126" s="13"/>
      <c r="Q6126" s="13"/>
      <c r="R6126" s="13"/>
      <c r="S6126" s="13"/>
    </row>
    <row r="6127" spans="1:19" x14ac:dyDescent="0.2">
      <c r="A6127" s="12" t="s">
        <v>584</v>
      </c>
      <c r="B6127" s="12" t="s">
        <v>572</v>
      </c>
      <c r="C6127" s="12" t="s">
        <v>558</v>
      </c>
      <c r="D6127" s="13">
        <v>6319</v>
      </c>
      <c r="E6127" s="13">
        <v>6735.4593719999993</v>
      </c>
      <c r="F6127" s="13">
        <v>6535.0946490000006</v>
      </c>
      <c r="G6127" s="13">
        <v>6571.7366890000003</v>
      </c>
      <c r="H6127" s="13"/>
      <c r="I6127" s="13"/>
      <c r="J6127" s="13"/>
      <c r="K6127" s="13"/>
      <c r="L6127" s="13"/>
      <c r="M6127" s="13"/>
      <c r="N6127" s="13"/>
      <c r="O6127" s="13"/>
      <c r="P6127" s="13"/>
      <c r="Q6127" s="13"/>
      <c r="R6127" s="13"/>
      <c r="S6127" s="13"/>
    </row>
    <row r="6128" spans="1:19" x14ac:dyDescent="0.2">
      <c r="A6128" s="12" t="s">
        <v>584</v>
      </c>
      <c r="B6128" s="12" t="s">
        <v>572</v>
      </c>
      <c r="C6128" s="12" t="s">
        <v>560</v>
      </c>
      <c r="D6128" s="13">
        <v>0</v>
      </c>
      <c r="E6128" s="13">
        <v>0</v>
      </c>
      <c r="F6128" s="13">
        <v>0</v>
      </c>
      <c r="G6128" s="13">
        <v>0</v>
      </c>
      <c r="H6128" s="13"/>
      <c r="I6128" s="13"/>
      <c r="J6128" s="13"/>
      <c r="K6128" s="13"/>
      <c r="L6128" s="13"/>
      <c r="M6128" s="13"/>
      <c r="N6128" s="13"/>
      <c r="O6128" s="13"/>
      <c r="P6128" s="13"/>
      <c r="Q6128" s="13"/>
      <c r="R6128" s="13"/>
      <c r="S6128" s="13"/>
    </row>
    <row r="6129" spans="1:19" x14ac:dyDescent="0.2">
      <c r="A6129" s="12" t="s">
        <v>584</v>
      </c>
      <c r="B6129" s="12" t="s">
        <v>572</v>
      </c>
      <c r="C6129" s="12" t="s">
        <v>561</v>
      </c>
      <c r="D6129" s="13">
        <v>4499</v>
      </c>
      <c r="E6129" s="13">
        <v>4845.0503370000006</v>
      </c>
      <c r="F6129" s="13">
        <v>4745.022782</v>
      </c>
      <c r="G6129" s="13">
        <v>4792.9226129999997</v>
      </c>
      <c r="H6129" s="13"/>
      <c r="I6129" s="13"/>
      <c r="J6129" s="13"/>
      <c r="K6129" s="13"/>
      <c r="L6129" s="13"/>
      <c r="M6129" s="13"/>
      <c r="N6129" s="13"/>
      <c r="O6129" s="13"/>
      <c r="P6129" s="13"/>
      <c r="Q6129" s="13"/>
      <c r="R6129" s="13"/>
      <c r="S6129" s="13"/>
    </row>
    <row r="6130" spans="1:19" x14ac:dyDescent="0.2">
      <c r="A6130" s="12" t="s">
        <v>584</v>
      </c>
      <c r="B6130" s="12" t="s">
        <v>572</v>
      </c>
      <c r="C6130" s="12" t="s">
        <v>562</v>
      </c>
      <c r="D6130" s="13">
        <v>1892</v>
      </c>
      <c r="E6130" s="13">
        <v>2028.173914</v>
      </c>
      <c r="F6130" s="13">
        <v>1947.776431</v>
      </c>
      <c r="G6130" s="13">
        <v>1971.3629860000001</v>
      </c>
      <c r="H6130" s="13"/>
      <c r="I6130" s="13"/>
      <c r="J6130" s="13"/>
      <c r="K6130" s="13"/>
      <c r="L6130" s="13"/>
      <c r="M6130" s="13"/>
      <c r="N6130" s="13"/>
      <c r="O6130" s="13"/>
      <c r="P6130" s="13"/>
      <c r="Q6130" s="13"/>
      <c r="R6130" s="13"/>
      <c r="S6130" s="13"/>
    </row>
    <row r="6131" spans="1:19" x14ac:dyDescent="0.2">
      <c r="A6131" s="12" t="s">
        <v>584</v>
      </c>
      <c r="B6131" s="12" t="s">
        <v>572</v>
      </c>
      <c r="C6131" s="12" t="s">
        <v>563</v>
      </c>
      <c r="D6131" s="13">
        <v>330</v>
      </c>
      <c r="E6131" s="13">
        <v>352.59675499999997</v>
      </c>
      <c r="F6131" s="13">
        <v>355.71924100000001</v>
      </c>
      <c r="G6131" s="13">
        <v>361.90171700000002</v>
      </c>
      <c r="H6131" s="13"/>
      <c r="I6131" s="13"/>
      <c r="J6131" s="13"/>
      <c r="K6131" s="13"/>
      <c r="L6131" s="13"/>
      <c r="M6131" s="13"/>
      <c r="N6131" s="13"/>
      <c r="O6131" s="13"/>
      <c r="P6131" s="13"/>
      <c r="Q6131" s="13"/>
      <c r="R6131" s="13"/>
      <c r="S6131" s="13"/>
    </row>
    <row r="6132" spans="1:19" x14ac:dyDescent="0.2">
      <c r="A6132" s="12" t="s">
        <v>584</v>
      </c>
      <c r="B6132" s="12" t="s">
        <v>572</v>
      </c>
      <c r="C6132" s="12" t="s">
        <v>564</v>
      </c>
      <c r="D6132" s="13">
        <v>1197</v>
      </c>
      <c r="E6132" s="13">
        <v>1256.6808149999999</v>
      </c>
      <c r="F6132" s="13">
        <v>1255.5288250000001</v>
      </c>
      <c r="G6132" s="13">
        <v>1268.356904</v>
      </c>
      <c r="H6132" s="13"/>
      <c r="I6132" s="13"/>
      <c r="J6132" s="13"/>
      <c r="K6132" s="13"/>
      <c r="L6132" s="13"/>
      <c r="M6132" s="13"/>
      <c r="N6132" s="13"/>
      <c r="O6132" s="13"/>
      <c r="P6132" s="13"/>
      <c r="Q6132" s="13"/>
      <c r="R6132" s="13"/>
      <c r="S6132" s="13"/>
    </row>
    <row r="6133" spans="1:19" x14ac:dyDescent="0.2">
      <c r="A6133" s="12" t="s">
        <v>584</v>
      </c>
      <c r="B6133" s="12" t="s">
        <v>572</v>
      </c>
      <c r="C6133" s="12" t="s">
        <v>565</v>
      </c>
      <c r="D6133" s="13">
        <v>887</v>
      </c>
      <c r="E6133" s="13">
        <v>1000.229137</v>
      </c>
      <c r="F6133" s="13">
        <v>980.71054299999992</v>
      </c>
      <c r="G6133" s="13">
        <v>988.20090800000003</v>
      </c>
      <c r="H6133" s="13"/>
      <c r="I6133" s="13"/>
      <c r="J6133" s="13"/>
      <c r="K6133" s="13"/>
      <c r="L6133" s="13"/>
      <c r="M6133" s="13"/>
      <c r="N6133" s="13"/>
      <c r="O6133" s="13"/>
      <c r="P6133" s="13"/>
      <c r="Q6133" s="13"/>
      <c r="R6133" s="13"/>
      <c r="S6133" s="13"/>
    </row>
    <row r="6134" spans="1:19" x14ac:dyDescent="0.2">
      <c r="A6134" s="12" t="s">
        <v>584</v>
      </c>
      <c r="B6134" s="12" t="s">
        <v>572</v>
      </c>
      <c r="C6134" s="12" t="s">
        <v>566</v>
      </c>
      <c r="D6134" s="13">
        <v>193</v>
      </c>
      <c r="E6134" s="13">
        <v>207.36973800000001</v>
      </c>
      <c r="F6134" s="13">
        <v>205.287756</v>
      </c>
      <c r="G6134" s="13">
        <v>203.10008500000001</v>
      </c>
      <c r="H6134" s="13"/>
      <c r="I6134" s="13"/>
      <c r="J6134" s="13"/>
      <c r="K6134" s="13"/>
      <c r="L6134" s="13"/>
      <c r="M6134" s="13"/>
      <c r="N6134" s="13"/>
      <c r="O6134" s="13"/>
      <c r="P6134" s="13"/>
      <c r="Q6134" s="13"/>
      <c r="R6134" s="13"/>
      <c r="S6134" s="13"/>
    </row>
    <row r="6135" spans="1:19" x14ac:dyDescent="0.2">
      <c r="A6135" s="12" t="s">
        <v>584</v>
      </c>
      <c r="B6135" s="12" t="s">
        <v>573</v>
      </c>
      <c r="C6135" s="12" t="s">
        <v>554</v>
      </c>
      <c r="D6135" s="13">
        <v>5</v>
      </c>
      <c r="E6135" s="13">
        <v>4.641235</v>
      </c>
      <c r="F6135" s="13">
        <v>3.456061</v>
      </c>
      <c r="G6135" s="13">
        <v>3.5308000000000002</v>
      </c>
      <c r="H6135" s="13"/>
      <c r="I6135" s="13"/>
      <c r="J6135" s="13"/>
      <c r="K6135" s="13"/>
      <c r="L6135" s="13"/>
      <c r="M6135" s="13"/>
      <c r="N6135" s="13"/>
      <c r="O6135" s="13"/>
      <c r="P6135" s="13"/>
      <c r="Q6135" s="13"/>
      <c r="R6135" s="13"/>
      <c r="S6135" s="13"/>
    </row>
    <row r="6136" spans="1:19" x14ac:dyDescent="0.2">
      <c r="A6136" s="12" t="s">
        <v>584</v>
      </c>
      <c r="B6136" s="12" t="s">
        <v>573</v>
      </c>
      <c r="C6136" s="12" t="s">
        <v>555</v>
      </c>
      <c r="D6136" s="13">
        <v>0</v>
      </c>
      <c r="E6136" s="13">
        <v>0</v>
      </c>
      <c r="F6136" s="13">
        <v>0</v>
      </c>
      <c r="G6136" s="13">
        <v>0</v>
      </c>
      <c r="H6136" s="13"/>
      <c r="I6136" s="13"/>
      <c r="J6136" s="13"/>
      <c r="K6136" s="13"/>
      <c r="L6136" s="13"/>
      <c r="M6136" s="13"/>
      <c r="N6136" s="13"/>
      <c r="O6136" s="13"/>
      <c r="P6136" s="13"/>
      <c r="Q6136" s="13"/>
      <c r="R6136" s="13"/>
      <c r="S6136" s="13"/>
    </row>
    <row r="6137" spans="1:19" x14ac:dyDescent="0.2">
      <c r="A6137" s="12" t="s">
        <v>584</v>
      </c>
      <c r="B6137" s="12" t="s">
        <v>573</v>
      </c>
      <c r="C6137" s="12" t="s">
        <v>556</v>
      </c>
      <c r="D6137" s="13">
        <v>0</v>
      </c>
      <c r="E6137" s="13">
        <v>0</v>
      </c>
      <c r="F6137" s="13">
        <v>0</v>
      </c>
      <c r="G6137" s="13">
        <v>0</v>
      </c>
      <c r="H6137" s="13"/>
      <c r="I6137" s="13"/>
      <c r="J6137" s="13"/>
      <c r="K6137" s="13"/>
      <c r="L6137" s="13"/>
      <c r="M6137" s="13"/>
      <c r="N6137" s="13"/>
      <c r="O6137" s="13"/>
      <c r="P6137" s="13"/>
      <c r="Q6137" s="13"/>
      <c r="R6137" s="13"/>
      <c r="S6137" s="13"/>
    </row>
    <row r="6138" spans="1:19" x14ac:dyDescent="0.2">
      <c r="A6138" s="12" t="s">
        <v>584</v>
      </c>
      <c r="B6138" s="12" t="s">
        <v>573</v>
      </c>
      <c r="C6138" s="12" t="s">
        <v>557</v>
      </c>
      <c r="D6138" s="13">
        <v>5</v>
      </c>
      <c r="E6138" s="13">
        <v>4.641235</v>
      </c>
      <c r="F6138" s="13">
        <v>3.456061</v>
      </c>
      <c r="G6138" s="13">
        <v>3.5308000000000002</v>
      </c>
      <c r="H6138" s="13"/>
      <c r="I6138" s="13"/>
      <c r="J6138" s="13"/>
      <c r="K6138" s="13"/>
      <c r="L6138" s="13"/>
      <c r="M6138" s="13"/>
      <c r="N6138" s="13"/>
      <c r="O6138" s="13"/>
      <c r="P6138" s="13"/>
      <c r="Q6138" s="13"/>
      <c r="R6138" s="13"/>
      <c r="S6138" s="13"/>
    </row>
    <row r="6139" spans="1:19" x14ac:dyDescent="0.2">
      <c r="A6139" s="12" t="s">
        <v>584</v>
      </c>
      <c r="B6139" s="12" t="s">
        <v>573</v>
      </c>
      <c r="C6139" s="12" t="s">
        <v>558</v>
      </c>
      <c r="D6139" s="13">
        <v>6440</v>
      </c>
      <c r="E6139" s="13">
        <v>6981.2093049999994</v>
      </c>
      <c r="F6139" s="13">
        <v>6707.3395590000009</v>
      </c>
      <c r="G6139" s="13">
        <v>6796.0566290000006</v>
      </c>
      <c r="H6139" s="13"/>
      <c r="I6139" s="13"/>
      <c r="J6139" s="13"/>
      <c r="K6139" s="13"/>
      <c r="L6139" s="13"/>
      <c r="M6139" s="13"/>
      <c r="N6139" s="13"/>
      <c r="O6139" s="13"/>
      <c r="P6139" s="13"/>
      <c r="Q6139" s="13"/>
      <c r="R6139" s="13"/>
      <c r="S6139" s="13"/>
    </row>
    <row r="6140" spans="1:19" x14ac:dyDescent="0.2">
      <c r="A6140" s="12" t="s">
        <v>584</v>
      </c>
      <c r="B6140" s="12" t="s">
        <v>573</v>
      </c>
      <c r="C6140" s="12" t="s">
        <v>560</v>
      </c>
      <c r="D6140" s="13">
        <v>0</v>
      </c>
      <c r="E6140" s="13">
        <v>0</v>
      </c>
      <c r="F6140" s="13">
        <v>0</v>
      </c>
      <c r="G6140" s="13">
        <v>0</v>
      </c>
      <c r="H6140" s="13"/>
      <c r="I6140" s="13"/>
      <c r="J6140" s="13"/>
      <c r="K6140" s="13"/>
      <c r="L6140" s="13"/>
      <c r="M6140" s="13"/>
      <c r="N6140" s="13"/>
      <c r="O6140" s="13"/>
      <c r="P6140" s="13"/>
      <c r="Q6140" s="13"/>
      <c r="R6140" s="13"/>
      <c r="S6140" s="13"/>
    </row>
    <row r="6141" spans="1:19" x14ac:dyDescent="0.2">
      <c r="A6141" s="12" t="s">
        <v>584</v>
      </c>
      <c r="B6141" s="12" t="s">
        <v>573</v>
      </c>
      <c r="C6141" s="12" t="s">
        <v>561</v>
      </c>
      <c r="D6141" s="13">
        <v>5295</v>
      </c>
      <c r="E6141" s="13">
        <v>5642.8284430000003</v>
      </c>
      <c r="F6141" s="13">
        <v>5409.3451599999999</v>
      </c>
      <c r="G6141" s="13">
        <v>5517.6313830000008</v>
      </c>
      <c r="H6141" s="13"/>
      <c r="I6141" s="13"/>
      <c r="J6141" s="13"/>
      <c r="K6141" s="13"/>
      <c r="L6141" s="13"/>
      <c r="M6141" s="13"/>
      <c r="N6141" s="13"/>
      <c r="O6141" s="13"/>
      <c r="P6141" s="13"/>
      <c r="Q6141" s="13"/>
      <c r="R6141" s="13"/>
      <c r="S6141" s="13"/>
    </row>
    <row r="6142" spans="1:19" x14ac:dyDescent="0.2">
      <c r="A6142" s="12" t="s">
        <v>584</v>
      </c>
      <c r="B6142" s="12" t="s">
        <v>573</v>
      </c>
      <c r="C6142" s="12" t="s">
        <v>562</v>
      </c>
      <c r="D6142" s="13">
        <v>1866</v>
      </c>
      <c r="E6142" s="13">
        <v>1927.0036270000001</v>
      </c>
      <c r="F6142" s="13">
        <v>1913.685491</v>
      </c>
      <c r="G6142" s="13">
        <v>1952.941552</v>
      </c>
      <c r="H6142" s="13"/>
      <c r="I6142" s="13"/>
      <c r="J6142" s="13"/>
      <c r="K6142" s="13"/>
      <c r="L6142" s="13"/>
      <c r="M6142" s="13"/>
      <c r="N6142" s="13"/>
      <c r="O6142" s="13"/>
      <c r="P6142" s="13"/>
      <c r="Q6142" s="13"/>
      <c r="R6142" s="13"/>
      <c r="S6142" s="13"/>
    </row>
    <row r="6143" spans="1:19" x14ac:dyDescent="0.2">
      <c r="A6143" s="12" t="s">
        <v>584</v>
      </c>
      <c r="B6143" s="12" t="s">
        <v>573</v>
      </c>
      <c r="C6143" s="12" t="s">
        <v>563</v>
      </c>
      <c r="D6143" s="13">
        <v>0</v>
      </c>
      <c r="E6143" s="13">
        <v>0</v>
      </c>
      <c r="F6143" s="13">
        <v>0</v>
      </c>
      <c r="G6143" s="13">
        <v>0</v>
      </c>
      <c r="H6143" s="13"/>
      <c r="I6143" s="13"/>
      <c r="J6143" s="13"/>
      <c r="K6143" s="13"/>
      <c r="L6143" s="13"/>
      <c r="M6143" s="13"/>
      <c r="N6143" s="13"/>
      <c r="O6143" s="13"/>
      <c r="P6143" s="13"/>
      <c r="Q6143" s="13"/>
      <c r="R6143" s="13"/>
      <c r="S6143" s="13"/>
    </row>
    <row r="6144" spans="1:19" x14ac:dyDescent="0.2">
      <c r="A6144" s="12" t="s">
        <v>584</v>
      </c>
      <c r="B6144" s="12" t="s">
        <v>573</v>
      </c>
      <c r="C6144" s="12" t="s">
        <v>564</v>
      </c>
      <c r="D6144" s="13">
        <v>2305</v>
      </c>
      <c r="E6144" s="13">
        <v>2465.4145720000001</v>
      </c>
      <c r="F6144" s="13">
        <v>2397.1794540000001</v>
      </c>
      <c r="G6144" s="13">
        <v>2463.6466540000001</v>
      </c>
      <c r="H6144" s="13"/>
      <c r="I6144" s="13"/>
      <c r="J6144" s="13"/>
      <c r="K6144" s="13"/>
      <c r="L6144" s="13"/>
      <c r="M6144" s="13"/>
      <c r="N6144" s="13"/>
      <c r="O6144" s="13"/>
      <c r="P6144" s="13"/>
      <c r="Q6144" s="13"/>
      <c r="R6144" s="13"/>
      <c r="S6144" s="13"/>
    </row>
    <row r="6145" spans="1:19" x14ac:dyDescent="0.2">
      <c r="A6145" s="12" t="s">
        <v>584</v>
      </c>
      <c r="B6145" s="12" t="s">
        <v>573</v>
      </c>
      <c r="C6145" s="12" t="s">
        <v>565</v>
      </c>
      <c r="D6145" s="13">
        <v>905</v>
      </c>
      <c r="E6145" s="13">
        <v>1088.9747139999999</v>
      </c>
      <c r="F6145" s="13">
        <v>939.44178699999998</v>
      </c>
      <c r="G6145" s="13">
        <v>944.27837399999999</v>
      </c>
      <c r="H6145" s="13"/>
      <c r="I6145" s="13"/>
      <c r="J6145" s="13"/>
      <c r="K6145" s="13"/>
      <c r="L6145" s="13"/>
      <c r="M6145" s="13"/>
      <c r="N6145" s="13"/>
      <c r="O6145" s="13"/>
      <c r="P6145" s="13"/>
      <c r="Q6145" s="13"/>
      <c r="R6145" s="13"/>
      <c r="S6145" s="13"/>
    </row>
    <row r="6146" spans="1:19" x14ac:dyDescent="0.2">
      <c r="A6146" s="12" t="s">
        <v>584</v>
      </c>
      <c r="B6146" s="12" t="s">
        <v>573</v>
      </c>
      <c r="C6146" s="12" t="s">
        <v>566</v>
      </c>
      <c r="D6146" s="13">
        <v>218</v>
      </c>
      <c r="E6146" s="13">
        <v>161.435543</v>
      </c>
      <c r="F6146" s="13">
        <v>159.038419</v>
      </c>
      <c r="G6146" s="13">
        <v>156.76478299999999</v>
      </c>
      <c r="H6146" s="13"/>
      <c r="I6146" s="13"/>
      <c r="J6146" s="13"/>
      <c r="K6146" s="13"/>
      <c r="L6146" s="13"/>
      <c r="M6146" s="13"/>
      <c r="N6146" s="13"/>
      <c r="O6146" s="13"/>
      <c r="P6146" s="13"/>
      <c r="Q6146" s="13"/>
      <c r="R6146" s="13"/>
      <c r="S6146" s="13"/>
    </row>
    <row r="6147" spans="1:19" x14ac:dyDescent="0.2">
      <c r="A6147" s="12" t="s">
        <v>584</v>
      </c>
      <c r="B6147" s="12" t="s">
        <v>574</v>
      </c>
      <c r="C6147" s="12" t="s">
        <v>554</v>
      </c>
      <c r="D6147" s="13">
        <v>77998</v>
      </c>
      <c r="E6147" s="13">
        <v>83466.431922999996</v>
      </c>
      <c r="F6147" s="13">
        <v>79927.665320999993</v>
      </c>
      <c r="G6147" s="13">
        <v>77420.183504000001</v>
      </c>
      <c r="H6147" s="13"/>
      <c r="I6147" s="13"/>
      <c r="J6147" s="13"/>
      <c r="K6147" s="13"/>
      <c r="L6147" s="13"/>
      <c r="M6147" s="13"/>
      <c r="N6147" s="13"/>
      <c r="O6147" s="13"/>
      <c r="P6147" s="13"/>
      <c r="Q6147" s="13"/>
      <c r="R6147" s="13"/>
      <c r="S6147" s="13"/>
    </row>
    <row r="6148" spans="1:19" x14ac:dyDescent="0.2">
      <c r="A6148" s="12" t="s">
        <v>584</v>
      </c>
      <c r="B6148" s="12" t="s">
        <v>574</v>
      </c>
      <c r="C6148" s="12" t="s">
        <v>555</v>
      </c>
      <c r="D6148" s="13">
        <v>7261</v>
      </c>
      <c r="E6148" s="13">
        <v>7167.2341130000004</v>
      </c>
      <c r="F6148" s="13">
        <v>6606.5607330000003</v>
      </c>
      <c r="G6148" s="13">
        <v>6515.5414680000004</v>
      </c>
      <c r="H6148" s="13"/>
      <c r="I6148" s="13"/>
      <c r="J6148" s="13"/>
      <c r="K6148" s="13"/>
      <c r="L6148" s="13"/>
      <c r="M6148" s="13"/>
      <c r="N6148" s="13"/>
      <c r="O6148" s="13"/>
      <c r="P6148" s="13"/>
      <c r="Q6148" s="13"/>
      <c r="R6148" s="13"/>
      <c r="S6148" s="13"/>
    </row>
    <row r="6149" spans="1:19" x14ac:dyDescent="0.2">
      <c r="A6149" s="12" t="s">
        <v>584</v>
      </c>
      <c r="B6149" s="12" t="s">
        <v>574</v>
      </c>
      <c r="C6149" s="12" t="s">
        <v>556</v>
      </c>
      <c r="D6149" s="13">
        <v>-38470</v>
      </c>
      <c r="E6149" s="13">
        <v>-37993.98055</v>
      </c>
      <c r="F6149" s="13">
        <v>-35219.422747999997</v>
      </c>
      <c r="G6149" s="13">
        <v>-34463.541149999997</v>
      </c>
      <c r="H6149" s="13"/>
      <c r="I6149" s="13"/>
      <c r="J6149" s="13"/>
      <c r="K6149" s="13"/>
      <c r="L6149" s="13"/>
      <c r="M6149" s="13"/>
      <c r="N6149" s="13"/>
      <c r="O6149" s="13"/>
      <c r="P6149" s="13"/>
      <c r="Q6149" s="13"/>
      <c r="R6149" s="13"/>
      <c r="S6149" s="13"/>
    </row>
    <row r="6150" spans="1:19" x14ac:dyDescent="0.2">
      <c r="A6150" s="12" t="s">
        <v>584</v>
      </c>
      <c r="B6150" s="12" t="s">
        <v>574</v>
      </c>
      <c r="C6150" s="12" t="s">
        <v>557</v>
      </c>
      <c r="D6150" s="13">
        <v>46478</v>
      </c>
      <c r="E6150" s="13">
        <v>51815.121866000001</v>
      </c>
      <c r="F6150" s="13">
        <v>50122.642064000007</v>
      </c>
      <c r="G6150" s="13">
        <v>48574.384609000001</v>
      </c>
      <c r="H6150" s="13"/>
      <c r="I6150" s="13"/>
      <c r="J6150" s="13"/>
      <c r="K6150" s="13"/>
      <c r="L6150" s="13"/>
      <c r="M6150" s="13"/>
      <c r="N6150" s="13"/>
      <c r="O6150" s="13"/>
      <c r="P6150" s="13"/>
      <c r="Q6150" s="13"/>
      <c r="R6150" s="13"/>
      <c r="S6150" s="13"/>
    </row>
    <row r="6151" spans="1:19" x14ac:dyDescent="0.2">
      <c r="A6151" s="12" t="s">
        <v>584</v>
      </c>
      <c r="B6151" s="12" t="s">
        <v>574</v>
      </c>
      <c r="C6151" s="12" t="s">
        <v>558</v>
      </c>
      <c r="D6151" s="13">
        <v>-8168</v>
      </c>
      <c r="E6151" s="13">
        <v>-9266.653416000001</v>
      </c>
      <c r="F6151" s="13">
        <v>-8968.8110099999994</v>
      </c>
      <c r="G6151" s="13">
        <v>-9377.3892570000007</v>
      </c>
      <c r="H6151" s="13"/>
      <c r="I6151" s="13"/>
      <c r="J6151" s="13"/>
      <c r="K6151" s="13"/>
      <c r="L6151" s="13"/>
      <c r="M6151" s="13"/>
      <c r="N6151" s="13"/>
      <c r="O6151" s="13"/>
      <c r="P6151" s="13"/>
      <c r="Q6151" s="13"/>
      <c r="R6151" s="13"/>
      <c r="S6151" s="13"/>
    </row>
    <row r="6152" spans="1:19" x14ac:dyDescent="0.2">
      <c r="A6152" s="12" t="s">
        <v>584</v>
      </c>
      <c r="B6152" s="12" t="s">
        <v>574</v>
      </c>
      <c r="C6152" s="12" t="s">
        <v>560</v>
      </c>
      <c r="D6152" s="13">
        <v>-810</v>
      </c>
      <c r="E6152" s="13">
        <v>-849.30385200000001</v>
      </c>
      <c r="F6152" s="13">
        <v>-703.41557599999999</v>
      </c>
      <c r="G6152" s="13">
        <v>-64.625146000000001</v>
      </c>
      <c r="H6152" s="13"/>
      <c r="I6152" s="13"/>
      <c r="J6152" s="13"/>
      <c r="K6152" s="13"/>
      <c r="L6152" s="13"/>
      <c r="M6152" s="13"/>
      <c r="N6152" s="13"/>
      <c r="O6152" s="13"/>
      <c r="P6152" s="13"/>
      <c r="Q6152" s="13"/>
      <c r="R6152" s="13"/>
      <c r="S6152" s="13"/>
    </row>
    <row r="6153" spans="1:19" x14ac:dyDescent="0.2">
      <c r="A6153" s="12" t="s">
        <v>584</v>
      </c>
      <c r="B6153" s="12" t="s">
        <v>574</v>
      </c>
      <c r="C6153" s="12" t="s">
        <v>561</v>
      </c>
      <c r="D6153" s="13">
        <v>31169</v>
      </c>
      <c r="E6153" s="13">
        <v>33532.488400000002</v>
      </c>
      <c r="F6153" s="13">
        <v>32344.063109999999</v>
      </c>
      <c r="G6153" s="13">
        <v>32190.997632999999</v>
      </c>
      <c r="H6153" s="13"/>
      <c r="I6153" s="13"/>
      <c r="J6153" s="13"/>
      <c r="K6153" s="13"/>
      <c r="L6153" s="13"/>
      <c r="M6153" s="13"/>
      <c r="N6153" s="13"/>
      <c r="O6153" s="13"/>
      <c r="P6153" s="13"/>
      <c r="Q6153" s="13"/>
      <c r="R6153" s="13"/>
      <c r="S6153" s="13"/>
    </row>
    <row r="6154" spans="1:19" x14ac:dyDescent="0.2">
      <c r="A6154" s="12" t="s">
        <v>584</v>
      </c>
      <c r="B6154" s="12" t="s">
        <v>574</v>
      </c>
      <c r="C6154" s="12" t="s">
        <v>562</v>
      </c>
      <c r="D6154" s="13">
        <v>8353</v>
      </c>
      <c r="E6154" s="13">
        <v>9060.8189489999986</v>
      </c>
      <c r="F6154" s="13">
        <v>8691.310168</v>
      </c>
      <c r="G6154" s="13">
        <v>8647.562813999999</v>
      </c>
      <c r="H6154" s="13"/>
      <c r="I6154" s="13"/>
      <c r="J6154" s="13"/>
      <c r="K6154" s="13"/>
      <c r="L6154" s="13"/>
      <c r="M6154" s="13"/>
      <c r="N6154" s="13"/>
      <c r="O6154" s="13"/>
      <c r="P6154" s="13"/>
      <c r="Q6154" s="13"/>
      <c r="R6154" s="13"/>
      <c r="S6154" s="13"/>
    </row>
    <row r="6155" spans="1:19" x14ac:dyDescent="0.2">
      <c r="A6155" s="12" t="s">
        <v>584</v>
      </c>
      <c r="B6155" s="12" t="s">
        <v>574</v>
      </c>
      <c r="C6155" s="12" t="s">
        <v>563</v>
      </c>
      <c r="D6155" s="13">
        <v>6122</v>
      </c>
      <c r="E6155" s="13">
        <v>6716.0112429999999</v>
      </c>
      <c r="F6155" s="13">
        <v>6517.2696830000004</v>
      </c>
      <c r="G6155" s="13">
        <v>6756.5847759999997</v>
      </c>
      <c r="H6155" s="13"/>
      <c r="I6155" s="13"/>
      <c r="J6155" s="13"/>
      <c r="K6155" s="13"/>
      <c r="L6155" s="13"/>
      <c r="M6155" s="13"/>
      <c r="N6155" s="13"/>
      <c r="O6155" s="13"/>
      <c r="P6155" s="13"/>
      <c r="Q6155" s="13"/>
      <c r="R6155" s="13"/>
      <c r="S6155" s="13"/>
    </row>
    <row r="6156" spans="1:19" x14ac:dyDescent="0.2">
      <c r="A6156" s="12" t="s">
        <v>584</v>
      </c>
      <c r="B6156" s="12" t="s">
        <v>574</v>
      </c>
      <c r="C6156" s="12" t="s">
        <v>564</v>
      </c>
      <c r="D6156" s="13">
        <v>8811</v>
      </c>
      <c r="E6156" s="13">
        <v>9362.7386260000003</v>
      </c>
      <c r="F6156" s="13">
        <v>9009.1850450000002</v>
      </c>
      <c r="G6156" s="13">
        <v>8906.688091</v>
      </c>
      <c r="H6156" s="13"/>
      <c r="I6156" s="13"/>
      <c r="J6156" s="13"/>
      <c r="K6156" s="13"/>
      <c r="L6156" s="13"/>
      <c r="M6156" s="13"/>
      <c r="N6156" s="13"/>
      <c r="O6156" s="13"/>
      <c r="P6156" s="13"/>
      <c r="Q6156" s="13"/>
      <c r="R6156" s="13"/>
      <c r="S6156" s="13"/>
    </row>
    <row r="6157" spans="1:19" x14ac:dyDescent="0.2">
      <c r="A6157" s="12" t="s">
        <v>584</v>
      </c>
      <c r="B6157" s="12" t="s">
        <v>574</v>
      </c>
      <c r="C6157" s="12" t="s">
        <v>565</v>
      </c>
      <c r="D6157" s="13">
        <v>2812</v>
      </c>
      <c r="E6157" s="13">
        <v>3179.9016630000001</v>
      </c>
      <c r="F6157" s="13">
        <v>2930.416025</v>
      </c>
      <c r="G6157" s="13">
        <v>2943.1748630000002</v>
      </c>
      <c r="H6157" s="13"/>
      <c r="I6157" s="13"/>
      <c r="J6157" s="13"/>
      <c r="K6157" s="13"/>
      <c r="L6157" s="13"/>
      <c r="M6157" s="13"/>
      <c r="N6157" s="13"/>
      <c r="O6157" s="13"/>
      <c r="P6157" s="13"/>
      <c r="Q6157" s="13"/>
      <c r="R6157" s="13"/>
      <c r="S6157" s="13"/>
    </row>
    <row r="6158" spans="1:19" x14ac:dyDescent="0.2">
      <c r="A6158" s="12" t="s">
        <v>584</v>
      </c>
      <c r="B6158" s="12" t="s">
        <v>574</v>
      </c>
      <c r="C6158" s="12" t="s">
        <v>566</v>
      </c>
      <c r="D6158" s="13">
        <v>5071</v>
      </c>
      <c r="E6158" s="13">
        <v>5213.0179690000004</v>
      </c>
      <c r="F6158" s="13">
        <v>5195.8821839999991</v>
      </c>
      <c r="G6158" s="13">
        <v>4936.987063999999</v>
      </c>
      <c r="H6158" s="13"/>
      <c r="I6158" s="13"/>
      <c r="J6158" s="13"/>
      <c r="K6158" s="13"/>
      <c r="L6158" s="13"/>
      <c r="M6158" s="13"/>
      <c r="N6158" s="13"/>
      <c r="O6158" s="13"/>
      <c r="P6158" s="13"/>
      <c r="Q6158" s="13"/>
      <c r="R6158" s="13"/>
      <c r="S6158" s="13"/>
    </row>
    <row r="6159" spans="1:19" x14ac:dyDescent="0.2">
      <c r="A6159" s="12" t="s">
        <v>585</v>
      </c>
      <c r="B6159" s="12" t="s">
        <v>553</v>
      </c>
      <c r="C6159" s="12" t="s">
        <v>554</v>
      </c>
      <c r="D6159" s="13">
        <v>44</v>
      </c>
      <c r="E6159" s="13">
        <v>49.071837000000002</v>
      </c>
      <c r="F6159" s="13">
        <v>57.578218</v>
      </c>
      <c r="G6159" s="13">
        <v>94.220216000000008</v>
      </c>
      <c r="H6159" s="13"/>
      <c r="I6159" s="13"/>
      <c r="J6159" s="13"/>
      <c r="K6159" s="13"/>
      <c r="L6159" s="13"/>
      <c r="M6159" s="13"/>
      <c r="N6159" s="13"/>
      <c r="O6159" s="13"/>
      <c r="P6159" s="13"/>
      <c r="Q6159" s="13"/>
      <c r="R6159" s="13"/>
      <c r="S6159" s="13"/>
    </row>
    <row r="6160" spans="1:19" x14ac:dyDescent="0.2">
      <c r="A6160" s="12" t="s">
        <v>585</v>
      </c>
      <c r="B6160" s="12" t="s">
        <v>553</v>
      </c>
      <c r="C6160" s="12" t="s">
        <v>555</v>
      </c>
      <c r="D6160" s="13">
        <v>105</v>
      </c>
      <c r="E6160" s="13">
        <v>98.362388999999993</v>
      </c>
      <c r="F6160" s="13">
        <v>80.916558999999992</v>
      </c>
      <c r="G6160" s="13">
        <v>107.694875</v>
      </c>
      <c r="H6160" s="13"/>
      <c r="I6160" s="13"/>
      <c r="J6160" s="13"/>
      <c r="K6160" s="13"/>
      <c r="L6160" s="13"/>
      <c r="M6160" s="13"/>
      <c r="N6160" s="13"/>
      <c r="O6160" s="13"/>
      <c r="P6160" s="13"/>
      <c r="Q6160" s="13"/>
      <c r="R6160" s="13"/>
      <c r="S6160" s="13"/>
    </row>
    <row r="6161" spans="1:19" x14ac:dyDescent="0.2">
      <c r="A6161" s="12" t="s">
        <v>585</v>
      </c>
      <c r="B6161" s="12" t="s">
        <v>553</v>
      </c>
      <c r="C6161" s="12" t="s">
        <v>556</v>
      </c>
      <c r="D6161" s="13">
        <v>0</v>
      </c>
      <c r="E6161" s="13">
        <v>-6.5206729999999986</v>
      </c>
      <c r="F6161" s="13">
        <v>-6.0008400000000002</v>
      </c>
      <c r="G6161" s="13">
        <v>-6.0023390000000001</v>
      </c>
      <c r="H6161" s="13"/>
      <c r="I6161" s="13"/>
      <c r="J6161" s="13"/>
      <c r="K6161" s="13"/>
      <c r="L6161" s="13"/>
      <c r="M6161" s="13"/>
      <c r="N6161" s="13"/>
      <c r="O6161" s="13"/>
      <c r="P6161" s="13"/>
      <c r="Q6161" s="13"/>
      <c r="R6161" s="13"/>
      <c r="S6161" s="13"/>
    </row>
    <row r="6162" spans="1:19" x14ac:dyDescent="0.2">
      <c r="A6162" s="12" t="s">
        <v>585</v>
      </c>
      <c r="B6162" s="12" t="s">
        <v>553</v>
      </c>
      <c r="C6162" s="12" t="s">
        <v>557</v>
      </c>
      <c r="D6162" s="13">
        <v>148</v>
      </c>
      <c r="E6162" s="13">
        <v>175.70862500000001</v>
      </c>
      <c r="F6162" s="13">
        <v>169.58221800000001</v>
      </c>
      <c r="G6162" s="13">
        <v>195.989643</v>
      </c>
      <c r="H6162" s="13"/>
      <c r="I6162" s="13"/>
      <c r="J6162" s="13"/>
      <c r="K6162" s="13"/>
      <c r="L6162" s="13"/>
      <c r="M6162" s="13"/>
      <c r="N6162" s="13"/>
      <c r="O6162" s="13"/>
      <c r="P6162" s="13"/>
      <c r="Q6162" s="13"/>
      <c r="R6162" s="13"/>
      <c r="S6162" s="13"/>
    </row>
    <row r="6163" spans="1:19" x14ac:dyDescent="0.2">
      <c r="A6163" s="12" t="s">
        <v>585</v>
      </c>
      <c r="B6163" s="12" t="s">
        <v>553</v>
      </c>
      <c r="C6163" s="12" t="s">
        <v>558</v>
      </c>
      <c r="D6163" s="13">
        <v>-17</v>
      </c>
      <c r="E6163" s="13">
        <v>-34.311069000000003</v>
      </c>
      <c r="F6163" s="13">
        <v>-15.695975000000001</v>
      </c>
      <c r="G6163" s="13">
        <v>-43.439878999999998</v>
      </c>
      <c r="H6163" s="13"/>
      <c r="I6163" s="13"/>
      <c r="J6163" s="13"/>
      <c r="K6163" s="13"/>
      <c r="L6163" s="13"/>
      <c r="M6163" s="13"/>
      <c r="N6163" s="13"/>
      <c r="O6163" s="13"/>
      <c r="P6163" s="13"/>
      <c r="Q6163" s="13"/>
      <c r="R6163" s="13"/>
      <c r="S6163" s="13"/>
    </row>
    <row r="6164" spans="1:19" x14ac:dyDescent="0.2">
      <c r="A6164" s="12" t="s">
        <v>585</v>
      </c>
      <c r="B6164" s="12" t="s">
        <v>553</v>
      </c>
      <c r="C6164" s="12" t="s">
        <v>560</v>
      </c>
      <c r="D6164" s="13">
        <v>0</v>
      </c>
      <c r="E6164" s="13">
        <v>0</v>
      </c>
      <c r="F6164" s="13">
        <v>0</v>
      </c>
      <c r="G6164" s="13">
        <v>0</v>
      </c>
      <c r="H6164" s="13"/>
      <c r="I6164" s="13"/>
      <c r="J6164" s="13"/>
      <c r="K6164" s="13"/>
      <c r="L6164" s="13"/>
      <c r="M6164" s="13"/>
      <c r="N6164" s="13"/>
      <c r="O6164" s="13"/>
      <c r="P6164" s="13"/>
      <c r="Q6164" s="13"/>
      <c r="R6164" s="13"/>
      <c r="S6164" s="13"/>
    </row>
    <row r="6165" spans="1:19" x14ac:dyDescent="0.2">
      <c r="A6165" s="12" t="s">
        <v>585</v>
      </c>
      <c r="B6165" s="12" t="s">
        <v>553</v>
      </c>
      <c r="C6165" s="12" t="s">
        <v>561</v>
      </c>
      <c r="D6165" s="13">
        <v>103</v>
      </c>
      <c r="E6165" s="13">
        <v>114.46350700000001</v>
      </c>
      <c r="F6165" s="13">
        <v>118.10414299999999</v>
      </c>
      <c r="G6165" s="13">
        <v>115.013598</v>
      </c>
      <c r="H6165" s="13"/>
      <c r="I6165" s="13"/>
      <c r="J6165" s="13"/>
      <c r="K6165" s="13"/>
      <c r="L6165" s="13"/>
      <c r="M6165" s="13"/>
      <c r="N6165" s="13"/>
      <c r="O6165" s="13"/>
      <c r="P6165" s="13"/>
      <c r="Q6165" s="13"/>
      <c r="R6165" s="13"/>
      <c r="S6165" s="13"/>
    </row>
    <row r="6166" spans="1:19" x14ac:dyDescent="0.2">
      <c r="A6166" s="12" t="s">
        <v>585</v>
      </c>
      <c r="B6166" s="12" t="s">
        <v>553</v>
      </c>
      <c r="C6166" s="12" t="s">
        <v>562</v>
      </c>
      <c r="D6166" s="13">
        <v>87</v>
      </c>
      <c r="E6166" s="13">
        <v>97.539941999999996</v>
      </c>
      <c r="F6166" s="13">
        <v>100.02861</v>
      </c>
      <c r="G6166" s="13">
        <v>96.843367999999998</v>
      </c>
      <c r="H6166" s="13"/>
      <c r="I6166" s="13"/>
      <c r="J6166" s="13"/>
      <c r="K6166" s="13"/>
      <c r="L6166" s="13"/>
      <c r="M6166" s="13"/>
      <c r="N6166" s="13"/>
      <c r="O6166" s="13"/>
      <c r="P6166" s="13"/>
      <c r="Q6166" s="13"/>
      <c r="R6166" s="13"/>
      <c r="S6166" s="13"/>
    </row>
    <row r="6167" spans="1:19" x14ac:dyDescent="0.2">
      <c r="A6167" s="12" t="s">
        <v>585</v>
      </c>
      <c r="B6167" s="12" t="s">
        <v>553</v>
      </c>
      <c r="C6167" s="12" t="s">
        <v>563</v>
      </c>
      <c r="D6167" s="13">
        <v>0</v>
      </c>
      <c r="E6167" s="13">
        <v>0</v>
      </c>
      <c r="F6167" s="13">
        <v>0</v>
      </c>
      <c r="G6167" s="13">
        <v>0</v>
      </c>
      <c r="H6167" s="13"/>
      <c r="I6167" s="13"/>
      <c r="J6167" s="13"/>
      <c r="K6167" s="13"/>
      <c r="L6167" s="13"/>
      <c r="M6167" s="13"/>
      <c r="N6167" s="13"/>
      <c r="O6167" s="13"/>
      <c r="P6167" s="13"/>
      <c r="Q6167" s="13"/>
      <c r="R6167" s="13"/>
      <c r="S6167" s="13"/>
    </row>
    <row r="6168" spans="1:19" x14ac:dyDescent="0.2">
      <c r="A6168" s="12" t="s">
        <v>585</v>
      </c>
      <c r="B6168" s="12" t="s">
        <v>553</v>
      </c>
      <c r="C6168" s="12" t="s">
        <v>564</v>
      </c>
      <c r="D6168" s="13">
        <v>0</v>
      </c>
      <c r="E6168" s="13">
        <v>0.36119899999999999</v>
      </c>
      <c r="F6168" s="13">
        <v>0.36119899999999999</v>
      </c>
      <c r="G6168" s="13">
        <v>0.36119899999999999</v>
      </c>
      <c r="H6168" s="13"/>
      <c r="I6168" s="13"/>
      <c r="J6168" s="13"/>
      <c r="K6168" s="13"/>
      <c r="L6168" s="13"/>
      <c r="M6168" s="13"/>
      <c r="N6168" s="13"/>
      <c r="O6168" s="13"/>
      <c r="P6168" s="13"/>
      <c r="Q6168" s="13"/>
      <c r="R6168" s="13"/>
      <c r="S6168" s="13"/>
    </row>
    <row r="6169" spans="1:19" x14ac:dyDescent="0.2">
      <c r="A6169" s="12" t="s">
        <v>585</v>
      </c>
      <c r="B6169" s="12" t="s">
        <v>553</v>
      </c>
      <c r="C6169" s="12" t="s">
        <v>565</v>
      </c>
      <c r="D6169" s="13">
        <v>0</v>
      </c>
      <c r="E6169" s="13">
        <v>0</v>
      </c>
      <c r="F6169" s="13">
        <v>0</v>
      </c>
      <c r="G6169" s="13">
        <v>0</v>
      </c>
      <c r="H6169" s="13"/>
      <c r="I6169" s="13"/>
      <c r="J6169" s="13"/>
      <c r="K6169" s="13"/>
      <c r="L6169" s="13"/>
      <c r="M6169" s="13"/>
      <c r="N6169" s="13"/>
      <c r="O6169" s="13"/>
      <c r="P6169" s="13"/>
      <c r="Q6169" s="13"/>
      <c r="R6169" s="13"/>
      <c r="S6169" s="13"/>
    </row>
    <row r="6170" spans="1:19" x14ac:dyDescent="0.2">
      <c r="A6170" s="12" t="s">
        <v>585</v>
      </c>
      <c r="B6170" s="12" t="s">
        <v>553</v>
      </c>
      <c r="C6170" s="12" t="s">
        <v>566</v>
      </c>
      <c r="D6170" s="13">
        <v>15</v>
      </c>
      <c r="E6170" s="13">
        <v>16.562365</v>
      </c>
      <c r="F6170" s="13">
        <v>17.714334000000001</v>
      </c>
      <c r="G6170" s="13">
        <v>17.809031000000001</v>
      </c>
      <c r="H6170" s="13"/>
      <c r="I6170" s="13"/>
      <c r="J6170" s="13"/>
      <c r="K6170" s="13"/>
      <c r="L6170" s="13"/>
      <c r="M6170" s="13"/>
      <c r="N6170" s="13"/>
      <c r="O6170" s="13"/>
      <c r="P6170" s="13"/>
      <c r="Q6170" s="13"/>
      <c r="R6170" s="13"/>
      <c r="S6170" s="13"/>
    </row>
    <row r="6171" spans="1:19" x14ac:dyDescent="0.2">
      <c r="A6171" s="12" t="s">
        <v>585</v>
      </c>
      <c r="B6171" s="12" t="s">
        <v>567</v>
      </c>
      <c r="C6171" s="12" t="s">
        <v>554</v>
      </c>
      <c r="D6171" s="13">
        <v>54707</v>
      </c>
      <c r="E6171" s="13">
        <v>55244.501548</v>
      </c>
      <c r="F6171" s="13">
        <v>61205.522336000002</v>
      </c>
      <c r="G6171" s="13">
        <v>58390.269231999999</v>
      </c>
      <c r="H6171" s="13"/>
      <c r="I6171" s="13"/>
      <c r="J6171" s="13"/>
      <c r="K6171" s="13"/>
      <c r="L6171" s="13"/>
      <c r="M6171" s="13"/>
      <c r="N6171" s="13"/>
      <c r="O6171" s="13"/>
      <c r="P6171" s="13"/>
      <c r="Q6171" s="13"/>
      <c r="R6171" s="13"/>
      <c r="S6171" s="13"/>
    </row>
    <row r="6172" spans="1:19" x14ac:dyDescent="0.2">
      <c r="A6172" s="12" t="s">
        <v>585</v>
      </c>
      <c r="B6172" s="12" t="s">
        <v>567</v>
      </c>
      <c r="C6172" s="12" t="s">
        <v>555</v>
      </c>
      <c r="D6172" s="13">
        <v>1064</v>
      </c>
      <c r="E6172" s="13">
        <v>977.77516500000002</v>
      </c>
      <c r="F6172" s="13">
        <v>1045.8288319999999</v>
      </c>
      <c r="G6172" s="13">
        <v>1195.483105</v>
      </c>
      <c r="H6172" s="13"/>
      <c r="I6172" s="13"/>
      <c r="J6172" s="13"/>
      <c r="K6172" s="13"/>
      <c r="L6172" s="13"/>
      <c r="M6172" s="13"/>
      <c r="N6172" s="13"/>
      <c r="O6172" s="13"/>
      <c r="P6172" s="13"/>
      <c r="Q6172" s="13"/>
      <c r="R6172" s="13"/>
      <c r="S6172" s="13"/>
    </row>
    <row r="6173" spans="1:19" x14ac:dyDescent="0.2">
      <c r="A6173" s="12" t="s">
        <v>585</v>
      </c>
      <c r="B6173" s="12" t="s">
        <v>567</v>
      </c>
      <c r="C6173" s="12" t="s">
        <v>556</v>
      </c>
      <c r="D6173" s="13">
        <v>-35337</v>
      </c>
      <c r="E6173" s="13">
        <v>-34167.783291</v>
      </c>
      <c r="F6173" s="13">
        <v>-38236.448207999987</v>
      </c>
      <c r="G6173" s="13">
        <v>-35416.748423999998</v>
      </c>
      <c r="H6173" s="13"/>
      <c r="I6173" s="13"/>
      <c r="J6173" s="13"/>
      <c r="K6173" s="13"/>
      <c r="L6173" s="13"/>
      <c r="M6173" s="13"/>
      <c r="N6173" s="13"/>
      <c r="O6173" s="13"/>
      <c r="P6173" s="13"/>
      <c r="Q6173" s="13"/>
      <c r="R6173" s="13"/>
      <c r="S6173" s="13"/>
    </row>
    <row r="6174" spans="1:19" x14ac:dyDescent="0.2">
      <c r="A6174" s="12" t="s">
        <v>585</v>
      </c>
      <c r="B6174" s="12" t="s">
        <v>567</v>
      </c>
      <c r="C6174" s="12" t="s">
        <v>557</v>
      </c>
      <c r="D6174" s="13">
        <v>20905</v>
      </c>
      <c r="E6174" s="13">
        <v>22534.012868000002</v>
      </c>
      <c r="F6174" s="13">
        <v>24001.999004000001</v>
      </c>
      <c r="G6174" s="13">
        <v>24468.135561999999</v>
      </c>
      <c r="H6174" s="13"/>
      <c r="I6174" s="13"/>
      <c r="J6174" s="13"/>
      <c r="K6174" s="13"/>
      <c r="L6174" s="13"/>
      <c r="M6174" s="13"/>
      <c r="N6174" s="13"/>
      <c r="O6174" s="13"/>
      <c r="P6174" s="13"/>
      <c r="Q6174" s="13"/>
      <c r="R6174" s="13"/>
      <c r="S6174" s="13"/>
    </row>
    <row r="6175" spans="1:19" x14ac:dyDescent="0.2">
      <c r="A6175" s="12" t="s">
        <v>585</v>
      </c>
      <c r="B6175" s="12" t="s">
        <v>567</v>
      </c>
      <c r="C6175" s="12" t="s">
        <v>558</v>
      </c>
      <c r="D6175" s="13">
        <v>-1335</v>
      </c>
      <c r="E6175" s="13">
        <v>-1342.9780559999999</v>
      </c>
      <c r="F6175" s="13">
        <v>-1583.330672</v>
      </c>
      <c r="G6175" s="13">
        <v>-1521.37637</v>
      </c>
      <c r="H6175" s="13"/>
      <c r="I6175" s="13"/>
      <c r="J6175" s="13"/>
      <c r="K6175" s="13"/>
      <c r="L6175" s="13"/>
      <c r="M6175" s="13"/>
      <c r="N6175" s="13"/>
      <c r="O6175" s="13"/>
      <c r="P6175" s="13"/>
      <c r="Q6175" s="13"/>
      <c r="R6175" s="13"/>
      <c r="S6175" s="13"/>
    </row>
    <row r="6176" spans="1:19" x14ac:dyDescent="0.2">
      <c r="A6176" s="12" t="s">
        <v>585</v>
      </c>
      <c r="B6176" s="12" t="s">
        <v>567</v>
      </c>
      <c r="C6176" s="12" t="s">
        <v>560</v>
      </c>
      <c r="D6176" s="13">
        <v>-15477</v>
      </c>
      <c r="E6176" s="13">
        <v>-17032.516897000001</v>
      </c>
      <c r="F6176" s="13">
        <v>-18158.334015</v>
      </c>
      <c r="G6176" s="13">
        <v>-18658.261243000001</v>
      </c>
      <c r="H6176" s="13"/>
      <c r="I6176" s="13"/>
      <c r="J6176" s="13"/>
      <c r="K6176" s="13"/>
      <c r="L6176" s="13"/>
      <c r="M6176" s="13"/>
      <c r="N6176" s="13"/>
      <c r="O6176" s="13"/>
      <c r="P6176" s="13"/>
      <c r="Q6176" s="13"/>
      <c r="R6176" s="13"/>
      <c r="S6176" s="13"/>
    </row>
    <row r="6177" spans="1:19" x14ac:dyDescent="0.2">
      <c r="A6177" s="12" t="s">
        <v>585</v>
      </c>
      <c r="B6177" s="12" t="s">
        <v>567</v>
      </c>
      <c r="C6177" s="12" t="s">
        <v>561</v>
      </c>
      <c r="D6177" s="13">
        <v>39</v>
      </c>
      <c r="E6177" s="13">
        <v>37.484654999999997</v>
      </c>
      <c r="F6177" s="13">
        <v>40.290761000000003</v>
      </c>
      <c r="G6177" s="13">
        <v>39.986569000000003</v>
      </c>
      <c r="H6177" s="13"/>
      <c r="I6177" s="13"/>
      <c r="J6177" s="13"/>
      <c r="K6177" s="13"/>
      <c r="L6177" s="13"/>
      <c r="M6177" s="13"/>
      <c r="N6177" s="13"/>
      <c r="O6177" s="13"/>
      <c r="P6177" s="13"/>
      <c r="Q6177" s="13"/>
      <c r="R6177" s="13"/>
      <c r="S6177" s="13"/>
    </row>
    <row r="6178" spans="1:19" x14ac:dyDescent="0.2">
      <c r="A6178" s="12" t="s">
        <v>585</v>
      </c>
      <c r="B6178" s="12" t="s">
        <v>567</v>
      </c>
      <c r="C6178" s="12" t="s">
        <v>562</v>
      </c>
      <c r="D6178" s="13">
        <v>39</v>
      </c>
      <c r="E6178" s="13">
        <v>37.484654999999997</v>
      </c>
      <c r="F6178" s="13">
        <v>40.290761000000003</v>
      </c>
      <c r="G6178" s="13">
        <v>39.986569000000003</v>
      </c>
      <c r="H6178" s="13"/>
      <c r="I6178" s="13"/>
      <c r="J6178" s="13"/>
      <c r="K6178" s="13"/>
      <c r="L6178" s="13"/>
      <c r="M6178" s="13"/>
      <c r="N6178" s="13"/>
      <c r="O6178" s="13"/>
      <c r="P6178" s="13"/>
      <c r="Q6178" s="13"/>
      <c r="R6178" s="13"/>
      <c r="S6178" s="13"/>
    </row>
    <row r="6179" spans="1:19" x14ac:dyDescent="0.2">
      <c r="A6179" s="12" t="s">
        <v>585</v>
      </c>
      <c r="B6179" s="12" t="s">
        <v>567</v>
      </c>
      <c r="C6179" s="12" t="s">
        <v>563</v>
      </c>
      <c r="D6179" s="13">
        <v>0</v>
      </c>
      <c r="E6179" s="13">
        <v>0</v>
      </c>
      <c r="F6179" s="13">
        <v>0</v>
      </c>
      <c r="G6179" s="13">
        <v>0</v>
      </c>
      <c r="H6179" s="13"/>
      <c r="I6179" s="13"/>
      <c r="J6179" s="13"/>
      <c r="K6179" s="13"/>
      <c r="L6179" s="13"/>
      <c r="M6179" s="13"/>
      <c r="N6179" s="13"/>
      <c r="O6179" s="13"/>
      <c r="P6179" s="13"/>
      <c r="Q6179" s="13"/>
      <c r="R6179" s="13"/>
      <c r="S6179" s="13"/>
    </row>
    <row r="6180" spans="1:19" x14ac:dyDescent="0.2">
      <c r="A6180" s="12" t="s">
        <v>585</v>
      </c>
      <c r="B6180" s="12" t="s">
        <v>567</v>
      </c>
      <c r="C6180" s="12" t="s">
        <v>564</v>
      </c>
      <c r="D6180" s="13">
        <v>0</v>
      </c>
      <c r="E6180" s="13">
        <v>0</v>
      </c>
      <c r="F6180" s="13">
        <v>0</v>
      </c>
      <c r="G6180" s="13">
        <v>0</v>
      </c>
      <c r="H6180" s="13"/>
      <c r="I6180" s="13"/>
      <c r="J6180" s="13"/>
      <c r="K6180" s="13"/>
      <c r="L6180" s="13"/>
      <c r="M6180" s="13"/>
      <c r="N6180" s="13"/>
      <c r="O6180" s="13"/>
      <c r="P6180" s="13"/>
      <c r="Q6180" s="13"/>
      <c r="R6180" s="13"/>
      <c r="S6180" s="13"/>
    </row>
    <row r="6181" spans="1:19" x14ac:dyDescent="0.2">
      <c r="A6181" s="12" t="s">
        <v>585</v>
      </c>
      <c r="B6181" s="12" t="s">
        <v>567</v>
      </c>
      <c r="C6181" s="12" t="s">
        <v>565</v>
      </c>
      <c r="D6181" s="13">
        <v>0</v>
      </c>
      <c r="E6181" s="13">
        <v>0</v>
      </c>
      <c r="F6181" s="13">
        <v>0</v>
      </c>
      <c r="G6181" s="13">
        <v>0</v>
      </c>
      <c r="H6181" s="13"/>
      <c r="I6181" s="13"/>
      <c r="J6181" s="13"/>
      <c r="K6181" s="13"/>
      <c r="L6181" s="13"/>
      <c r="M6181" s="13"/>
      <c r="N6181" s="13"/>
      <c r="O6181" s="13"/>
      <c r="P6181" s="13"/>
      <c r="Q6181" s="13"/>
      <c r="R6181" s="13"/>
      <c r="S6181" s="13"/>
    </row>
    <row r="6182" spans="1:19" x14ac:dyDescent="0.2">
      <c r="A6182" s="12" t="s">
        <v>585</v>
      </c>
      <c r="B6182" s="12" t="s">
        <v>567</v>
      </c>
      <c r="C6182" s="12" t="s">
        <v>566</v>
      </c>
      <c r="D6182" s="13">
        <v>0</v>
      </c>
      <c r="E6182" s="13">
        <v>0</v>
      </c>
      <c r="F6182" s="13">
        <v>0</v>
      </c>
      <c r="G6182" s="13">
        <v>0</v>
      </c>
      <c r="H6182" s="13"/>
      <c r="I6182" s="13"/>
      <c r="J6182" s="13"/>
      <c r="K6182" s="13"/>
      <c r="L6182" s="13"/>
      <c r="M6182" s="13"/>
      <c r="N6182" s="13"/>
      <c r="O6182" s="13"/>
      <c r="P6182" s="13"/>
      <c r="Q6182" s="13"/>
      <c r="R6182" s="13"/>
      <c r="S6182" s="13"/>
    </row>
    <row r="6183" spans="1:19" x14ac:dyDescent="0.2">
      <c r="A6183" s="12" t="s">
        <v>585</v>
      </c>
      <c r="B6183" s="12" t="s">
        <v>568</v>
      </c>
      <c r="C6183" s="12" t="s">
        <v>554</v>
      </c>
      <c r="D6183" s="13">
        <v>0</v>
      </c>
      <c r="E6183" s="13">
        <v>0</v>
      </c>
      <c r="F6183" s="13">
        <v>0</v>
      </c>
      <c r="G6183" s="13">
        <v>0</v>
      </c>
      <c r="H6183" s="13"/>
      <c r="I6183" s="13"/>
      <c r="J6183" s="13"/>
      <c r="K6183" s="13"/>
      <c r="L6183" s="13"/>
      <c r="M6183" s="13"/>
      <c r="N6183" s="13"/>
      <c r="O6183" s="13"/>
      <c r="P6183" s="13"/>
      <c r="Q6183" s="13"/>
      <c r="R6183" s="13"/>
      <c r="S6183" s="13"/>
    </row>
    <row r="6184" spans="1:19" x14ac:dyDescent="0.2">
      <c r="A6184" s="12" t="s">
        <v>585</v>
      </c>
      <c r="B6184" s="12" t="s">
        <v>568</v>
      </c>
      <c r="C6184" s="12" t="s">
        <v>555</v>
      </c>
      <c r="D6184" s="13">
        <v>2617</v>
      </c>
      <c r="E6184" s="13">
        <v>2696.0714969999999</v>
      </c>
      <c r="F6184" s="13">
        <v>2696.2375619999998</v>
      </c>
      <c r="G6184" s="13">
        <v>2959.214845</v>
      </c>
      <c r="H6184" s="13"/>
      <c r="I6184" s="13"/>
      <c r="J6184" s="13"/>
      <c r="K6184" s="13"/>
      <c r="L6184" s="13"/>
      <c r="M6184" s="13"/>
      <c r="N6184" s="13"/>
      <c r="O6184" s="13"/>
      <c r="P6184" s="13"/>
      <c r="Q6184" s="13"/>
      <c r="R6184" s="13"/>
      <c r="S6184" s="13"/>
    </row>
    <row r="6185" spans="1:19" x14ac:dyDescent="0.2">
      <c r="A6185" s="12" t="s">
        <v>585</v>
      </c>
      <c r="B6185" s="12" t="s">
        <v>568</v>
      </c>
      <c r="C6185" s="12" t="s">
        <v>556</v>
      </c>
      <c r="D6185" s="13">
        <v>-8473</v>
      </c>
      <c r="E6185" s="13">
        <v>-9531.1397940000006</v>
      </c>
      <c r="F6185" s="13">
        <v>-9865.9981150000003</v>
      </c>
      <c r="G6185" s="13">
        <v>-10236.349141999999</v>
      </c>
      <c r="H6185" s="13"/>
      <c r="I6185" s="13"/>
      <c r="J6185" s="13"/>
      <c r="K6185" s="13"/>
      <c r="L6185" s="13"/>
      <c r="M6185" s="13"/>
      <c r="N6185" s="13"/>
      <c r="O6185" s="13"/>
      <c r="P6185" s="13"/>
      <c r="Q6185" s="13"/>
      <c r="R6185" s="13"/>
      <c r="S6185" s="13"/>
    </row>
    <row r="6186" spans="1:19" x14ac:dyDescent="0.2">
      <c r="A6186" s="12" t="s">
        <v>585</v>
      </c>
      <c r="B6186" s="12" t="s">
        <v>568</v>
      </c>
      <c r="C6186" s="12" t="s">
        <v>557</v>
      </c>
      <c r="D6186" s="13">
        <v>-7208</v>
      </c>
      <c r="E6186" s="13">
        <v>-8294.5426189999998</v>
      </c>
      <c r="F6186" s="13">
        <v>-9072.894886</v>
      </c>
      <c r="G6186" s="13">
        <v>-9284.4896199999985</v>
      </c>
      <c r="H6186" s="13"/>
      <c r="I6186" s="13"/>
      <c r="J6186" s="13"/>
      <c r="K6186" s="13"/>
      <c r="L6186" s="13"/>
      <c r="M6186" s="13"/>
      <c r="N6186" s="13"/>
      <c r="O6186" s="13"/>
      <c r="P6186" s="13"/>
      <c r="Q6186" s="13"/>
      <c r="R6186" s="13"/>
      <c r="S6186" s="13"/>
    </row>
    <row r="6187" spans="1:19" x14ac:dyDescent="0.2">
      <c r="A6187" s="12" t="s">
        <v>585</v>
      </c>
      <c r="B6187" s="12" t="s">
        <v>568</v>
      </c>
      <c r="C6187" s="12" t="s">
        <v>558</v>
      </c>
      <c r="D6187" s="13">
        <v>-2040</v>
      </c>
      <c r="E6187" s="13">
        <v>-2104.328411</v>
      </c>
      <c r="F6187" s="13">
        <v>-2109.2018119999998</v>
      </c>
      <c r="G6187" s="13">
        <v>-2181.591676</v>
      </c>
      <c r="H6187" s="13"/>
      <c r="I6187" s="13"/>
      <c r="J6187" s="13"/>
      <c r="K6187" s="13"/>
      <c r="L6187" s="13"/>
      <c r="M6187" s="13"/>
      <c r="N6187" s="13"/>
      <c r="O6187" s="13"/>
      <c r="P6187" s="13"/>
      <c r="Q6187" s="13"/>
      <c r="R6187" s="13"/>
      <c r="S6187" s="13"/>
    </row>
    <row r="6188" spans="1:19" x14ac:dyDescent="0.2">
      <c r="A6188" s="12" t="s">
        <v>585</v>
      </c>
      <c r="B6188" s="12" t="s">
        <v>568</v>
      </c>
      <c r="C6188" s="12" t="s">
        <v>560</v>
      </c>
      <c r="D6188" s="13">
        <v>15245</v>
      </c>
      <c r="E6188" s="13">
        <v>16616.587691000001</v>
      </c>
      <c r="F6188" s="13">
        <v>17670.883091</v>
      </c>
      <c r="G6188" s="13">
        <v>18182.954432999999</v>
      </c>
      <c r="H6188" s="13"/>
      <c r="I6188" s="13"/>
      <c r="J6188" s="13"/>
      <c r="K6188" s="13"/>
      <c r="L6188" s="13"/>
      <c r="M6188" s="13"/>
      <c r="N6188" s="13"/>
      <c r="O6188" s="13"/>
      <c r="P6188" s="13"/>
      <c r="Q6188" s="13"/>
      <c r="R6188" s="13"/>
      <c r="S6188" s="13"/>
    </row>
    <row r="6189" spans="1:19" x14ac:dyDescent="0.2">
      <c r="A6189" s="12" t="s">
        <v>585</v>
      </c>
      <c r="B6189" s="12" t="s">
        <v>568</v>
      </c>
      <c r="C6189" s="12" t="s">
        <v>561</v>
      </c>
      <c r="D6189" s="13">
        <v>9997</v>
      </c>
      <c r="E6189" s="13">
        <v>10397.135656</v>
      </c>
      <c r="F6189" s="13">
        <v>10937.754326</v>
      </c>
      <c r="G6189" s="13">
        <v>10998.968637</v>
      </c>
      <c r="H6189" s="13"/>
      <c r="I6189" s="13"/>
      <c r="J6189" s="13"/>
      <c r="K6189" s="13"/>
      <c r="L6189" s="13"/>
      <c r="M6189" s="13"/>
      <c r="N6189" s="13"/>
      <c r="O6189" s="13"/>
      <c r="P6189" s="13"/>
      <c r="Q6189" s="13"/>
      <c r="R6189" s="13"/>
      <c r="S6189" s="13"/>
    </row>
    <row r="6190" spans="1:19" x14ac:dyDescent="0.2">
      <c r="A6190" s="12" t="s">
        <v>585</v>
      </c>
      <c r="B6190" s="12" t="s">
        <v>568</v>
      </c>
      <c r="C6190" s="12" t="s">
        <v>562</v>
      </c>
      <c r="D6190" s="13">
        <v>917</v>
      </c>
      <c r="E6190" s="13">
        <v>949.81270900000004</v>
      </c>
      <c r="F6190" s="13">
        <v>1061.3231189999999</v>
      </c>
      <c r="G6190" s="13">
        <v>1094.7433920000001</v>
      </c>
      <c r="H6190" s="13"/>
      <c r="I6190" s="13"/>
      <c r="J6190" s="13"/>
      <c r="K6190" s="13"/>
      <c r="L6190" s="13"/>
      <c r="M6190" s="13"/>
      <c r="N6190" s="13"/>
      <c r="O6190" s="13"/>
      <c r="P6190" s="13"/>
      <c r="Q6190" s="13"/>
      <c r="R6190" s="13"/>
      <c r="S6190" s="13"/>
    </row>
    <row r="6191" spans="1:19" x14ac:dyDescent="0.2">
      <c r="A6191" s="12" t="s">
        <v>585</v>
      </c>
      <c r="B6191" s="12" t="s">
        <v>568</v>
      </c>
      <c r="C6191" s="12" t="s">
        <v>563</v>
      </c>
      <c r="D6191" s="13">
        <v>5010</v>
      </c>
      <c r="E6191" s="13">
        <v>5460.5917509999999</v>
      </c>
      <c r="F6191" s="13">
        <v>5973.1564749999998</v>
      </c>
      <c r="G6191" s="13">
        <v>5938.1848</v>
      </c>
      <c r="H6191" s="13"/>
      <c r="I6191" s="13"/>
      <c r="J6191" s="13"/>
      <c r="K6191" s="13"/>
      <c r="L6191" s="13"/>
      <c r="M6191" s="13"/>
      <c r="N6191" s="13"/>
      <c r="O6191" s="13"/>
      <c r="P6191" s="13"/>
      <c r="Q6191" s="13"/>
      <c r="R6191" s="13"/>
      <c r="S6191" s="13"/>
    </row>
    <row r="6192" spans="1:19" x14ac:dyDescent="0.2">
      <c r="A6192" s="12" t="s">
        <v>585</v>
      </c>
      <c r="B6192" s="12" t="s">
        <v>568</v>
      </c>
      <c r="C6192" s="12" t="s">
        <v>564</v>
      </c>
      <c r="D6192" s="13">
        <v>572</v>
      </c>
      <c r="E6192" s="13">
        <v>582.61586199999999</v>
      </c>
      <c r="F6192" s="13">
        <v>582.62012000000004</v>
      </c>
      <c r="G6192" s="13">
        <v>618.87759900000003</v>
      </c>
      <c r="H6192" s="13"/>
      <c r="I6192" s="13"/>
      <c r="J6192" s="13"/>
      <c r="K6192" s="13"/>
      <c r="L6192" s="13"/>
      <c r="M6192" s="13"/>
      <c r="N6192" s="13"/>
      <c r="O6192" s="13"/>
      <c r="P6192" s="13"/>
      <c r="Q6192" s="13"/>
      <c r="R6192" s="13"/>
      <c r="S6192" s="13"/>
    </row>
    <row r="6193" spans="1:19" x14ac:dyDescent="0.2">
      <c r="A6193" s="12" t="s">
        <v>585</v>
      </c>
      <c r="B6193" s="12" t="s">
        <v>568</v>
      </c>
      <c r="C6193" s="12" t="s">
        <v>565</v>
      </c>
      <c r="D6193" s="13">
        <v>117</v>
      </c>
      <c r="E6193" s="13">
        <v>112.984118</v>
      </c>
      <c r="F6193" s="13">
        <v>102.383471</v>
      </c>
      <c r="G6193" s="13">
        <v>109.52500499999999</v>
      </c>
      <c r="H6193" s="13"/>
      <c r="I6193" s="13"/>
      <c r="J6193" s="13"/>
      <c r="K6193" s="13"/>
      <c r="L6193" s="13"/>
      <c r="M6193" s="13"/>
      <c r="N6193" s="13"/>
      <c r="O6193" s="13"/>
      <c r="P6193" s="13"/>
      <c r="Q6193" s="13"/>
      <c r="R6193" s="13"/>
      <c r="S6193" s="13"/>
    </row>
    <row r="6194" spans="1:19" x14ac:dyDescent="0.2">
      <c r="A6194" s="12" t="s">
        <v>585</v>
      </c>
      <c r="B6194" s="12" t="s">
        <v>568</v>
      </c>
      <c r="C6194" s="12" t="s">
        <v>566</v>
      </c>
      <c r="D6194" s="13">
        <v>3381</v>
      </c>
      <c r="E6194" s="13">
        <v>3291.1312200000002</v>
      </c>
      <c r="F6194" s="13">
        <v>3218.2711429999999</v>
      </c>
      <c r="G6194" s="13">
        <v>3237.6378450000002</v>
      </c>
      <c r="H6194" s="13"/>
      <c r="I6194" s="13"/>
      <c r="J6194" s="13"/>
      <c r="K6194" s="13"/>
      <c r="L6194" s="13"/>
      <c r="M6194" s="13"/>
      <c r="N6194" s="13"/>
      <c r="O6194" s="13"/>
      <c r="P6194" s="13"/>
      <c r="Q6194" s="13"/>
      <c r="R6194" s="13"/>
      <c r="S6194" s="13"/>
    </row>
    <row r="6195" spans="1:19" x14ac:dyDescent="0.2">
      <c r="A6195" s="12" t="s">
        <v>585</v>
      </c>
      <c r="B6195" s="12" t="s">
        <v>569</v>
      </c>
      <c r="C6195" s="12" t="s">
        <v>554</v>
      </c>
      <c r="D6195" s="13">
        <v>23401</v>
      </c>
      <c r="E6195" s="13">
        <v>23863.805886999999</v>
      </c>
      <c r="F6195" s="13">
        <v>24214.178834999999</v>
      </c>
      <c r="G6195" s="13">
        <v>25004.776525000001</v>
      </c>
      <c r="H6195" s="13"/>
      <c r="I6195" s="13"/>
      <c r="J6195" s="13"/>
      <c r="K6195" s="13"/>
      <c r="L6195" s="13"/>
      <c r="M6195" s="13"/>
      <c r="N6195" s="13"/>
      <c r="O6195" s="13"/>
      <c r="P6195" s="13"/>
      <c r="Q6195" s="13"/>
      <c r="R6195" s="13"/>
      <c r="S6195" s="13"/>
    </row>
    <row r="6196" spans="1:19" x14ac:dyDescent="0.2">
      <c r="A6196" s="12" t="s">
        <v>585</v>
      </c>
      <c r="B6196" s="12" t="s">
        <v>569</v>
      </c>
      <c r="C6196" s="12" t="s">
        <v>555</v>
      </c>
      <c r="D6196" s="13">
        <v>1496</v>
      </c>
      <c r="E6196" s="13">
        <v>1485.8539209999999</v>
      </c>
      <c r="F6196" s="13">
        <v>1534.5187129999999</v>
      </c>
      <c r="G6196" s="13">
        <v>1505.7204879999999</v>
      </c>
      <c r="H6196" s="13"/>
      <c r="I6196" s="13"/>
      <c r="J6196" s="13"/>
      <c r="K6196" s="13"/>
      <c r="L6196" s="13"/>
      <c r="M6196" s="13"/>
      <c r="N6196" s="13"/>
      <c r="O6196" s="13"/>
      <c r="P6196" s="13"/>
      <c r="Q6196" s="13"/>
      <c r="R6196" s="13"/>
      <c r="S6196" s="13"/>
    </row>
    <row r="6197" spans="1:19" x14ac:dyDescent="0.2">
      <c r="A6197" s="12" t="s">
        <v>585</v>
      </c>
      <c r="B6197" s="12" t="s">
        <v>569</v>
      </c>
      <c r="C6197" s="12" t="s">
        <v>556</v>
      </c>
      <c r="D6197" s="13">
        <v>-5944</v>
      </c>
      <c r="E6197" s="13">
        <v>-5980.1498089999995</v>
      </c>
      <c r="F6197" s="13">
        <v>-6184.9742860000006</v>
      </c>
      <c r="G6197" s="13">
        <v>-5972.7685350000002</v>
      </c>
      <c r="H6197" s="13"/>
      <c r="I6197" s="13"/>
      <c r="J6197" s="13"/>
      <c r="K6197" s="13"/>
      <c r="L6197" s="13"/>
      <c r="M6197" s="13"/>
      <c r="N6197" s="13"/>
      <c r="O6197" s="13"/>
      <c r="P6197" s="13"/>
      <c r="Q6197" s="13"/>
      <c r="R6197" s="13"/>
      <c r="S6197" s="13"/>
    </row>
    <row r="6198" spans="1:19" x14ac:dyDescent="0.2">
      <c r="A6198" s="12" t="s">
        <v>585</v>
      </c>
      <c r="B6198" s="12" t="s">
        <v>569</v>
      </c>
      <c r="C6198" s="12" t="s">
        <v>557</v>
      </c>
      <c r="D6198" s="13">
        <v>18953</v>
      </c>
      <c r="E6198" s="13">
        <v>19363.298706000001</v>
      </c>
      <c r="F6198" s="13">
        <v>19557.969907999999</v>
      </c>
      <c r="G6198" s="13">
        <v>20530.187159000001</v>
      </c>
      <c r="H6198" s="13"/>
      <c r="I6198" s="13"/>
      <c r="J6198" s="13"/>
      <c r="K6198" s="13"/>
      <c r="L6198" s="13"/>
      <c r="M6198" s="13"/>
      <c r="N6198" s="13"/>
      <c r="O6198" s="13"/>
      <c r="P6198" s="13"/>
      <c r="Q6198" s="13"/>
      <c r="R6198" s="13"/>
      <c r="S6198" s="13"/>
    </row>
    <row r="6199" spans="1:19" x14ac:dyDescent="0.2">
      <c r="A6199" s="12" t="s">
        <v>585</v>
      </c>
      <c r="B6199" s="12" t="s">
        <v>569</v>
      </c>
      <c r="C6199" s="12" t="s">
        <v>558</v>
      </c>
      <c r="D6199" s="13">
        <v>-8055</v>
      </c>
      <c r="E6199" s="13">
        <v>-8433.4246359999997</v>
      </c>
      <c r="F6199" s="13">
        <v>-8441.6353959999997</v>
      </c>
      <c r="G6199" s="13">
        <v>-8822.7992140000006</v>
      </c>
      <c r="H6199" s="13"/>
      <c r="I6199" s="13"/>
      <c r="J6199" s="13"/>
      <c r="K6199" s="13"/>
      <c r="L6199" s="13"/>
      <c r="M6199" s="13"/>
      <c r="N6199" s="13"/>
      <c r="O6199" s="13"/>
      <c r="P6199" s="13"/>
      <c r="Q6199" s="13"/>
      <c r="R6199" s="13"/>
      <c r="S6199" s="13"/>
    </row>
    <row r="6200" spans="1:19" x14ac:dyDescent="0.2">
      <c r="A6200" s="12" t="s">
        <v>585</v>
      </c>
      <c r="B6200" s="12" t="s">
        <v>569</v>
      </c>
      <c r="C6200" s="12" t="s">
        <v>560</v>
      </c>
      <c r="D6200" s="13">
        <v>0</v>
      </c>
      <c r="E6200" s="13">
        <v>0</v>
      </c>
      <c r="F6200" s="13">
        <v>0</v>
      </c>
      <c r="G6200" s="13">
        <v>0</v>
      </c>
      <c r="H6200" s="13"/>
      <c r="I6200" s="13"/>
      <c r="J6200" s="13"/>
      <c r="K6200" s="13"/>
      <c r="L6200" s="13"/>
      <c r="M6200" s="13"/>
      <c r="N6200" s="13"/>
      <c r="O6200" s="13"/>
      <c r="P6200" s="13"/>
      <c r="Q6200" s="13"/>
      <c r="R6200" s="13"/>
      <c r="S6200" s="13"/>
    </row>
    <row r="6201" spans="1:19" x14ac:dyDescent="0.2">
      <c r="A6201" s="12" t="s">
        <v>585</v>
      </c>
      <c r="B6201" s="12" t="s">
        <v>569</v>
      </c>
      <c r="C6201" s="12" t="s">
        <v>561</v>
      </c>
      <c r="D6201" s="13">
        <v>9006</v>
      </c>
      <c r="E6201" s="13">
        <v>8943.0338149999989</v>
      </c>
      <c r="F6201" s="13">
        <v>9169.1839250000012</v>
      </c>
      <c r="G6201" s="13">
        <v>9644.4169920000004</v>
      </c>
      <c r="H6201" s="13"/>
      <c r="I6201" s="13"/>
      <c r="J6201" s="13"/>
      <c r="K6201" s="13"/>
      <c r="L6201" s="13"/>
      <c r="M6201" s="13"/>
      <c r="N6201" s="13"/>
      <c r="O6201" s="13"/>
      <c r="P6201" s="13"/>
      <c r="Q6201" s="13"/>
      <c r="R6201" s="13"/>
      <c r="S6201" s="13"/>
    </row>
    <row r="6202" spans="1:19" x14ac:dyDescent="0.2">
      <c r="A6202" s="12" t="s">
        <v>585</v>
      </c>
      <c r="B6202" s="12" t="s">
        <v>569</v>
      </c>
      <c r="C6202" s="12" t="s">
        <v>562</v>
      </c>
      <c r="D6202" s="13">
        <v>3950</v>
      </c>
      <c r="E6202" s="13">
        <v>4094.0781940000002</v>
      </c>
      <c r="F6202" s="13">
        <v>4246.7897640000001</v>
      </c>
      <c r="G6202" s="13">
        <v>4444.3700180000014</v>
      </c>
      <c r="H6202" s="13"/>
      <c r="I6202" s="13"/>
      <c r="J6202" s="13"/>
      <c r="K6202" s="13"/>
      <c r="L6202" s="13"/>
      <c r="M6202" s="13"/>
      <c r="N6202" s="13"/>
      <c r="O6202" s="13"/>
      <c r="P6202" s="13"/>
      <c r="Q6202" s="13"/>
      <c r="R6202" s="13"/>
      <c r="S6202" s="13"/>
    </row>
    <row r="6203" spans="1:19" x14ac:dyDescent="0.2">
      <c r="A6203" s="12" t="s">
        <v>585</v>
      </c>
      <c r="B6203" s="12" t="s">
        <v>569</v>
      </c>
      <c r="C6203" s="12" t="s">
        <v>563</v>
      </c>
      <c r="D6203" s="13">
        <v>303</v>
      </c>
      <c r="E6203" s="13">
        <v>323.16500300000001</v>
      </c>
      <c r="F6203" s="13">
        <v>321.10731299999998</v>
      </c>
      <c r="G6203" s="13">
        <v>341.68275499999999</v>
      </c>
      <c r="H6203" s="13"/>
      <c r="I6203" s="13"/>
      <c r="J6203" s="13"/>
      <c r="K6203" s="13"/>
      <c r="L6203" s="13"/>
      <c r="M6203" s="13"/>
      <c r="N6203" s="13"/>
      <c r="O6203" s="13"/>
      <c r="P6203" s="13"/>
      <c r="Q6203" s="13"/>
      <c r="R6203" s="13"/>
      <c r="S6203" s="13"/>
    </row>
    <row r="6204" spans="1:19" x14ac:dyDescent="0.2">
      <c r="A6204" s="12" t="s">
        <v>585</v>
      </c>
      <c r="B6204" s="12" t="s">
        <v>569</v>
      </c>
      <c r="C6204" s="12" t="s">
        <v>564</v>
      </c>
      <c r="D6204" s="13">
        <v>2184</v>
      </c>
      <c r="E6204" s="13">
        <v>2153.120398</v>
      </c>
      <c r="F6204" s="13">
        <v>2198.2834600000001</v>
      </c>
      <c r="G6204" s="13">
        <v>2339.1606839999999</v>
      </c>
      <c r="H6204" s="13"/>
      <c r="I6204" s="13"/>
      <c r="J6204" s="13"/>
      <c r="K6204" s="13"/>
      <c r="L6204" s="13"/>
      <c r="M6204" s="13"/>
      <c r="N6204" s="13"/>
      <c r="O6204" s="13"/>
      <c r="P6204" s="13"/>
      <c r="Q6204" s="13"/>
      <c r="R6204" s="13"/>
      <c r="S6204" s="13"/>
    </row>
    <row r="6205" spans="1:19" x14ac:dyDescent="0.2">
      <c r="A6205" s="12" t="s">
        <v>585</v>
      </c>
      <c r="B6205" s="12" t="s">
        <v>569</v>
      </c>
      <c r="C6205" s="12" t="s">
        <v>565</v>
      </c>
      <c r="D6205" s="13">
        <v>1325</v>
      </c>
      <c r="E6205" s="13">
        <v>1388.979345</v>
      </c>
      <c r="F6205" s="13">
        <v>1350.8707979999999</v>
      </c>
      <c r="G6205" s="13">
        <v>1432.281696</v>
      </c>
      <c r="H6205" s="13"/>
      <c r="I6205" s="13"/>
      <c r="J6205" s="13"/>
      <c r="K6205" s="13"/>
      <c r="L6205" s="13"/>
      <c r="M6205" s="13"/>
      <c r="N6205" s="13"/>
      <c r="O6205" s="13"/>
      <c r="P6205" s="13"/>
      <c r="Q6205" s="13"/>
      <c r="R6205" s="13"/>
      <c r="S6205" s="13"/>
    </row>
    <row r="6206" spans="1:19" x14ac:dyDescent="0.2">
      <c r="A6206" s="12" t="s">
        <v>585</v>
      </c>
      <c r="B6206" s="12" t="s">
        <v>569</v>
      </c>
      <c r="C6206" s="12" t="s">
        <v>566</v>
      </c>
      <c r="D6206" s="13">
        <v>1244</v>
      </c>
      <c r="E6206" s="13">
        <v>983.69087400000012</v>
      </c>
      <c r="F6206" s="13">
        <v>1052.132591</v>
      </c>
      <c r="G6206" s="13">
        <v>1086.92183</v>
      </c>
      <c r="H6206" s="13"/>
      <c r="I6206" s="13"/>
      <c r="J6206" s="13"/>
      <c r="K6206" s="13"/>
      <c r="L6206" s="13"/>
      <c r="M6206" s="13"/>
      <c r="N6206" s="13"/>
      <c r="O6206" s="13"/>
      <c r="P6206" s="13"/>
      <c r="Q6206" s="13"/>
      <c r="R6206" s="13"/>
      <c r="S6206" s="13"/>
    </row>
    <row r="6207" spans="1:19" x14ac:dyDescent="0.2">
      <c r="A6207" s="12" t="s">
        <v>585</v>
      </c>
      <c r="B6207" s="12" t="s">
        <v>570</v>
      </c>
      <c r="C6207" s="12" t="s">
        <v>554</v>
      </c>
      <c r="D6207" s="13">
        <v>80</v>
      </c>
      <c r="E6207" s="13">
        <v>157.36903799999999</v>
      </c>
      <c r="F6207" s="13">
        <v>289.632407</v>
      </c>
      <c r="G6207" s="13">
        <v>426.28444300000001</v>
      </c>
      <c r="H6207" s="13"/>
      <c r="I6207" s="13"/>
      <c r="J6207" s="13"/>
      <c r="K6207" s="13"/>
      <c r="L6207" s="13"/>
      <c r="M6207" s="13"/>
      <c r="N6207" s="13"/>
      <c r="O6207" s="13"/>
      <c r="P6207" s="13"/>
      <c r="Q6207" s="13"/>
      <c r="R6207" s="13"/>
      <c r="S6207" s="13"/>
    </row>
    <row r="6208" spans="1:19" x14ac:dyDescent="0.2">
      <c r="A6208" s="12" t="s">
        <v>585</v>
      </c>
      <c r="B6208" s="12" t="s">
        <v>570</v>
      </c>
      <c r="C6208" s="12" t="s">
        <v>555</v>
      </c>
      <c r="D6208" s="13">
        <v>0</v>
      </c>
      <c r="E6208" s="13">
        <v>0</v>
      </c>
      <c r="F6208" s="13">
        <v>0</v>
      </c>
      <c r="G6208" s="13">
        <v>0</v>
      </c>
      <c r="H6208" s="13"/>
      <c r="I6208" s="13"/>
      <c r="J6208" s="13"/>
      <c r="K6208" s="13"/>
      <c r="L6208" s="13"/>
      <c r="M6208" s="13"/>
      <c r="N6208" s="13"/>
      <c r="O6208" s="13"/>
      <c r="P6208" s="13"/>
      <c r="Q6208" s="13"/>
      <c r="R6208" s="13"/>
      <c r="S6208" s="13"/>
    </row>
    <row r="6209" spans="1:19" x14ac:dyDescent="0.2">
      <c r="A6209" s="12" t="s">
        <v>585</v>
      </c>
      <c r="B6209" s="12" t="s">
        <v>570</v>
      </c>
      <c r="C6209" s="12" t="s">
        <v>556</v>
      </c>
      <c r="D6209" s="13">
        <v>0</v>
      </c>
      <c r="E6209" s="13">
        <v>0</v>
      </c>
      <c r="F6209" s="13">
        <v>0</v>
      </c>
      <c r="G6209" s="13">
        <v>0</v>
      </c>
      <c r="H6209" s="13"/>
      <c r="I6209" s="13"/>
      <c r="J6209" s="13"/>
      <c r="K6209" s="13"/>
      <c r="L6209" s="13"/>
      <c r="M6209" s="13"/>
      <c r="N6209" s="13"/>
      <c r="O6209" s="13"/>
      <c r="P6209" s="13"/>
      <c r="Q6209" s="13"/>
      <c r="R6209" s="13"/>
      <c r="S6209" s="13"/>
    </row>
    <row r="6210" spans="1:19" x14ac:dyDescent="0.2">
      <c r="A6210" s="12" t="s">
        <v>585</v>
      </c>
      <c r="B6210" s="12" t="s">
        <v>570</v>
      </c>
      <c r="C6210" s="12" t="s">
        <v>557</v>
      </c>
      <c r="D6210" s="13">
        <v>80</v>
      </c>
      <c r="E6210" s="13">
        <v>157.36903799999999</v>
      </c>
      <c r="F6210" s="13">
        <v>289.632407</v>
      </c>
      <c r="G6210" s="13">
        <v>426.28444300000001</v>
      </c>
      <c r="H6210" s="13"/>
      <c r="I6210" s="13"/>
      <c r="J6210" s="13"/>
      <c r="K6210" s="13"/>
      <c r="L6210" s="13"/>
      <c r="M6210" s="13"/>
      <c r="N6210" s="13"/>
      <c r="O6210" s="13"/>
      <c r="P6210" s="13"/>
      <c r="Q6210" s="13"/>
      <c r="R6210" s="13"/>
      <c r="S6210" s="13"/>
    </row>
    <row r="6211" spans="1:19" x14ac:dyDescent="0.2">
      <c r="A6211" s="12" t="s">
        <v>585</v>
      </c>
      <c r="B6211" s="12" t="s">
        <v>570</v>
      </c>
      <c r="C6211" s="12" t="s">
        <v>558</v>
      </c>
      <c r="D6211" s="13">
        <v>-80</v>
      </c>
      <c r="E6211" s="13">
        <v>-157.36903799999999</v>
      </c>
      <c r="F6211" s="13">
        <v>-289.632407</v>
      </c>
      <c r="G6211" s="13">
        <v>-426.28444300000001</v>
      </c>
      <c r="H6211" s="13"/>
      <c r="I6211" s="13"/>
      <c r="J6211" s="13"/>
      <c r="K6211" s="13"/>
      <c r="L6211" s="13"/>
      <c r="M6211" s="13"/>
      <c r="N6211" s="13"/>
      <c r="O6211" s="13"/>
      <c r="P6211" s="13"/>
      <c r="Q6211" s="13"/>
      <c r="R6211" s="13"/>
      <c r="S6211" s="13"/>
    </row>
    <row r="6212" spans="1:19" x14ac:dyDescent="0.2">
      <c r="A6212" s="12" t="s">
        <v>585</v>
      </c>
      <c r="B6212" s="12" t="s">
        <v>570</v>
      </c>
      <c r="C6212" s="12" t="s">
        <v>560</v>
      </c>
      <c r="D6212" s="13">
        <v>0</v>
      </c>
      <c r="E6212" s="13">
        <v>0</v>
      </c>
      <c r="F6212" s="13">
        <v>0</v>
      </c>
      <c r="G6212" s="13">
        <v>0</v>
      </c>
      <c r="H6212" s="13"/>
      <c r="I6212" s="13"/>
      <c r="J6212" s="13"/>
      <c r="K6212" s="13"/>
      <c r="L6212" s="13"/>
      <c r="M6212" s="13"/>
      <c r="N6212" s="13"/>
      <c r="O6212" s="13"/>
      <c r="P6212" s="13"/>
      <c r="Q6212" s="13"/>
      <c r="R6212" s="13"/>
      <c r="S6212" s="13"/>
    </row>
    <row r="6213" spans="1:19" x14ac:dyDescent="0.2">
      <c r="A6213" s="12" t="s">
        <v>585</v>
      </c>
      <c r="B6213" s="12" t="s">
        <v>570</v>
      </c>
      <c r="C6213" s="12" t="s">
        <v>561</v>
      </c>
      <c r="D6213" s="13">
        <v>0</v>
      </c>
      <c r="E6213" s="13">
        <v>0</v>
      </c>
      <c r="F6213" s="13">
        <v>0</v>
      </c>
      <c r="G6213" s="13">
        <v>0</v>
      </c>
      <c r="H6213" s="13"/>
      <c r="I6213" s="13"/>
      <c r="J6213" s="13"/>
      <c r="K6213" s="13"/>
      <c r="L6213" s="13"/>
      <c r="M6213" s="13"/>
      <c r="N6213" s="13"/>
      <c r="O6213" s="13"/>
      <c r="P6213" s="13"/>
      <c r="Q6213" s="13"/>
      <c r="R6213" s="13"/>
      <c r="S6213" s="13"/>
    </row>
    <row r="6214" spans="1:19" x14ac:dyDescent="0.2">
      <c r="A6214" s="12" t="s">
        <v>585</v>
      </c>
      <c r="B6214" s="12" t="s">
        <v>570</v>
      </c>
      <c r="C6214" s="12" t="s">
        <v>562</v>
      </c>
      <c r="D6214" s="13">
        <v>0</v>
      </c>
      <c r="E6214" s="13">
        <v>0</v>
      </c>
      <c r="F6214" s="13">
        <v>0</v>
      </c>
      <c r="G6214" s="13">
        <v>0</v>
      </c>
      <c r="H6214" s="13"/>
      <c r="I6214" s="13"/>
      <c r="J6214" s="13"/>
      <c r="K6214" s="13"/>
      <c r="L6214" s="13"/>
      <c r="M6214" s="13"/>
      <c r="N6214" s="13"/>
      <c r="O6214" s="13"/>
      <c r="P6214" s="13"/>
      <c r="Q6214" s="13"/>
      <c r="R6214" s="13"/>
      <c r="S6214" s="13"/>
    </row>
    <row r="6215" spans="1:19" x14ac:dyDescent="0.2">
      <c r="A6215" s="12" t="s">
        <v>585</v>
      </c>
      <c r="B6215" s="12" t="s">
        <v>570</v>
      </c>
      <c r="C6215" s="12" t="s">
        <v>563</v>
      </c>
      <c r="D6215" s="13">
        <v>0</v>
      </c>
      <c r="E6215" s="13">
        <v>0</v>
      </c>
      <c r="F6215" s="13">
        <v>0</v>
      </c>
      <c r="G6215" s="13">
        <v>0</v>
      </c>
      <c r="H6215" s="13"/>
      <c r="I6215" s="13"/>
      <c r="J6215" s="13"/>
      <c r="K6215" s="13"/>
      <c r="L6215" s="13"/>
      <c r="M6215" s="13"/>
      <c r="N6215" s="13"/>
      <c r="O6215" s="13"/>
      <c r="P6215" s="13"/>
      <c r="Q6215" s="13"/>
      <c r="R6215" s="13"/>
      <c r="S6215" s="13"/>
    </row>
    <row r="6216" spans="1:19" x14ac:dyDescent="0.2">
      <c r="A6216" s="12" t="s">
        <v>585</v>
      </c>
      <c r="B6216" s="12" t="s">
        <v>570</v>
      </c>
      <c r="C6216" s="12" t="s">
        <v>564</v>
      </c>
      <c r="D6216" s="13">
        <v>0</v>
      </c>
      <c r="E6216" s="13">
        <v>0</v>
      </c>
      <c r="F6216" s="13">
        <v>0</v>
      </c>
      <c r="G6216" s="13">
        <v>0</v>
      </c>
      <c r="H6216" s="13"/>
      <c r="I6216" s="13"/>
      <c r="J6216" s="13"/>
      <c r="K6216" s="13"/>
      <c r="L6216" s="13"/>
      <c r="M6216" s="13"/>
      <c r="N6216" s="13"/>
      <c r="O6216" s="13"/>
      <c r="P6216" s="13"/>
      <c r="Q6216" s="13"/>
      <c r="R6216" s="13"/>
      <c r="S6216" s="13"/>
    </row>
    <row r="6217" spans="1:19" x14ac:dyDescent="0.2">
      <c r="A6217" s="12" t="s">
        <v>585</v>
      </c>
      <c r="B6217" s="12" t="s">
        <v>570</v>
      </c>
      <c r="C6217" s="12" t="s">
        <v>565</v>
      </c>
      <c r="D6217" s="13">
        <v>0</v>
      </c>
      <c r="E6217" s="13">
        <v>0</v>
      </c>
      <c r="F6217" s="13">
        <v>0</v>
      </c>
      <c r="G6217" s="13">
        <v>0</v>
      </c>
      <c r="H6217" s="13"/>
      <c r="I6217" s="13"/>
      <c r="J6217" s="13"/>
      <c r="K6217" s="13"/>
      <c r="L6217" s="13"/>
      <c r="M6217" s="13"/>
      <c r="N6217" s="13"/>
      <c r="O6217" s="13"/>
      <c r="P6217" s="13"/>
      <c r="Q6217" s="13"/>
      <c r="R6217" s="13"/>
      <c r="S6217" s="13"/>
    </row>
    <row r="6218" spans="1:19" x14ac:dyDescent="0.2">
      <c r="A6218" s="12" t="s">
        <v>585</v>
      </c>
      <c r="B6218" s="12" t="s">
        <v>570</v>
      </c>
      <c r="C6218" s="12" t="s">
        <v>566</v>
      </c>
      <c r="D6218" s="13">
        <v>0</v>
      </c>
      <c r="E6218" s="13">
        <v>0</v>
      </c>
      <c r="F6218" s="13">
        <v>0</v>
      </c>
      <c r="G6218" s="13">
        <v>0</v>
      </c>
      <c r="H6218" s="13"/>
      <c r="I6218" s="13"/>
      <c r="J6218" s="13"/>
      <c r="K6218" s="13"/>
      <c r="L6218" s="13"/>
      <c r="M6218" s="13"/>
      <c r="N6218" s="13"/>
      <c r="O6218" s="13"/>
      <c r="P6218" s="13"/>
      <c r="Q6218" s="13"/>
      <c r="R6218" s="13"/>
      <c r="S6218" s="13"/>
    </row>
    <row r="6219" spans="1:19" x14ac:dyDescent="0.2">
      <c r="A6219" s="12" t="s">
        <v>585</v>
      </c>
      <c r="B6219" s="12" t="s">
        <v>571</v>
      </c>
      <c r="C6219" s="12" t="s">
        <v>554</v>
      </c>
      <c r="D6219" s="13">
        <v>205</v>
      </c>
      <c r="E6219" s="13">
        <v>174.89961</v>
      </c>
      <c r="F6219" s="13">
        <v>216.01364699999999</v>
      </c>
      <c r="G6219" s="13">
        <v>254.38852</v>
      </c>
      <c r="H6219" s="13"/>
      <c r="I6219" s="13"/>
      <c r="J6219" s="13"/>
      <c r="K6219" s="13"/>
      <c r="L6219" s="13"/>
      <c r="M6219" s="13"/>
      <c r="N6219" s="13"/>
      <c r="O6219" s="13"/>
      <c r="P6219" s="13"/>
      <c r="Q6219" s="13"/>
      <c r="R6219" s="13"/>
      <c r="S6219" s="13"/>
    </row>
    <row r="6220" spans="1:19" x14ac:dyDescent="0.2">
      <c r="A6220" s="12" t="s">
        <v>585</v>
      </c>
      <c r="B6220" s="12" t="s">
        <v>571</v>
      </c>
      <c r="C6220" s="12" t="s">
        <v>555</v>
      </c>
      <c r="D6220" s="13">
        <v>4</v>
      </c>
      <c r="E6220" s="13">
        <v>4.2308870000000001</v>
      </c>
      <c r="F6220" s="13">
        <v>4.8340709999999998</v>
      </c>
      <c r="G6220" s="13">
        <v>4.7999480000000014</v>
      </c>
      <c r="H6220" s="13"/>
      <c r="I6220" s="13"/>
      <c r="J6220" s="13"/>
      <c r="K6220" s="13"/>
      <c r="L6220" s="13"/>
      <c r="M6220" s="13"/>
      <c r="N6220" s="13"/>
      <c r="O6220" s="13"/>
      <c r="P6220" s="13"/>
      <c r="Q6220" s="13"/>
      <c r="R6220" s="13"/>
      <c r="S6220" s="13"/>
    </row>
    <row r="6221" spans="1:19" x14ac:dyDescent="0.2">
      <c r="A6221" s="12" t="s">
        <v>585</v>
      </c>
      <c r="B6221" s="12" t="s">
        <v>571</v>
      </c>
      <c r="C6221" s="12" t="s">
        <v>556</v>
      </c>
      <c r="D6221" s="13">
        <v>0</v>
      </c>
      <c r="E6221" s="13">
        <v>-0.14411399999999999</v>
      </c>
      <c r="F6221" s="13">
        <v>-0.118549</v>
      </c>
      <c r="G6221" s="13">
        <v>-0.114605</v>
      </c>
      <c r="H6221" s="13"/>
      <c r="I6221" s="13"/>
      <c r="J6221" s="13"/>
      <c r="K6221" s="13"/>
      <c r="L6221" s="13"/>
      <c r="M6221" s="13"/>
      <c r="N6221" s="13"/>
      <c r="O6221" s="13"/>
      <c r="P6221" s="13"/>
      <c r="Q6221" s="13"/>
      <c r="R6221" s="13"/>
      <c r="S6221" s="13"/>
    </row>
    <row r="6222" spans="1:19" x14ac:dyDescent="0.2">
      <c r="A6222" s="12" t="s">
        <v>585</v>
      </c>
      <c r="B6222" s="12" t="s">
        <v>571</v>
      </c>
      <c r="C6222" s="12" t="s">
        <v>557</v>
      </c>
      <c r="D6222" s="13">
        <v>210</v>
      </c>
      <c r="E6222" s="13">
        <v>178.986379</v>
      </c>
      <c r="F6222" s="13">
        <v>220.72916900000001</v>
      </c>
      <c r="G6222" s="13">
        <v>259.07386700000001</v>
      </c>
      <c r="H6222" s="13"/>
      <c r="I6222" s="13"/>
      <c r="J6222" s="13"/>
      <c r="K6222" s="13"/>
      <c r="L6222" s="13"/>
      <c r="M6222" s="13"/>
      <c r="N6222" s="13"/>
      <c r="O6222" s="13"/>
      <c r="P6222" s="13"/>
      <c r="Q6222" s="13"/>
      <c r="R6222" s="13"/>
      <c r="S6222" s="13"/>
    </row>
    <row r="6223" spans="1:19" x14ac:dyDescent="0.2">
      <c r="A6223" s="12" t="s">
        <v>585</v>
      </c>
      <c r="B6223" s="12" t="s">
        <v>571</v>
      </c>
      <c r="C6223" s="12" t="s">
        <v>558</v>
      </c>
      <c r="D6223" s="13">
        <v>-151</v>
      </c>
      <c r="E6223" s="13">
        <v>-120.07635999999999</v>
      </c>
      <c r="F6223" s="13">
        <v>-155.40529100000001</v>
      </c>
      <c r="G6223" s="13">
        <v>-188.04673099999999</v>
      </c>
      <c r="H6223" s="13"/>
      <c r="I6223" s="13"/>
      <c r="J6223" s="13"/>
      <c r="K6223" s="13"/>
      <c r="L6223" s="13"/>
      <c r="M6223" s="13"/>
      <c r="N6223" s="13"/>
      <c r="O6223" s="13"/>
      <c r="P6223" s="13"/>
      <c r="Q6223" s="13"/>
      <c r="R6223" s="13"/>
      <c r="S6223" s="13"/>
    </row>
    <row r="6224" spans="1:19" x14ac:dyDescent="0.2">
      <c r="A6224" s="12" t="s">
        <v>585</v>
      </c>
      <c r="B6224" s="12" t="s">
        <v>571</v>
      </c>
      <c r="C6224" s="12" t="s">
        <v>560</v>
      </c>
      <c r="D6224" s="13">
        <v>0</v>
      </c>
      <c r="E6224" s="13">
        <v>0</v>
      </c>
      <c r="F6224" s="13">
        <v>0</v>
      </c>
      <c r="G6224" s="13">
        <v>0</v>
      </c>
      <c r="H6224" s="13"/>
      <c r="I6224" s="13"/>
      <c r="J6224" s="13"/>
      <c r="K6224" s="13"/>
      <c r="L6224" s="13"/>
      <c r="M6224" s="13"/>
      <c r="N6224" s="13"/>
      <c r="O6224" s="13"/>
      <c r="P6224" s="13"/>
      <c r="Q6224" s="13"/>
      <c r="R6224" s="13"/>
      <c r="S6224" s="13"/>
    </row>
    <row r="6225" spans="1:19" x14ac:dyDescent="0.2">
      <c r="A6225" s="12" t="s">
        <v>585</v>
      </c>
      <c r="B6225" s="12" t="s">
        <v>571</v>
      </c>
      <c r="C6225" s="12" t="s">
        <v>561</v>
      </c>
      <c r="D6225" s="13">
        <v>48</v>
      </c>
      <c r="E6225" s="13">
        <v>48.705668000000003</v>
      </c>
      <c r="F6225" s="13">
        <v>55.105975000000008</v>
      </c>
      <c r="G6225" s="13">
        <v>60.689320000000002</v>
      </c>
      <c r="H6225" s="13"/>
      <c r="I6225" s="13"/>
      <c r="J6225" s="13"/>
      <c r="K6225" s="13"/>
      <c r="L6225" s="13"/>
      <c r="M6225" s="13"/>
      <c r="N6225" s="13"/>
      <c r="O6225" s="13"/>
      <c r="P6225" s="13"/>
      <c r="Q6225" s="13"/>
      <c r="R6225" s="13"/>
      <c r="S6225" s="13"/>
    </row>
    <row r="6226" spans="1:19" x14ac:dyDescent="0.2">
      <c r="A6226" s="12" t="s">
        <v>585</v>
      </c>
      <c r="B6226" s="12" t="s">
        <v>571</v>
      </c>
      <c r="C6226" s="12" t="s">
        <v>562</v>
      </c>
      <c r="D6226" s="13">
        <v>2</v>
      </c>
      <c r="E6226" s="13">
        <v>1.5765229999999999</v>
      </c>
      <c r="F6226" s="13">
        <v>1.5992569999999999</v>
      </c>
      <c r="G6226" s="13">
        <v>1.6672549999999999</v>
      </c>
      <c r="H6226" s="13"/>
      <c r="I6226" s="13"/>
      <c r="J6226" s="13"/>
      <c r="K6226" s="13"/>
      <c r="L6226" s="13"/>
      <c r="M6226" s="13"/>
      <c r="N6226" s="13"/>
      <c r="O6226" s="13"/>
      <c r="P6226" s="13"/>
      <c r="Q6226" s="13"/>
      <c r="R6226" s="13"/>
      <c r="S6226" s="13"/>
    </row>
    <row r="6227" spans="1:19" x14ac:dyDescent="0.2">
      <c r="A6227" s="12" t="s">
        <v>585</v>
      </c>
      <c r="B6227" s="12" t="s">
        <v>571</v>
      </c>
      <c r="C6227" s="12" t="s">
        <v>563</v>
      </c>
      <c r="D6227" s="13">
        <v>0</v>
      </c>
      <c r="E6227" s="13">
        <v>0</v>
      </c>
      <c r="F6227" s="13">
        <v>0</v>
      </c>
      <c r="G6227" s="13">
        <v>0</v>
      </c>
      <c r="H6227" s="13"/>
      <c r="I6227" s="13"/>
      <c r="J6227" s="13"/>
      <c r="K6227" s="13"/>
      <c r="L6227" s="13"/>
      <c r="M6227" s="13"/>
      <c r="N6227" s="13"/>
      <c r="O6227" s="13"/>
      <c r="P6227" s="13"/>
      <c r="Q6227" s="13"/>
      <c r="R6227" s="13"/>
      <c r="S6227" s="13"/>
    </row>
    <row r="6228" spans="1:19" x14ac:dyDescent="0.2">
      <c r="A6228" s="12" t="s">
        <v>585</v>
      </c>
      <c r="B6228" s="12" t="s">
        <v>571</v>
      </c>
      <c r="C6228" s="12" t="s">
        <v>564</v>
      </c>
      <c r="D6228" s="13">
        <v>27</v>
      </c>
      <c r="E6228" s="13">
        <v>27.064102999999999</v>
      </c>
      <c r="F6228" s="13">
        <v>32.400599</v>
      </c>
      <c r="G6228" s="13">
        <v>37.073197</v>
      </c>
      <c r="H6228" s="13"/>
      <c r="I6228" s="13"/>
      <c r="J6228" s="13"/>
      <c r="K6228" s="13"/>
      <c r="L6228" s="13"/>
      <c r="M6228" s="13"/>
      <c r="N6228" s="13"/>
      <c r="O6228" s="13"/>
      <c r="P6228" s="13"/>
      <c r="Q6228" s="13"/>
      <c r="R6228" s="13"/>
      <c r="S6228" s="13"/>
    </row>
    <row r="6229" spans="1:19" x14ac:dyDescent="0.2">
      <c r="A6229" s="12" t="s">
        <v>585</v>
      </c>
      <c r="B6229" s="12" t="s">
        <v>571</v>
      </c>
      <c r="C6229" s="12" t="s">
        <v>565</v>
      </c>
      <c r="D6229" s="13">
        <v>14</v>
      </c>
      <c r="E6229" s="13">
        <v>14.070868000000001</v>
      </c>
      <c r="F6229" s="13">
        <v>14.406829</v>
      </c>
      <c r="G6229" s="13">
        <v>15.162747</v>
      </c>
      <c r="H6229" s="13"/>
      <c r="I6229" s="13"/>
      <c r="J6229" s="13"/>
      <c r="K6229" s="13"/>
      <c r="L6229" s="13"/>
      <c r="M6229" s="13"/>
      <c r="N6229" s="13"/>
      <c r="O6229" s="13"/>
      <c r="P6229" s="13"/>
      <c r="Q6229" s="13"/>
      <c r="R6229" s="13"/>
      <c r="S6229" s="13"/>
    </row>
    <row r="6230" spans="1:19" x14ac:dyDescent="0.2">
      <c r="A6230" s="12" t="s">
        <v>585</v>
      </c>
      <c r="B6230" s="12" t="s">
        <v>571</v>
      </c>
      <c r="C6230" s="12" t="s">
        <v>566</v>
      </c>
      <c r="D6230" s="13">
        <v>6</v>
      </c>
      <c r="E6230" s="13">
        <v>5.9941750000000003</v>
      </c>
      <c r="F6230" s="13">
        <v>6.6992900000000004</v>
      </c>
      <c r="G6230" s="13">
        <v>6.7861289999999999</v>
      </c>
      <c r="H6230" s="13"/>
      <c r="I6230" s="13"/>
      <c r="J6230" s="13"/>
      <c r="K6230" s="13"/>
      <c r="L6230" s="13"/>
      <c r="M6230" s="13"/>
      <c r="N6230" s="13"/>
      <c r="O6230" s="13"/>
      <c r="P6230" s="13"/>
      <c r="Q6230" s="13"/>
      <c r="R6230" s="13"/>
      <c r="S6230" s="13"/>
    </row>
    <row r="6231" spans="1:19" x14ac:dyDescent="0.2">
      <c r="A6231" s="12" t="s">
        <v>585</v>
      </c>
      <c r="B6231" s="12" t="s">
        <v>572</v>
      </c>
      <c r="C6231" s="12" t="s">
        <v>554</v>
      </c>
      <c r="D6231" s="13">
        <v>0</v>
      </c>
      <c r="E6231" s="13">
        <v>0</v>
      </c>
      <c r="F6231" s="13">
        <v>0</v>
      </c>
      <c r="G6231" s="13">
        <v>0</v>
      </c>
      <c r="H6231" s="13"/>
      <c r="I6231" s="13"/>
      <c r="J6231" s="13"/>
      <c r="K6231" s="13"/>
      <c r="L6231" s="13"/>
      <c r="M6231" s="13"/>
      <c r="N6231" s="13"/>
      <c r="O6231" s="13"/>
      <c r="P6231" s="13"/>
      <c r="Q6231" s="13"/>
      <c r="R6231" s="13"/>
      <c r="S6231" s="13"/>
    </row>
    <row r="6232" spans="1:19" x14ac:dyDescent="0.2">
      <c r="A6232" s="12" t="s">
        <v>585</v>
      </c>
      <c r="B6232" s="12" t="s">
        <v>572</v>
      </c>
      <c r="C6232" s="12" t="s">
        <v>555</v>
      </c>
      <c r="D6232" s="13">
        <v>42</v>
      </c>
      <c r="E6232" s="13">
        <v>47.463377999999999</v>
      </c>
      <c r="F6232" s="13">
        <v>42.357613000000001</v>
      </c>
      <c r="G6232" s="13">
        <v>44.531956000000001</v>
      </c>
      <c r="H6232" s="13"/>
      <c r="I6232" s="13"/>
      <c r="J6232" s="13"/>
      <c r="K6232" s="13"/>
      <c r="L6232" s="13"/>
      <c r="M6232" s="13"/>
      <c r="N6232" s="13"/>
      <c r="O6232" s="13"/>
      <c r="P6232" s="13"/>
      <c r="Q6232" s="13"/>
      <c r="R6232" s="13"/>
      <c r="S6232" s="13"/>
    </row>
    <row r="6233" spans="1:19" x14ac:dyDescent="0.2">
      <c r="A6233" s="12" t="s">
        <v>585</v>
      </c>
      <c r="B6233" s="12" t="s">
        <v>572</v>
      </c>
      <c r="C6233" s="12" t="s">
        <v>556</v>
      </c>
      <c r="D6233" s="13">
        <v>-40</v>
      </c>
      <c r="E6233" s="13">
        <v>-24.881784</v>
      </c>
      <c r="F6233" s="13">
        <v>-21.987013999999999</v>
      </c>
      <c r="G6233" s="13">
        <v>-21.285674</v>
      </c>
      <c r="H6233" s="13"/>
      <c r="I6233" s="13"/>
      <c r="J6233" s="13"/>
      <c r="K6233" s="13"/>
      <c r="L6233" s="13"/>
      <c r="M6233" s="13"/>
      <c r="N6233" s="13"/>
      <c r="O6233" s="13"/>
      <c r="P6233" s="13"/>
      <c r="Q6233" s="13"/>
      <c r="R6233" s="13"/>
      <c r="S6233" s="13"/>
    </row>
    <row r="6234" spans="1:19" x14ac:dyDescent="0.2">
      <c r="A6234" s="12" t="s">
        <v>585</v>
      </c>
      <c r="B6234" s="12" t="s">
        <v>572</v>
      </c>
      <c r="C6234" s="12" t="s">
        <v>557</v>
      </c>
      <c r="D6234" s="13">
        <v>2</v>
      </c>
      <c r="E6234" s="13">
        <v>22.581598</v>
      </c>
      <c r="F6234" s="13">
        <v>20.370598999999999</v>
      </c>
      <c r="G6234" s="13">
        <v>23.246286000000001</v>
      </c>
      <c r="H6234" s="13"/>
      <c r="I6234" s="13"/>
      <c r="J6234" s="13"/>
      <c r="K6234" s="13"/>
      <c r="L6234" s="13"/>
      <c r="M6234" s="13"/>
      <c r="N6234" s="13"/>
      <c r="O6234" s="13"/>
      <c r="P6234" s="13"/>
      <c r="Q6234" s="13"/>
      <c r="R6234" s="13"/>
      <c r="S6234" s="13"/>
    </row>
    <row r="6235" spans="1:19" x14ac:dyDescent="0.2">
      <c r="A6235" s="12" t="s">
        <v>585</v>
      </c>
      <c r="B6235" s="12" t="s">
        <v>572</v>
      </c>
      <c r="C6235" s="12" t="s">
        <v>558</v>
      </c>
      <c r="D6235" s="13">
        <v>4525</v>
      </c>
      <c r="E6235" s="13">
        <v>4692.200879</v>
      </c>
      <c r="F6235" s="13">
        <v>4857.1567290000003</v>
      </c>
      <c r="G6235" s="13">
        <v>5132.3540629999998</v>
      </c>
      <c r="H6235" s="13"/>
      <c r="I6235" s="13"/>
      <c r="J6235" s="13"/>
      <c r="K6235" s="13"/>
      <c r="L6235" s="13"/>
      <c r="M6235" s="13"/>
      <c r="N6235" s="13"/>
      <c r="O6235" s="13"/>
      <c r="P6235" s="13"/>
      <c r="Q6235" s="13"/>
      <c r="R6235" s="13"/>
      <c r="S6235" s="13"/>
    </row>
    <row r="6236" spans="1:19" x14ac:dyDescent="0.2">
      <c r="A6236" s="12" t="s">
        <v>585</v>
      </c>
      <c r="B6236" s="12" t="s">
        <v>572</v>
      </c>
      <c r="C6236" s="12" t="s">
        <v>560</v>
      </c>
      <c r="D6236" s="13">
        <v>0</v>
      </c>
      <c r="E6236" s="13">
        <v>0</v>
      </c>
      <c r="F6236" s="13">
        <v>0</v>
      </c>
      <c r="G6236" s="13">
        <v>0</v>
      </c>
      <c r="H6236" s="13"/>
      <c r="I6236" s="13"/>
      <c r="J6236" s="13"/>
      <c r="K6236" s="13"/>
      <c r="L6236" s="13"/>
      <c r="M6236" s="13"/>
      <c r="N6236" s="13"/>
      <c r="O6236" s="13"/>
      <c r="P6236" s="13"/>
      <c r="Q6236" s="13"/>
      <c r="R6236" s="13"/>
      <c r="S6236" s="13"/>
    </row>
    <row r="6237" spans="1:19" x14ac:dyDescent="0.2">
      <c r="A6237" s="12" t="s">
        <v>585</v>
      </c>
      <c r="B6237" s="12" t="s">
        <v>572</v>
      </c>
      <c r="C6237" s="12" t="s">
        <v>561</v>
      </c>
      <c r="D6237" s="13">
        <v>3500</v>
      </c>
      <c r="E6237" s="13">
        <v>3685.282224</v>
      </c>
      <c r="F6237" s="13">
        <v>3805.0284299999998</v>
      </c>
      <c r="G6237" s="13">
        <v>4017.8632149999999</v>
      </c>
      <c r="H6237" s="13"/>
      <c r="I6237" s="13"/>
      <c r="J6237" s="13"/>
      <c r="K6237" s="13"/>
      <c r="L6237" s="13"/>
      <c r="M6237" s="13"/>
      <c r="N6237" s="13"/>
      <c r="O6237" s="13"/>
      <c r="P6237" s="13"/>
      <c r="Q6237" s="13"/>
      <c r="R6237" s="13"/>
      <c r="S6237" s="13"/>
    </row>
    <row r="6238" spans="1:19" x14ac:dyDescent="0.2">
      <c r="A6238" s="12" t="s">
        <v>585</v>
      </c>
      <c r="B6238" s="12" t="s">
        <v>572</v>
      </c>
      <c r="C6238" s="12" t="s">
        <v>562</v>
      </c>
      <c r="D6238" s="13">
        <v>835</v>
      </c>
      <c r="E6238" s="13">
        <v>857.36399000000006</v>
      </c>
      <c r="F6238" s="13">
        <v>904.98903700000005</v>
      </c>
      <c r="G6238" s="13">
        <v>941.36284999999998</v>
      </c>
      <c r="H6238" s="13"/>
      <c r="I6238" s="13"/>
      <c r="J6238" s="13"/>
      <c r="K6238" s="13"/>
      <c r="L6238" s="13"/>
      <c r="M6238" s="13"/>
      <c r="N6238" s="13"/>
      <c r="O6238" s="13"/>
      <c r="P6238" s="13"/>
      <c r="Q6238" s="13"/>
      <c r="R6238" s="13"/>
      <c r="S6238" s="13"/>
    </row>
    <row r="6239" spans="1:19" x14ac:dyDescent="0.2">
      <c r="A6239" s="12" t="s">
        <v>585</v>
      </c>
      <c r="B6239" s="12" t="s">
        <v>572</v>
      </c>
      <c r="C6239" s="12" t="s">
        <v>563</v>
      </c>
      <c r="D6239" s="13">
        <v>2</v>
      </c>
      <c r="E6239" s="13">
        <v>2.2805080000000002</v>
      </c>
      <c r="F6239" s="13">
        <v>2.4221180000000002</v>
      </c>
      <c r="G6239" s="13">
        <v>2.5757569999999999</v>
      </c>
      <c r="H6239" s="13"/>
      <c r="I6239" s="13"/>
      <c r="J6239" s="13"/>
      <c r="K6239" s="13"/>
      <c r="L6239" s="13"/>
      <c r="M6239" s="13"/>
      <c r="N6239" s="13"/>
      <c r="O6239" s="13"/>
      <c r="P6239" s="13"/>
      <c r="Q6239" s="13"/>
      <c r="R6239" s="13"/>
      <c r="S6239" s="13"/>
    </row>
    <row r="6240" spans="1:19" x14ac:dyDescent="0.2">
      <c r="A6240" s="12" t="s">
        <v>585</v>
      </c>
      <c r="B6240" s="12" t="s">
        <v>572</v>
      </c>
      <c r="C6240" s="12" t="s">
        <v>564</v>
      </c>
      <c r="D6240" s="13">
        <v>1428</v>
      </c>
      <c r="E6240" s="13">
        <v>1500.6728860000001</v>
      </c>
      <c r="F6240" s="13">
        <v>1505.990356</v>
      </c>
      <c r="G6240" s="13">
        <v>1588.0399130000001</v>
      </c>
      <c r="H6240" s="13"/>
      <c r="I6240" s="13"/>
      <c r="J6240" s="13"/>
      <c r="K6240" s="13"/>
      <c r="L6240" s="13"/>
      <c r="M6240" s="13"/>
      <c r="N6240" s="13"/>
      <c r="O6240" s="13"/>
      <c r="P6240" s="13"/>
      <c r="Q6240" s="13"/>
      <c r="R6240" s="13"/>
      <c r="S6240" s="13"/>
    </row>
    <row r="6241" spans="1:19" x14ac:dyDescent="0.2">
      <c r="A6241" s="12" t="s">
        <v>585</v>
      </c>
      <c r="B6241" s="12" t="s">
        <v>572</v>
      </c>
      <c r="C6241" s="12" t="s">
        <v>565</v>
      </c>
      <c r="D6241" s="13">
        <v>972</v>
      </c>
      <c r="E6241" s="13">
        <v>1052.1110329999999</v>
      </c>
      <c r="F6241" s="13">
        <v>1109.5724049999999</v>
      </c>
      <c r="G6241" s="13">
        <v>1183.530377</v>
      </c>
      <c r="H6241" s="13"/>
      <c r="I6241" s="13"/>
      <c r="J6241" s="13"/>
      <c r="K6241" s="13"/>
      <c r="L6241" s="13"/>
      <c r="M6241" s="13"/>
      <c r="N6241" s="13"/>
      <c r="O6241" s="13"/>
      <c r="P6241" s="13"/>
      <c r="Q6241" s="13"/>
      <c r="R6241" s="13"/>
      <c r="S6241" s="13"/>
    </row>
    <row r="6242" spans="1:19" x14ac:dyDescent="0.2">
      <c r="A6242" s="12" t="s">
        <v>585</v>
      </c>
      <c r="B6242" s="12" t="s">
        <v>572</v>
      </c>
      <c r="C6242" s="12" t="s">
        <v>566</v>
      </c>
      <c r="D6242" s="13">
        <v>262</v>
      </c>
      <c r="E6242" s="13">
        <v>272.85379399999999</v>
      </c>
      <c r="F6242" s="13">
        <v>282.05451199999999</v>
      </c>
      <c r="G6242" s="13">
        <v>302.35431699999998</v>
      </c>
      <c r="H6242" s="13"/>
      <c r="I6242" s="13"/>
      <c r="J6242" s="13"/>
      <c r="K6242" s="13"/>
      <c r="L6242" s="13"/>
      <c r="M6242" s="13"/>
      <c r="N6242" s="13"/>
      <c r="O6242" s="13"/>
      <c r="P6242" s="13"/>
      <c r="Q6242" s="13"/>
      <c r="R6242" s="13"/>
      <c r="S6242" s="13"/>
    </row>
    <row r="6243" spans="1:19" x14ac:dyDescent="0.2">
      <c r="A6243" s="12" t="s">
        <v>585</v>
      </c>
      <c r="B6243" s="12" t="s">
        <v>573</v>
      </c>
      <c r="C6243" s="12" t="s">
        <v>554</v>
      </c>
      <c r="D6243" s="13">
        <v>0</v>
      </c>
      <c r="E6243" s="13">
        <v>0</v>
      </c>
      <c r="F6243" s="13">
        <v>0</v>
      </c>
      <c r="G6243" s="13">
        <v>0</v>
      </c>
      <c r="H6243" s="13"/>
      <c r="I6243" s="13"/>
      <c r="J6243" s="13"/>
      <c r="K6243" s="13"/>
      <c r="L6243" s="13"/>
      <c r="M6243" s="13"/>
      <c r="N6243" s="13"/>
      <c r="O6243" s="13"/>
      <c r="P6243" s="13"/>
      <c r="Q6243" s="13"/>
      <c r="R6243" s="13"/>
      <c r="S6243" s="13"/>
    </row>
    <row r="6244" spans="1:19" x14ac:dyDescent="0.2">
      <c r="A6244" s="12" t="s">
        <v>585</v>
      </c>
      <c r="B6244" s="12" t="s">
        <v>573</v>
      </c>
      <c r="C6244" s="12" t="s">
        <v>555</v>
      </c>
      <c r="D6244" s="13">
        <v>0</v>
      </c>
      <c r="E6244" s="13">
        <v>0</v>
      </c>
      <c r="F6244" s="13">
        <v>0</v>
      </c>
      <c r="G6244" s="13">
        <v>0</v>
      </c>
      <c r="H6244" s="13"/>
      <c r="I6244" s="13"/>
      <c r="J6244" s="13"/>
      <c r="K6244" s="13"/>
      <c r="L6244" s="13"/>
      <c r="M6244" s="13"/>
      <c r="N6244" s="13"/>
      <c r="O6244" s="13"/>
      <c r="P6244" s="13"/>
      <c r="Q6244" s="13"/>
      <c r="R6244" s="13"/>
      <c r="S6244" s="13"/>
    </row>
    <row r="6245" spans="1:19" x14ac:dyDescent="0.2">
      <c r="A6245" s="12" t="s">
        <v>585</v>
      </c>
      <c r="B6245" s="12" t="s">
        <v>573</v>
      </c>
      <c r="C6245" s="12" t="s">
        <v>556</v>
      </c>
      <c r="D6245" s="13">
        <v>0</v>
      </c>
      <c r="E6245" s="13">
        <v>0</v>
      </c>
      <c r="F6245" s="13">
        <v>0</v>
      </c>
      <c r="G6245" s="13">
        <v>0</v>
      </c>
      <c r="H6245" s="13"/>
      <c r="I6245" s="13"/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</row>
    <row r="6246" spans="1:19" x14ac:dyDescent="0.2">
      <c r="A6246" s="12" t="s">
        <v>585</v>
      </c>
      <c r="B6246" s="12" t="s">
        <v>573</v>
      </c>
      <c r="C6246" s="12" t="s">
        <v>557</v>
      </c>
      <c r="D6246" s="13">
        <v>0</v>
      </c>
      <c r="E6246" s="13">
        <v>0</v>
      </c>
      <c r="F6246" s="13">
        <v>0</v>
      </c>
      <c r="G6246" s="13">
        <v>0</v>
      </c>
      <c r="H6246" s="13"/>
      <c r="I6246" s="13"/>
      <c r="J6246" s="13"/>
      <c r="K6246" s="13"/>
      <c r="L6246" s="13"/>
      <c r="M6246" s="13"/>
      <c r="N6246" s="13"/>
      <c r="O6246" s="13"/>
      <c r="P6246" s="13"/>
      <c r="Q6246" s="13"/>
      <c r="R6246" s="13"/>
      <c r="S6246" s="13"/>
    </row>
    <row r="6247" spans="1:19" x14ac:dyDescent="0.2">
      <c r="A6247" s="12" t="s">
        <v>585</v>
      </c>
      <c r="B6247" s="12" t="s">
        <v>573</v>
      </c>
      <c r="C6247" s="12" t="s">
        <v>558</v>
      </c>
      <c r="D6247" s="13">
        <v>0</v>
      </c>
      <c r="E6247" s="13">
        <v>0</v>
      </c>
      <c r="F6247" s="13">
        <v>0</v>
      </c>
      <c r="G6247" s="13">
        <v>0</v>
      </c>
      <c r="H6247" s="13"/>
      <c r="I6247" s="13"/>
      <c r="J6247" s="13"/>
      <c r="K6247" s="13"/>
      <c r="L6247" s="13"/>
      <c r="M6247" s="13"/>
      <c r="N6247" s="13"/>
      <c r="O6247" s="13"/>
      <c r="P6247" s="13"/>
      <c r="Q6247" s="13"/>
      <c r="R6247" s="13"/>
      <c r="S6247" s="13"/>
    </row>
    <row r="6248" spans="1:19" x14ac:dyDescent="0.2">
      <c r="A6248" s="12" t="s">
        <v>585</v>
      </c>
      <c r="B6248" s="12" t="s">
        <v>573</v>
      </c>
      <c r="C6248" s="12" t="s">
        <v>560</v>
      </c>
      <c r="D6248" s="13">
        <v>0</v>
      </c>
      <c r="E6248" s="13">
        <v>0</v>
      </c>
      <c r="F6248" s="13">
        <v>0</v>
      </c>
      <c r="G6248" s="13">
        <v>0</v>
      </c>
      <c r="H6248" s="13"/>
      <c r="I6248" s="13"/>
      <c r="J6248" s="13"/>
      <c r="K6248" s="13"/>
      <c r="L6248" s="13"/>
      <c r="M6248" s="13"/>
      <c r="N6248" s="13"/>
      <c r="O6248" s="13"/>
      <c r="P6248" s="13"/>
      <c r="Q6248" s="13"/>
      <c r="R6248" s="13"/>
      <c r="S6248" s="13"/>
    </row>
    <row r="6249" spans="1:19" x14ac:dyDescent="0.2">
      <c r="A6249" s="12" t="s">
        <v>585</v>
      </c>
      <c r="B6249" s="12" t="s">
        <v>573</v>
      </c>
      <c r="C6249" s="12" t="s">
        <v>561</v>
      </c>
      <c r="D6249" s="13">
        <v>0</v>
      </c>
      <c r="E6249" s="13">
        <v>0</v>
      </c>
      <c r="F6249" s="13">
        <v>0</v>
      </c>
      <c r="G6249" s="13">
        <v>0</v>
      </c>
      <c r="H6249" s="13"/>
      <c r="I6249" s="13"/>
      <c r="J6249" s="13"/>
      <c r="K6249" s="13"/>
      <c r="L6249" s="13"/>
      <c r="M6249" s="13"/>
      <c r="N6249" s="13"/>
      <c r="O6249" s="13"/>
      <c r="P6249" s="13"/>
      <c r="Q6249" s="13"/>
      <c r="R6249" s="13"/>
      <c r="S6249" s="13"/>
    </row>
    <row r="6250" spans="1:19" x14ac:dyDescent="0.2">
      <c r="A6250" s="12" t="s">
        <v>585</v>
      </c>
      <c r="B6250" s="12" t="s">
        <v>573</v>
      </c>
      <c r="C6250" s="12" t="s">
        <v>562</v>
      </c>
      <c r="D6250" s="13">
        <v>0</v>
      </c>
      <c r="E6250" s="13">
        <v>0</v>
      </c>
      <c r="F6250" s="13">
        <v>0</v>
      </c>
      <c r="G6250" s="13">
        <v>0</v>
      </c>
      <c r="H6250" s="13"/>
      <c r="I6250" s="13"/>
      <c r="J6250" s="13"/>
      <c r="K6250" s="13"/>
      <c r="L6250" s="13"/>
      <c r="M6250" s="13"/>
      <c r="N6250" s="13"/>
      <c r="O6250" s="13"/>
      <c r="P6250" s="13"/>
      <c r="Q6250" s="13"/>
      <c r="R6250" s="13"/>
      <c r="S6250" s="13"/>
    </row>
    <row r="6251" spans="1:19" x14ac:dyDescent="0.2">
      <c r="A6251" s="12" t="s">
        <v>585</v>
      </c>
      <c r="B6251" s="12" t="s">
        <v>573</v>
      </c>
      <c r="C6251" s="12" t="s">
        <v>563</v>
      </c>
      <c r="D6251" s="13">
        <v>0</v>
      </c>
      <c r="E6251" s="13">
        <v>0</v>
      </c>
      <c r="F6251" s="13">
        <v>0</v>
      </c>
      <c r="G6251" s="13">
        <v>0</v>
      </c>
      <c r="H6251" s="13"/>
      <c r="I6251" s="13"/>
      <c r="J6251" s="13"/>
      <c r="K6251" s="13"/>
      <c r="L6251" s="13"/>
      <c r="M6251" s="13"/>
      <c r="N6251" s="13"/>
      <c r="O6251" s="13"/>
      <c r="P6251" s="13"/>
      <c r="Q6251" s="13"/>
      <c r="R6251" s="13"/>
      <c r="S6251" s="13"/>
    </row>
    <row r="6252" spans="1:19" x14ac:dyDescent="0.2">
      <c r="A6252" s="12" t="s">
        <v>585</v>
      </c>
      <c r="B6252" s="12" t="s">
        <v>573</v>
      </c>
      <c r="C6252" s="12" t="s">
        <v>564</v>
      </c>
      <c r="D6252" s="13">
        <v>0</v>
      </c>
      <c r="E6252" s="13">
        <v>0</v>
      </c>
      <c r="F6252" s="13">
        <v>0</v>
      </c>
      <c r="G6252" s="13">
        <v>0</v>
      </c>
      <c r="H6252" s="13"/>
      <c r="I6252" s="13"/>
      <c r="J6252" s="13"/>
      <c r="K6252" s="13"/>
      <c r="L6252" s="13"/>
      <c r="M6252" s="13"/>
      <c r="N6252" s="13"/>
      <c r="O6252" s="13"/>
      <c r="P6252" s="13"/>
      <c r="Q6252" s="13"/>
      <c r="R6252" s="13"/>
      <c r="S6252" s="13"/>
    </row>
    <row r="6253" spans="1:19" x14ac:dyDescent="0.2">
      <c r="A6253" s="12" t="s">
        <v>585</v>
      </c>
      <c r="B6253" s="12" t="s">
        <v>573</v>
      </c>
      <c r="C6253" s="12" t="s">
        <v>565</v>
      </c>
      <c r="D6253" s="13">
        <v>0</v>
      </c>
      <c r="E6253" s="13">
        <v>0</v>
      </c>
      <c r="F6253" s="13">
        <v>0</v>
      </c>
      <c r="G6253" s="13">
        <v>0</v>
      </c>
      <c r="H6253" s="13"/>
      <c r="I6253" s="13"/>
      <c r="J6253" s="13"/>
      <c r="K6253" s="13"/>
      <c r="L6253" s="13"/>
      <c r="M6253" s="13"/>
      <c r="N6253" s="13"/>
      <c r="O6253" s="13"/>
      <c r="P6253" s="13"/>
      <c r="Q6253" s="13"/>
      <c r="R6253" s="13"/>
      <c r="S6253" s="13"/>
    </row>
    <row r="6254" spans="1:19" x14ac:dyDescent="0.2">
      <c r="A6254" s="12" t="s">
        <v>585</v>
      </c>
      <c r="B6254" s="12" t="s">
        <v>573</v>
      </c>
      <c r="C6254" s="12" t="s">
        <v>566</v>
      </c>
      <c r="D6254" s="13">
        <v>0</v>
      </c>
      <c r="E6254" s="13">
        <v>0</v>
      </c>
      <c r="F6254" s="13">
        <v>0</v>
      </c>
      <c r="G6254" s="13">
        <v>0</v>
      </c>
      <c r="H6254" s="13"/>
      <c r="I6254" s="13"/>
      <c r="J6254" s="13"/>
      <c r="K6254" s="13"/>
      <c r="L6254" s="13"/>
      <c r="M6254" s="13"/>
      <c r="N6254" s="13"/>
      <c r="O6254" s="13"/>
      <c r="P6254" s="13"/>
      <c r="Q6254" s="13"/>
      <c r="R6254" s="13"/>
      <c r="S6254" s="13"/>
    </row>
    <row r="6255" spans="1:19" x14ac:dyDescent="0.2">
      <c r="A6255" s="12" t="s">
        <v>585</v>
      </c>
      <c r="B6255" s="12" t="s">
        <v>574</v>
      </c>
      <c r="C6255" s="12" t="s">
        <v>554</v>
      </c>
      <c r="D6255" s="13">
        <v>78438</v>
      </c>
      <c r="E6255" s="13">
        <v>79489.647916000002</v>
      </c>
      <c r="F6255" s="13">
        <v>85982.925437999991</v>
      </c>
      <c r="G6255" s="13">
        <v>84169.938939</v>
      </c>
      <c r="H6255" s="13"/>
      <c r="I6255" s="13"/>
      <c r="J6255" s="13"/>
      <c r="K6255" s="13"/>
      <c r="L6255" s="13"/>
      <c r="M6255" s="13"/>
      <c r="N6255" s="13"/>
      <c r="O6255" s="13"/>
      <c r="P6255" s="13"/>
      <c r="Q6255" s="13"/>
      <c r="R6255" s="13"/>
      <c r="S6255" s="13"/>
    </row>
    <row r="6256" spans="1:19" x14ac:dyDescent="0.2">
      <c r="A6256" s="12" t="s">
        <v>585</v>
      </c>
      <c r="B6256" s="12" t="s">
        <v>574</v>
      </c>
      <c r="C6256" s="12" t="s">
        <v>555</v>
      </c>
      <c r="D6256" s="13">
        <v>5328</v>
      </c>
      <c r="E6256" s="13">
        <v>5309.7572410000002</v>
      </c>
      <c r="F6256" s="13">
        <v>5404.6933370000006</v>
      </c>
      <c r="G6256" s="13">
        <v>5817.4452259999998</v>
      </c>
      <c r="H6256" s="13"/>
      <c r="I6256" s="13"/>
      <c r="J6256" s="13"/>
      <c r="K6256" s="13"/>
      <c r="L6256" s="13"/>
      <c r="M6256" s="13"/>
      <c r="N6256" s="13"/>
      <c r="O6256" s="13"/>
      <c r="P6256" s="13"/>
      <c r="Q6256" s="13"/>
      <c r="R6256" s="13"/>
      <c r="S6256" s="13"/>
    </row>
    <row r="6257" spans="1:19" x14ac:dyDescent="0.2">
      <c r="A6257" s="12" t="s">
        <v>585</v>
      </c>
      <c r="B6257" s="12" t="s">
        <v>574</v>
      </c>
      <c r="C6257" s="12" t="s">
        <v>556</v>
      </c>
      <c r="D6257" s="13">
        <v>-49795</v>
      </c>
      <c r="E6257" s="13">
        <v>-49710.619465000003</v>
      </c>
      <c r="F6257" s="13">
        <v>-54315.527012000013</v>
      </c>
      <c r="G6257" s="13">
        <v>-51653.268736000013</v>
      </c>
      <c r="H6257" s="13"/>
      <c r="I6257" s="13"/>
      <c r="J6257" s="13"/>
      <c r="K6257" s="13"/>
      <c r="L6257" s="13"/>
      <c r="M6257" s="13"/>
      <c r="N6257" s="13"/>
      <c r="O6257" s="13"/>
      <c r="P6257" s="13"/>
      <c r="Q6257" s="13"/>
      <c r="R6257" s="13"/>
      <c r="S6257" s="13"/>
    </row>
    <row r="6258" spans="1:19" x14ac:dyDescent="0.2">
      <c r="A6258" s="12" t="s">
        <v>585</v>
      </c>
      <c r="B6258" s="12" t="s">
        <v>574</v>
      </c>
      <c r="C6258" s="12" t="s">
        <v>557</v>
      </c>
      <c r="D6258" s="13">
        <v>33089</v>
      </c>
      <c r="E6258" s="13">
        <v>34137.414597000003</v>
      </c>
      <c r="F6258" s="13">
        <v>35187.388415000001</v>
      </c>
      <c r="G6258" s="13">
        <v>36618.427356</v>
      </c>
      <c r="H6258" s="13"/>
      <c r="I6258" s="13"/>
      <c r="J6258" s="13"/>
      <c r="K6258" s="13"/>
      <c r="L6258" s="13"/>
      <c r="M6258" s="13"/>
      <c r="N6258" s="13"/>
      <c r="O6258" s="13"/>
      <c r="P6258" s="13"/>
      <c r="Q6258" s="13"/>
      <c r="R6258" s="13"/>
      <c r="S6258" s="13"/>
    </row>
    <row r="6259" spans="1:19" x14ac:dyDescent="0.2">
      <c r="A6259" s="12" t="s">
        <v>585</v>
      </c>
      <c r="B6259" s="12" t="s">
        <v>574</v>
      </c>
      <c r="C6259" s="12" t="s">
        <v>558</v>
      </c>
      <c r="D6259" s="13">
        <v>-7154</v>
      </c>
      <c r="E6259" s="13">
        <v>-7500.2866969999995</v>
      </c>
      <c r="F6259" s="13">
        <v>-7737.7448139999997</v>
      </c>
      <c r="G6259" s="13">
        <v>-8051.1842500000002</v>
      </c>
      <c r="H6259" s="13"/>
      <c r="I6259" s="13"/>
      <c r="J6259" s="13"/>
      <c r="K6259" s="13"/>
      <c r="L6259" s="13"/>
      <c r="M6259" s="13"/>
      <c r="N6259" s="13"/>
      <c r="O6259" s="13"/>
      <c r="P6259" s="13"/>
      <c r="Q6259" s="13"/>
      <c r="R6259" s="13"/>
      <c r="S6259" s="13"/>
    </row>
    <row r="6260" spans="1:19" x14ac:dyDescent="0.2">
      <c r="A6260" s="12" t="s">
        <v>585</v>
      </c>
      <c r="B6260" s="12" t="s">
        <v>574</v>
      </c>
      <c r="C6260" s="12" t="s">
        <v>560</v>
      </c>
      <c r="D6260" s="13">
        <v>-232</v>
      </c>
      <c r="E6260" s="13">
        <v>-415.92918900000001</v>
      </c>
      <c r="F6260" s="13">
        <v>-487.45090699999997</v>
      </c>
      <c r="G6260" s="13">
        <v>-475.30681299999998</v>
      </c>
      <c r="H6260" s="13"/>
      <c r="I6260" s="13"/>
      <c r="J6260" s="13"/>
      <c r="K6260" s="13"/>
      <c r="L6260" s="13"/>
      <c r="M6260" s="13"/>
      <c r="N6260" s="13"/>
      <c r="O6260" s="13"/>
      <c r="P6260" s="13"/>
      <c r="Q6260" s="13"/>
      <c r="R6260" s="13"/>
      <c r="S6260" s="13"/>
    </row>
    <row r="6261" spans="1:19" x14ac:dyDescent="0.2">
      <c r="A6261" s="12" t="s">
        <v>585</v>
      </c>
      <c r="B6261" s="12" t="s">
        <v>574</v>
      </c>
      <c r="C6261" s="12" t="s">
        <v>561</v>
      </c>
      <c r="D6261" s="13">
        <v>22693</v>
      </c>
      <c r="E6261" s="13">
        <v>23226.105511000002</v>
      </c>
      <c r="F6261" s="13">
        <v>24125.467556</v>
      </c>
      <c r="G6261" s="13">
        <v>24876.938322999998</v>
      </c>
      <c r="H6261" s="13"/>
      <c r="I6261" s="13"/>
      <c r="J6261" s="13"/>
      <c r="K6261" s="13"/>
      <c r="L6261" s="13"/>
      <c r="M6261" s="13"/>
      <c r="N6261" s="13"/>
      <c r="O6261" s="13"/>
      <c r="P6261" s="13"/>
      <c r="Q6261" s="13"/>
      <c r="R6261" s="13"/>
      <c r="S6261" s="13"/>
    </row>
    <row r="6262" spans="1:19" x14ac:dyDescent="0.2">
      <c r="A6262" s="12" t="s">
        <v>585</v>
      </c>
      <c r="B6262" s="12" t="s">
        <v>574</v>
      </c>
      <c r="C6262" s="12" t="s">
        <v>562</v>
      </c>
      <c r="D6262" s="13">
        <v>5829</v>
      </c>
      <c r="E6262" s="13">
        <v>6037.8560040000002</v>
      </c>
      <c r="F6262" s="13">
        <v>6355.0205610000003</v>
      </c>
      <c r="G6262" s="13">
        <v>6618.9734400000007</v>
      </c>
      <c r="H6262" s="13"/>
      <c r="I6262" s="13"/>
      <c r="J6262" s="13"/>
      <c r="K6262" s="13"/>
      <c r="L6262" s="13"/>
      <c r="M6262" s="13"/>
      <c r="N6262" s="13"/>
      <c r="O6262" s="13"/>
      <c r="P6262" s="13"/>
      <c r="Q6262" s="13"/>
      <c r="R6262" s="13"/>
      <c r="S6262" s="13"/>
    </row>
    <row r="6263" spans="1:19" x14ac:dyDescent="0.2">
      <c r="A6263" s="12" t="s">
        <v>585</v>
      </c>
      <c r="B6263" s="12" t="s">
        <v>574</v>
      </c>
      <c r="C6263" s="12" t="s">
        <v>563</v>
      </c>
      <c r="D6263" s="13">
        <v>5315</v>
      </c>
      <c r="E6263" s="13">
        <v>5786.0372550000002</v>
      </c>
      <c r="F6263" s="13">
        <v>6296.6859020000002</v>
      </c>
      <c r="G6263" s="13">
        <v>6282.4432960000004</v>
      </c>
      <c r="H6263" s="13"/>
      <c r="I6263" s="13"/>
      <c r="J6263" s="13"/>
      <c r="K6263" s="13"/>
      <c r="L6263" s="13"/>
      <c r="M6263" s="13"/>
      <c r="N6263" s="13"/>
      <c r="O6263" s="13"/>
      <c r="P6263" s="13"/>
      <c r="Q6263" s="13"/>
      <c r="R6263" s="13"/>
      <c r="S6263" s="13"/>
    </row>
    <row r="6264" spans="1:19" x14ac:dyDescent="0.2">
      <c r="A6264" s="12" t="s">
        <v>585</v>
      </c>
      <c r="B6264" s="12" t="s">
        <v>574</v>
      </c>
      <c r="C6264" s="12" t="s">
        <v>564</v>
      </c>
      <c r="D6264" s="13">
        <v>4211</v>
      </c>
      <c r="E6264" s="13">
        <v>4263.8344400000015</v>
      </c>
      <c r="F6264" s="13">
        <v>4319.6557300000004</v>
      </c>
      <c r="G6264" s="13">
        <v>4583.5125930000004</v>
      </c>
      <c r="H6264" s="13"/>
      <c r="I6264" s="13"/>
      <c r="J6264" s="13"/>
      <c r="K6264" s="13"/>
      <c r="L6264" s="13"/>
      <c r="M6264" s="13"/>
      <c r="N6264" s="13"/>
      <c r="O6264" s="13"/>
      <c r="P6264" s="13"/>
      <c r="Q6264" s="13"/>
      <c r="R6264" s="13"/>
      <c r="S6264" s="13"/>
    </row>
    <row r="6265" spans="1:19" x14ac:dyDescent="0.2">
      <c r="A6265" s="12" t="s">
        <v>585</v>
      </c>
      <c r="B6265" s="12" t="s">
        <v>574</v>
      </c>
      <c r="C6265" s="12" t="s">
        <v>565</v>
      </c>
      <c r="D6265" s="13">
        <v>2429</v>
      </c>
      <c r="E6265" s="13">
        <v>2568.1453590000001</v>
      </c>
      <c r="F6265" s="13">
        <v>2577.2335119999998</v>
      </c>
      <c r="G6265" s="13">
        <v>2740.4998249999999</v>
      </c>
      <c r="H6265" s="13"/>
      <c r="I6265" s="13"/>
      <c r="J6265" s="13"/>
      <c r="K6265" s="13"/>
      <c r="L6265" s="13"/>
      <c r="M6265" s="13"/>
      <c r="N6265" s="13"/>
      <c r="O6265" s="13"/>
      <c r="P6265" s="13"/>
      <c r="Q6265" s="13"/>
      <c r="R6265" s="13"/>
      <c r="S6265" s="13"/>
    </row>
    <row r="6266" spans="1:19" x14ac:dyDescent="0.2">
      <c r="A6266" s="12" t="s">
        <v>585</v>
      </c>
      <c r="B6266" s="12" t="s">
        <v>574</v>
      </c>
      <c r="C6266" s="12" t="s">
        <v>566</v>
      </c>
      <c r="D6266" s="13">
        <v>4908</v>
      </c>
      <c r="E6266" s="13">
        <v>4570.2324150000004</v>
      </c>
      <c r="F6266" s="13">
        <v>4576.8718600000002</v>
      </c>
      <c r="G6266" s="13">
        <v>4651.5091559999992</v>
      </c>
      <c r="H6266" s="13"/>
      <c r="I6266" s="13"/>
      <c r="J6266" s="13"/>
      <c r="K6266" s="13"/>
      <c r="L6266" s="13"/>
      <c r="M6266" s="13"/>
      <c r="N6266" s="13"/>
      <c r="O6266" s="13"/>
      <c r="P6266" s="13"/>
      <c r="Q6266" s="13"/>
      <c r="R6266" s="13"/>
      <c r="S6266" s="13"/>
    </row>
    <row r="6267" spans="1:19" x14ac:dyDescent="0.2">
      <c r="A6267" s="12" t="s">
        <v>586</v>
      </c>
      <c r="B6267" s="12" t="s">
        <v>553</v>
      </c>
      <c r="C6267" s="12" t="s">
        <v>554</v>
      </c>
      <c r="D6267" s="13">
        <v>28453</v>
      </c>
      <c r="E6267" s="13">
        <v>28824.697670000001</v>
      </c>
      <c r="F6267" s="13">
        <v>29243.372349000001</v>
      </c>
      <c r="G6267" s="13">
        <v>27669.658718999999</v>
      </c>
      <c r="H6267" s="13"/>
      <c r="I6267" s="13"/>
      <c r="J6267" s="13"/>
      <c r="K6267" s="13"/>
      <c r="L6267" s="13"/>
      <c r="M6267" s="13"/>
      <c r="N6267" s="13"/>
      <c r="O6267" s="13"/>
      <c r="P6267" s="13"/>
      <c r="Q6267" s="13"/>
      <c r="R6267" s="13"/>
      <c r="S6267" s="13"/>
    </row>
    <row r="6268" spans="1:19" x14ac:dyDescent="0.2">
      <c r="A6268" s="12" t="s">
        <v>586</v>
      </c>
      <c r="B6268" s="12" t="s">
        <v>553</v>
      </c>
      <c r="C6268" s="12" t="s">
        <v>555</v>
      </c>
      <c r="D6268" s="13">
        <v>11516</v>
      </c>
      <c r="E6268" s="13">
        <v>12387.304629</v>
      </c>
      <c r="F6268" s="13">
        <v>12840.191359</v>
      </c>
      <c r="G6268" s="13">
        <v>11412.201747999999</v>
      </c>
      <c r="H6268" s="13"/>
      <c r="I6268" s="13"/>
      <c r="J6268" s="13"/>
      <c r="K6268" s="13"/>
      <c r="L6268" s="13"/>
      <c r="M6268" s="13"/>
      <c r="N6268" s="13"/>
      <c r="O6268" s="13"/>
      <c r="P6268" s="13"/>
      <c r="Q6268" s="13"/>
      <c r="R6268" s="13"/>
      <c r="S6268" s="13"/>
    </row>
    <row r="6269" spans="1:19" x14ac:dyDescent="0.2">
      <c r="A6269" s="12" t="s">
        <v>586</v>
      </c>
      <c r="B6269" s="12" t="s">
        <v>553</v>
      </c>
      <c r="C6269" s="12" t="s">
        <v>556</v>
      </c>
      <c r="D6269" s="13">
        <v>-13727</v>
      </c>
      <c r="E6269" s="13">
        <v>-13558.034288000001</v>
      </c>
      <c r="F6269" s="13">
        <v>-13450.700666999999</v>
      </c>
      <c r="G6269" s="13">
        <v>-13335.421361999999</v>
      </c>
      <c r="H6269" s="13"/>
      <c r="I6269" s="13"/>
      <c r="J6269" s="13"/>
      <c r="K6269" s="13"/>
      <c r="L6269" s="13"/>
      <c r="M6269" s="13"/>
      <c r="N6269" s="13"/>
      <c r="O6269" s="13"/>
      <c r="P6269" s="13"/>
      <c r="Q6269" s="13"/>
      <c r="R6269" s="13"/>
      <c r="S6269" s="13"/>
    </row>
    <row r="6270" spans="1:19" x14ac:dyDescent="0.2">
      <c r="A6270" s="12" t="s">
        <v>586</v>
      </c>
      <c r="B6270" s="12" t="s">
        <v>553</v>
      </c>
      <c r="C6270" s="12" t="s">
        <v>557</v>
      </c>
      <c r="D6270" s="13">
        <v>26633</v>
      </c>
      <c r="E6270" s="13">
        <v>29258.570487000001</v>
      </c>
      <c r="F6270" s="13">
        <v>28263.103977999999</v>
      </c>
      <c r="G6270" s="13">
        <v>24661.231087</v>
      </c>
      <c r="H6270" s="13"/>
      <c r="I6270" s="13"/>
      <c r="J6270" s="13"/>
      <c r="K6270" s="13"/>
      <c r="L6270" s="13"/>
      <c r="M6270" s="13"/>
      <c r="N6270" s="13"/>
      <c r="O6270" s="13"/>
      <c r="P6270" s="13"/>
      <c r="Q6270" s="13"/>
      <c r="R6270" s="13"/>
      <c r="S6270" s="13"/>
    </row>
    <row r="6271" spans="1:19" x14ac:dyDescent="0.2">
      <c r="A6271" s="12" t="s">
        <v>586</v>
      </c>
      <c r="B6271" s="12" t="s">
        <v>553</v>
      </c>
      <c r="C6271" s="12" t="s">
        <v>558</v>
      </c>
      <c r="D6271" s="13">
        <v>-20048</v>
      </c>
      <c r="E6271" s="13">
        <v>-22066.466128</v>
      </c>
      <c r="F6271" s="13">
        <v>-21423.883748</v>
      </c>
      <c r="G6271" s="13">
        <v>-18360.802743</v>
      </c>
      <c r="H6271" s="13"/>
      <c r="I6271" s="13"/>
      <c r="J6271" s="13"/>
      <c r="K6271" s="13"/>
      <c r="L6271" s="13"/>
      <c r="M6271" s="13"/>
      <c r="N6271" s="13"/>
      <c r="O6271" s="13"/>
      <c r="P6271" s="13"/>
      <c r="Q6271" s="13"/>
      <c r="R6271" s="13"/>
      <c r="S6271" s="13"/>
    </row>
    <row r="6272" spans="1:19" x14ac:dyDescent="0.2">
      <c r="A6272" s="12" t="s">
        <v>586</v>
      </c>
      <c r="B6272" s="12" t="s">
        <v>553</v>
      </c>
      <c r="C6272" s="12" t="s">
        <v>560</v>
      </c>
      <c r="D6272" s="13">
        <v>0</v>
      </c>
      <c r="E6272" s="13">
        <v>0</v>
      </c>
      <c r="F6272" s="13">
        <v>0</v>
      </c>
      <c r="G6272" s="13">
        <v>0</v>
      </c>
      <c r="H6272" s="13"/>
      <c r="I6272" s="13"/>
      <c r="J6272" s="13"/>
      <c r="K6272" s="13"/>
      <c r="L6272" s="13"/>
      <c r="M6272" s="13"/>
      <c r="N6272" s="13"/>
      <c r="O6272" s="13"/>
      <c r="P6272" s="13"/>
      <c r="Q6272" s="13"/>
      <c r="R6272" s="13"/>
      <c r="S6272" s="13"/>
    </row>
    <row r="6273" spans="1:19" x14ac:dyDescent="0.2">
      <c r="A6273" s="12" t="s">
        <v>586</v>
      </c>
      <c r="B6273" s="12" t="s">
        <v>553</v>
      </c>
      <c r="C6273" s="12" t="s">
        <v>561</v>
      </c>
      <c r="D6273" s="13">
        <v>3684</v>
      </c>
      <c r="E6273" s="13">
        <v>3792.793189</v>
      </c>
      <c r="F6273" s="13">
        <v>3547.7075719999998</v>
      </c>
      <c r="G6273" s="13">
        <v>3317.9990830000002</v>
      </c>
      <c r="H6273" s="13"/>
      <c r="I6273" s="13"/>
      <c r="J6273" s="13"/>
      <c r="K6273" s="13"/>
      <c r="L6273" s="13"/>
      <c r="M6273" s="13"/>
      <c r="N6273" s="13"/>
      <c r="O6273" s="13"/>
      <c r="P6273" s="13"/>
      <c r="Q6273" s="13"/>
      <c r="R6273" s="13"/>
      <c r="S6273" s="13"/>
    </row>
    <row r="6274" spans="1:19" x14ac:dyDescent="0.2">
      <c r="A6274" s="12" t="s">
        <v>586</v>
      </c>
      <c r="B6274" s="12" t="s">
        <v>553</v>
      </c>
      <c r="C6274" s="12" t="s">
        <v>562</v>
      </c>
      <c r="D6274" s="13">
        <v>2947</v>
      </c>
      <c r="E6274" s="13">
        <v>3099.2724910000002</v>
      </c>
      <c r="F6274" s="13">
        <v>2962.3160870000002</v>
      </c>
      <c r="G6274" s="13">
        <v>2770.5854370000002</v>
      </c>
      <c r="H6274" s="13"/>
      <c r="I6274" s="13"/>
      <c r="J6274" s="13"/>
      <c r="K6274" s="13"/>
      <c r="L6274" s="13"/>
      <c r="M6274" s="13"/>
      <c r="N6274" s="13"/>
      <c r="O6274" s="13"/>
      <c r="P6274" s="13"/>
      <c r="Q6274" s="13"/>
      <c r="R6274" s="13"/>
      <c r="S6274" s="13"/>
    </row>
    <row r="6275" spans="1:19" x14ac:dyDescent="0.2">
      <c r="A6275" s="12" t="s">
        <v>586</v>
      </c>
      <c r="B6275" s="12" t="s">
        <v>553</v>
      </c>
      <c r="C6275" s="12" t="s">
        <v>563</v>
      </c>
      <c r="D6275" s="13">
        <v>0</v>
      </c>
      <c r="E6275" s="13">
        <v>0.41434199999999999</v>
      </c>
      <c r="F6275" s="13">
        <v>0.450567</v>
      </c>
      <c r="G6275" s="13">
        <v>0.431425</v>
      </c>
      <c r="H6275" s="13"/>
      <c r="I6275" s="13"/>
      <c r="J6275" s="13"/>
      <c r="K6275" s="13"/>
      <c r="L6275" s="13"/>
      <c r="M6275" s="13"/>
      <c r="N6275" s="13"/>
      <c r="O6275" s="13"/>
      <c r="P6275" s="13"/>
      <c r="Q6275" s="13"/>
      <c r="R6275" s="13"/>
      <c r="S6275" s="13"/>
    </row>
    <row r="6276" spans="1:19" x14ac:dyDescent="0.2">
      <c r="A6276" s="12" t="s">
        <v>586</v>
      </c>
      <c r="B6276" s="12" t="s">
        <v>553</v>
      </c>
      <c r="C6276" s="12" t="s">
        <v>564</v>
      </c>
      <c r="D6276" s="13">
        <v>355</v>
      </c>
      <c r="E6276" s="13">
        <v>332.75025900000003</v>
      </c>
      <c r="F6276" s="13">
        <v>288.69298600000002</v>
      </c>
      <c r="G6276" s="13">
        <v>276.44883099999998</v>
      </c>
      <c r="H6276" s="13"/>
      <c r="I6276" s="13"/>
      <c r="J6276" s="13"/>
      <c r="K6276" s="13"/>
      <c r="L6276" s="13"/>
      <c r="M6276" s="13"/>
      <c r="N6276" s="13"/>
      <c r="O6276" s="13"/>
      <c r="P6276" s="13"/>
      <c r="Q6276" s="13"/>
      <c r="R6276" s="13"/>
      <c r="S6276" s="13"/>
    </row>
    <row r="6277" spans="1:19" x14ac:dyDescent="0.2">
      <c r="A6277" s="12" t="s">
        <v>586</v>
      </c>
      <c r="B6277" s="12" t="s">
        <v>553</v>
      </c>
      <c r="C6277" s="12" t="s">
        <v>565</v>
      </c>
      <c r="D6277" s="13">
        <v>218</v>
      </c>
      <c r="E6277" s="13">
        <v>200.401534</v>
      </c>
      <c r="F6277" s="13">
        <v>147.33274299999999</v>
      </c>
      <c r="G6277" s="13">
        <v>133.86682999999999</v>
      </c>
      <c r="H6277" s="13"/>
      <c r="I6277" s="13"/>
      <c r="J6277" s="13"/>
      <c r="K6277" s="13"/>
      <c r="L6277" s="13"/>
      <c r="M6277" s="13"/>
      <c r="N6277" s="13"/>
      <c r="O6277" s="13"/>
      <c r="P6277" s="13"/>
      <c r="Q6277" s="13"/>
      <c r="R6277" s="13"/>
      <c r="S6277" s="13"/>
    </row>
    <row r="6278" spans="1:19" x14ac:dyDescent="0.2">
      <c r="A6278" s="12" t="s">
        <v>586</v>
      </c>
      <c r="B6278" s="12" t="s">
        <v>553</v>
      </c>
      <c r="C6278" s="12" t="s">
        <v>566</v>
      </c>
      <c r="D6278" s="13">
        <v>164</v>
      </c>
      <c r="E6278" s="13">
        <v>159.95454599999999</v>
      </c>
      <c r="F6278" s="13">
        <v>148.91519</v>
      </c>
      <c r="G6278" s="13">
        <v>136.66654199999999</v>
      </c>
      <c r="H6278" s="13"/>
      <c r="I6278" s="13"/>
      <c r="J6278" s="13"/>
      <c r="K6278" s="13"/>
      <c r="L6278" s="13"/>
      <c r="M6278" s="13"/>
      <c r="N6278" s="13"/>
      <c r="O6278" s="13"/>
      <c r="P6278" s="13"/>
      <c r="Q6278" s="13"/>
      <c r="R6278" s="13"/>
      <c r="S6278" s="13"/>
    </row>
    <row r="6279" spans="1:19" x14ac:dyDescent="0.2">
      <c r="A6279" s="12" t="s">
        <v>586</v>
      </c>
      <c r="B6279" s="12" t="s">
        <v>567</v>
      </c>
      <c r="C6279" s="12" t="s">
        <v>554</v>
      </c>
      <c r="D6279" s="13">
        <v>53388</v>
      </c>
      <c r="E6279" s="13">
        <v>53834.185470999997</v>
      </c>
      <c r="F6279" s="13">
        <v>55837.198659999987</v>
      </c>
      <c r="G6279" s="13">
        <v>58999.314244000001</v>
      </c>
      <c r="H6279" s="13"/>
      <c r="I6279" s="13"/>
      <c r="J6279" s="13"/>
      <c r="K6279" s="13"/>
      <c r="L6279" s="13"/>
      <c r="M6279" s="13"/>
      <c r="N6279" s="13"/>
      <c r="O6279" s="13"/>
      <c r="P6279" s="13"/>
      <c r="Q6279" s="13"/>
      <c r="R6279" s="13"/>
      <c r="S6279" s="13"/>
    </row>
    <row r="6280" spans="1:19" x14ac:dyDescent="0.2">
      <c r="A6280" s="12" t="s">
        <v>586</v>
      </c>
      <c r="B6280" s="12" t="s">
        <v>567</v>
      </c>
      <c r="C6280" s="12" t="s">
        <v>555</v>
      </c>
      <c r="D6280" s="13">
        <v>49314</v>
      </c>
      <c r="E6280" s="13">
        <v>50332.036584000001</v>
      </c>
      <c r="F6280" s="13">
        <v>52379.708371000001</v>
      </c>
      <c r="G6280" s="13">
        <v>51848.678365</v>
      </c>
      <c r="H6280" s="13"/>
      <c r="I6280" s="13"/>
      <c r="J6280" s="13"/>
      <c r="K6280" s="13"/>
      <c r="L6280" s="13"/>
      <c r="M6280" s="13"/>
      <c r="N6280" s="13"/>
      <c r="O6280" s="13"/>
      <c r="P6280" s="13"/>
      <c r="Q6280" s="13"/>
      <c r="R6280" s="13"/>
      <c r="S6280" s="13"/>
    </row>
    <row r="6281" spans="1:19" x14ac:dyDescent="0.2">
      <c r="A6281" s="12" t="s">
        <v>586</v>
      </c>
      <c r="B6281" s="12" t="s">
        <v>567</v>
      </c>
      <c r="C6281" s="12" t="s">
        <v>556</v>
      </c>
      <c r="D6281" s="13">
        <v>-24513</v>
      </c>
      <c r="E6281" s="13">
        <v>-24267.491018000001</v>
      </c>
      <c r="F6281" s="13">
        <v>-25167.578638999999</v>
      </c>
      <c r="G6281" s="13">
        <v>-26774.552994999998</v>
      </c>
      <c r="H6281" s="13"/>
      <c r="I6281" s="13"/>
      <c r="J6281" s="13"/>
      <c r="K6281" s="13"/>
      <c r="L6281" s="13"/>
      <c r="M6281" s="13"/>
      <c r="N6281" s="13"/>
      <c r="O6281" s="13"/>
      <c r="P6281" s="13"/>
      <c r="Q6281" s="13"/>
      <c r="R6281" s="13"/>
      <c r="S6281" s="13"/>
    </row>
    <row r="6282" spans="1:19" x14ac:dyDescent="0.2">
      <c r="A6282" s="12" t="s">
        <v>586</v>
      </c>
      <c r="B6282" s="12" t="s">
        <v>567</v>
      </c>
      <c r="C6282" s="12" t="s">
        <v>557</v>
      </c>
      <c r="D6282" s="13">
        <v>77926</v>
      </c>
      <c r="E6282" s="13">
        <v>81095.377720999997</v>
      </c>
      <c r="F6282" s="13">
        <v>84076.136084000012</v>
      </c>
      <c r="G6282" s="13">
        <v>83610.396666000001</v>
      </c>
      <c r="H6282" s="13"/>
      <c r="I6282" s="13"/>
      <c r="J6282" s="13"/>
      <c r="K6282" s="13"/>
      <c r="L6282" s="13"/>
      <c r="M6282" s="13"/>
      <c r="N6282" s="13"/>
      <c r="O6282" s="13"/>
      <c r="P6282" s="13"/>
      <c r="Q6282" s="13"/>
      <c r="R6282" s="13"/>
      <c r="S6282" s="13"/>
    </row>
    <row r="6283" spans="1:19" x14ac:dyDescent="0.2">
      <c r="A6283" s="12" t="s">
        <v>586</v>
      </c>
      <c r="B6283" s="12" t="s">
        <v>567</v>
      </c>
      <c r="C6283" s="12" t="s">
        <v>558</v>
      </c>
      <c r="D6283" s="13">
        <v>-11</v>
      </c>
      <c r="E6283" s="13">
        <v>-8.2632820000000002</v>
      </c>
      <c r="F6283" s="13">
        <v>-6.5940219999999998</v>
      </c>
      <c r="G6283" s="13">
        <v>-1.6320939999999999</v>
      </c>
      <c r="H6283" s="13"/>
      <c r="I6283" s="13"/>
      <c r="J6283" s="13"/>
      <c r="K6283" s="13"/>
      <c r="L6283" s="13"/>
      <c r="M6283" s="13"/>
      <c r="N6283" s="13"/>
      <c r="O6283" s="13"/>
      <c r="P6283" s="13"/>
      <c r="Q6283" s="13"/>
      <c r="R6283" s="13"/>
      <c r="S6283" s="13"/>
    </row>
    <row r="6284" spans="1:19" x14ac:dyDescent="0.2">
      <c r="A6284" s="12" t="s">
        <v>586</v>
      </c>
      <c r="B6284" s="12" t="s">
        <v>567</v>
      </c>
      <c r="C6284" s="12" t="s">
        <v>560</v>
      </c>
      <c r="D6284" s="13">
        <v>-75292</v>
      </c>
      <c r="E6284" s="13">
        <v>-78672.477796000006</v>
      </c>
      <c r="F6284" s="13">
        <v>-82213.632526999994</v>
      </c>
      <c r="G6284" s="13">
        <v>-81127.266730000003</v>
      </c>
      <c r="H6284" s="13"/>
      <c r="I6284" s="13"/>
      <c r="J6284" s="13"/>
      <c r="K6284" s="13"/>
      <c r="L6284" s="13"/>
      <c r="M6284" s="13"/>
      <c r="N6284" s="13"/>
      <c r="O6284" s="13"/>
      <c r="P6284" s="13"/>
      <c r="Q6284" s="13"/>
      <c r="R6284" s="13"/>
      <c r="S6284" s="13"/>
    </row>
    <row r="6285" spans="1:19" x14ac:dyDescent="0.2">
      <c r="A6285" s="12" t="s">
        <v>586</v>
      </c>
      <c r="B6285" s="12" t="s">
        <v>567</v>
      </c>
      <c r="C6285" s="12" t="s">
        <v>561</v>
      </c>
      <c r="D6285" s="13">
        <v>68</v>
      </c>
      <c r="E6285" s="13">
        <v>65.025727000000003</v>
      </c>
      <c r="F6285" s="13">
        <v>64.574518999999995</v>
      </c>
      <c r="G6285" s="13">
        <v>113.29527299999999</v>
      </c>
      <c r="H6285" s="13"/>
      <c r="I6285" s="13"/>
      <c r="J6285" s="13"/>
      <c r="K6285" s="13"/>
      <c r="L6285" s="13"/>
      <c r="M6285" s="13"/>
      <c r="N6285" s="13"/>
      <c r="O6285" s="13"/>
      <c r="P6285" s="13"/>
      <c r="Q6285" s="13"/>
      <c r="R6285" s="13"/>
      <c r="S6285" s="13"/>
    </row>
    <row r="6286" spans="1:19" x14ac:dyDescent="0.2">
      <c r="A6286" s="12" t="s">
        <v>586</v>
      </c>
      <c r="B6286" s="12" t="s">
        <v>567</v>
      </c>
      <c r="C6286" s="12" t="s">
        <v>562</v>
      </c>
      <c r="D6286" s="13">
        <v>0</v>
      </c>
      <c r="E6286" s="13">
        <v>1.0089980000000001</v>
      </c>
      <c r="F6286" s="13">
        <v>0.25201200000000001</v>
      </c>
      <c r="G6286" s="13">
        <v>7.528E-3</v>
      </c>
      <c r="H6286" s="13"/>
      <c r="I6286" s="13"/>
      <c r="J6286" s="13"/>
      <c r="K6286" s="13"/>
      <c r="L6286" s="13"/>
      <c r="M6286" s="13"/>
      <c r="N6286" s="13"/>
      <c r="O6286" s="13"/>
      <c r="P6286" s="13"/>
      <c r="Q6286" s="13"/>
      <c r="R6286" s="13"/>
      <c r="S6286" s="13"/>
    </row>
    <row r="6287" spans="1:19" x14ac:dyDescent="0.2">
      <c r="A6287" s="12" t="s">
        <v>586</v>
      </c>
      <c r="B6287" s="12" t="s">
        <v>567</v>
      </c>
      <c r="C6287" s="12" t="s">
        <v>563</v>
      </c>
      <c r="D6287" s="13">
        <v>0</v>
      </c>
      <c r="E6287" s="13">
        <v>0</v>
      </c>
      <c r="F6287" s="13">
        <v>0</v>
      </c>
      <c r="G6287" s="13">
        <v>0</v>
      </c>
      <c r="H6287" s="13"/>
      <c r="I6287" s="13"/>
      <c r="J6287" s="13"/>
      <c r="K6287" s="13"/>
      <c r="L6287" s="13"/>
      <c r="M6287" s="13"/>
      <c r="N6287" s="13"/>
      <c r="O6287" s="13"/>
      <c r="P6287" s="13"/>
      <c r="Q6287" s="13"/>
      <c r="R6287" s="13"/>
      <c r="S6287" s="13"/>
    </row>
    <row r="6288" spans="1:19" x14ac:dyDescent="0.2">
      <c r="A6288" s="12" t="s">
        <v>586</v>
      </c>
      <c r="B6288" s="12" t="s">
        <v>567</v>
      </c>
      <c r="C6288" s="12" t="s">
        <v>564</v>
      </c>
      <c r="D6288" s="13">
        <v>0</v>
      </c>
      <c r="E6288" s="13">
        <v>0</v>
      </c>
      <c r="F6288" s="13">
        <v>0</v>
      </c>
      <c r="G6288" s="13">
        <v>0</v>
      </c>
      <c r="H6288" s="13"/>
      <c r="I6288" s="13"/>
      <c r="J6288" s="13"/>
      <c r="K6288" s="13"/>
      <c r="L6288" s="13"/>
      <c r="M6288" s="13"/>
      <c r="N6288" s="13"/>
      <c r="O6288" s="13"/>
      <c r="P6288" s="13"/>
      <c r="Q6288" s="13"/>
      <c r="R6288" s="13"/>
      <c r="S6288" s="13"/>
    </row>
    <row r="6289" spans="1:19" x14ac:dyDescent="0.2">
      <c r="A6289" s="12" t="s">
        <v>586</v>
      </c>
      <c r="B6289" s="12" t="s">
        <v>567</v>
      </c>
      <c r="C6289" s="12" t="s">
        <v>565</v>
      </c>
      <c r="D6289" s="13">
        <v>0</v>
      </c>
      <c r="E6289" s="13">
        <v>0</v>
      </c>
      <c r="F6289" s="13">
        <v>0</v>
      </c>
      <c r="G6289" s="13">
        <v>0</v>
      </c>
      <c r="H6289" s="13"/>
      <c r="I6289" s="13"/>
      <c r="J6289" s="13"/>
      <c r="K6289" s="13"/>
      <c r="L6289" s="13"/>
      <c r="M6289" s="13"/>
      <c r="N6289" s="13"/>
      <c r="O6289" s="13"/>
      <c r="P6289" s="13"/>
      <c r="Q6289" s="13"/>
      <c r="R6289" s="13"/>
      <c r="S6289" s="13"/>
    </row>
    <row r="6290" spans="1:19" x14ac:dyDescent="0.2">
      <c r="A6290" s="12" t="s">
        <v>586</v>
      </c>
      <c r="B6290" s="12" t="s">
        <v>567</v>
      </c>
      <c r="C6290" s="12" t="s">
        <v>566</v>
      </c>
      <c r="D6290" s="13">
        <v>68</v>
      </c>
      <c r="E6290" s="13">
        <v>64.016728999999998</v>
      </c>
      <c r="F6290" s="13">
        <v>64.322507999999999</v>
      </c>
      <c r="G6290" s="13">
        <v>113.287745</v>
      </c>
      <c r="H6290" s="13"/>
      <c r="I6290" s="13"/>
      <c r="J6290" s="13"/>
      <c r="K6290" s="13"/>
      <c r="L6290" s="13"/>
      <c r="M6290" s="13"/>
      <c r="N6290" s="13"/>
      <c r="O6290" s="13"/>
      <c r="P6290" s="13"/>
      <c r="Q6290" s="13"/>
      <c r="R6290" s="13"/>
      <c r="S6290" s="13"/>
    </row>
    <row r="6291" spans="1:19" x14ac:dyDescent="0.2">
      <c r="A6291" s="12" t="s">
        <v>586</v>
      </c>
      <c r="B6291" s="12" t="s">
        <v>568</v>
      </c>
      <c r="C6291" s="12" t="s">
        <v>554</v>
      </c>
      <c r="D6291" s="13">
        <v>0</v>
      </c>
      <c r="E6291" s="13">
        <v>0</v>
      </c>
      <c r="F6291" s="13">
        <v>0</v>
      </c>
      <c r="G6291" s="13">
        <v>0</v>
      </c>
      <c r="H6291" s="13"/>
      <c r="I6291" s="13"/>
      <c r="J6291" s="13"/>
      <c r="K6291" s="13"/>
      <c r="L6291" s="13"/>
      <c r="M6291" s="13"/>
      <c r="N6291" s="13"/>
      <c r="O6291" s="13"/>
      <c r="P6291" s="13"/>
      <c r="Q6291" s="13"/>
      <c r="R6291" s="13"/>
      <c r="S6291" s="13"/>
    </row>
    <row r="6292" spans="1:19" x14ac:dyDescent="0.2">
      <c r="A6292" s="12" t="s">
        <v>586</v>
      </c>
      <c r="B6292" s="12" t="s">
        <v>568</v>
      </c>
      <c r="C6292" s="12" t="s">
        <v>555</v>
      </c>
      <c r="D6292" s="13">
        <v>23737</v>
      </c>
      <c r="E6292" s="13">
        <v>25449.465821999998</v>
      </c>
      <c r="F6292" s="13">
        <v>25424.441126000002</v>
      </c>
      <c r="G6292" s="13">
        <v>25407.377622</v>
      </c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3"/>
      <c r="S6292" s="13"/>
    </row>
    <row r="6293" spans="1:19" x14ac:dyDescent="0.2">
      <c r="A6293" s="12" t="s">
        <v>586</v>
      </c>
      <c r="B6293" s="12" t="s">
        <v>568</v>
      </c>
      <c r="C6293" s="12" t="s">
        <v>556</v>
      </c>
      <c r="D6293" s="13">
        <v>-26068</v>
      </c>
      <c r="E6293" s="13">
        <v>-27556.811227999999</v>
      </c>
      <c r="F6293" s="13">
        <v>-28599.725373000001</v>
      </c>
      <c r="G6293" s="13">
        <v>-28469.269038999999</v>
      </c>
      <c r="H6293" s="13"/>
      <c r="I6293" s="13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</row>
    <row r="6294" spans="1:19" x14ac:dyDescent="0.2">
      <c r="A6294" s="12" t="s">
        <v>586</v>
      </c>
      <c r="B6294" s="12" t="s">
        <v>568</v>
      </c>
      <c r="C6294" s="12" t="s">
        <v>557</v>
      </c>
      <c r="D6294" s="13">
        <v>-7792</v>
      </c>
      <c r="E6294" s="13">
        <v>-6719.3528619999997</v>
      </c>
      <c r="F6294" s="13">
        <v>-10101.531193000001</v>
      </c>
      <c r="G6294" s="13">
        <v>-10262.204089000001</v>
      </c>
      <c r="H6294" s="13"/>
      <c r="I6294" s="13"/>
      <c r="J6294" s="13"/>
      <c r="K6294" s="13"/>
      <c r="L6294" s="13"/>
      <c r="M6294" s="13"/>
      <c r="N6294" s="13"/>
      <c r="O6294" s="13"/>
      <c r="P6294" s="13"/>
      <c r="Q6294" s="13"/>
      <c r="R6294" s="13"/>
      <c r="S6294" s="13"/>
    </row>
    <row r="6295" spans="1:19" x14ac:dyDescent="0.2">
      <c r="A6295" s="12" t="s">
        <v>586</v>
      </c>
      <c r="B6295" s="12" t="s">
        <v>568</v>
      </c>
      <c r="C6295" s="12" t="s">
        <v>558</v>
      </c>
      <c r="D6295" s="13">
        <v>-1798</v>
      </c>
      <c r="E6295" s="13">
        <v>-1881.917983</v>
      </c>
      <c r="F6295" s="13">
        <v>-1865.636974</v>
      </c>
      <c r="G6295" s="13">
        <v>-1570.4979969999999</v>
      </c>
      <c r="H6295" s="13"/>
      <c r="I6295" s="13"/>
      <c r="J6295" s="13"/>
      <c r="K6295" s="13"/>
      <c r="L6295" s="13"/>
      <c r="M6295" s="13"/>
      <c r="N6295" s="13"/>
      <c r="O6295" s="13"/>
      <c r="P6295" s="13"/>
      <c r="Q6295" s="13"/>
      <c r="R6295" s="13"/>
      <c r="S6295" s="13"/>
    </row>
    <row r="6296" spans="1:19" x14ac:dyDescent="0.2">
      <c r="A6296" s="12" t="s">
        <v>586</v>
      </c>
      <c r="B6296" s="12" t="s">
        <v>568</v>
      </c>
      <c r="C6296" s="12" t="s">
        <v>560</v>
      </c>
      <c r="D6296" s="13">
        <v>73479</v>
      </c>
      <c r="E6296" s="13">
        <v>76416.889613000007</v>
      </c>
      <c r="F6296" s="13">
        <v>80174.675856999995</v>
      </c>
      <c r="G6296" s="13">
        <v>79020.450774000012</v>
      </c>
      <c r="H6296" s="13"/>
      <c r="I6296" s="13"/>
      <c r="J6296" s="13"/>
      <c r="K6296" s="13"/>
      <c r="L6296" s="13"/>
      <c r="M6296" s="13"/>
      <c r="N6296" s="13"/>
      <c r="O6296" s="13"/>
      <c r="P6296" s="13"/>
      <c r="Q6296" s="13"/>
      <c r="R6296" s="13"/>
      <c r="S6296" s="13"/>
    </row>
    <row r="6297" spans="1:19" x14ac:dyDescent="0.2">
      <c r="A6297" s="12" t="s">
        <v>586</v>
      </c>
      <c r="B6297" s="12" t="s">
        <v>568</v>
      </c>
      <c r="C6297" s="12" t="s">
        <v>561</v>
      </c>
      <c r="D6297" s="13">
        <v>64748</v>
      </c>
      <c r="E6297" s="13">
        <v>68269.455349000011</v>
      </c>
      <c r="F6297" s="13">
        <v>69084.114572999999</v>
      </c>
      <c r="G6297" s="13">
        <v>68083.191466000004</v>
      </c>
      <c r="H6297" s="13"/>
      <c r="I6297" s="13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</row>
    <row r="6298" spans="1:19" x14ac:dyDescent="0.2">
      <c r="A6298" s="12" t="s">
        <v>586</v>
      </c>
      <c r="B6298" s="12" t="s">
        <v>568</v>
      </c>
      <c r="C6298" s="12" t="s">
        <v>562</v>
      </c>
      <c r="D6298" s="13">
        <v>3472</v>
      </c>
      <c r="E6298" s="13">
        <v>3613.3102610000001</v>
      </c>
      <c r="F6298" s="13">
        <v>3580.1204590000002</v>
      </c>
      <c r="G6298" s="13">
        <v>3364.0776310000001</v>
      </c>
      <c r="H6298" s="13"/>
      <c r="I6298" s="13"/>
      <c r="J6298" s="13"/>
      <c r="K6298" s="13"/>
      <c r="L6298" s="13"/>
      <c r="M6298" s="13"/>
      <c r="N6298" s="13"/>
      <c r="O6298" s="13"/>
      <c r="P6298" s="13"/>
      <c r="Q6298" s="13"/>
      <c r="R6298" s="13"/>
      <c r="S6298" s="13"/>
    </row>
    <row r="6299" spans="1:19" x14ac:dyDescent="0.2">
      <c r="A6299" s="12" t="s">
        <v>586</v>
      </c>
      <c r="B6299" s="12" t="s">
        <v>568</v>
      </c>
      <c r="C6299" s="12" t="s">
        <v>563</v>
      </c>
      <c r="D6299" s="13">
        <v>41245</v>
      </c>
      <c r="E6299" s="13">
        <v>44595.666106999997</v>
      </c>
      <c r="F6299" s="13">
        <v>46001.864726000007</v>
      </c>
      <c r="G6299" s="13">
        <v>45720.159350000002</v>
      </c>
      <c r="H6299" s="13"/>
      <c r="I6299" s="13"/>
      <c r="J6299" s="13"/>
      <c r="K6299" s="13"/>
      <c r="L6299" s="13"/>
      <c r="M6299" s="13"/>
      <c r="N6299" s="13"/>
      <c r="O6299" s="13"/>
      <c r="P6299" s="13"/>
      <c r="Q6299" s="13"/>
      <c r="R6299" s="13"/>
      <c r="S6299" s="13"/>
    </row>
    <row r="6300" spans="1:19" x14ac:dyDescent="0.2">
      <c r="A6300" s="12" t="s">
        <v>586</v>
      </c>
      <c r="B6300" s="12" t="s">
        <v>568</v>
      </c>
      <c r="C6300" s="12" t="s">
        <v>564</v>
      </c>
      <c r="D6300" s="13">
        <v>2959</v>
      </c>
      <c r="E6300" s="13">
        <v>2708.265187</v>
      </c>
      <c r="F6300" s="13">
        <v>2675.2892350000002</v>
      </c>
      <c r="G6300" s="13">
        <v>2506.9930509999999</v>
      </c>
      <c r="H6300" s="13"/>
      <c r="I6300" s="13"/>
      <c r="J6300" s="13"/>
      <c r="K6300" s="13"/>
      <c r="L6300" s="13"/>
      <c r="M6300" s="13"/>
      <c r="N6300" s="13"/>
      <c r="O6300" s="13"/>
      <c r="P6300" s="13"/>
      <c r="Q6300" s="13"/>
      <c r="R6300" s="13"/>
      <c r="S6300" s="13"/>
    </row>
    <row r="6301" spans="1:19" x14ac:dyDescent="0.2">
      <c r="A6301" s="12" t="s">
        <v>586</v>
      </c>
      <c r="B6301" s="12" t="s">
        <v>568</v>
      </c>
      <c r="C6301" s="12" t="s">
        <v>565</v>
      </c>
      <c r="D6301" s="13">
        <v>1684</v>
      </c>
      <c r="E6301" s="13">
        <v>1706.3120939999999</v>
      </c>
      <c r="F6301" s="13">
        <v>1604.976265</v>
      </c>
      <c r="G6301" s="13">
        <v>1482.3850990000001</v>
      </c>
      <c r="H6301" s="13"/>
      <c r="I6301" s="13"/>
      <c r="J6301" s="13"/>
      <c r="K6301" s="13"/>
      <c r="L6301" s="13"/>
      <c r="M6301" s="13"/>
      <c r="N6301" s="13"/>
      <c r="O6301" s="13"/>
      <c r="P6301" s="13"/>
      <c r="Q6301" s="13"/>
      <c r="R6301" s="13"/>
      <c r="S6301" s="13"/>
    </row>
    <row r="6302" spans="1:19" x14ac:dyDescent="0.2">
      <c r="A6302" s="12" t="s">
        <v>586</v>
      </c>
      <c r="B6302" s="12" t="s">
        <v>568</v>
      </c>
      <c r="C6302" s="12" t="s">
        <v>566</v>
      </c>
      <c r="D6302" s="13">
        <v>15388</v>
      </c>
      <c r="E6302" s="13">
        <v>15645.901683</v>
      </c>
      <c r="F6302" s="13">
        <v>15221.863906</v>
      </c>
      <c r="G6302" s="13">
        <v>15009.576336</v>
      </c>
      <c r="H6302" s="13"/>
      <c r="I6302" s="13"/>
      <c r="J6302" s="13"/>
      <c r="K6302" s="13"/>
      <c r="L6302" s="13"/>
      <c r="M6302" s="13"/>
      <c r="N6302" s="13"/>
      <c r="O6302" s="13"/>
      <c r="P6302" s="13"/>
      <c r="Q6302" s="13"/>
      <c r="R6302" s="13"/>
      <c r="S6302" s="13"/>
    </row>
    <row r="6303" spans="1:19" x14ac:dyDescent="0.2">
      <c r="A6303" s="12" t="s">
        <v>586</v>
      </c>
      <c r="B6303" s="12" t="s">
        <v>569</v>
      </c>
      <c r="C6303" s="12" t="s">
        <v>554</v>
      </c>
      <c r="D6303" s="13">
        <v>53282</v>
      </c>
      <c r="E6303" s="13">
        <v>54051.639724000001</v>
      </c>
      <c r="F6303" s="13">
        <v>57172.121337999997</v>
      </c>
      <c r="G6303" s="13">
        <v>58376.962278999999</v>
      </c>
      <c r="H6303" s="13"/>
      <c r="I6303" s="13"/>
      <c r="J6303" s="13"/>
      <c r="K6303" s="13"/>
      <c r="L6303" s="13"/>
      <c r="M6303" s="13"/>
      <c r="N6303" s="13"/>
      <c r="O6303" s="13"/>
      <c r="P6303" s="13"/>
      <c r="Q6303" s="13"/>
      <c r="R6303" s="13"/>
      <c r="S6303" s="13"/>
    </row>
    <row r="6304" spans="1:19" x14ac:dyDescent="0.2">
      <c r="A6304" s="12" t="s">
        <v>586</v>
      </c>
      <c r="B6304" s="12" t="s">
        <v>569</v>
      </c>
      <c r="C6304" s="12" t="s">
        <v>555</v>
      </c>
      <c r="D6304" s="13">
        <v>26406</v>
      </c>
      <c r="E6304" s="13">
        <v>27791.646655</v>
      </c>
      <c r="F6304" s="13">
        <v>28852.371296000001</v>
      </c>
      <c r="G6304" s="13">
        <v>26561.838045</v>
      </c>
      <c r="H6304" s="13"/>
      <c r="I6304" s="13"/>
      <c r="J6304" s="13"/>
      <c r="K6304" s="13"/>
      <c r="L6304" s="13"/>
      <c r="M6304" s="13"/>
      <c r="N6304" s="13"/>
      <c r="O6304" s="13"/>
      <c r="P6304" s="13"/>
      <c r="Q6304" s="13"/>
      <c r="R6304" s="13"/>
      <c r="S6304" s="13"/>
    </row>
    <row r="6305" spans="1:19" x14ac:dyDescent="0.2">
      <c r="A6305" s="12" t="s">
        <v>586</v>
      </c>
      <c r="B6305" s="12" t="s">
        <v>569</v>
      </c>
      <c r="C6305" s="12" t="s">
        <v>556</v>
      </c>
      <c r="D6305" s="13">
        <v>-17059</v>
      </c>
      <c r="E6305" s="13">
        <v>-18716.324060999999</v>
      </c>
      <c r="F6305" s="13">
        <v>-21133.794929</v>
      </c>
      <c r="G6305" s="13">
        <v>-21521.898063000001</v>
      </c>
      <c r="H6305" s="13"/>
      <c r="I6305" s="13"/>
      <c r="J6305" s="13"/>
      <c r="K6305" s="13"/>
      <c r="L6305" s="13"/>
      <c r="M6305" s="13"/>
      <c r="N6305" s="13"/>
      <c r="O6305" s="13"/>
      <c r="P6305" s="13"/>
      <c r="Q6305" s="13"/>
      <c r="R6305" s="13"/>
      <c r="S6305" s="13"/>
    </row>
    <row r="6306" spans="1:19" x14ac:dyDescent="0.2">
      <c r="A6306" s="12" t="s">
        <v>586</v>
      </c>
      <c r="B6306" s="12" t="s">
        <v>569</v>
      </c>
      <c r="C6306" s="12" t="s">
        <v>557</v>
      </c>
      <c r="D6306" s="13">
        <v>62903</v>
      </c>
      <c r="E6306" s="13">
        <v>64140.982659999987</v>
      </c>
      <c r="F6306" s="13">
        <v>63857.582857000001</v>
      </c>
      <c r="G6306" s="13">
        <v>62560.650549000013</v>
      </c>
      <c r="H6306" s="13"/>
      <c r="I6306" s="13"/>
      <c r="J6306" s="13"/>
      <c r="K6306" s="13"/>
      <c r="L6306" s="13"/>
      <c r="M6306" s="13"/>
      <c r="N6306" s="13"/>
      <c r="O6306" s="13"/>
      <c r="P6306" s="13"/>
      <c r="Q6306" s="13"/>
      <c r="R6306" s="13"/>
      <c r="S6306" s="13"/>
    </row>
    <row r="6307" spans="1:19" x14ac:dyDescent="0.2">
      <c r="A6307" s="12" t="s">
        <v>586</v>
      </c>
      <c r="B6307" s="12" t="s">
        <v>569</v>
      </c>
      <c r="C6307" s="12" t="s">
        <v>558</v>
      </c>
      <c r="D6307" s="13">
        <v>-24102</v>
      </c>
      <c r="E6307" s="13">
        <v>-23923.33368</v>
      </c>
      <c r="F6307" s="13">
        <v>-24303.000361999999</v>
      </c>
      <c r="G6307" s="13">
        <v>-24649.294750000001</v>
      </c>
      <c r="H6307" s="13"/>
      <c r="I6307" s="13"/>
      <c r="J6307" s="13"/>
      <c r="K6307" s="13"/>
      <c r="L6307" s="13"/>
      <c r="M6307" s="13"/>
      <c r="N6307" s="13"/>
      <c r="O6307" s="13"/>
      <c r="P6307" s="13"/>
      <c r="Q6307" s="13"/>
      <c r="R6307" s="13"/>
      <c r="S6307" s="13"/>
    </row>
    <row r="6308" spans="1:19" x14ac:dyDescent="0.2">
      <c r="A6308" s="12" t="s">
        <v>586</v>
      </c>
      <c r="B6308" s="12" t="s">
        <v>569</v>
      </c>
      <c r="C6308" s="12" t="s">
        <v>560</v>
      </c>
      <c r="D6308" s="13">
        <v>0</v>
      </c>
      <c r="E6308" s="13">
        <v>0</v>
      </c>
      <c r="F6308" s="13">
        <v>0</v>
      </c>
      <c r="G6308" s="13">
        <v>0</v>
      </c>
      <c r="H6308" s="13"/>
      <c r="I6308" s="13"/>
      <c r="J6308" s="13"/>
      <c r="K6308" s="13"/>
      <c r="L6308" s="13"/>
      <c r="M6308" s="13"/>
      <c r="N6308" s="13"/>
      <c r="O6308" s="13"/>
      <c r="P6308" s="13"/>
      <c r="Q6308" s="13"/>
      <c r="R6308" s="13"/>
      <c r="S6308" s="13"/>
    </row>
    <row r="6309" spans="1:19" x14ac:dyDescent="0.2">
      <c r="A6309" s="12" t="s">
        <v>586</v>
      </c>
      <c r="B6309" s="12" t="s">
        <v>569</v>
      </c>
      <c r="C6309" s="12" t="s">
        <v>561</v>
      </c>
      <c r="D6309" s="13">
        <v>31346</v>
      </c>
      <c r="E6309" s="13">
        <v>32936.220830999999</v>
      </c>
      <c r="F6309" s="13">
        <v>32018.277064999998</v>
      </c>
      <c r="G6309" s="13">
        <v>30636.728548999999</v>
      </c>
      <c r="H6309" s="13"/>
      <c r="I6309" s="13"/>
      <c r="J6309" s="13"/>
      <c r="K6309" s="13"/>
      <c r="L6309" s="13"/>
      <c r="M6309" s="13"/>
      <c r="N6309" s="13"/>
      <c r="O6309" s="13"/>
      <c r="P6309" s="13"/>
      <c r="Q6309" s="13"/>
      <c r="R6309" s="13"/>
      <c r="S6309" s="13"/>
    </row>
    <row r="6310" spans="1:19" x14ac:dyDescent="0.2">
      <c r="A6310" s="12" t="s">
        <v>586</v>
      </c>
      <c r="B6310" s="12" t="s">
        <v>569</v>
      </c>
      <c r="C6310" s="12" t="s">
        <v>562</v>
      </c>
      <c r="D6310" s="13">
        <v>11467</v>
      </c>
      <c r="E6310" s="13">
        <v>11845.489304999999</v>
      </c>
      <c r="F6310" s="13">
        <v>11495.739665999999</v>
      </c>
      <c r="G6310" s="13">
        <v>11304.189112</v>
      </c>
      <c r="H6310" s="13"/>
      <c r="I6310" s="13"/>
      <c r="J6310" s="13"/>
      <c r="K6310" s="13"/>
      <c r="L6310" s="13"/>
      <c r="M6310" s="13"/>
      <c r="N6310" s="13"/>
      <c r="O6310" s="13"/>
      <c r="P6310" s="13"/>
      <c r="Q6310" s="13"/>
      <c r="R6310" s="13"/>
      <c r="S6310" s="13"/>
    </row>
    <row r="6311" spans="1:19" x14ac:dyDescent="0.2">
      <c r="A6311" s="12" t="s">
        <v>586</v>
      </c>
      <c r="B6311" s="12" t="s">
        <v>569</v>
      </c>
      <c r="C6311" s="12" t="s">
        <v>563</v>
      </c>
      <c r="D6311" s="13">
        <v>1380</v>
      </c>
      <c r="E6311" s="13">
        <v>1540.704786</v>
      </c>
      <c r="F6311" s="13">
        <v>1647.0562</v>
      </c>
      <c r="G6311" s="13">
        <v>1655.0574220000001</v>
      </c>
      <c r="H6311" s="13"/>
      <c r="I6311" s="13"/>
      <c r="J6311" s="13"/>
      <c r="K6311" s="13"/>
      <c r="L6311" s="13"/>
      <c r="M6311" s="13"/>
      <c r="N6311" s="13"/>
      <c r="O6311" s="13"/>
      <c r="P6311" s="13"/>
      <c r="Q6311" s="13"/>
      <c r="R6311" s="13"/>
      <c r="S6311" s="13"/>
    </row>
    <row r="6312" spans="1:19" x14ac:dyDescent="0.2">
      <c r="A6312" s="12" t="s">
        <v>586</v>
      </c>
      <c r="B6312" s="12" t="s">
        <v>569</v>
      </c>
      <c r="C6312" s="12" t="s">
        <v>564</v>
      </c>
      <c r="D6312" s="13">
        <v>10896</v>
      </c>
      <c r="E6312" s="13">
        <v>11382.553221</v>
      </c>
      <c r="F6312" s="13">
        <v>10943.091809</v>
      </c>
      <c r="G6312" s="13">
        <v>9992.000766000001</v>
      </c>
      <c r="H6312" s="13"/>
      <c r="I6312" s="13"/>
      <c r="J6312" s="13"/>
      <c r="K6312" s="13"/>
      <c r="L6312" s="13"/>
      <c r="M6312" s="13"/>
      <c r="N6312" s="13"/>
      <c r="O6312" s="13"/>
      <c r="P6312" s="13"/>
      <c r="Q6312" s="13"/>
      <c r="R6312" s="13"/>
      <c r="S6312" s="13"/>
    </row>
    <row r="6313" spans="1:19" x14ac:dyDescent="0.2">
      <c r="A6313" s="12" t="s">
        <v>586</v>
      </c>
      <c r="B6313" s="12" t="s">
        <v>569</v>
      </c>
      <c r="C6313" s="12" t="s">
        <v>565</v>
      </c>
      <c r="D6313" s="13">
        <v>5990</v>
      </c>
      <c r="E6313" s="13">
        <v>6258.1242430000002</v>
      </c>
      <c r="F6313" s="13">
        <v>6275.9175360000008</v>
      </c>
      <c r="G6313" s="13">
        <v>5995.5287500000004</v>
      </c>
      <c r="H6313" s="13"/>
      <c r="I6313" s="13"/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</row>
    <row r="6314" spans="1:19" x14ac:dyDescent="0.2">
      <c r="A6314" s="12" t="s">
        <v>586</v>
      </c>
      <c r="B6314" s="12" t="s">
        <v>569</v>
      </c>
      <c r="C6314" s="12" t="s">
        <v>566</v>
      </c>
      <c r="D6314" s="13">
        <v>1613</v>
      </c>
      <c r="E6314" s="13">
        <v>1909.3493129999999</v>
      </c>
      <c r="F6314" s="13">
        <v>1656.4718539999999</v>
      </c>
      <c r="G6314" s="13">
        <v>1689.952499</v>
      </c>
      <c r="H6314" s="13"/>
      <c r="I6314" s="13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</row>
    <row r="6315" spans="1:19" x14ac:dyDescent="0.2">
      <c r="A6315" s="12" t="s">
        <v>586</v>
      </c>
      <c r="B6315" s="12" t="s">
        <v>570</v>
      </c>
      <c r="C6315" s="12" t="s">
        <v>554</v>
      </c>
      <c r="D6315" s="13">
        <v>20239</v>
      </c>
      <c r="E6315" s="13">
        <v>20826.0373</v>
      </c>
      <c r="F6315" s="13">
        <v>19439.390249</v>
      </c>
      <c r="G6315" s="13">
        <v>19921.234805</v>
      </c>
      <c r="H6315" s="13"/>
      <c r="I6315" s="13"/>
      <c r="J6315" s="13"/>
      <c r="K6315" s="13"/>
      <c r="L6315" s="13"/>
      <c r="M6315" s="13"/>
      <c r="N6315" s="13"/>
      <c r="O6315" s="13"/>
      <c r="P6315" s="13"/>
      <c r="Q6315" s="13"/>
      <c r="R6315" s="13"/>
      <c r="S6315" s="13"/>
    </row>
    <row r="6316" spans="1:19" x14ac:dyDescent="0.2">
      <c r="A6316" s="12" t="s">
        <v>586</v>
      </c>
      <c r="B6316" s="12" t="s">
        <v>570</v>
      </c>
      <c r="C6316" s="12" t="s">
        <v>555</v>
      </c>
      <c r="D6316" s="13">
        <v>0</v>
      </c>
      <c r="E6316" s="13">
        <v>0</v>
      </c>
      <c r="F6316" s="13">
        <v>0</v>
      </c>
      <c r="G6316" s="13">
        <v>0</v>
      </c>
      <c r="H6316" s="13"/>
      <c r="I6316" s="13"/>
      <c r="J6316" s="13"/>
      <c r="K6316" s="13"/>
      <c r="L6316" s="13"/>
      <c r="M6316" s="13"/>
      <c r="N6316" s="13"/>
      <c r="O6316" s="13"/>
      <c r="P6316" s="13"/>
      <c r="Q6316" s="13"/>
      <c r="R6316" s="13"/>
      <c r="S6316" s="13"/>
    </row>
    <row r="6317" spans="1:19" x14ac:dyDescent="0.2">
      <c r="A6317" s="12" t="s">
        <v>586</v>
      </c>
      <c r="B6317" s="12" t="s">
        <v>570</v>
      </c>
      <c r="C6317" s="12" t="s">
        <v>556</v>
      </c>
      <c r="D6317" s="13">
        <v>0</v>
      </c>
      <c r="E6317" s="13">
        <v>0</v>
      </c>
      <c r="F6317" s="13">
        <v>0</v>
      </c>
      <c r="G6317" s="13">
        <v>0</v>
      </c>
      <c r="H6317" s="13"/>
      <c r="I6317" s="13"/>
      <c r="J6317" s="13"/>
      <c r="K6317" s="13"/>
      <c r="L6317" s="13"/>
      <c r="M6317" s="13"/>
      <c r="N6317" s="13"/>
      <c r="O6317" s="13"/>
      <c r="P6317" s="13"/>
      <c r="Q6317" s="13"/>
      <c r="R6317" s="13"/>
      <c r="S6317" s="13"/>
    </row>
    <row r="6318" spans="1:19" x14ac:dyDescent="0.2">
      <c r="A6318" s="12" t="s">
        <v>586</v>
      </c>
      <c r="B6318" s="12" t="s">
        <v>570</v>
      </c>
      <c r="C6318" s="12" t="s">
        <v>557</v>
      </c>
      <c r="D6318" s="13">
        <v>20239</v>
      </c>
      <c r="E6318" s="13">
        <v>20826.0373</v>
      </c>
      <c r="F6318" s="13">
        <v>19439.390249</v>
      </c>
      <c r="G6318" s="13">
        <v>19921.234805</v>
      </c>
      <c r="H6318" s="13"/>
      <c r="I6318" s="13"/>
      <c r="J6318" s="13"/>
      <c r="K6318" s="13"/>
      <c r="L6318" s="13"/>
      <c r="M6318" s="13"/>
      <c r="N6318" s="13"/>
      <c r="O6318" s="13"/>
      <c r="P6318" s="13"/>
      <c r="Q6318" s="13"/>
      <c r="R6318" s="13"/>
      <c r="S6318" s="13"/>
    </row>
    <row r="6319" spans="1:19" x14ac:dyDescent="0.2">
      <c r="A6319" s="12" t="s">
        <v>586</v>
      </c>
      <c r="B6319" s="12" t="s">
        <v>570</v>
      </c>
      <c r="C6319" s="12" t="s">
        <v>558</v>
      </c>
      <c r="D6319" s="13">
        <v>-20239</v>
      </c>
      <c r="E6319" s="13">
        <v>-20826.037299</v>
      </c>
      <c r="F6319" s="13">
        <v>-19439.390254000002</v>
      </c>
      <c r="G6319" s="13">
        <v>-19921.234810000002</v>
      </c>
      <c r="H6319" s="13"/>
      <c r="I6319" s="13"/>
      <c r="J6319" s="13"/>
      <c r="K6319" s="13"/>
      <c r="L6319" s="13"/>
      <c r="M6319" s="13"/>
      <c r="N6319" s="13"/>
      <c r="O6319" s="13"/>
      <c r="P6319" s="13"/>
      <c r="Q6319" s="13"/>
      <c r="R6319" s="13"/>
      <c r="S6319" s="13"/>
    </row>
    <row r="6320" spans="1:19" x14ac:dyDescent="0.2">
      <c r="A6320" s="12" t="s">
        <v>586</v>
      </c>
      <c r="B6320" s="12" t="s">
        <v>570</v>
      </c>
      <c r="C6320" s="12" t="s">
        <v>560</v>
      </c>
      <c r="D6320" s="13">
        <v>0</v>
      </c>
      <c r="E6320" s="13">
        <v>0</v>
      </c>
      <c r="F6320" s="13">
        <v>0</v>
      </c>
      <c r="G6320" s="13">
        <v>0</v>
      </c>
      <c r="H6320" s="13"/>
      <c r="I6320" s="13"/>
      <c r="J6320" s="13"/>
      <c r="K6320" s="13"/>
      <c r="L6320" s="13"/>
      <c r="M6320" s="13"/>
      <c r="N6320" s="13"/>
      <c r="O6320" s="13"/>
      <c r="P6320" s="13"/>
      <c r="Q6320" s="13"/>
      <c r="R6320" s="13"/>
      <c r="S6320" s="13"/>
    </row>
    <row r="6321" spans="1:19" x14ac:dyDescent="0.2">
      <c r="A6321" s="12" t="s">
        <v>586</v>
      </c>
      <c r="B6321" s="12" t="s">
        <v>570</v>
      </c>
      <c r="C6321" s="12" t="s">
        <v>561</v>
      </c>
      <c r="D6321" s="13">
        <v>0</v>
      </c>
      <c r="E6321" s="13">
        <v>0</v>
      </c>
      <c r="F6321" s="13">
        <v>0</v>
      </c>
      <c r="G6321" s="13">
        <v>0</v>
      </c>
      <c r="H6321" s="13"/>
      <c r="I6321" s="13"/>
      <c r="J6321" s="13"/>
      <c r="K6321" s="13"/>
      <c r="L6321" s="13"/>
      <c r="M6321" s="13"/>
      <c r="N6321" s="13"/>
      <c r="O6321" s="13"/>
      <c r="P6321" s="13"/>
      <c r="Q6321" s="13"/>
      <c r="R6321" s="13"/>
      <c r="S6321" s="13"/>
    </row>
    <row r="6322" spans="1:19" x14ac:dyDescent="0.2">
      <c r="A6322" s="12" t="s">
        <v>586</v>
      </c>
      <c r="B6322" s="12" t="s">
        <v>570</v>
      </c>
      <c r="C6322" s="12" t="s">
        <v>562</v>
      </c>
      <c r="D6322" s="13">
        <v>0</v>
      </c>
      <c r="E6322" s="13">
        <v>0</v>
      </c>
      <c r="F6322" s="13">
        <v>0</v>
      </c>
      <c r="G6322" s="13">
        <v>0</v>
      </c>
      <c r="H6322" s="13"/>
      <c r="I6322" s="13"/>
      <c r="J6322" s="13"/>
      <c r="K6322" s="13"/>
      <c r="L6322" s="13"/>
      <c r="M6322" s="13"/>
      <c r="N6322" s="13"/>
      <c r="O6322" s="13"/>
      <c r="P6322" s="13"/>
      <c r="Q6322" s="13"/>
      <c r="R6322" s="13"/>
      <c r="S6322" s="13"/>
    </row>
    <row r="6323" spans="1:19" x14ac:dyDescent="0.2">
      <c r="A6323" s="12" t="s">
        <v>586</v>
      </c>
      <c r="B6323" s="12" t="s">
        <v>570</v>
      </c>
      <c r="C6323" s="12" t="s">
        <v>563</v>
      </c>
      <c r="D6323" s="13">
        <v>0</v>
      </c>
      <c r="E6323" s="13">
        <v>0</v>
      </c>
      <c r="F6323" s="13">
        <v>0</v>
      </c>
      <c r="G6323" s="13">
        <v>0</v>
      </c>
      <c r="H6323" s="13"/>
      <c r="I6323" s="13"/>
      <c r="J6323" s="13"/>
      <c r="K6323" s="13"/>
      <c r="L6323" s="13"/>
      <c r="M6323" s="13"/>
      <c r="N6323" s="13"/>
      <c r="O6323" s="13"/>
      <c r="P6323" s="13"/>
      <c r="Q6323" s="13"/>
      <c r="R6323" s="13"/>
      <c r="S6323" s="13"/>
    </row>
    <row r="6324" spans="1:19" x14ac:dyDescent="0.2">
      <c r="A6324" s="12" t="s">
        <v>586</v>
      </c>
      <c r="B6324" s="12" t="s">
        <v>570</v>
      </c>
      <c r="C6324" s="12" t="s">
        <v>564</v>
      </c>
      <c r="D6324" s="13">
        <v>0</v>
      </c>
      <c r="E6324" s="13">
        <v>0</v>
      </c>
      <c r="F6324" s="13">
        <v>0</v>
      </c>
      <c r="G6324" s="13">
        <v>0</v>
      </c>
      <c r="H6324" s="13"/>
      <c r="I6324" s="13"/>
      <c r="J6324" s="13"/>
      <c r="K6324" s="13"/>
      <c r="L6324" s="13"/>
      <c r="M6324" s="13"/>
      <c r="N6324" s="13"/>
      <c r="O6324" s="13"/>
      <c r="P6324" s="13"/>
      <c r="Q6324" s="13"/>
      <c r="R6324" s="13"/>
      <c r="S6324" s="13"/>
    </row>
    <row r="6325" spans="1:19" x14ac:dyDescent="0.2">
      <c r="A6325" s="12" t="s">
        <v>586</v>
      </c>
      <c r="B6325" s="12" t="s">
        <v>570</v>
      </c>
      <c r="C6325" s="12" t="s">
        <v>565</v>
      </c>
      <c r="D6325" s="13">
        <v>0</v>
      </c>
      <c r="E6325" s="13">
        <v>0</v>
      </c>
      <c r="F6325" s="13">
        <v>0</v>
      </c>
      <c r="G6325" s="13">
        <v>0</v>
      </c>
      <c r="H6325" s="13"/>
      <c r="I6325" s="13"/>
      <c r="J6325" s="13"/>
      <c r="K6325" s="13"/>
      <c r="L6325" s="13"/>
      <c r="M6325" s="13"/>
      <c r="N6325" s="13"/>
      <c r="O6325" s="13"/>
      <c r="P6325" s="13"/>
      <c r="Q6325" s="13"/>
      <c r="R6325" s="13"/>
      <c r="S6325" s="13"/>
    </row>
    <row r="6326" spans="1:19" x14ac:dyDescent="0.2">
      <c r="A6326" s="12" t="s">
        <v>586</v>
      </c>
      <c r="B6326" s="12" t="s">
        <v>570</v>
      </c>
      <c r="C6326" s="12" t="s">
        <v>566</v>
      </c>
      <c r="D6326" s="13">
        <v>0</v>
      </c>
      <c r="E6326" s="13">
        <v>0</v>
      </c>
      <c r="F6326" s="13">
        <v>0</v>
      </c>
      <c r="G6326" s="13">
        <v>0</v>
      </c>
      <c r="H6326" s="13"/>
      <c r="I6326" s="13"/>
      <c r="J6326" s="13"/>
      <c r="K6326" s="13"/>
      <c r="L6326" s="13"/>
      <c r="M6326" s="13"/>
      <c r="N6326" s="13"/>
      <c r="O6326" s="13"/>
      <c r="P6326" s="13"/>
      <c r="Q6326" s="13"/>
      <c r="R6326" s="13"/>
      <c r="S6326" s="13"/>
    </row>
    <row r="6327" spans="1:19" x14ac:dyDescent="0.2">
      <c r="A6327" s="12" t="s">
        <v>586</v>
      </c>
      <c r="B6327" s="12" t="s">
        <v>571</v>
      </c>
      <c r="C6327" s="12" t="s">
        <v>554</v>
      </c>
      <c r="D6327" s="13">
        <v>24613</v>
      </c>
      <c r="E6327" s="13">
        <v>25565.270709</v>
      </c>
      <c r="F6327" s="13">
        <v>26182.059556</v>
      </c>
      <c r="G6327" s="13">
        <v>26878.286951999999</v>
      </c>
      <c r="H6327" s="13"/>
      <c r="I6327" s="13"/>
      <c r="J6327" s="13"/>
      <c r="K6327" s="13"/>
      <c r="L6327" s="13"/>
      <c r="M6327" s="13"/>
      <c r="N6327" s="13"/>
      <c r="O6327" s="13"/>
      <c r="P6327" s="13"/>
      <c r="Q6327" s="13"/>
      <c r="R6327" s="13"/>
      <c r="S6327" s="13"/>
    </row>
    <row r="6328" spans="1:19" x14ac:dyDescent="0.2">
      <c r="A6328" s="12" t="s">
        <v>586</v>
      </c>
      <c r="B6328" s="12" t="s">
        <v>571</v>
      </c>
      <c r="C6328" s="12" t="s">
        <v>555</v>
      </c>
      <c r="D6328" s="13">
        <v>1340</v>
      </c>
      <c r="E6328" s="13">
        <v>1445.2099069999999</v>
      </c>
      <c r="F6328" s="13">
        <v>1420.562672</v>
      </c>
      <c r="G6328" s="13">
        <v>1450.933974</v>
      </c>
      <c r="H6328" s="13"/>
      <c r="I6328" s="13"/>
      <c r="J6328" s="13"/>
      <c r="K6328" s="13"/>
      <c r="L6328" s="13"/>
      <c r="M6328" s="13"/>
      <c r="N6328" s="13"/>
      <c r="O6328" s="13"/>
      <c r="P6328" s="13"/>
      <c r="Q6328" s="13"/>
      <c r="R6328" s="13"/>
      <c r="S6328" s="13"/>
    </row>
    <row r="6329" spans="1:19" x14ac:dyDescent="0.2">
      <c r="A6329" s="12" t="s">
        <v>586</v>
      </c>
      <c r="B6329" s="12" t="s">
        <v>571</v>
      </c>
      <c r="C6329" s="12" t="s">
        <v>556</v>
      </c>
      <c r="D6329" s="13">
        <v>-823</v>
      </c>
      <c r="E6329" s="13">
        <v>-872.06092699999999</v>
      </c>
      <c r="F6329" s="13">
        <v>-834.211995</v>
      </c>
      <c r="G6329" s="13">
        <v>-837.69189599999993</v>
      </c>
      <c r="H6329" s="13"/>
      <c r="I6329" s="13"/>
      <c r="J6329" s="13"/>
      <c r="K6329" s="13"/>
      <c r="L6329" s="13"/>
      <c r="M6329" s="13"/>
      <c r="N6329" s="13"/>
      <c r="O6329" s="13"/>
      <c r="P6329" s="13"/>
      <c r="Q6329" s="13"/>
      <c r="R6329" s="13"/>
      <c r="S6329" s="13"/>
    </row>
    <row r="6330" spans="1:19" x14ac:dyDescent="0.2">
      <c r="A6330" s="12" t="s">
        <v>586</v>
      </c>
      <c r="B6330" s="12" t="s">
        <v>571</v>
      </c>
      <c r="C6330" s="12" t="s">
        <v>557</v>
      </c>
      <c r="D6330" s="13">
        <v>25080</v>
      </c>
      <c r="E6330" s="13">
        <v>26155.365243</v>
      </c>
      <c r="F6330" s="13">
        <v>26706.889594</v>
      </c>
      <c r="G6330" s="13">
        <v>27470.999036000001</v>
      </c>
      <c r="H6330" s="13"/>
      <c r="I6330" s="13"/>
      <c r="J6330" s="13"/>
      <c r="K6330" s="13"/>
      <c r="L6330" s="13"/>
      <c r="M6330" s="13"/>
      <c r="N6330" s="13"/>
      <c r="O6330" s="13"/>
      <c r="P6330" s="13"/>
      <c r="Q6330" s="13"/>
      <c r="R6330" s="13"/>
      <c r="S6330" s="13"/>
    </row>
    <row r="6331" spans="1:19" x14ac:dyDescent="0.2">
      <c r="A6331" s="12" t="s">
        <v>586</v>
      </c>
      <c r="B6331" s="12" t="s">
        <v>571</v>
      </c>
      <c r="C6331" s="12" t="s">
        <v>558</v>
      </c>
      <c r="D6331" s="13">
        <v>-15992</v>
      </c>
      <c r="E6331" s="13">
        <v>-16408.983142000001</v>
      </c>
      <c r="F6331" s="13">
        <v>-16919.546629</v>
      </c>
      <c r="G6331" s="13">
        <v>-17259.904138000002</v>
      </c>
      <c r="H6331" s="13"/>
      <c r="I6331" s="13"/>
      <c r="J6331" s="13"/>
      <c r="K6331" s="13"/>
      <c r="L6331" s="13"/>
      <c r="M6331" s="13"/>
      <c r="N6331" s="13"/>
      <c r="O6331" s="13"/>
      <c r="P6331" s="13"/>
      <c r="Q6331" s="13"/>
      <c r="R6331" s="13"/>
      <c r="S6331" s="13"/>
    </row>
    <row r="6332" spans="1:19" x14ac:dyDescent="0.2">
      <c r="A6332" s="12" t="s">
        <v>586</v>
      </c>
      <c r="B6332" s="12" t="s">
        <v>571</v>
      </c>
      <c r="C6332" s="12" t="s">
        <v>560</v>
      </c>
      <c r="D6332" s="13">
        <v>0</v>
      </c>
      <c r="E6332" s="13">
        <v>0</v>
      </c>
      <c r="F6332" s="13">
        <v>0</v>
      </c>
      <c r="G6332" s="13">
        <v>0</v>
      </c>
      <c r="H6332" s="13"/>
      <c r="I6332" s="13"/>
      <c r="J6332" s="13"/>
      <c r="K6332" s="13"/>
      <c r="L6332" s="13"/>
      <c r="M6332" s="13"/>
      <c r="N6332" s="13"/>
      <c r="O6332" s="13"/>
      <c r="P6332" s="13"/>
      <c r="Q6332" s="13"/>
      <c r="R6332" s="13"/>
      <c r="S6332" s="13"/>
    </row>
    <row r="6333" spans="1:19" x14ac:dyDescent="0.2">
      <c r="A6333" s="12" t="s">
        <v>586</v>
      </c>
      <c r="B6333" s="12" t="s">
        <v>571</v>
      </c>
      <c r="C6333" s="12" t="s">
        <v>561</v>
      </c>
      <c r="D6333" s="13">
        <v>8970</v>
      </c>
      <c r="E6333" s="13">
        <v>9466.5383329999986</v>
      </c>
      <c r="F6333" s="13">
        <v>9552.1788329999999</v>
      </c>
      <c r="G6333" s="13">
        <v>9981.6520810000002</v>
      </c>
      <c r="H6333" s="13"/>
      <c r="I6333" s="13"/>
      <c r="J6333" s="13"/>
      <c r="K6333" s="13"/>
      <c r="L6333" s="13"/>
      <c r="M6333" s="13"/>
      <c r="N6333" s="13"/>
      <c r="O6333" s="13"/>
      <c r="P6333" s="13"/>
      <c r="Q6333" s="13"/>
      <c r="R6333" s="13"/>
      <c r="S6333" s="13"/>
    </row>
    <row r="6334" spans="1:19" x14ac:dyDescent="0.2">
      <c r="A6334" s="12" t="s">
        <v>586</v>
      </c>
      <c r="B6334" s="12" t="s">
        <v>571</v>
      </c>
      <c r="C6334" s="12" t="s">
        <v>562</v>
      </c>
      <c r="D6334" s="13">
        <v>3264</v>
      </c>
      <c r="E6334" s="13">
        <v>3326.0657540000002</v>
      </c>
      <c r="F6334" s="13">
        <v>3258.5704460000002</v>
      </c>
      <c r="G6334" s="13">
        <v>3325.9057130000001</v>
      </c>
      <c r="H6334" s="13"/>
      <c r="I6334" s="13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</row>
    <row r="6335" spans="1:19" x14ac:dyDescent="0.2">
      <c r="A6335" s="12" t="s">
        <v>586</v>
      </c>
      <c r="B6335" s="12" t="s">
        <v>571</v>
      </c>
      <c r="C6335" s="12" t="s">
        <v>563</v>
      </c>
      <c r="D6335" s="13">
        <v>2195</v>
      </c>
      <c r="E6335" s="13">
        <v>2413.9252470000001</v>
      </c>
      <c r="F6335" s="13">
        <v>2564.6728229999999</v>
      </c>
      <c r="G6335" s="13">
        <v>2896.5991789999998</v>
      </c>
      <c r="H6335" s="13"/>
      <c r="I6335" s="13"/>
      <c r="J6335" s="13"/>
      <c r="K6335" s="13"/>
      <c r="L6335" s="13"/>
      <c r="M6335" s="13"/>
      <c r="N6335" s="13"/>
      <c r="O6335" s="13"/>
      <c r="P6335" s="13"/>
      <c r="Q6335" s="13"/>
      <c r="R6335" s="13"/>
      <c r="S6335" s="13"/>
    </row>
    <row r="6336" spans="1:19" x14ac:dyDescent="0.2">
      <c r="A6336" s="12" t="s">
        <v>586</v>
      </c>
      <c r="B6336" s="12" t="s">
        <v>571</v>
      </c>
      <c r="C6336" s="12" t="s">
        <v>564</v>
      </c>
      <c r="D6336" s="13">
        <v>2747</v>
      </c>
      <c r="E6336" s="13">
        <v>2946.7755820000002</v>
      </c>
      <c r="F6336" s="13">
        <v>2968.3138589999999</v>
      </c>
      <c r="G6336" s="13">
        <v>2949.1700540000011</v>
      </c>
      <c r="H6336" s="13"/>
      <c r="I6336" s="13"/>
      <c r="J6336" s="13"/>
      <c r="K6336" s="13"/>
      <c r="L6336" s="13"/>
      <c r="M6336" s="13"/>
      <c r="N6336" s="13"/>
      <c r="O6336" s="13"/>
      <c r="P6336" s="13"/>
      <c r="Q6336" s="13"/>
      <c r="R6336" s="13"/>
      <c r="S6336" s="13"/>
    </row>
    <row r="6337" spans="1:19" x14ac:dyDescent="0.2">
      <c r="A6337" s="12" t="s">
        <v>586</v>
      </c>
      <c r="B6337" s="12" t="s">
        <v>571</v>
      </c>
      <c r="C6337" s="12" t="s">
        <v>565</v>
      </c>
      <c r="D6337" s="13">
        <v>510</v>
      </c>
      <c r="E6337" s="13">
        <v>510.55488000000003</v>
      </c>
      <c r="F6337" s="13">
        <v>483.05341099999998</v>
      </c>
      <c r="G6337" s="13">
        <v>490.34278899999998</v>
      </c>
      <c r="H6337" s="13"/>
      <c r="I6337" s="13"/>
      <c r="J6337" s="13"/>
      <c r="K6337" s="13"/>
      <c r="L6337" s="13"/>
      <c r="M6337" s="13"/>
      <c r="N6337" s="13"/>
      <c r="O6337" s="13"/>
      <c r="P6337" s="13"/>
      <c r="Q6337" s="13"/>
      <c r="R6337" s="13"/>
      <c r="S6337" s="13"/>
    </row>
    <row r="6338" spans="1:19" x14ac:dyDescent="0.2">
      <c r="A6338" s="12" t="s">
        <v>586</v>
      </c>
      <c r="B6338" s="12" t="s">
        <v>571</v>
      </c>
      <c r="C6338" s="12" t="s">
        <v>566</v>
      </c>
      <c r="D6338" s="13">
        <v>254</v>
      </c>
      <c r="E6338" s="13">
        <v>269.21687100000003</v>
      </c>
      <c r="F6338" s="13">
        <v>277.56825199999997</v>
      </c>
      <c r="G6338" s="13">
        <v>319.63437099999999</v>
      </c>
      <c r="H6338" s="13"/>
      <c r="I6338" s="13"/>
      <c r="J6338" s="13"/>
      <c r="K6338" s="13"/>
      <c r="L6338" s="13"/>
      <c r="M6338" s="13"/>
      <c r="N6338" s="13"/>
      <c r="O6338" s="13"/>
      <c r="P6338" s="13"/>
      <c r="Q6338" s="13"/>
      <c r="R6338" s="13"/>
      <c r="S6338" s="13"/>
    </row>
    <row r="6339" spans="1:19" x14ac:dyDescent="0.2">
      <c r="A6339" s="12" t="s">
        <v>586</v>
      </c>
      <c r="B6339" s="12" t="s">
        <v>572</v>
      </c>
      <c r="C6339" s="12" t="s">
        <v>554</v>
      </c>
      <c r="D6339" s="13">
        <v>0</v>
      </c>
      <c r="E6339" s="13">
        <v>0</v>
      </c>
      <c r="F6339" s="13">
        <v>0</v>
      </c>
      <c r="G6339" s="13">
        <v>0</v>
      </c>
      <c r="H6339" s="13"/>
      <c r="I6339" s="13"/>
      <c r="J6339" s="13"/>
      <c r="K6339" s="13"/>
      <c r="L6339" s="13"/>
      <c r="M6339" s="13"/>
      <c r="N6339" s="13"/>
      <c r="O6339" s="13"/>
      <c r="P6339" s="13"/>
      <c r="Q6339" s="13"/>
      <c r="R6339" s="13"/>
      <c r="S6339" s="13"/>
    </row>
    <row r="6340" spans="1:19" x14ac:dyDescent="0.2">
      <c r="A6340" s="12" t="s">
        <v>586</v>
      </c>
      <c r="B6340" s="12" t="s">
        <v>572</v>
      </c>
      <c r="C6340" s="12" t="s">
        <v>555</v>
      </c>
      <c r="D6340" s="13">
        <v>1757</v>
      </c>
      <c r="E6340" s="13">
        <v>1832.888796</v>
      </c>
      <c r="F6340" s="13">
        <v>1909.66994</v>
      </c>
      <c r="G6340" s="13">
        <v>1854.4506819999999</v>
      </c>
      <c r="H6340" s="13"/>
      <c r="I6340" s="13"/>
      <c r="J6340" s="13"/>
      <c r="K6340" s="13"/>
      <c r="L6340" s="13"/>
      <c r="M6340" s="13"/>
      <c r="N6340" s="13"/>
      <c r="O6340" s="13"/>
      <c r="P6340" s="13"/>
      <c r="Q6340" s="13"/>
      <c r="R6340" s="13"/>
      <c r="S6340" s="13"/>
    </row>
    <row r="6341" spans="1:19" x14ac:dyDescent="0.2">
      <c r="A6341" s="12" t="s">
        <v>586</v>
      </c>
      <c r="B6341" s="12" t="s">
        <v>572</v>
      </c>
      <c r="C6341" s="12" t="s">
        <v>556</v>
      </c>
      <c r="D6341" s="13">
        <v>-1769</v>
      </c>
      <c r="E6341" s="13">
        <v>-1803.590328</v>
      </c>
      <c r="F6341" s="13">
        <v>-1929.0942419999999</v>
      </c>
      <c r="G6341" s="13">
        <v>-1859.2377819999999</v>
      </c>
      <c r="H6341" s="13"/>
      <c r="I6341" s="13"/>
      <c r="J6341" s="13"/>
      <c r="K6341" s="13"/>
      <c r="L6341" s="13"/>
      <c r="M6341" s="13"/>
      <c r="N6341" s="13"/>
      <c r="O6341" s="13"/>
      <c r="P6341" s="13"/>
      <c r="Q6341" s="13"/>
      <c r="R6341" s="13"/>
      <c r="S6341" s="13"/>
    </row>
    <row r="6342" spans="1:19" x14ac:dyDescent="0.2">
      <c r="A6342" s="12" t="s">
        <v>586</v>
      </c>
      <c r="B6342" s="12" t="s">
        <v>572</v>
      </c>
      <c r="C6342" s="12" t="s">
        <v>557</v>
      </c>
      <c r="D6342" s="13">
        <v>-13</v>
      </c>
      <c r="E6342" s="13">
        <v>29.298459999999999</v>
      </c>
      <c r="F6342" s="13">
        <v>-19.424310999999999</v>
      </c>
      <c r="G6342" s="13">
        <v>-4.7870990000000004</v>
      </c>
      <c r="H6342" s="13"/>
      <c r="I6342" s="13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</row>
    <row r="6343" spans="1:19" x14ac:dyDescent="0.2">
      <c r="A6343" s="12" t="s">
        <v>586</v>
      </c>
      <c r="B6343" s="12" t="s">
        <v>572</v>
      </c>
      <c r="C6343" s="12" t="s">
        <v>558</v>
      </c>
      <c r="D6343" s="13">
        <v>38149</v>
      </c>
      <c r="E6343" s="13">
        <v>39347.880017000003</v>
      </c>
      <c r="F6343" s="13">
        <v>39415.719013999988</v>
      </c>
      <c r="G6343" s="13">
        <v>38832.672326</v>
      </c>
      <c r="H6343" s="13"/>
      <c r="I6343" s="13"/>
      <c r="J6343" s="13"/>
      <c r="K6343" s="13"/>
      <c r="L6343" s="13"/>
      <c r="M6343" s="13"/>
      <c r="N6343" s="13"/>
      <c r="O6343" s="13"/>
      <c r="P6343" s="13"/>
      <c r="Q6343" s="13"/>
      <c r="R6343" s="13"/>
      <c r="S6343" s="13"/>
    </row>
    <row r="6344" spans="1:19" x14ac:dyDescent="0.2">
      <c r="A6344" s="12" t="s">
        <v>586</v>
      </c>
      <c r="B6344" s="12" t="s">
        <v>572</v>
      </c>
      <c r="C6344" s="12" t="s">
        <v>560</v>
      </c>
      <c r="D6344" s="13">
        <v>0</v>
      </c>
      <c r="E6344" s="13">
        <v>0</v>
      </c>
      <c r="F6344" s="13">
        <v>0</v>
      </c>
      <c r="G6344" s="13">
        <v>0</v>
      </c>
      <c r="H6344" s="13"/>
      <c r="I6344" s="13"/>
      <c r="J6344" s="13"/>
      <c r="K6344" s="13"/>
      <c r="L6344" s="13"/>
      <c r="M6344" s="13"/>
      <c r="N6344" s="13"/>
      <c r="O6344" s="13"/>
      <c r="P6344" s="13"/>
      <c r="Q6344" s="13"/>
      <c r="R6344" s="13"/>
      <c r="S6344" s="13"/>
    </row>
    <row r="6345" spans="1:19" x14ac:dyDescent="0.2">
      <c r="A6345" s="12" t="s">
        <v>586</v>
      </c>
      <c r="B6345" s="12" t="s">
        <v>572</v>
      </c>
      <c r="C6345" s="12" t="s">
        <v>561</v>
      </c>
      <c r="D6345" s="13">
        <v>33348</v>
      </c>
      <c r="E6345" s="13">
        <v>34188.802027999998</v>
      </c>
      <c r="F6345" s="13">
        <v>34436.569613</v>
      </c>
      <c r="G6345" s="13">
        <v>33673.509712999999</v>
      </c>
      <c r="H6345" s="13"/>
      <c r="I6345" s="13"/>
      <c r="J6345" s="13"/>
      <c r="K6345" s="13"/>
      <c r="L6345" s="13"/>
      <c r="M6345" s="13"/>
      <c r="N6345" s="13"/>
      <c r="O6345" s="13"/>
      <c r="P6345" s="13"/>
      <c r="Q6345" s="13"/>
      <c r="R6345" s="13"/>
      <c r="S6345" s="13"/>
    </row>
    <row r="6346" spans="1:19" x14ac:dyDescent="0.2">
      <c r="A6346" s="12" t="s">
        <v>586</v>
      </c>
      <c r="B6346" s="12" t="s">
        <v>572</v>
      </c>
      <c r="C6346" s="12" t="s">
        <v>562</v>
      </c>
      <c r="D6346" s="13">
        <v>10257</v>
      </c>
      <c r="E6346" s="13">
        <v>10996.679056000001</v>
      </c>
      <c r="F6346" s="13">
        <v>10829.167604</v>
      </c>
      <c r="G6346" s="13">
        <v>10560.957097</v>
      </c>
      <c r="H6346" s="13"/>
      <c r="I6346" s="13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</row>
    <row r="6347" spans="1:19" x14ac:dyDescent="0.2">
      <c r="A6347" s="12" t="s">
        <v>586</v>
      </c>
      <c r="B6347" s="12" t="s">
        <v>572</v>
      </c>
      <c r="C6347" s="12" t="s">
        <v>563</v>
      </c>
      <c r="D6347" s="13">
        <v>394</v>
      </c>
      <c r="E6347" s="13">
        <v>426.84186899999997</v>
      </c>
      <c r="F6347" s="13">
        <v>481.93147399999998</v>
      </c>
      <c r="G6347" s="13">
        <v>525.86089099999992</v>
      </c>
      <c r="H6347" s="13"/>
      <c r="I6347" s="13"/>
      <c r="J6347" s="13"/>
      <c r="K6347" s="13"/>
      <c r="L6347" s="13"/>
      <c r="M6347" s="13"/>
      <c r="N6347" s="13"/>
      <c r="O6347" s="13"/>
      <c r="P6347" s="13"/>
      <c r="Q6347" s="13"/>
      <c r="R6347" s="13"/>
      <c r="S6347" s="13"/>
    </row>
    <row r="6348" spans="1:19" x14ac:dyDescent="0.2">
      <c r="A6348" s="12" t="s">
        <v>586</v>
      </c>
      <c r="B6348" s="12" t="s">
        <v>572</v>
      </c>
      <c r="C6348" s="12" t="s">
        <v>564</v>
      </c>
      <c r="D6348" s="13">
        <v>10967</v>
      </c>
      <c r="E6348" s="13">
        <v>11080.075724</v>
      </c>
      <c r="F6348" s="13">
        <v>11001.482910999999</v>
      </c>
      <c r="G6348" s="13">
        <v>10832.811007</v>
      </c>
      <c r="H6348" s="13"/>
      <c r="I6348" s="13"/>
      <c r="J6348" s="13"/>
      <c r="K6348" s="13"/>
      <c r="L6348" s="13"/>
      <c r="M6348" s="13"/>
      <c r="N6348" s="13"/>
      <c r="O6348" s="13"/>
      <c r="P6348" s="13"/>
      <c r="Q6348" s="13"/>
      <c r="R6348" s="13"/>
      <c r="S6348" s="13"/>
    </row>
    <row r="6349" spans="1:19" x14ac:dyDescent="0.2">
      <c r="A6349" s="12" t="s">
        <v>586</v>
      </c>
      <c r="B6349" s="12" t="s">
        <v>572</v>
      </c>
      <c r="C6349" s="12" t="s">
        <v>565</v>
      </c>
      <c r="D6349" s="13">
        <v>10118</v>
      </c>
      <c r="E6349" s="13">
        <v>10512.549612000001</v>
      </c>
      <c r="F6349" s="13">
        <v>10586.304937999999</v>
      </c>
      <c r="G6349" s="13">
        <v>10448.371512</v>
      </c>
      <c r="H6349" s="13"/>
      <c r="I6349" s="13"/>
      <c r="J6349" s="13"/>
      <c r="K6349" s="13"/>
      <c r="L6349" s="13"/>
      <c r="M6349" s="13"/>
      <c r="N6349" s="13"/>
      <c r="O6349" s="13"/>
      <c r="P6349" s="13"/>
      <c r="Q6349" s="13"/>
      <c r="R6349" s="13"/>
      <c r="S6349" s="13"/>
    </row>
    <row r="6350" spans="1:19" x14ac:dyDescent="0.2">
      <c r="A6350" s="12" t="s">
        <v>586</v>
      </c>
      <c r="B6350" s="12" t="s">
        <v>572</v>
      </c>
      <c r="C6350" s="12" t="s">
        <v>566</v>
      </c>
      <c r="D6350" s="13">
        <v>1612</v>
      </c>
      <c r="E6350" s="13">
        <v>1172.6557789999999</v>
      </c>
      <c r="F6350" s="13">
        <v>1537.682695</v>
      </c>
      <c r="G6350" s="13">
        <v>1305.509198</v>
      </c>
      <c r="H6350" s="13"/>
      <c r="I6350" s="13"/>
      <c r="J6350" s="13"/>
      <c r="K6350" s="13"/>
      <c r="L6350" s="13"/>
      <c r="M6350" s="13"/>
      <c r="N6350" s="13"/>
      <c r="O6350" s="13"/>
      <c r="P6350" s="13"/>
      <c r="Q6350" s="13"/>
      <c r="R6350" s="13"/>
      <c r="S6350" s="13"/>
    </row>
    <row r="6351" spans="1:19" x14ac:dyDescent="0.2">
      <c r="A6351" s="12" t="s">
        <v>586</v>
      </c>
      <c r="B6351" s="12" t="s">
        <v>573</v>
      </c>
      <c r="C6351" s="12" t="s">
        <v>554</v>
      </c>
      <c r="D6351" s="13">
        <v>57</v>
      </c>
      <c r="E6351" s="13">
        <v>60.453498000000003</v>
      </c>
      <c r="F6351" s="13">
        <v>53.458962999999997</v>
      </c>
      <c r="G6351" s="13">
        <v>52.204523000000002</v>
      </c>
      <c r="H6351" s="13"/>
      <c r="I6351" s="13"/>
      <c r="J6351" s="13"/>
      <c r="K6351" s="13"/>
      <c r="L6351" s="13"/>
      <c r="M6351" s="13"/>
      <c r="N6351" s="13"/>
      <c r="O6351" s="13"/>
      <c r="P6351" s="13"/>
      <c r="Q6351" s="13"/>
      <c r="R6351" s="13"/>
      <c r="S6351" s="13"/>
    </row>
    <row r="6352" spans="1:19" x14ac:dyDescent="0.2">
      <c r="A6352" s="12" t="s">
        <v>586</v>
      </c>
      <c r="B6352" s="12" t="s">
        <v>573</v>
      </c>
      <c r="C6352" s="12" t="s">
        <v>555</v>
      </c>
      <c r="D6352" s="13">
        <v>0</v>
      </c>
      <c r="E6352" s="13">
        <v>0.23516000000000001</v>
      </c>
      <c r="F6352" s="13">
        <v>0.23211200000000001</v>
      </c>
      <c r="G6352" s="13">
        <v>0.235738</v>
      </c>
      <c r="H6352" s="13"/>
      <c r="I6352" s="13"/>
      <c r="J6352" s="13"/>
      <c r="K6352" s="13"/>
      <c r="L6352" s="13"/>
      <c r="M6352" s="13"/>
      <c r="N6352" s="13"/>
      <c r="O6352" s="13"/>
      <c r="P6352" s="13"/>
      <c r="Q6352" s="13"/>
      <c r="R6352" s="13"/>
      <c r="S6352" s="13"/>
    </row>
    <row r="6353" spans="1:19" x14ac:dyDescent="0.2">
      <c r="A6353" s="12" t="s">
        <v>586</v>
      </c>
      <c r="B6353" s="12" t="s">
        <v>573</v>
      </c>
      <c r="C6353" s="12" t="s">
        <v>556</v>
      </c>
      <c r="D6353" s="13">
        <v>0</v>
      </c>
      <c r="E6353" s="13">
        <v>-7.3805000000000009E-2</v>
      </c>
      <c r="F6353" s="13">
        <v>-4.1746999999999999E-2</v>
      </c>
      <c r="G6353" s="13">
        <v>-4.0474000000000003E-2</v>
      </c>
      <c r="H6353" s="13"/>
      <c r="I6353" s="13"/>
      <c r="J6353" s="13"/>
      <c r="K6353" s="13"/>
      <c r="L6353" s="13"/>
      <c r="M6353" s="13"/>
      <c r="N6353" s="13"/>
      <c r="O6353" s="13"/>
      <c r="P6353" s="13"/>
      <c r="Q6353" s="13"/>
      <c r="R6353" s="13"/>
      <c r="S6353" s="13"/>
    </row>
    <row r="6354" spans="1:19" x14ac:dyDescent="0.2">
      <c r="A6354" s="12" t="s">
        <v>586</v>
      </c>
      <c r="B6354" s="12" t="s">
        <v>573</v>
      </c>
      <c r="C6354" s="12" t="s">
        <v>557</v>
      </c>
      <c r="D6354" s="13">
        <v>57</v>
      </c>
      <c r="E6354" s="13">
        <v>60.614857999999998</v>
      </c>
      <c r="F6354" s="13">
        <v>53.649329000000002</v>
      </c>
      <c r="G6354" s="13">
        <v>52.399777999999998</v>
      </c>
      <c r="H6354" s="13"/>
      <c r="I6354" s="13"/>
      <c r="J6354" s="13"/>
      <c r="K6354" s="13"/>
      <c r="L6354" s="13"/>
      <c r="M6354" s="13"/>
      <c r="N6354" s="13"/>
      <c r="O6354" s="13"/>
      <c r="P6354" s="13"/>
      <c r="Q6354" s="13"/>
      <c r="R6354" s="13"/>
      <c r="S6354" s="13"/>
    </row>
    <row r="6355" spans="1:19" x14ac:dyDescent="0.2">
      <c r="A6355" s="12" t="s">
        <v>586</v>
      </c>
      <c r="B6355" s="12" t="s">
        <v>573</v>
      </c>
      <c r="C6355" s="12" t="s">
        <v>558</v>
      </c>
      <c r="D6355" s="13">
        <v>3010</v>
      </c>
      <c r="E6355" s="13">
        <v>3046.9125349999999</v>
      </c>
      <c r="F6355" s="13">
        <v>2854.449067</v>
      </c>
      <c r="G6355" s="13">
        <v>2768.4350519999998</v>
      </c>
      <c r="H6355" s="13"/>
      <c r="I6355" s="13"/>
      <c r="J6355" s="13"/>
      <c r="K6355" s="13"/>
      <c r="L6355" s="13"/>
      <c r="M6355" s="13"/>
      <c r="N6355" s="13"/>
      <c r="O6355" s="13"/>
      <c r="P6355" s="13"/>
      <c r="Q6355" s="13"/>
      <c r="R6355" s="13"/>
      <c r="S6355" s="13"/>
    </row>
    <row r="6356" spans="1:19" x14ac:dyDescent="0.2">
      <c r="A6356" s="12" t="s">
        <v>586</v>
      </c>
      <c r="B6356" s="12" t="s">
        <v>573</v>
      </c>
      <c r="C6356" s="12" t="s">
        <v>560</v>
      </c>
      <c r="D6356" s="13">
        <v>0</v>
      </c>
      <c r="E6356" s="13">
        <v>0</v>
      </c>
      <c r="F6356" s="13">
        <v>0</v>
      </c>
      <c r="G6356" s="13">
        <v>0</v>
      </c>
      <c r="H6356" s="13"/>
      <c r="I6356" s="13"/>
      <c r="J6356" s="13"/>
      <c r="K6356" s="13"/>
      <c r="L6356" s="13"/>
      <c r="M6356" s="13"/>
      <c r="N6356" s="13"/>
      <c r="O6356" s="13"/>
      <c r="P6356" s="13"/>
      <c r="Q6356" s="13"/>
      <c r="R6356" s="13"/>
      <c r="S6356" s="13"/>
    </row>
    <row r="6357" spans="1:19" x14ac:dyDescent="0.2">
      <c r="A6357" s="12" t="s">
        <v>586</v>
      </c>
      <c r="B6357" s="12" t="s">
        <v>573</v>
      </c>
      <c r="C6357" s="12" t="s">
        <v>561</v>
      </c>
      <c r="D6357" s="13">
        <v>2446</v>
      </c>
      <c r="E6357" s="13">
        <v>2514.4672919999998</v>
      </c>
      <c r="F6357" s="13">
        <v>2353.4228680000001</v>
      </c>
      <c r="G6357" s="13">
        <v>2278.9503850000001</v>
      </c>
      <c r="H6357" s="13"/>
      <c r="I6357" s="13"/>
      <c r="J6357" s="13"/>
      <c r="K6357" s="13"/>
      <c r="L6357" s="13"/>
      <c r="M6357" s="13"/>
      <c r="N6357" s="13"/>
      <c r="O6357" s="13"/>
      <c r="P6357" s="13"/>
      <c r="Q6357" s="13"/>
      <c r="R6357" s="13"/>
      <c r="S6357" s="13"/>
    </row>
    <row r="6358" spans="1:19" x14ac:dyDescent="0.2">
      <c r="A6358" s="12" t="s">
        <v>586</v>
      </c>
      <c r="B6358" s="12" t="s">
        <v>573</v>
      </c>
      <c r="C6358" s="12" t="s">
        <v>562</v>
      </c>
      <c r="D6358" s="13">
        <v>1040</v>
      </c>
      <c r="E6358" s="13">
        <v>986.38476700000001</v>
      </c>
      <c r="F6358" s="13">
        <v>944.17310999999995</v>
      </c>
      <c r="G6358" s="13">
        <v>888.76246100000003</v>
      </c>
      <c r="H6358" s="13"/>
      <c r="I6358" s="13"/>
      <c r="J6358" s="13"/>
      <c r="K6358" s="13"/>
      <c r="L6358" s="13"/>
      <c r="M6358" s="13"/>
      <c r="N6358" s="13"/>
      <c r="O6358" s="13"/>
      <c r="P6358" s="13"/>
      <c r="Q6358" s="13"/>
      <c r="R6358" s="13"/>
      <c r="S6358" s="13"/>
    </row>
    <row r="6359" spans="1:19" x14ac:dyDescent="0.2">
      <c r="A6359" s="12" t="s">
        <v>586</v>
      </c>
      <c r="B6359" s="12" t="s">
        <v>573</v>
      </c>
      <c r="C6359" s="12" t="s">
        <v>563</v>
      </c>
      <c r="D6359" s="13">
        <v>0</v>
      </c>
      <c r="E6359" s="13">
        <v>0</v>
      </c>
      <c r="F6359" s="13">
        <v>0</v>
      </c>
      <c r="G6359" s="13">
        <v>0</v>
      </c>
      <c r="H6359" s="13"/>
      <c r="I6359" s="13"/>
      <c r="J6359" s="13"/>
      <c r="K6359" s="13"/>
      <c r="L6359" s="13"/>
      <c r="M6359" s="13"/>
      <c r="N6359" s="13"/>
      <c r="O6359" s="13"/>
      <c r="P6359" s="13"/>
      <c r="Q6359" s="13"/>
      <c r="R6359" s="13"/>
      <c r="S6359" s="13"/>
    </row>
    <row r="6360" spans="1:19" x14ac:dyDescent="0.2">
      <c r="A6360" s="12" t="s">
        <v>586</v>
      </c>
      <c r="B6360" s="12" t="s">
        <v>573</v>
      </c>
      <c r="C6360" s="12" t="s">
        <v>564</v>
      </c>
      <c r="D6360" s="13">
        <v>923</v>
      </c>
      <c r="E6360" s="13">
        <v>993.88224100000002</v>
      </c>
      <c r="F6360" s="13">
        <v>901.21987000000001</v>
      </c>
      <c r="G6360" s="13">
        <v>891.10720300000003</v>
      </c>
      <c r="H6360" s="13"/>
      <c r="I6360" s="13"/>
      <c r="J6360" s="13"/>
      <c r="K6360" s="13"/>
      <c r="L6360" s="13"/>
      <c r="M6360" s="13"/>
      <c r="N6360" s="13"/>
      <c r="O6360" s="13"/>
      <c r="P6360" s="13"/>
      <c r="Q6360" s="13"/>
      <c r="R6360" s="13"/>
      <c r="S6360" s="13"/>
    </row>
    <row r="6361" spans="1:19" x14ac:dyDescent="0.2">
      <c r="A6361" s="12" t="s">
        <v>586</v>
      </c>
      <c r="B6361" s="12" t="s">
        <v>573</v>
      </c>
      <c r="C6361" s="12" t="s">
        <v>565</v>
      </c>
      <c r="D6361" s="13">
        <v>441</v>
      </c>
      <c r="E6361" s="13">
        <v>493.78887300000002</v>
      </c>
      <c r="F6361" s="13">
        <v>468.63448199999999</v>
      </c>
      <c r="G6361" s="13">
        <v>459.13997499999999</v>
      </c>
      <c r="H6361" s="13"/>
      <c r="I6361" s="13"/>
      <c r="J6361" s="13"/>
      <c r="K6361" s="13"/>
      <c r="L6361" s="13"/>
      <c r="M6361" s="13"/>
      <c r="N6361" s="13"/>
      <c r="O6361" s="13"/>
      <c r="P6361" s="13"/>
      <c r="Q6361" s="13"/>
      <c r="R6361" s="13"/>
      <c r="S6361" s="13"/>
    </row>
    <row r="6362" spans="1:19" x14ac:dyDescent="0.2">
      <c r="A6362" s="12" t="s">
        <v>586</v>
      </c>
      <c r="B6362" s="12" t="s">
        <v>573</v>
      </c>
      <c r="C6362" s="12" t="s">
        <v>566</v>
      </c>
      <c r="D6362" s="13">
        <v>41</v>
      </c>
      <c r="E6362" s="13">
        <v>40.411423999999997</v>
      </c>
      <c r="F6362" s="13">
        <v>39.395418999999997</v>
      </c>
      <c r="G6362" s="13">
        <v>39.940770000000008</v>
      </c>
      <c r="H6362" s="13"/>
      <c r="I6362" s="13"/>
      <c r="J6362" s="13"/>
      <c r="K6362" s="13"/>
      <c r="L6362" s="13"/>
      <c r="M6362" s="13"/>
      <c r="N6362" s="13"/>
      <c r="O6362" s="13"/>
      <c r="P6362" s="13"/>
      <c r="Q6362" s="13"/>
      <c r="R6362" s="13"/>
      <c r="S6362" s="13"/>
    </row>
    <row r="6363" spans="1:19" x14ac:dyDescent="0.2">
      <c r="A6363" s="12" t="s">
        <v>586</v>
      </c>
      <c r="B6363" s="12" t="s">
        <v>574</v>
      </c>
      <c r="C6363" s="12" t="s">
        <v>554</v>
      </c>
      <c r="D6363" s="13">
        <v>180031</v>
      </c>
      <c r="E6363" s="13">
        <v>183162.28436699999</v>
      </c>
      <c r="F6363" s="13">
        <v>187927.60111799999</v>
      </c>
      <c r="G6363" s="13">
        <v>191897.66153499999</v>
      </c>
      <c r="H6363" s="13"/>
      <c r="I6363" s="13"/>
      <c r="J6363" s="13"/>
      <c r="K6363" s="13"/>
      <c r="L6363" s="13"/>
      <c r="M6363" s="13"/>
      <c r="N6363" s="13"/>
      <c r="O6363" s="13"/>
      <c r="P6363" s="13"/>
      <c r="Q6363" s="13"/>
      <c r="R6363" s="13"/>
      <c r="S6363" s="13"/>
    </row>
    <row r="6364" spans="1:19" x14ac:dyDescent="0.2">
      <c r="A6364" s="12" t="s">
        <v>586</v>
      </c>
      <c r="B6364" s="12" t="s">
        <v>574</v>
      </c>
      <c r="C6364" s="12" t="s">
        <v>555</v>
      </c>
      <c r="D6364" s="13">
        <v>114070</v>
      </c>
      <c r="E6364" s="13">
        <v>119238.787516</v>
      </c>
      <c r="F6364" s="13">
        <v>122827.176896</v>
      </c>
      <c r="G6364" s="13">
        <v>118535.71617</v>
      </c>
      <c r="H6364" s="13"/>
      <c r="I6364" s="13"/>
      <c r="J6364" s="13"/>
      <c r="K6364" s="13"/>
      <c r="L6364" s="13"/>
      <c r="M6364" s="13"/>
      <c r="N6364" s="13"/>
      <c r="O6364" s="13"/>
      <c r="P6364" s="13"/>
      <c r="Q6364" s="13"/>
      <c r="R6364" s="13"/>
      <c r="S6364" s="13"/>
    </row>
    <row r="6365" spans="1:19" x14ac:dyDescent="0.2">
      <c r="A6365" s="12" t="s">
        <v>586</v>
      </c>
      <c r="B6365" s="12" t="s">
        <v>574</v>
      </c>
      <c r="C6365" s="12" t="s">
        <v>556</v>
      </c>
      <c r="D6365" s="13">
        <v>-83958</v>
      </c>
      <c r="E6365" s="13">
        <v>-86774.385684000008</v>
      </c>
      <c r="F6365" s="13">
        <v>-91115.147567000007</v>
      </c>
      <c r="G6365" s="13">
        <v>-92798.11164399999</v>
      </c>
      <c r="H6365" s="13"/>
      <c r="I6365" s="13"/>
      <c r="J6365" s="13"/>
      <c r="K6365" s="13"/>
      <c r="L6365" s="13"/>
      <c r="M6365" s="13"/>
      <c r="N6365" s="13"/>
      <c r="O6365" s="13"/>
      <c r="P6365" s="13"/>
      <c r="Q6365" s="13"/>
      <c r="R6365" s="13"/>
      <c r="S6365" s="13"/>
    </row>
    <row r="6366" spans="1:19" x14ac:dyDescent="0.2">
      <c r="A6366" s="12" t="s">
        <v>586</v>
      </c>
      <c r="B6366" s="12" t="s">
        <v>574</v>
      </c>
      <c r="C6366" s="12" t="s">
        <v>557</v>
      </c>
      <c r="D6366" s="13">
        <v>205033</v>
      </c>
      <c r="E6366" s="13">
        <v>214846.89385299999</v>
      </c>
      <c r="F6366" s="13">
        <v>212275.79657800001</v>
      </c>
      <c r="G6366" s="13">
        <v>208009.920725</v>
      </c>
      <c r="H6366" s="13"/>
      <c r="I6366" s="13"/>
      <c r="J6366" s="13"/>
      <c r="K6366" s="13"/>
      <c r="L6366" s="13"/>
      <c r="M6366" s="13"/>
      <c r="N6366" s="13"/>
      <c r="O6366" s="13"/>
      <c r="P6366" s="13"/>
      <c r="Q6366" s="13"/>
      <c r="R6366" s="13"/>
      <c r="S6366" s="13"/>
    </row>
    <row r="6367" spans="1:19" x14ac:dyDescent="0.2">
      <c r="A6367" s="12" t="s">
        <v>586</v>
      </c>
      <c r="B6367" s="12" t="s">
        <v>574</v>
      </c>
      <c r="C6367" s="12" t="s">
        <v>558</v>
      </c>
      <c r="D6367" s="13">
        <v>-41031</v>
      </c>
      <c r="E6367" s="13">
        <v>-42720.209008999998</v>
      </c>
      <c r="F6367" s="13">
        <v>-41687.883887999997</v>
      </c>
      <c r="G6367" s="13">
        <v>-40162.259162000002</v>
      </c>
      <c r="H6367" s="13"/>
      <c r="I6367" s="13"/>
      <c r="J6367" s="13"/>
      <c r="K6367" s="13"/>
      <c r="L6367" s="13"/>
      <c r="M6367" s="13"/>
      <c r="N6367" s="13"/>
      <c r="O6367" s="13"/>
      <c r="P6367" s="13"/>
      <c r="Q6367" s="13"/>
      <c r="R6367" s="13"/>
      <c r="S6367" s="13"/>
    </row>
    <row r="6368" spans="1:19" x14ac:dyDescent="0.2">
      <c r="A6368" s="12" t="s">
        <v>586</v>
      </c>
      <c r="B6368" s="12" t="s">
        <v>574</v>
      </c>
      <c r="C6368" s="12" t="s">
        <v>560</v>
      </c>
      <c r="D6368" s="13">
        <v>-1814</v>
      </c>
      <c r="E6368" s="13">
        <v>-2255.588166</v>
      </c>
      <c r="F6368" s="13">
        <v>-2038.9566870000001</v>
      </c>
      <c r="G6368" s="13">
        <v>-2106.8159470000001</v>
      </c>
      <c r="H6368" s="13"/>
      <c r="I6368" s="13"/>
      <c r="J6368" s="13"/>
      <c r="K6368" s="13"/>
      <c r="L6368" s="13"/>
      <c r="M6368" s="13"/>
      <c r="N6368" s="13"/>
      <c r="O6368" s="13"/>
      <c r="P6368" s="13"/>
      <c r="Q6368" s="13"/>
      <c r="R6368" s="13"/>
      <c r="S6368" s="13"/>
    </row>
    <row r="6369" spans="1:19" x14ac:dyDescent="0.2">
      <c r="A6369" s="12" t="s">
        <v>586</v>
      </c>
      <c r="B6369" s="12" t="s">
        <v>574</v>
      </c>
      <c r="C6369" s="12" t="s">
        <v>561</v>
      </c>
      <c r="D6369" s="13">
        <v>144610</v>
      </c>
      <c r="E6369" s="13">
        <v>151233.30272800001</v>
      </c>
      <c r="F6369" s="13">
        <v>151056.844989</v>
      </c>
      <c r="G6369" s="13">
        <v>148085.326516</v>
      </c>
      <c r="H6369" s="13"/>
      <c r="I6369" s="13"/>
      <c r="J6369" s="13"/>
      <c r="K6369" s="13"/>
      <c r="L6369" s="13"/>
      <c r="M6369" s="13"/>
      <c r="N6369" s="13"/>
      <c r="O6369" s="13"/>
      <c r="P6369" s="13"/>
      <c r="Q6369" s="13"/>
      <c r="R6369" s="13"/>
      <c r="S6369" s="13"/>
    </row>
    <row r="6370" spans="1:19" x14ac:dyDescent="0.2">
      <c r="A6370" s="12" t="s">
        <v>586</v>
      </c>
      <c r="B6370" s="12" t="s">
        <v>574</v>
      </c>
      <c r="C6370" s="12" t="s">
        <v>562</v>
      </c>
      <c r="D6370" s="13">
        <v>32448</v>
      </c>
      <c r="E6370" s="13">
        <v>33868.210630000001</v>
      </c>
      <c r="F6370" s="13">
        <v>33070.339404999999</v>
      </c>
      <c r="G6370" s="13">
        <v>32214.484966</v>
      </c>
      <c r="H6370" s="13"/>
      <c r="I6370" s="13"/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</row>
    <row r="6371" spans="1:19" x14ac:dyDescent="0.2">
      <c r="A6371" s="12" t="s">
        <v>586</v>
      </c>
      <c r="B6371" s="12" t="s">
        <v>574</v>
      </c>
      <c r="C6371" s="12" t="s">
        <v>563</v>
      </c>
      <c r="D6371" s="13">
        <v>45213</v>
      </c>
      <c r="E6371" s="13">
        <v>48977.552330999999</v>
      </c>
      <c r="F6371" s="13">
        <v>50695.975799000007</v>
      </c>
      <c r="G6371" s="13">
        <v>50798.108288000003</v>
      </c>
      <c r="H6371" s="13"/>
      <c r="I6371" s="13"/>
      <c r="J6371" s="13"/>
      <c r="K6371" s="13"/>
      <c r="L6371" s="13"/>
      <c r="M6371" s="13"/>
      <c r="N6371" s="13"/>
      <c r="O6371" s="13"/>
      <c r="P6371" s="13"/>
      <c r="Q6371" s="13"/>
      <c r="R6371" s="13"/>
      <c r="S6371" s="13"/>
    </row>
    <row r="6372" spans="1:19" x14ac:dyDescent="0.2">
      <c r="A6372" s="12" t="s">
        <v>586</v>
      </c>
      <c r="B6372" s="12" t="s">
        <v>574</v>
      </c>
      <c r="C6372" s="12" t="s">
        <v>564</v>
      </c>
      <c r="D6372" s="13">
        <v>28848</v>
      </c>
      <c r="E6372" s="13">
        <v>29444.302210000002</v>
      </c>
      <c r="F6372" s="13">
        <v>28778.090684999999</v>
      </c>
      <c r="G6372" s="13">
        <v>27448.530900000002</v>
      </c>
      <c r="H6372" s="13"/>
      <c r="I6372" s="13"/>
      <c r="J6372" s="13"/>
      <c r="K6372" s="13"/>
      <c r="L6372" s="13"/>
      <c r="M6372" s="13"/>
      <c r="N6372" s="13"/>
      <c r="O6372" s="13"/>
      <c r="P6372" s="13"/>
      <c r="Q6372" s="13"/>
      <c r="R6372" s="13"/>
      <c r="S6372" s="13"/>
    </row>
    <row r="6373" spans="1:19" x14ac:dyDescent="0.2">
      <c r="A6373" s="12" t="s">
        <v>586</v>
      </c>
      <c r="B6373" s="12" t="s">
        <v>574</v>
      </c>
      <c r="C6373" s="12" t="s">
        <v>565</v>
      </c>
      <c r="D6373" s="13">
        <v>18961</v>
      </c>
      <c r="E6373" s="13">
        <v>19681.731248</v>
      </c>
      <c r="F6373" s="13">
        <v>19566.219374</v>
      </c>
      <c r="G6373" s="13">
        <v>19009.634966000001</v>
      </c>
      <c r="H6373" s="13"/>
      <c r="I6373" s="13"/>
      <c r="J6373" s="13"/>
      <c r="K6373" s="13"/>
      <c r="L6373" s="13"/>
      <c r="M6373" s="13"/>
      <c r="N6373" s="13"/>
      <c r="O6373" s="13"/>
      <c r="P6373" s="13"/>
      <c r="Q6373" s="13"/>
      <c r="R6373" s="13"/>
      <c r="S6373" s="13"/>
    </row>
    <row r="6374" spans="1:19" x14ac:dyDescent="0.2">
      <c r="A6374" s="12" t="s">
        <v>586</v>
      </c>
      <c r="B6374" s="12" t="s">
        <v>574</v>
      </c>
      <c r="C6374" s="12" t="s">
        <v>566</v>
      </c>
      <c r="D6374" s="13">
        <v>19140</v>
      </c>
      <c r="E6374" s="13">
        <v>19261.506365000001</v>
      </c>
      <c r="F6374" s="13">
        <v>18946.219835</v>
      </c>
      <c r="G6374" s="13">
        <v>18614.567462999999</v>
      </c>
      <c r="H6374" s="13"/>
      <c r="I6374" s="13"/>
      <c r="J6374" s="13"/>
      <c r="K6374" s="13"/>
      <c r="L6374" s="13"/>
      <c r="M6374" s="13"/>
      <c r="N6374" s="13"/>
      <c r="O6374" s="13"/>
      <c r="P6374" s="13"/>
      <c r="Q6374" s="13"/>
      <c r="R6374" s="13"/>
      <c r="S6374" s="13"/>
    </row>
    <row r="6375" spans="1:19" x14ac:dyDescent="0.2">
      <c r="A6375" s="12" t="s">
        <v>587</v>
      </c>
      <c r="B6375" s="12" t="s">
        <v>553</v>
      </c>
      <c r="C6375" s="12" t="s">
        <v>554</v>
      </c>
      <c r="D6375" s="13">
        <v>143858</v>
      </c>
      <c r="E6375" s="13">
        <v>151467.43022899999</v>
      </c>
      <c r="F6375" s="13">
        <v>160234.03475799999</v>
      </c>
      <c r="G6375" s="13">
        <v>165344.974059</v>
      </c>
      <c r="H6375" s="13"/>
      <c r="I6375" s="13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</row>
    <row r="6376" spans="1:19" x14ac:dyDescent="0.2">
      <c r="A6376" s="12" t="s">
        <v>587</v>
      </c>
      <c r="B6376" s="12" t="s">
        <v>553</v>
      </c>
      <c r="C6376" s="12" t="s">
        <v>555</v>
      </c>
      <c r="D6376" s="13">
        <v>26132</v>
      </c>
      <c r="E6376" s="13">
        <v>27693.599502000001</v>
      </c>
      <c r="F6376" s="13">
        <v>27208.022380999999</v>
      </c>
      <c r="G6376" s="13">
        <v>29908.651991999999</v>
      </c>
      <c r="H6376" s="13"/>
      <c r="I6376" s="13"/>
      <c r="J6376" s="13"/>
      <c r="K6376" s="13"/>
      <c r="L6376" s="13"/>
      <c r="M6376" s="13"/>
      <c r="N6376" s="13"/>
      <c r="O6376" s="13"/>
      <c r="P6376" s="13"/>
      <c r="Q6376" s="13"/>
      <c r="R6376" s="13"/>
      <c r="S6376" s="13"/>
    </row>
    <row r="6377" spans="1:19" x14ac:dyDescent="0.2">
      <c r="A6377" s="12" t="s">
        <v>587</v>
      </c>
      <c r="B6377" s="12" t="s">
        <v>553</v>
      </c>
      <c r="C6377" s="12" t="s">
        <v>556</v>
      </c>
      <c r="D6377" s="13">
        <v>-27382</v>
      </c>
      <c r="E6377" s="13">
        <v>-27354.300107999999</v>
      </c>
      <c r="F6377" s="13">
        <v>-28191.144667</v>
      </c>
      <c r="G6377" s="13">
        <v>-29361.515467000001</v>
      </c>
      <c r="H6377" s="13"/>
      <c r="I6377" s="13"/>
      <c r="J6377" s="13"/>
      <c r="K6377" s="13"/>
      <c r="L6377" s="13"/>
      <c r="M6377" s="13"/>
      <c r="N6377" s="13"/>
      <c r="O6377" s="13"/>
      <c r="P6377" s="13"/>
      <c r="Q6377" s="13"/>
      <c r="R6377" s="13"/>
      <c r="S6377" s="13"/>
    </row>
    <row r="6378" spans="1:19" x14ac:dyDescent="0.2">
      <c r="A6378" s="12" t="s">
        <v>587</v>
      </c>
      <c r="B6378" s="12" t="s">
        <v>553</v>
      </c>
      <c r="C6378" s="12" t="s">
        <v>557</v>
      </c>
      <c r="D6378" s="13">
        <v>141773</v>
      </c>
      <c r="E6378" s="13">
        <v>152990.780306</v>
      </c>
      <c r="F6378" s="13">
        <v>154848.20592400001</v>
      </c>
      <c r="G6378" s="13">
        <v>158868.691406</v>
      </c>
      <c r="H6378" s="13"/>
      <c r="I6378" s="13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</row>
    <row r="6379" spans="1:19" x14ac:dyDescent="0.2">
      <c r="A6379" s="12" t="s">
        <v>587</v>
      </c>
      <c r="B6379" s="12" t="s">
        <v>553</v>
      </c>
      <c r="C6379" s="12" t="s">
        <v>558</v>
      </c>
      <c r="D6379" s="13">
        <v>-90539</v>
      </c>
      <c r="E6379" s="13">
        <v>-99616.321767999994</v>
      </c>
      <c r="F6379" s="13">
        <v>-101547.98723100001</v>
      </c>
      <c r="G6379" s="13">
        <v>-104071.693369</v>
      </c>
      <c r="H6379" s="13"/>
      <c r="I6379" s="13"/>
      <c r="J6379" s="13"/>
      <c r="K6379" s="13"/>
      <c r="L6379" s="13"/>
      <c r="M6379" s="13"/>
      <c r="N6379" s="13"/>
      <c r="O6379" s="13"/>
      <c r="P6379" s="13"/>
      <c r="Q6379" s="13"/>
      <c r="R6379" s="13"/>
      <c r="S6379" s="13"/>
    </row>
    <row r="6380" spans="1:19" x14ac:dyDescent="0.2">
      <c r="A6380" s="12" t="s">
        <v>587</v>
      </c>
      <c r="B6380" s="12" t="s">
        <v>553</v>
      </c>
      <c r="C6380" s="12" t="s">
        <v>560</v>
      </c>
      <c r="D6380" s="13">
        <v>0</v>
      </c>
      <c r="E6380" s="13">
        <v>0</v>
      </c>
      <c r="F6380" s="13">
        <v>0</v>
      </c>
      <c r="G6380" s="13">
        <v>0</v>
      </c>
      <c r="H6380" s="13"/>
      <c r="I6380" s="13"/>
      <c r="J6380" s="13"/>
      <c r="K6380" s="13"/>
      <c r="L6380" s="13"/>
      <c r="M6380" s="13"/>
      <c r="N6380" s="13"/>
      <c r="O6380" s="13"/>
      <c r="P6380" s="13"/>
      <c r="Q6380" s="13"/>
      <c r="R6380" s="13"/>
      <c r="S6380" s="13"/>
    </row>
    <row r="6381" spans="1:19" x14ac:dyDescent="0.2">
      <c r="A6381" s="12" t="s">
        <v>587</v>
      </c>
      <c r="B6381" s="12" t="s">
        <v>553</v>
      </c>
      <c r="C6381" s="12" t="s">
        <v>561</v>
      </c>
      <c r="D6381" s="13">
        <v>33501</v>
      </c>
      <c r="E6381" s="13">
        <v>33290.921050999998</v>
      </c>
      <c r="F6381" s="13">
        <v>32492.322424999998</v>
      </c>
      <c r="G6381" s="13">
        <v>32827.793744000002</v>
      </c>
      <c r="H6381" s="13"/>
      <c r="I6381" s="13"/>
      <c r="J6381" s="13"/>
      <c r="K6381" s="13"/>
      <c r="L6381" s="13"/>
      <c r="M6381" s="13"/>
      <c r="N6381" s="13"/>
      <c r="O6381" s="13"/>
      <c r="P6381" s="13"/>
      <c r="Q6381" s="13"/>
      <c r="R6381" s="13"/>
      <c r="S6381" s="13"/>
    </row>
    <row r="6382" spans="1:19" x14ac:dyDescent="0.2">
      <c r="A6382" s="12" t="s">
        <v>587</v>
      </c>
      <c r="B6382" s="12" t="s">
        <v>553</v>
      </c>
      <c r="C6382" s="12" t="s">
        <v>562</v>
      </c>
      <c r="D6382" s="13">
        <v>26557</v>
      </c>
      <c r="E6382" s="13">
        <v>26607.039228000001</v>
      </c>
      <c r="F6382" s="13">
        <v>25864.862014999999</v>
      </c>
      <c r="G6382" s="13">
        <v>26091.980050999999</v>
      </c>
      <c r="H6382" s="13"/>
      <c r="I6382" s="13"/>
      <c r="J6382" s="13"/>
      <c r="K6382" s="13"/>
      <c r="L6382" s="13"/>
      <c r="M6382" s="13"/>
      <c r="N6382" s="13"/>
      <c r="O6382" s="13"/>
      <c r="P6382" s="13"/>
      <c r="Q6382" s="13"/>
      <c r="R6382" s="13"/>
      <c r="S6382" s="13"/>
    </row>
    <row r="6383" spans="1:19" x14ac:dyDescent="0.2">
      <c r="A6383" s="12" t="s">
        <v>587</v>
      </c>
      <c r="B6383" s="12" t="s">
        <v>553</v>
      </c>
      <c r="C6383" s="12" t="s">
        <v>563</v>
      </c>
      <c r="D6383" s="13">
        <v>1</v>
      </c>
      <c r="E6383" s="13">
        <v>0.58330100000000007</v>
      </c>
      <c r="F6383" s="13">
        <v>0.53115800000000002</v>
      </c>
      <c r="G6383" s="13">
        <v>0.51702400000000004</v>
      </c>
      <c r="H6383" s="13"/>
      <c r="I6383" s="13"/>
      <c r="J6383" s="13"/>
      <c r="K6383" s="13"/>
      <c r="L6383" s="13"/>
      <c r="M6383" s="13"/>
      <c r="N6383" s="13"/>
      <c r="O6383" s="13"/>
      <c r="P6383" s="13"/>
      <c r="Q6383" s="13"/>
      <c r="R6383" s="13"/>
      <c r="S6383" s="13"/>
    </row>
    <row r="6384" spans="1:19" x14ac:dyDescent="0.2">
      <c r="A6384" s="12" t="s">
        <v>587</v>
      </c>
      <c r="B6384" s="12" t="s">
        <v>553</v>
      </c>
      <c r="C6384" s="12" t="s">
        <v>564</v>
      </c>
      <c r="D6384" s="13">
        <v>1958</v>
      </c>
      <c r="E6384" s="13">
        <v>1851.883466</v>
      </c>
      <c r="F6384" s="13">
        <v>1713.7793349999999</v>
      </c>
      <c r="G6384" s="13">
        <v>1646.593212</v>
      </c>
      <c r="H6384" s="13"/>
      <c r="I6384" s="13"/>
      <c r="J6384" s="13"/>
      <c r="K6384" s="13"/>
      <c r="L6384" s="13"/>
      <c r="M6384" s="13"/>
      <c r="N6384" s="13"/>
      <c r="O6384" s="13"/>
      <c r="P6384" s="13"/>
      <c r="Q6384" s="13"/>
      <c r="R6384" s="13"/>
      <c r="S6384" s="13"/>
    </row>
    <row r="6385" spans="1:19" x14ac:dyDescent="0.2">
      <c r="A6385" s="12" t="s">
        <v>587</v>
      </c>
      <c r="B6385" s="12" t="s">
        <v>553</v>
      </c>
      <c r="C6385" s="12" t="s">
        <v>565</v>
      </c>
      <c r="D6385" s="13">
        <v>927</v>
      </c>
      <c r="E6385" s="13">
        <v>810.81970700000011</v>
      </c>
      <c r="F6385" s="13">
        <v>728.28185199999996</v>
      </c>
      <c r="G6385" s="13">
        <v>712.19924000000003</v>
      </c>
      <c r="H6385" s="13"/>
      <c r="I6385" s="13"/>
      <c r="J6385" s="13"/>
      <c r="K6385" s="13"/>
      <c r="L6385" s="13"/>
      <c r="M6385" s="13"/>
      <c r="N6385" s="13"/>
      <c r="O6385" s="13"/>
      <c r="P6385" s="13"/>
      <c r="Q6385" s="13"/>
      <c r="R6385" s="13"/>
      <c r="S6385" s="13"/>
    </row>
    <row r="6386" spans="1:19" x14ac:dyDescent="0.2">
      <c r="A6386" s="12" t="s">
        <v>587</v>
      </c>
      <c r="B6386" s="12" t="s">
        <v>553</v>
      </c>
      <c r="C6386" s="12" t="s">
        <v>566</v>
      </c>
      <c r="D6386" s="13">
        <v>4058</v>
      </c>
      <c r="E6386" s="13">
        <v>4020.595311</v>
      </c>
      <c r="F6386" s="13">
        <v>4184.8680599999998</v>
      </c>
      <c r="G6386" s="13">
        <v>4376.5042050000002</v>
      </c>
      <c r="H6386" s="13"/>
      <c r="I6386" s="13"/>
      <c r="J6386" s="13"/>
      <c r="K6386" s="13"/>
      <c r="L6386" s="13"/>
      <c r="M6386" s="13"/>
      <c r="N6386" s="13"/>
      <c r="O6386" s="13"/>
      <c r="P6386" s="13"/>
      <c r="Q6386" s="13"/>
      <c r="R6386" s="13"/>
      <c r="S6386" s="13"/>
    </row>
    <row r="6387" spans="1:19" x14ac:dyDescent="0.2">
      <c r="A6387" s="12" t="s">
        <v>587</v>
      </c>
      <c r="B6387" s="12" t="s">
        <v>567</v>
      </c>
      <c r="C6387" s="12" t="s">
        <v>554</v>
      </c>
      <c r="D6387" s="13">
        <v>76299</v>
      </c>
      <c r="E6387" s="13">
        <v>76570.098190000004</v>
      </c>
      <c r="F6387" s="13">
        <v>79028.000092999995</v>
      </c>
      <c r="G6387" s="13">
        <v>83378.427267000006</v>
      </c>
      <c r="H6387" s="13"/>
      <c r="I6387" s="13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</row>
    <row r="6388" spans="1:19" x14ac:dyDescent="0.2">
      <c r="A6388" s="12" t="s">
        <v>587</v>
      </c>
      <c r="B6388" s="12" t="s">
        <v>567</v>
      </c>
      <c r="C6388" s="12" t="s">
        <v>555</v>
      </c>
      <c r="D6388" s="13">
        <v>87153</v>
      </c>
      <c r="E6388" s="13">
        <v>87532.574498000002</v>
      </c>
      <c r="F6388" s="13">
        <v>90776.026430000013</v>
      </c>
      <c r="G6388" s="13">
        <v>93339.909463999997</v>
      </c>
      <c r="H6388" s="13"/>
      <c r="I6388" s="13"/>
      <c r="J6388" s="13"/>
      <c r="K6388" s="13"/>
      <c r="L6388" s="13"/>
      <c r="M6388" s="13"/>
      <c r="N6388" s="13"/>
      <c r="O6388" s="13"/>
      <c r="P6388" s="13"/>
      <c r="Q6388" s="13"/>
      <c r="R6388" s="13"/>
      <c r="S6388" s="13"/>
    </row>
    <row r="6389" spans="1:19" x14ac:dyDescent="0.2">
      <c r="A6389" s="12" t="s">
        <v>587</v>
      </c>
      <c r="B6389" s="12" t="s">
        <v>567</v>
      </c>
      <c r="C6389" s="12" t="s">
        <v>556</v>
      </c>
      <c r="D6389" s="13">
        <v>-29528</v>
      </c>
      <c r="E6389" s="13">
        <v>-28863.804224</v>
      </c>
      <c r="F6389" s="13">
        <v>-29799.430246</v>
      </c>
      <c r="G6389" s="13">
        <v>-32210.701719000001</v>
      </c>
      <c r="H6389" s="13"/>
      <c r="I6389" s="13"/>
      <c r="J6389" s="13"/>
      <c r="K6389" s="13"/>
      <c r="L6389" s="13"/>
      <c r="M6389" s="13"/>
      <c r="N6389" s="13"/>
      <c r="O6389" s="13"/>
      <c r="P6389" s="13"/>
      <c r="Q6389" s="13"/>
      <c r="R6389" s="13"/>
      <c r="S6389" s="13"/>
    </row>
    <row r="6390" spans="1:19" x14ac:dyDescent="0.2">
      <c r="A6390" s="12" t="s">
        <v>587</v>
      </c>
      <c r="B6390" s="12" t="s">
        <v>567</v>
      </c>
      <c r="C6390" s="12" t="s">
        <v>557</v>
      </c>
      <c r="D6390" s="13">
        <v>132554</v>
      </c>
      <c r="E6390" s="13">
        <v>137573.492298</v>
      </c>
      <c r="F6390" s="13">
        <v>140675.12976099999</v>
      </c>
      <c r="G6390" s="13">
        <v>143727.61779799999</v>
      </c>
      <c r="H6390" s="13"/>
      <c r="I6390" s="13"/>
      <c r="J6390" s="13"/>
      <c r="K6390" s="13"/>
      <c r="L6390" s="13"/>
      <c r="M6390" s="13"/>
      <c r="N6390" s="13"/>
      <c r="O6390" s="13"/>
      <c r="P6390" s="13"/>
      <c r="Q6390" s="13"/>
      <c r="R6390" s="13"/>
      <c r="S6390" s="13"/>
    </row>
    <row r="6391" spans="1:19" x14ac:dyDescent="0.2">
      <c r="A6391" s="12" t="s">
        <v>587</v>
      </c>
      <c r="B6391" s="12" t="s">
        <v>567</v>
      </c>
      <c r="C6391" s="12" t="s">
        <v>558</v>
      </c>
      <c r="D6391" s="13">
        <v>-30</v>
      </c>
      <c r="E6391" s="13">
        <v>-24.883998999999999</v>
      </c>
      <c r="F6391" s="13">
        <v>-18.62274</v>
      </c>
      <c r="G6391" s="13">
        <v>-14.133188000000001</v>
      </c>
      <c r="H6391" s="13"/>
      <c r="I6391" s="13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</row>
    <row r="6392" spans="1:19" x14ac:dyDescent="0.2">
      <c r="A6392" s="12" t="s">
        <v>587</v>
      </c>
      <c r="B6392" s="12" t="s">
        <v>567</v>
      </c>
      <c r="C6392" s="12" t="s">
        <v>560</v>
      </c>
      <c r="D6392" s="13">
        <v>-129262</v>
      </c>
      <c r="E6392" s="13">
        <v>-134998.51869</v>
      </c>
      <c r="F6392" s="13">
        <v>-139008.44971099999</v>
      </c>
      <c r="G6392" s="13">
        <v>-141528.57492799999</v>
      </c>
      <c r="H6392" s="13"/>
      <c r="I6392" s="13"/>
      <c r="J6392" s="13"/>
      <c r="K6392" s="13"/>
      <c r="L6392" s="13"/>
      <c r="M6392" s="13"/>
      <c r="N6392" s="13"/>
      <c r="O6392" s="13"/>
      <c r="P6392" s="13"/>
      <c r="Q6392" s="13"/>
      <c r="R6392" s="13"/>
      <c r="S6392" s="13"/>
    </row>
    <row r="6393" spans="1:19" x14ac:dyDescent="0.2">
      <c r="A6393" s="12" t="s">
        <v>587</v>
      </c>
      <c r="B6393" s="12" t="s">
        <v>567</v>
      </c>
      <c r="C6393" s="12" t="s">
        <v>561</v>
      </c>
      <c r="D6393" s="13">
        <v>307</v>
      </c>
      <c r="E6393" s="13">
        <v>322.25628399999999</v>
      </c>
      <c r="F6393" s="13">
        <v>242.805193</v>
      </c>
      <c r="G6393" s="13">
        <v>249.206479</v>
      </c>
      <c r="H6393" s="13"/>
      <c r="I6393" s="13"/>
      <c r="J6393" s="13"/>
      <c r="K6393" s="13"/>
      <c r="L6393" s="13"/>
      <c r="M6393" s="13"/>
      <c r="N6393" s="13"/>
      <c r="O6393" s="13"/>
      <c r="P6393" s="13"/>
      <c r="Q6393" s="13"/>
      <c r="R6393" s="13"/>
      <c r="S6393" s="13"/>
    </row>
    <row r="6394" spans="1:19" x14ac:dyDescent="0.2">
      <c r="A6394" s="12" t="s">
        <v>587</v>
      </c>
      <c r="B6394" s="12" t="s">
        <v>567</v>
      </c>
      <c r="C6394" s="12" t="s">
        <v>562</v>
      </c>
      <c r="D6394" s="13">
        <v>72</v>
      </c>
      <c r="E6394" s="13">
        <v>88.508944</v>
      </c>
      <c r="F6394" s="13">
        <v>26.358509999999999</v>
      </c>
      <c r="G6394" s="13">
        <v>26.530089</v>
      </c>
      <c r="H6394" s="13"/>
      <c r="I6394" s="13"/>
      <c r="J6394" s="13"/>
      <c r="K6394" s="13"/>
      <c r="L6394" s="13"/>
      <c r="M6394" s="13"/>
      <c r="N6394" s="13"/>
      <c r="O6394" s="13"/>
      <c r="P6394" s="13"/>
      <c r="Q6394" s="13"/>
      <c r="R6394" s="13"/>
      <c r="S6394" s="13"/>
    </row>
    <row r="6395" spans="1:19" x14ac:dyDescent="0.2">
      <c r="A6395" s="12" t="s">
        <v>587</v>
      </c>
      <c r="B6395" s="12" t="s">
        <v>567</v>
      </c>
      <c r="C6395" s="12" t="s">
        <v>563</v>
      </c>
      <c r="D6395" s="13">
        <v>0</v>
      </c>
      <c r="E6395" s="13">
        <v>0</v>
      </c>
      <c r="F6395" s="13">
        <v>0</v>
      </c>
      <c r="G6395" s="13">
        <v>0</v>
      </c>
      <c r="H6395" s="13"/>
      <c r="I6395" s="13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</row>
    <row r="6396" spans="1:19" x14ac:dyDescent="0.2">
      <c r="A6396" s="12" t="s">
        <v>587</v>
      </c>
      <c r="B6396" s="12" t="s">
        <v>567</v>
      </c>
      <c r="C6396" s="12" t="s">
        <v>564</v>
      </c>
      <c r="D6396" s="13">
        <v>0</v>
      </c>
      <c r="E6396" s="13">
        <v>0</v>
      </c>
      <c r="F6396" s="13">
        <v>0</v>
      </c>
      <c r="G6396" s="13">
        <v>0</v>
      </c>
      <c r="H6396" s="13"/>
      <c r="I6396" s="13"/>
      <c r="J6396" s="13"/>
      <c r="K6396" s="13"/>
      <c r="L6396" s="13"/>
      <c r="M6396" s="13"/>
      <c r="N6396" s="13"/>
      <c r="O6396" s="13"/>
      <c r="P6396" s="13"/>
      <c r="Q6396" s="13"/>
      <c r="R6396" s="13"/>
      <c r="S6396" s="13"/>
    </row>
    <row r="6397" spans="1:19" x14ac:dyDescent="0.2">
      <c r="A6397" s="12" t="s">
        <v>587</v>
      </c>
      <c r="B6397" s="12" t="s">
        <v>567</v>
      </c>
      <c r="C6397" s="12" t="s">
        <v>565</v>
      </c>
      <c r="D6397" s="13">
        <v>0</v>
      </c>
      <c r="E6397" s="13">
        <v>0</v>
      </c>
      <c r="F6397" s="13">
        <v>0</v>
      </c>
      <c r="G6397" s="13">
        <v>0</v>
      </c>
      <c r="H6397" s="13"/>
      <c r="I6397" s="13"/>
      <c r="J6397" s="13"/>
      <c r="K6397" s="13"/>
      <c r="L6397" s="13"/>
      <c r="M6397" s="13"/>
      <c r="N6397" s="13"/>
      <c r="O6397" s="13"/>
      <c r="P6397" s="13"/>
      <c r="Q6397" s="13"/>
      <c r="R6397" s="13"/>
      <c r="S6397" s="13"/>
    </row>
    <row r="6398" spans="1:19" x14ac:dyDescent="0.2">
      <c r="A6398" s="12" t="s">
        <v>587</v>
      </c>
      <c r="B6398" s="12" t="s">
        <v>567</v>
      </c>
      <c r="C6398" s="12" t="s">
        <v>566</v>
      </c>
      <c r="D6398" s="13">
        <v>235</v>
      </c>
      <c r="E6398" s="13">
        <v>233.74734000000001</v>
      </c>
      <c r="F6398" s="13">
        <v>216.44668300000001</v>
      </c>
      <c r="G6398" s="13">
        <v>222.67639</v>
      </c>
      <c r="H6398" s="13"/>
      <c r="I6398" s="13"/>
      <c r="J6398" s="13"/>
      <c r="K6398" s="13"/>
      <c r="L6398" s="13"/>
      <c r="M6398" s="13"/>
      <c r="N6398" s="13"/>
      <c r="O6398" s="13"/>
      <c r="P6398" s="13"/>
      <c r="Q6398" s="13"/>
      <c r="R6398" s="13"/>
      <c r="S6398" s="13"/>
    </row>
    <row r="6399" spans="1:19" x14ac:dyDescent="0.2">
      <c r="A6399" s="12" t="s">
        <v>587</v>
      </c>
      <c r="B6399" s="12" t="s">
        <v>568</v>
      </c>
      <c r="C6399" s="12" t="s">
        <v>554</v>
      </c>
      <c r="D6399" s="13">
        <v>0</v>
      </c>
      <c r="E6399" s="13">
        <v>0</v>
      </c>
      <c r="F6399" s="13">
        <v>0</v>
      </c>
      <c r="G6399" s="13">
        <v>0</v>
      </c>
      <c r="H6399" s="13"/>
      <c r="I6399" s="13"/>
      <c r="J6399" s="13"/>
      <c r="K6399" s="13"/>
      <c r="L6399" s="13"/>
      <c r="M6399" s="13"/>
      <c r="N6399" s="13"/>
      <c r="O6399" s="13"/>
      <c r="P6399" s="13"/>
      <c r="Q6399" s="13"/>
      <c r="R6399" s="13"/>
      <c r="S6399" s="13"/>
    </row>
    <row r="6400" spans="1:19" x14ac:dyDescent="0.2">
      <c r="A6400" s="12" t="s">
        <v>587</v>
      </c>
      <c r="B6400" s="12" t="s">
        <v>568</v>
      </c>
      <c r="C6400" s="12" t="s">
        <v>555</v>
      </c>
      <c r="D6400" s="13">
        <v>37585</v>
      </c>
      <c r="E6400" s="13">
        <v>40017.637841000003</v>
      </c>
      <c r="F6400" s="13">
        <v>41236.444457000012</v>
      </c>
      <c r="G6400" s="13">
        <v>43149.636651000001</v>
      </c>
      <c r="H6400" s="13"/>
      <c r="I6400" s="13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</row>
    <row r="6401" spans="1:19" x14ac:dyDescent="0.2">
      <c r="A6401" s="12" t="s">
        <v>587</v>
      </c>
      <c r="B6401" s="12" t="s">
        <v>568</v>
      </c>
      <c r="C6401" s="12" t="s">
        <v>556</v>
      </c>
      <c r="D6401" s="13">
        <v>-36752</v>
      </c>
      <c r="E6401" s="13">
        <v>-38078.514776000004</v>
      </c>
      <c r="F6401" s="13">
        <v>-38432.897535999997</v>
      </c>
      <c r="G6401" s="13">
        <v>-39323.037069999998</v>
      </c>
      <c r="H6401" s="13"/>
      <c r="I6401" s="13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</row>
    <row r="6402" spans="1:19" x14ac:dyDescent="0.2">
      <c r="A6402" s="12" t="s">
        <v>587</v>
      </c>
      <c r="B6402" s="12" t="s">
        <v>568</v>
      </c>
      <c r="C6402" s="12" t="s">
        <v>557</v>
      </c>
      <c r="D6402" s="13">
        <v>-9238</v>
      </c>
      <c r="E6402" s="13">
        <v>-7744.7535090000001</v>
      </c>
      <c r="F6402" s="13">
        <v>-8935.936267000001</v>
      </c>
      <c r="G6402" s="13">
        <v>-9682.2432109999991</v>
      </c>
      <c r="H6402" s="13"/>
      <c r="I6402" s="13"/>
      <c r="J6402" s="13"/>
      <c r="K6402" s="13"/>
      <c r="L6402" s="13"/>
      <c r="M6402" s="13"/>
      <c r="N6402" s="13"/>
      <c r="O6402" s="13"/>
      <c r="P6402" s="13"/>
      <c r="Q6402" s="13"/>
      <c r="R6402" s="13"/>
      <c r="S6402" s="13"/>
    </row>
    <row r="6403" spans="1:19" x14ac:dyDescent="0.2">
      <c r="A6403" s="12" t="s">
        <v>587</v>
      </c>
      <c r="B6403" s="12" t="s">
        <v>568</v>
      </c>
      <c r="C6403" s="12" t="s">
        <v>558</v>
      </c>
      <c r="D6403" s="13">
        <v>-2709</v>
      </c>
      <c r="E6403" s="13">
        <v>-3135.083036</v>
      </c>
      <c r="F6403" s="13">
        <v>-3205.7700249999998</v>
      </c>
      <c r="G6403" s="13">
        <v>-2870.3752199999999</v>
      </c>
      <c r="H6403" s="13"/>
      <c r="I6403" s="13"/>
      <c r="J6403" s="13"/>
      <c r="K6403" s="13"/>
      <c r="L6403" s="13"/>
      <c r="M6403" s="13"/>
      <c r="N6403" s="13"/>
      <c r="O6403" s="13"/>
      <c r="P6403" s="13"/>
      <c r="Q6403" s="13"/>
      <c r="R6403" s="13"/>
      <c r="S6403" s="13"/>
    </row>
    <row r="6404" spans="1:19" x14ac:dyDescent="0.2">
      <c r="A6404" s="12" t="s">
        <v>587</v>
      </c>
      <c r="B6404" s="12" t="s">
        <v>568</v>
      </c>
      <c r="C6404" s="12" t="s">
        <v>560</v>
      </c>
      <c r="D6404" s="13">
        <v>126752</v>
      </c>
      <c r="E6404" s="13">
        <v>132171.39711300001</v>
      </c>
      <c r="F6404" s="13">
        <v>136082.45835900001</v>
      </c>
      <c r="G6404" s="13">
        <v>138391.79946899999</v>
      </c>
      <c r="H6404" s="13"/>
      <c r="I6404" s="13"/>
      <c r="J6404" s="13"/>
      <c r="K6404" s="13"/>
      <c r="L6404" s="13"/>
      <c r="M6404" s="13"/>
      <c r="N6404" s="13"/>
      <c r="O6404" s="13"/>
      <c r="P6404" s="13"/>
      <c r="Q6404" s="13"/>
      <c r="R6404" s="13"/>
      <c r="S6404" s="13"/>
    </row>
    <row r="6405" spans="1:19" x14ac:dyDescent="0.2">
      <c r="A6405" s="12" t="s">
        <v>587</v>
      </c>
      <c r="B6405" s="12" t="s">
        <v>568</v>
      </c>
      <c r="C6405" s="12" t="s">
        <v>561</v>
      </c>
      <c r="D6405" s="13">
        <v>112097</v>
      </c>
      <c r="E6405" s="13">
        <v>118375.849136</v>
      </c>
      <c r="F6405" s="13">
        <v>120764.35682299999</v>
      </c>
      <c r="G6405" s="13">
        <v>122440.56224100001</v>
      </c>
      <c r="H6405" s="13"/>
      <c r="I6405" s="13"/>
      <c r="J6405" s="13"/>
      <c r="K6405" s="13"/>
      <c r="L6405" s="13"/>
      <c r="M6405" s="13"/>
      <c r="N6405" s="13"/>
      <c r="O6405" s="13"/>
      <c r="P6405" s="13"/>
      <c r="Q6405" s="13"/>
      <c r="R6405" s="13"/>
      <c r="S6405" s="13"/>
    </row>
    <row r="6406" spans="1:19" x14ac:dyDescent="0.2">
      <c r="A6406" s="12" t="s">
        <v>587</v>
      </c>
      <c r="B6406" s="12" t="s">
        <v>568</v>
      </c>
      <c r="C6406" s="12" t="s">
        <v>562</v>
      </c>
      <c r="D6406" s="13">
        <v>8364</v>
      </c>
      <c r="E6406" s="13">
        <v>8198.9470689999998</v>
      </c>
      <c r="F6406" s="13">
        <v>9557.8836570000003</v>
      </c>
      <c r="G6406" s="13">
        <v>9471.8252979999997</v>
      </c>
      <c r="H6406" s="13"/>
      <c r="I6406" s="13"/>
      <c r="J6406" s="13"/>
      <c r="K6406" s="13"/>
      <c r="L6406" s="13"/>
      <c r="M6406" s="13"/>
      <c r="N6406" s="13"/>
      <c r="O6406" s="13"/>
      <c r="P6406" s="13"/>
      <c r="Q6406" s="13"/>
      <c r="R6406" s="13"/>
      <c r="S6406" s="13"/>
    </row>
    <row r="6407" spans="1:19" x14ac:dyDescent="0.2">
      <c r="A6407" s="12" t="s">
        <v>587</v>
      </c>
      <c r="B6407" s="12" t="s">
        <v>568</v>
      </c>
      <c r="C6407" s="12" t="s">
        <v>563</v>
      </c>
      <c r="D6407" s="13">
        <v>67182</v>
      </c>
      <c r="E6407" s="13">
        <v>72605.105325000011</v>
      </c>
      <c r="F6407" s="13">
        <v>73538.157284999994</v>
      </c>
      <c r="G6407" s="13">
        <v>74222.229715000009</v>
      </c>
      <c r="H6407" s="13"/>
      <c r="I6407" s="13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</row>
    <row r="6408" spans="1:19" x14ac:dyDescent="0.2">
      <c r="A6408" s="12" t="s">
        <v>587</v>
      </c>
      <c r="B6408" s="12" t="s">
        <v>568</v>
      </c>
      <c r="C6408" s="12" t="s">
        <v>564</v>
      </c>
      <c r="D6408" s="13">
        <v>6952</v>
      </c>
      <c r="E6408" s="13">
        <v>6657.8056500000002</v>
      </c>
      <c r="F6408" s="13">
        <v>6577.2732800000003</v>
      </c>
      <c r="G6408" s="13">
        <v>6401.0205269999997</v>
      </c>
      <c r="H6408" s="13"/>
      <c r="I6408" s="13"/>
      <c r="J6408" s="13"/>
      <c r="K6408" s="13"/>
      <c r="L6408" s="13"/>
      <c r="M6408" s="13"/>
      <c r="N6408" s="13"/>
      <c r="O6408" s="13"/>
      <c r="P6408" s="13"/>
      <c r="Q6408" s="13"/>
      <c r="R6408" s="13"/>
      <c r="S6408" s="13"/>
    </row>
    <row r="6409" spans="1:19" x14ac:dyDescent="0.2">
      <c r="A6409" s="12" t="s">
        <v>587</v>
      </c>
      <c r="B6409" s="12" t="s">
        <v>568</v>
      </c>
      <c r="C6409" s="12" t="s">
        <v>565</v>
      </c>
      <c r="D6409" s="13">
        <v>2608</v>
      </c>
      <c r="E6409" s="13">
        <v>2704.1795149999998</v>
      </c>
      <c r="F6409" s="13">
        <v>2607.0012790000001</v>
      </c>
      <c r="G6409" s="13">
        <v>2483.434002</v>
      </c>
      <c r="H6409" s="13"/>
      <c r="I6409" s="13"/>
      <c r="J6409" s="13"/>
      <c r="K6409" s="13"/>
      <c r="L6409" s="13"/>
      <c r="M6409" s="13"/>
      <c r="N6409" s="13"/>
      <c r="O6409" s="13"/>
      <c r="P6409" s="13"/>
      <c r="Q6409" s="13"/>
      <c r="R6409" s="13"/>
      <c r="S6409" s="13"/>
    </row>
    <row r="6410" spans="1:19" x14ac:dyDescent="0.2">
      <c r="A6410" s="12" t="s">
        <v>587</v>
      </c>
      <c r="B6410" s="12" t="s">
        <v>568</v>
      </c>
      <c r="C6410" s="12" t="s">
        <v>566</v>
      </c>
      <c r="D6410" s="13">
        <v>26991</v>
      </c>
      <c r="E6410" s="13">
        <v>28209.811565</v>
      </c>
      <c r="F6410" s="13">
        <v>28484.041337999999</v>
      </c>
      <c r="G6410" s="13">
        <v>29862.052694000002</v>
      </c>
      <c r="H6410" s="13"/>
      <c r="I6410" s="13"/>
      <c r="J6410" s="13"/>
      <c r="K6410" s="13"/>
      <c r="L6410" s="13"/>
      <c r="M6410" s="13"/>
      <c r="N6410" s="13"/>
      <c r="O6410" s="13"/>
      <c r="P6410" s="13"/>
      <c r="Q6410" s="13"/>
      <c r="R6410" s="13"/>
      <c r="S6410" s="13"/>
    </row>
    <row r="6411" spans="1:19" x14ac:dyDescent="0.2">
      <c r="A6411" s="12" t="s">
        <v>587</v>
      </c>
      <c r="B6411" s="12" t="s">
        <v>569</v>
      </c>
      <c r="C6411" s="12" t="s">
        <v>554</v>
      </c>
      <c r="D6411" s="13">
        <v>70702</v>
      </c>
      <c r="E6411" s="13">
        <v>72471.235912000004</v>
      </c>
      <c r="F6411" s="13">
        <v>75851.445357999997</v>
      </c>
      <c r="G6411" s="13">
        <v>77440.690216000003</v>
      </c>
      <c r="H6411" s="13"/>
      <c r="I6411" s="13"/>
      <c r="J6411" s="13"/>
      <c r="K6411" s="13"/>
      <c r="L6411" s="13"/>
      <c r="M6411" s="13"/>
      <c r="N6411" s="13"/>
      <c r="O6411" s="13"/>
      <c r="P6411" s="13"/>
      <c r="Q6411" s="13"/>
      <c r="R6411" s="13"/>
      <c r="S6411" s="13"/>
    </row>
    <row r="6412" spans="1:19" x14ac:dyDescent="0.2">
      <c r="A6412" s="12" t="s">
        <v>587</v>
      </c>
      <c r="B6412" s="12" t="s">
        <v>569</v>
      </c>
      <c r="C6412" s="12" t="s">
        <v>555</v>
      </c>
      <c r="D6412" s="13">
        <v>34452</v>
      </c>
      <c r="E6412" s="13">
        <v>36968.886130000014</v>
      </c>
      <c r="F6412" s="13">
        <v>36927.956312000002</v>
      </c>
      <c r="G6412" s="13">
        <v>35475.630034000002</v>
      </c>
      <c r="H6412" s="13"/>
      <c r="I6412" s="13"/>
      <c r="J6412" s="13"/>
      <c r="K6412" s="13"/>
      <c r="L6412" s="13"/>
      <c r="M6412" s="13"/>
      <c r="N6412" s="13"/>
      <c r="O6412" s="13"/>
      <c r="P6412" s="13"/>
      <c r="Q6412" s="13"/>
      <c r="R6412" s="13"/>
      <c r="S6412" s="13"/>
    </row>
    <row r="6413" spans="1:19" x14ac:dyDescent="0.2">
      <c r="A6413" s="12" t="s">
        <v>587</v>
      </c>
      <c r="B6413" s="12" t="s">
        <v>569</v>
      </c>
      <c r="C6413" s="12" t="s">
        <v>556</v>
      </c>
      <c r="D6413" s="13">
        <v>-18439</v>
      </c>
      <c r="E6413" s="13">
        <v>-20225.880805000001</v>
      </c>
      <c r="F6413" s="13">
        <v>-22769.538806</v>
      </c>
      <c r="G6413" s="13">
        <v>-23077.313228999999</v>
      </c>
      <c r="H6413" s="13"/>
      <c r="I6413" s="13"/>
      <c r="J6413" s="13"/>
      <c r="K6413" s="13"/>
      <c r="L6413" s="13"/>
      <c r="M6413" s="13"/>
      <c r="N6413" s="13"/>
      <c r="O6413" s="13"/>
      <c r="P6413" s="13"/>
      <c r="Q6413" s="13"/>
      <c r="R6413" s="13"/>
      <c r="S6413" s="13"/>
    </row>
    <row r="6414" spans="1:19" x14ac:dyDescent="0.2">
      <c r="A6414" s="12" t="s">
        <v>587</v>
      </c>
      <c r="B6414" s="12" t="s">
        <v>569</v>
      </c>
      <c r="C6414" s="12" t="s">
        <v>557</v>
      </c>
      <c r="D6414" s="13">
        <v>87017</v>
      </c>
      <c r="E6414" s="13">
        <v>90331.251810000002</v>
      </c>
      <c r="F6414" s="13">
        <v>88910.862643000015</v>
      </c>
      <c r="G6414" s="13">
        <v>88854.993205999999</v>
      </c>
      <c r="H6414" s="13"/>
      <c r="I6414" s="13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</row>
    <row r="6415" spans="1:19" x14ac:dyDescent="0.2">
      <c r="A6415" s="12" t="s">
        <v>587</v>
      </c>
      <c r="B6415" s="12" t="s">
        <v>569</v>
      </c>
      <c r="C6415" s="12" t="s">
        <v>558</v>
      </c>
      <c r="D6415" s="13">
        <v>-31896</v>
      </c>
      <c r="E6415" s="13">
        <v>-32319.793347999999</v>
      </c>
      <c r="F6415" s="13">
        <v>-31959.152964000001</v>
      </c>
      <c r="G6415" s="13">
        <v>-32634.897535</v>
      </c>
      <c r="H6415" s="13"/>
      <c r="I6415" s="13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</row>
    <row r="6416" spans="1:19" x14ac:dyDescent="0.2">
      <c r="A6416" s="12" t="s">
        <v>587</v>
      </c>
      <c r="B6416" s="12" t="s">
        <v>569</v>
      </c>
      <c r="C6416" s="12" t="s">
        <v>560</v>
      </c>
      <c r="D6416" s="13">
        <v>0</v>
      </c>
      <c r="E6416" s="13">
        <v>0</v>
      </c>
      <c r="F6416" s="13">
        <v>0</v>
      </c>
      <c r="G6416" s="13">
        <v>0</v>
      </c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</row>
    <row r="6417" spans="1:19" x14ac:dyDescent="0.2">
      <c r="A6417" s="12" t="s">
        <v>587</v>
      </c>
      <c r="B6417" s="12" t="s">
        <v>569</v>
      </c>
      <c r="C6417" s="12" t="s">
        <v>561</v>
      </c>
      <c r="D6417" s="13">
        <v>44724</v>
      </c>
      <c r="E6417" s="13">
        <v>47891.867251999996</v>
      </c>
      <c r="F6417" s="13">
        <v>46920.671015</v>
      </c>
      <c r="G6417" s="13">
        <v>46587.472559000002</v>
      </c>
      <c r="H6417" s="13"/>
      <c r="I6417" s="13"/>
      <c r="J6417" s="13"/>
      <c r="K6417" s="13"/>
      <c r="L6417" s="13"/>
      <c r="M6417" s="13"/>
      <c r="N6417" s="13"/>
      <c r="O6417" s="13"/>
      <c r="P6417" s="13"/>
      <c r="Q6417" s="13"/>
      <c r="R6417" s="13"/>
      <c r="S6417" s="13"/>
    </row>
    <row r="6418" spans="1:19" x14ac:dyDescent="0.2">
      <c r="A6418" s="12" t="s">
        <v>587</v>
      </c>
      <c r="B6418" s="12" t="s">
        <v>569</v>
      </c>
      <c r="C6418" s="12" t="s">
        <v>562</v>
      </c>
      <c r="D6418" s="13">
        <v>18039</v>
      </c>
      <c r="E6418" s="13">
        <v>19642.312768</v>
      </c>
      <c r="F6418" s="13">
        <v>19192.730714000001</v>
      </c>
      <c r="G6418" s="13">
        <v>19645.419382</v>
      </c>
      <c r="H6418" s="13"/>
      <c r="I6418" s="13"/>
      <c r="J6418" s="13"/>
      <c r="K6418" s="13"/>
      <c r="L6418" s="13"/>
      <c r="M6418" s="13"/>
      <c r="N6418" s="13"/>
      <c r="O6418" s="13"/>
      <c r="P6418" s="13"/>
      <c r="Q6418" s="13"/>
      <c r="R6418" s="13"/>
      <c r="S6418" s="13"/>
    </row>
    <row r="6419" spans="1:19" x14ac:dyDescent="0.2">
      <c r="A6419" s="12" t="s">
        <v>587</v>
      </c>
      <c r="B6419" s="12" t="s">
        <v>569</v>
      </c>
      <c r="C6419" s="12" t="s">
        <v>563</v>
      </c>
      <c r="D6419" s="13">
        <v>3005</v>
      </c>
      <c r="E6419" s="13">
        <v>3304.1166669999998</v>
      </c>
      <c r="F6419" s="13">
        <v>3358.670881</v>
      </c>
      <c r="G6419" s="13">
        <v>3456.242714</v>
      </c>
      <c r="H6419" s="13"/>
      <c r="I6419" s="13"/>
      <c r="J6419" s="13"/>
      <c r="K6419" s="13"/>
      <c r="L6419" s="13"/>
      <c r="M6419" s="13"/>
      <c r="N6419" s="13"/>
      <c r="O6419" s="13"/>
      <c r="P6419" s="13"/>
      <c r="Q6419" s="13"/>
      <c r="R6419" s="13"/>
      <c r="S6419" s="13"/>
    </row>
    <row r="6420" spans="1:19" x14ac:dyDescent="0.2">
      <c r="A6420" s="12" t="s">
        <v>587</v>
      </c>
      <c r="B6420" s="12" t="s">
        <v>569</v>
      </c>
      <c r="C6420" s="12" t="s">
        <v>564</v>
      </c>
      <c r="D6420" s="13">
        <v>13683</v>
      </c>
      <c r="E6420" s="13">
        <v>14261.569979</v>
      </c>
      <c r="F6420" s="13">
        <v>13812.121800999999</v>
      </c>
      <c r="G6420" s="13">
        <v>13000.724504</v>
      </c>
      <c r="H6420" s="13"/>
      <c r="I6420" s="13"/>
      <c r="J6420" s="13"/>
      <c r="K6420" s="13"/>
      <c r="L6420" s="13"/>
      <c r="M6420" s="13"/>
      <c r="N6420" s="13"/>
      <c r="O6420" s="13"/>
      <c r="P6420" s="13"/>
      <c r="Q6420" s="13"/>
      <c r="R6420" s="13"/>
      <c r="S6420" s="13"/>
    </row>
    <row r="6421" spans="1:19" x14ac:dyDescent="0.2">
      <c r="A6421" s="12" t="s">
        <v>587</v>
      </c>
      <c r="B6421" s="12" t="s">
        <v>569</v>
      </c>
      <c r="C6421" s="12" t="s">
        <v>565</v>
      </c>
      <c r="D6421" s="13">
        <v>6620</v>
      </c>
      <c r="E6421" s="13">
        <v>6948.5507950000001</v>
      </c>
      <c r="F6421" s="13">
        <v>6978.4359809999996</v>
      </c>
      <c r="G6421" s="13">
        <v>6729.9340730000004</v>
      </c>
      <c r="H6421" s="13"/>
      <c r="I6421" s="13"/>
      <c r="J6421" s="13"/>
      <c r="K6421" s="13"/>
      <c r="L6421" s="13"/>
      <c r="M6421" s="13"/>
      <c r="N6421" s="13"/>
      <c r="O6421" s="13"/>
      <c r="P6421" s="13"/>
      <c r="Q6421" s="13"/>
      <c r="R6421" s="13"/>
      <c r="S6421" s="13"/>
    </row>
    <row r="6422" spans="1:19" x14ac:dyDescent="0.2">
      <c r="A6422" s="12" t="s">
        <v>587</v>
      </c>
      <c r="B6422" s="12" t="s">
        <v>569</v>
      </c>
      <c r="C6422" s="12" t="s">
        <v>566</v>
      </c>
      <c r="D6422" s="13">
        <v>3377</v>
      </c>
      <c r="E6422" s="13">
        <v>3735.3170749999999</v>
      </c>
      <c r="F6422" s="13">
        <v>3578.7116380000002</v>
      </c>
      <c r="G6422" s="13">
        <v>3755.151878000001</v>
      </c>
      <c r="H6422" s="13"/>
      <c r="I6422" s="13"/>
      <c r="J6422" s="13"/>
      <c r="K6422" s="13"/>
      <c r="L6422" s="13"/>
      <c r="M6422" s="13"/>
      <c r="N6422" s="13"/>
      <c r="O6422" s="13"/>
      <c r="P6422" s="13"/>
      <c r="Q6422" s="13"/>
      <c r="R6422" s="13"/>
      <c r="S6422" s="13"/>
    </row>
    <row r="6423" spans="1:19" x14ac:dyDescent="0.2">
      <c r="A6423" s="12" t="s">
        <v>587</v>
      </c>
      <c r="B6423" s="12" t="s">
        <v>570</v>
      </c>
      <c r="C6423" s="12" t="s">
        <v>554</v>
      </c>
      <c r="D6423" s="13">
        <v>25919</v>
      </c>
      <c r="E6423" s="13">
        <v>27150.265922999999</v>
      </c>
      <c r="F6423" s="13">
        <v>25540.288219999999</v>
      </c>
      <c r="G6423" s="13">
        <v>26113.435839000002</v>
      </c>
      <c r="H6423" s="13"/>
      <c r="I6423" s="13"/>
      <c r="J6423" s="13"/>
      <c r="K6423" s="13"/>
      <c r="L6423" s="13"/>
      <c r="M6423" s="13"/>
      <c r="N6423" s="13"/>
      <c r="O6423" s="13"/>
      <c r="P6423" s="13"/>
      <c r="Q6423" s="13"/>
      <c r="R6423" s="13"/>
      <c r="S6423" s="13"/>
    </row>
    <row r="6424" spans="1:19" x14ac:dyDescent="0.2">
      <c r="A6424" s="12" t="s">
        <v>587</v>
      </c>
      <c r="B6424" s="12" t="s">
        <v>570</v>
      </c>
      <c r="C6424" s="12" t="s">
        <v>555</v>
      </c>
      <c r="D6424" s="13">
        <v>0</v>
      </c>
      <c r="E6424" s="13">
        <v>0</v>
      </c>
      <c r="F6424" s="13">
        <v>0</v>
      </c>
      <c r="G6424" s="13">
        <v>0</v>
      </c>
      <c r="H6424" s="13"/>
      <c r="I6424" s="13"/>
      <c r="J6424" s="13"/>
      <c r="K6424" s="13"/>
      <c r="L6424" s="13"/>
      <c r="M6424" s="13"/>
      <c r="N6424" s="13"/>
      <c r="O6424" s="13"/>
      <c r="P6424" s="13"/>
      <c r="Q6424" s="13"/>
      <c r="R6424" s="13"/>
      <c r="S6424" s="13"/>
    </row>
    <row r="6425" spans="1:19" x14ac:dyDescent="0.2">
      <c r="A6425" s="12" t="s">
        <v>587</v>
      </c>
      <c r="B6425" s="12" t="s">
        <v>570</v>
      </c>
      <c r="C6425" s="12" t="s">
        <v>556</v>
      </c>
      <c r="D6425" s="13">
        <v>0</v>
      </c>
      <c r="E6425" s="13">
        <v>0</v>
      </c>
      <c r="F6425" s="13">
        <v>0</v>
      </c>
      <c r="G6425" s="13">
        <v>0</v>
      </c>
      <c r="H6425" s="13"/>
      <c r="I6425" s="13"/>
      <c r="J6425" s="13"/>
      <c r="K6425" s="13"/>
      <c r="L6425" s="13"/>
      <c r="M6425" s="13"/>
      <c r="N6425" s="13"/>
      <c r="O6425" s="13"/>
      <c r="P6425" s="13"/>
      <c r="Q6425" s="13"/>
      <c r="R6425" s="13"/>
      <c r="S6425" s="13"/>
    </row>
    <row r="6426" spans="1:19" x14ac:dyDescent="0.2">
      <c r="A6426" s="12" t="s">
        <v>587</v>
      </c>
      <c r="B6426" s="12" t="s">
        <v>570</v>
      </c>
      <c r="C6426" s="12" t="s">
        <v>557</v>
      </c>
      <c r="D6426" s="13">
        <v>25919</v>
      </c>
      <c r="E6426" s="13">
        <v>27150.265922999999</v>
      </c>
      <c r="F6426" s="13">
        <v>25540.288219999999</v>
      </c>
      <c r="G6426" s="13">
        <v>26113.435839000002</v>
      </c>
      <c r="H6426" s="13"/>
      <c r="I6426" s="13"/>
      <c r="J6426" s="13"/>
      <c r="K6426" s="13"/>
      <c r="L6426" s="13"/>
      <c r="M6426" s="13"/>
      <c r="N6426" s="13"/>
      <c r="O6426" s="13"/>
      <c r="P6426" s="13"/>
      <c r="Q6426" s="13"/>
      <c r="R6426" s="13"/>
      <c r="S6426" s="13"/>
    </row>
    <row r="6427" spans="1:19" x14ac:dyDescent="0.2">
      <c r="A6427" s="12" t="s">
        <v>587</v>
      </c>
      <c r="B6427" s="12" t="s">
        <v>570</v>
      </c>
      <c r="C6427" s="12" t="s">
        <v>558</v>
      </c>
      <c r="D6427" s="13">
        <v>-25919</v>
      </c>
      <c r="E6427" s="13">
        <v>-27150.265922999999</v>
      </c>
      <c r="F6427" s="13">
        <v>-25540.288229000002</v>
      </c>
      <c r="G6427" s="13">
        <v>-26113.435847000001</v>
      </c>
      <c r="H6427" s="13"/>
      <c r="I6427" s="13"/>
      <c r="J6427" s="13"/>
      <c r="K6427" s="13"/>
      <c r="L6427" s="13"/>
      <c r="M6427" s="13"/>
      <c r="N6427" s="13"/>
      <c r="O6427" s="13"/>
      <c r="P6427" s="13"/>
      <c r="Q6427" s="13"/>
      <c r="R6427" s="13"/>
      <c r="S6427" s="13"/>
    </row>
    <row r="6428" spans="1:19" x14ac:dyDescent="0.2">
      <c r="A6428" s="12" t="s">
        <v>587</v>
      </c>
      <c r="B6428" s="12" t="s">
        <v>570</v>
      </c>
      <c r="C6428" s="12" t="s">
        <v>560</v>
      </c>
      <c r="D6428" s="13">
        <v>0</v>
      </c>
      <c r="E6428" s="13">
        <v>0</v>
      </c>
      <c r="F6428" s="13">
        <v>0</v>
      </c>
      <c r="G6428" s="13">
        <v>0</v>
      </c>
      <c r="H6428" s="13"/>
      <c r="I6428" s="13"/>
      <c r="J6428" s="13"/>
      <c r="K6428" s="13"/>
      <c r="L6428" s="13"/>
      <c r="M6428" s="13"/>
      <c r="N6428" s="13"/>
      <c r="O6428" s="13"/>
      <c r="P6428" s="13"/>
      <c r="Q6428" s="13"/>
      <c r="R6428" s="13"/>
      <c r="S6428" s="13"/>
    </row>
    <row r="6429" spans="1:19" x14ac:dyDescent="0.2">
      <c r="A6429" s="12" t="s">
        <v>587</v>
      </c>
      <c r="B6429" s="12" t="s">
        <v>570</v>
      </c>
      <c r="C6429" s="12" t="s">
        <v>561</v>
      </c>
      <c r="D6429" s="13">
        <v>0</v>
      </c>
      <c r="E6429" s="13">
        <v>0</v>
      </c>
      <c r="F6429" s="13">
        <v>0</v>
      </c>
      <c r="G6429" s="13">
        <v>0</v>
      </c>
      <c r="H6429" s="13"/>
      <c r="I6429" s="13"/>
      <c r="J6429" s="13"/>
      <c r="K6429" s="13"/>
      <c r="L6429" s="13"/>
      <c r="M6429" s="13"/>
      <c r="N6429" s="13"/>
      <c r="O6429" s="13"/>
      <c r="P6429" s="13"/>
      <c r="Q6429" s="13"/>
      <c r="R6429" s="13"/>
      <c r="S6429" s="13"/>
    </row>
    <row r="6430" spans="1:19" x14ac:dyDescent="0.2">
      <c r="A6430" s="12" t="s">
        <v>587</v>
      </c>
      <c r="B6430" s="12" t="s">
        <v>570</v>
      </c>
      <c r="C6430" s="12" t="s">
        <v>562</v>
      </c>
      <c r="D6430" s="13">
        <v>0</v>
      </c>
      <c r="E6430" s="13">
        <v>0</v>
      </c>
      <c r="F6430" s="13">
        <v>0</v>
      </c>
      <c r="G6430" s="13">
        <v>0</v>
      </c>
      <c r="H6430" s="13"/>
      <c r="I6430" s="13"/>
      <c r="J6430" s="13"/>
      <c r="K6430" s="13"/>
      <c r="L6430" s="13"/>
      <c r="M6430" s="13"/>
      <c r="N6430" s="13"/>
      <c r="O6430" s="13"/>
      <c r="P6430" s="13"/>
      <c r="Q6430" s="13"/>
      <c r="R6430" s="13"/>
      <c r="S6430" s="13"/>
    </row>
    <row r="6431" spans="1:19" x14ac:dyDescent="0.2">
      <c r="A6431" s="12" t="s">
        <v>587</v>
      </c>
      <c r="B6431" s="12" t="s">
        <v>570</v>
      </c>
      <c r="C6431" s="12" t="s">
        <v>563</v>
      </c>
      <c r="D6431" s="13">
        <v>0</v>
      </c>
      <c r="E6431" s="13">
        <v>0</v>
      </c>
      <c r="F6431" s="13">
        <v>0</v>
      </c>
      <c r="G6431" s="13">
        <v>0</v>
      </c>
      <c r="H6431" s="13"/>
      <c r="I6431" s="13"/>
      <c r="J6431" s="13"/>
      <c r="K6431" s="13"/>
      <c r="L6431" s="13"/>
      <c r="M6431" s="13"/>
      <c r="N6431" s="13"/>
      <c r="O6431" s="13"/>
      <c r="P6431" s="13"/>
      <c r="Q6431" s="13"/>
      <c r="R6431" s="13"/>
      <c r="S6431" s="13"/>
    </row>
    <row r="6432" spans="1:19" x14ac:dyDescent="0.2">
      <c r="A6432" s="12" t="s">
        <v>587</v>
      </c>
      <c r="B6432" s="12" t="s">
        <v>570</v>
      </c>
      <c r="C6432" s="12" t="s">
        <v>564</v>
      </c>
      <c r="D6432" s="13">
        <v>0</v>
      </c>
      <c r="E6432" s="13">
        <v>0</v>
      </c>
      <c r="F6432" s="13">
        <v>0</v>
      </c>
      <c r="G6432" s="13">
        <v>0</v>
      </c>
      <c r="H6432" s="13"/>
      <c r="I6432" s="13"/>
      <c r="J6432" s="13"/>
      <c r="K6432" s="13"/>
      <c r="L6432" s="13"/>
      <c r="M6432" s="13"/>
      <c r="N6432" s="13"/>
      <c r="O6432" s="13"/>
      <c r="P6432" s="13"/>
      <c r="Q6432" s="13"/>
      <c r="R6432" s="13"/>
      <c r="S6432" s="13"/>
    </row>
    <row r="6433" spans="1:19" x14ac:dyDescent="0.2">
      <c r="A6433" s="12" t="s">
        <v>587</v>
      </c>
      <c r="B6433" s="12" t="s">
        <v>570</v>
      </c>
      <c r="C6433" s="12" t="s">
        <v>565</v>
      </c>
      <c r="D6433" s="13">
        <v>0</v>
      </c>
      <c r="E6433" s="13">
        <v>0</v>
      </c>
      <c r="F6433" s="13">
        <v>0</v>
      </c>
      <c r="G6433" s="13">
        <v>0</v>
      </c>
      <c r="H6433" s="13"/>
      <c r="I6433" s="13"/>
      <c r="J6433" s="13"/>
      <c r="K6433" s="13"/>
      <c r="L6433" s="13"/>
      <c r="M6433" s="13"/>
      <c r="N6433" s="13"/>
      <c r="O6433" s="13"/>
      <c r="P6433" s="13"/>
      <c r="Q6433" s="13"/>
      <c r="R6433" s="13"/>
      <c r="S6433" s="13"/>
    </row>
    <row r="6434" spans="1:19" x14ac:dyDescent="0.2">
      <c r="A6434" s="12" t="s">
        <v>587</v>
      </c>
      <c r="B6434" s="12" t="s">
        <v>570</v>
      </c>
      <c r="C6434" s="12" t="s">
        <v>566</v>
      </c>
      <c r="D6434" s="13">
        <v>0</v>
      </c>
      <c r="E6434" s="13">
        <v>0</v>
      </c>
      <c r="F6434" s="13">
        <v>0</v>
      </c>
      <c r="G6434" s="13">
        <v>0</v>
      </c>
      <c r="H6434" s="13"/>
      <c r="I6434" s="13"/>
      <c r="J6434" s="13"/>
      <c r="K6434" s="13"/>
      <c r="L6434" s="13"/>
      <c r="M6434" s="13"/>
      <c r="N6434" s="13"/>
      <c r="O6434" s="13"/>
      <c r="P6434" s="13"/>
      <c r="Q6434" s="13"/>
      <c r="R6434" s="13"/>
      <c r="S6434" s="13"/>
    </row>
    <row r="6435" spans="1:19" x14ac:dyDescent="0.2">
      <c r="A6435" s="12" t="s">
        <v>587</v>
      </c>
      <c r="B6435" s="12" t="s">
        <v>571</v>
      </c>
      <c r="C6435" s="12" t="s">
        <v>554</v>
      </c>
      <c r="D6435" s="13">
        <v>60396</v>
      </c>
      <c r="E6435" s="13">
        <v>62740.475162000002</v>
      </c>
      <c r="F6435" s="13">
        <v>65705.909683000005</v>
      </c>
      <c r="G6435" s="13">
        <v>68062.942749000009</v>
      </c>
      <c r="H6435" s="13"/>
      <c r="I6435" s="13"/>
      <c r="J6435" s="13"/>
      <c r="K6435" s="13"/>
      <c r="L6435" s="13"/>
      <c r="M6435" s="13"/>
      <c r="N6435" s="13"/>
      <c r="O6435" s="13"/>
      <c r="P6435" s="13"/>
      <c r="Q6435" s="13"/>
      <c r="R6435" s="13"/>
      <c r="S6435" s="13"/>
    </row>
    <row r="6436" spans="1:19" x14ac:dyDescent="0.2">
      <c r="A6436" s="12" t="s">
        <v>587</v>
      </c>
      <c r="B6436" s="12" t="s">
        <v>571</v>
      </c>
      <c r="C6436" s="12" t="s">
        <v>555</v>
      </c>
      <c r="D6436" s="13">
        <v>1397</v>
      </c>
      <c r="E6436" s="13">
        <v>1488.8737430000001</v>
      </c>
      <c r="F6436" s="13">
        <v>1462.853873</v>
      </c>
      <c r="G6436" s="13">
        <v>1495.7835700000001</v>
      </c>
      <c r="H6436" s="13"/>
      <c r="I6436" s="13"/>
      <c r="J6436" s="13"/>
      <c r="K6436" s="13"/>
      <c r="L6436" s="13"/>
      <c r="M6436" s="13"/>
      <c r="N6436" s="13"/>
      <c r="O6436" s="13"/>
      <c r="P6436" s="13"/>
      <c r="Q6436" s="13"/>
      <c r="R6436" s="13"/>
      <c r="S6436" s="13"/>
    </row>
    <row r="6437" spans="1:19" x14ac:dyDescent="0.2">
      <c r="A6437" s="12" t="s">
        <v>587</v>
      </c>
      <c r="B6437" s="12" t="s">
        <v>571</v>
      </c>
      <c r="C6437" s="12" t="s">
        <v>556</v>
      </c>
      <c r="D6437" s="13">
        <v>-965</v>
      </c>
      <c r="E6437" s="13">
        <v>-1066.6129780000001</v>
      </c>
      <c r="F6437" s="13">
        <v>-1064.7035040000001</v>
      </c>
      <c r="G6437" s="13">
        <v>-1057.154033</v>
      </c>
      <c r="H6437" s="13"/>
      <c r="I6437" s="13"/>
      <c r="J6437" s="13"/>
      <c r="K6437" s="13"/>
      <c r="L6437" s="13"/>
      <c r="M6437" s="13"/>
      <c r="N6437" s="13"/>
      <c r="O6437" s="13"/>
      <c r="P6437" s="13"/>
      <c r="Q6437" s="13"/>
      <c r="R6437" s="13"/>
      <c r="S6437" s="13"/>
    </row>
    <row r="6438" spans="1:19" x14ac:dyDescent="0.2">
      <c r="A6438" s="12" t="s">
        <v>587</v>
      </c>
      <c r="B6438" s="12" t="s">
        <v>571</v>
      </c>
      <c r="C6438" s="12" t="s">
        <v>557</v>
      </c>
      <c r="D6438" s="13">
        <v>60784</v>
      </c>
      <c r="E6438" s="13">
        <v>63216.820875999998</v>
      </c>
      <c r="F6438" s="13">
        <v>66041.317937</v>
      </c>
      <c r="G6438" s="13">
        <v>68419.244227000003</v>
      </c>
      <c r="H6438" s="13"/>
      <c r="I6438" s="13"/>
      <c r="J6438" s="13"/>
      <c r="K6438" s="13"/>
      <c r="L6438" s="13"/>
      <c r="M6438" s="13"/>
      <c r="N6438" s="13"/>
      <c r="O6438" s="13"/>
      <c r="P6438" s="13"/>
      <c r="Q6438" s="13"/>
      <c r="R6438" s="13"/>
      <c r="S6438" s="13"/>
    </row>
    <row r="6439" spans="1:19" x14ac:dyDescent="0.2">
      <c r="A6439" s="12" t="s">
        <v>587</v>
      </c>
      <c r="B6439" s="12" t="s">
        <v>571</v>
      </c>
      <c r="C6439" s="12" t="s">
        <v>558</v>
      </c>
      <c r="D6439" s="13">
        <v>-33282</v>
      </c>
      <c r="E6439" s="13">
        <v>-35330.837464999997</v>
      </c>
      <c r="F6439" s="13">
        <v>-37958.014635</v>
      </c>
      <c r="G6439" s="13">
        <v>-39481.508518000002</v>
      </c>
      <c r="H6439" s="13"/>
      <c r="I6439" s="13"/>
      <c r="J6439" s="13"/>
      <c r="K6439" s="13"/>
      <c r="L6439" s="13"/>
      <c r="M6439" s="13"/>
      <c r="N6439" s="13"/>
      <c r="O6439" s="13"/>
      <c r="P6439" s="13"/>
      <c r="Q6439" s="13"/>
      <c r="R6439" s="13"/>
      <c r="S6439" s="13"/>
    </row>
    <row r="6440" spans="1:19" x14ac:dyDescent="0.2">
      <c r="A6440" s="12" t="s">
        <v>587</v>
      </c>
      <c r="B6440" s="12" t="s">
        <v>571</v>
      </c>
      <c r="C6440" s="12" t="s">
        <v>560</v>
      </c>
      <c r="D6440" s="13">
        <v>0</v>
      </c>
      <c r="E6440" s="13">
        <v>0</v>
      </c>
      <c r="F6440" s="13">
        <v>0</v>
      </c>
      <c r="G6440" s="13">
        <v>0</v>
      </c>
      <c r="H6440" s="13"/>
      <c r="I6440" s="13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</row>
    <row r="6441" spans="1:19" x14ac:dyDescent="0.2">
      <c r="A6441" s="12" t="s">
        <v>587</v>
      </c>
      <c r="B6441" s="12" t="s">
        <v>571</v>
      </c>
      <c r="C6441" s="12" t="s">
        <v>561</v>
      </c>
      <c r="D6441" s="13">
        <v>25931</v>
      </c>
      <c r="E6441" s="13">
        <v>26261.250725000002</v>
      </c>
      <c r="F6441" s="13">
        <v>26562.205109999999</v>
      </c>
      <c r="G6441" s="13">
        <v>27317.821467000002</v>
      </c>
      <c r="H6441" s="13"/>
      <c r="I6441" s="13"/>
      <c r="J6441" s="13"/>
      <c r="K6441" s="13"/>
      <c r="L6441" s="13"/>
      <c r="M6441" s="13"/>
      <c r="N6441" s="13"/>
      <c r="O6441" s="13"/>
      <c r="P6441" s="13"/>
      <c r="Q6441" s="13"/>
      <c r="R6441" s="13"/>
      <c r="S6441" s="13"/>
    </row>
    <row r="6442" spans="1:19" x14ac:dyDescent="0.2">
      <c r="A6442" s="12" t="s">
        <v>587</v>
      </c>
      <c r="B6442" s="12" t="s">
        <v>571</v>
      </c>
      <c r="C6442" s="12" t="s">
        <v>562</v>
      </c>
      <c r="D6442" s="13">
        <v>8713</v>
      </c>
      <c r="E6442" s="13">
        <v>8871.1393580000004</v>
      </c>
      <c r="F6442" s="13">
        <v>9200.8385580000013</v>
      </c>
      <c r="G6442" s="13">
        <v>9679.9502970000012</v>
      </c>
      <c r="H6442" s="13"/>
      <c r="I6442" s="13"/>
      <c r="J6442" s="13"/>
      <c r="K6442" s="13"/>
      <c r="L6442" s="13"/>
      <c r="M6442" s="13"/>
      <c r="N6442" s="13"/>
      <c r="O6442" s="13"/>
      <c r="P6442" s="13"/>
      <c r="Q6442" s="13"/>
      <c r="R6442" s="13"/>
      <c r="S6442" s="13"/>
    </row>
    <row r="6443" spans="1:19" x14ac:dyDescent="0.2">
      <c r="A6443" s="12" t="s">
        <v>587</v>
      </c>
      <c r="B6443" s="12" t="s">
        <v>571</v>
      </c>
      <c r="C6443" s="12" t="s">
        <v>563</v>
      </c>
      <c r="D6443" s="13">
        <v>3578</v>
      </c>
      <c r="E6443" s="13">
        <v>3841.000168</v>
      </c>
      <c r="F6443" s="13">
        <v>4060.0500059999999</v>
      </c>
      <c r="G6443" s="13">
        <v>4533.6834769999996</v>
      </c>
      <c r="H6443" s="13"/>
      <c r="I6443" s="13"/>
      <c r="J6443" s="13"/>
      <c r="K6443" s="13"/>
      <c r="L6443" s="13"/>
      <c r="M6443" s="13"/>
      <c r="N6443" s="13"/>
      <c r="O6443" s="13"/>
      <c r="P6443" s="13"/>
      <c r="Q6443" s="13"/>
      <c r="R6443" s="13"/>
      <c r="S6443" s="13"/>
    </row>
    <row r="6444" spans="1:19" x14ac:dyDescent="0.2">
      <c r="A6444" s="12" t="s">
        <v>587</v>
      </c>
      <c r="B6444" s="12" t="s">
        <v>571</v>
      </c>
      <c r="C6444" s="12" t="s">
        <v>564</v>
      </c>
      <c r="D6444" s="13">
        <v>12311</v>
      </c>
      <c r="E6444" s="13">
        <v>12210.919250000001</v>
      </c>
      <c r="F6444" s="13">
        <v>11964.770270000001</v>
      </c>
      <c r="G6444" s="13">
        <v>11678.657574999999</v>
      </c>
      <c r="H6444" s="13"/>
      <c r="I6444" s="13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</row>
    <row r="6445" spans="1:19" x14ac:dyDescent="0.2">
      <c r="A6445" s="12" t="s">
        <v>587</v>
      </c>
      <c r="B6445" s="12" t="s">
        <v>571</v>
      </c>
      <c r="C6445" s="12" t="s">
        <v>565</v>
      </c>
      <c r="D6445" s="13">
        <v>794</v>
      </c>
      <c r="E6445" s="13">
        <v>806.18005100000005</v>
      </c>
      <c r="F6445" s="13">
        <v>790.516302</v>
      </c>
      <c r="G6445" s="13">
        <v>812.23247700000002</v>
      </c>
      <c r="H6445" s="13"/>
      <c r="I6445" s="13"/>
      <c r="J6445" s="13"/>
      <c r="K6445" s="13"/>
      <c r="L6445" s="13"/>
      <c r="M6445" s="13"/>
      <c r="N6445" s="13"/>
      <c r="O6445" s="13"/>
      <c r="P6445" s="13"/>
      <c r="Q6445" s="13"/>
      <c r="R6445" s="13"/>
      <c r="S6445" s="13"/>
    </row>
    <row r="6446" spans="1:19" x14ac:dyDescent="0.2">
      <c r="A6446" s="12" t="s">
        <v>587</v>
      </c>
      <c r="B6446" s="12" t="s">
        <v>571</v>
      </c>
      <c r="C6446" s="12" t="s">
        <v>566</v>
      </c>
      <c r="D6446" s="13">
        <v>534</v>
      </c>
      <c r="E6446" s="13">
        <v>532.01190800000006</v>
      </c>
      <c r="F6446" s="13">
        <v>546.02992400000005</v>
      </c>
      <c r="G6446" s="13">
        <v>613.2976359999999</v>
      </c>
      <c r="H6446" s="13"/>
      <c r="I6446" s="13"/>
      <c r="J6446" s="13"/>
      <c r="K6446" s="13"/>
      <c r="L6446" s="13"/>
      <c r="M6446" s="13"/>
      <c r="N6446" s="13"/>
      <c r="O6446" s="13"/>
      <c r="P6446" s="13"/>
      <c r="Q6446" s="13"/>
      <c r="R6446" s="13"/>
      <c r="S6446" s="13"/>
    </row>
    <row r="6447" spans="1:19" x14ac:dyDescent="0.2">
      <c r="A6447" s="12" t="s">
        <v>587</v>
      </c>
      <c r="B6447" s="12" t="s">
        <v>572</v>
      </c>
      <c r="C6447" s="12" t="s">
        <v>554</v>
      </c>
      <c r="D6447" s="13">
        <v>0</v>
      </c>
      <c r="E6447" s="13">
        <v>0</v>
      </c>
      <c r="F6447" s="13">
        <v>0</v>
      </c>
      <c r="G6447" s="13">
        <v>0</v>
      </c>
      <c r="H6447" s="13"/>
      <c r="I6447" s="13"/>
      <c r="J6447" s="13"/>
      <c r="K6447" s="13"/>
      <c r="L6447" s="13"/>
      <c r="M6447" s="13"/>
      <c r="N6447" s="13"/>
      <c r="O6447" s="13"/>
      <c r="P6447" s="13"/>
      <c r="Q6447" s="13"/>
      <c r="R6447" s="13"/>
      <c r="S6447" s="13"/>
    </row>
    <row r="6448" spans="1:19" x14ac:dyDescent="0.2">
      <c r="A6448" s="12" t="s">
        <v>587</v>
      </c>
      <c r="B6448" s="12" t="s">
        <v>572</v>
      </c>
      <c r="C6448" s="12" t="s">
        <v>555</v>
      </c>
      <c r="D6448" s="13">
        <v>2094</v>
      </c>
      <c r="E6448" s="13">
        <v>2159.8673840000001</v>
      </c>
      <c r="F6448" s="13">
        <v>2249.5314450000001</v>
      </c>
      <c r="G6448" s="13">
        <v>2214.8663529999999</v>
      </c>
      <c r="H6448" s="13"/>
      <c r="I6448" s="13"/>
      <c r="J6448" s="13"/>
      <c r="K6448" s="13"/>
      <c r="L6448" s="13"/>
      <c r="M6448" s="13"/>
      <c r="N6448" s="13"/>
      <c r="O6448" s="13"/>
      <c r="P6448" s="13"/>
      <c r="Q6448" s="13"/>
      <c r="R6448" s="13"/>
      <c r="S6448" s="13"/>
    </row>
    <row r="6449" spans="1:19" x14ac:dyDescent="0.2">
      <c r="A6449" s="12" t="s">
        <v>587</v>
      </c>
      <c r="B6449" s="12" t="s">
        <v>572</v>
      </c>
      <c r="C6449" s="12" t="s">
        <v>556</v>
      </c>
      <c r="D6449" s="13">
        <v>-2006</v>
      </c>
      <c r="E6449" s="13">
        <v>-2029.7716849999999</v>
      </c>
      <c r="F6449" s="13">
        <v>-2148.974917</v>
      </c>
      <c r="G6449" s="13">
        <v>-2101.63024</v>
      </c>
      <c r="H6449" s="13"/>
      <c r="I6449" s="13"/>
      <c r="J6449" s="13"/>
      <c r="K6449" s="13"/>
      <c r="L6449" s="13"/>
      <c r="M6449" s="13"/>
      <c r="N6449" s="13"/>
      <c r="O6449" s="13"/>
      <c r="P6449" s="13"/>
      <c r="Q6449" s="13"/>
      <c r="R6449" s="13"/>
      <c r="S6449" s="13"/>
    </row>
    <row r="6450" spans="1:19" x14ac:dyDescent="0.2">
      <c r="A6450" s="12" t="s">
        <v>587</v>
      </c>
      <c r="B6450" s="12" t="s">
        <v>572</v>
      </c>
      <c r="C6450" s="12" t="s">
        <v>557</v>
      </c>
      <c r="D6450" s="13">
        <v>89</v>
      </c>
      <c r="E6450" s="13">
        <v>130.09569500000001</v>
      </c>
      <c r="F6450" s="13">
        <v>100.556528</v>
      </c>
      <c r="G6450" s="13">
        <v>113.236113</v>
      </c>
      <c r="H6450" s="13"/>
      <c r="I6450" s="13"/>
      <c r="J6450" s="13"/>
      <c r="K6450" s="13"/>
      <c r="L6450" s="13"/>
      <c r="M6450" s="13"/>
      <c r="N6450" s="13"/>
      <c r="O6450" s="13"/>
      <c r="P6450" s="13"/>
      <c r="Q6450" s="13"/>
      <c r="R6450" s="13"/>
      <c r="S6450" s="13"/>
    </row>
    <row r="6451" spans="1:19" x14ac:dyDescent="0.2">
      <c r="A6451" s="12" t="s">
        <v>587</v>
      </c>
      <c r="B6451" s="12" t="s">
        <v>572</v>
      </c>
      <c r="C6451" s="12" t="s">
        <v>558</v>
      </c>
      <c r="D6451" s="13">
        <v>79518</v>
      </c>
      <c r="E6451" s="13">
        <v>84418.755577000004</v>
      </c>
      <c r="F6451" s="13">
        <v>86439.269598000014</v>
      </c>
      <c r="G6451" s="13">
        <v>88857.084831</v>
      </c>
      <c r="H6451" s="13"/>
      <c r="I6451" s="13"/>
      <c r="J6451" s="13"/>
      <c r="K6451" s="13"/>
      <c r="L6451" s="13"/>
      <c r="M6451" s="13"/>
      <c r="N6451" s="13"/>
      <c r="O6451" s="13"/>
      <c r="P6451" s="13"/>
      <c r="Q6451" s="13"/>
      <c r="R6451" s="13"/>
      <c r="S6451" s="13"/>
    </row>
    <row r="6452" spans="1:19" x14ac:dyDescent="0.2">
      <c r="A6452" s="12" t="s">
        <v>587</v>
      </c>
      <c r="B6452" s="12" t="s">
        <v>572</v>
      </c>
      <c r="C6452" s="12" t="s">
        <v>560</v>
      </c>
      <c r="D6452" s="13">
        <v>0</v>
      </c>
      <c r="E6452" s="13">
        <v>0</v>
      </c>
      <c r="F6452" s="13">
        <v>0</v>
      </c>
      <c r="G6452" s="13">
        <v>0</v>
      </c>
      <c r="H6452" s="13"/>
      <c r="I6452" s="13"/>
      <c r="J6452" s="13"/>
      <c r="K6452" s="13"/>
      <c r="L6452" s="13"/>
      <c r="M6452" s="13"/>
      <c r="N6452" s="13"/>
      <c r="O6452" s="13"/>
      <c r="P6452" s="13"/>
      <c r="Q6452" s="13"/>
      <c r="R6452" s="13"/>
      <c r="S6452" s="13"/>
    </row>
    <row r="6453" spans="1:19" x14ac:dyDescent="0.2">
      <c r="A6453" s="12" t="s">
        <v>587</v>
      </c>
      <c r="B6453" s="12" t="s">
        <v>572</v>
      </c>
      <c r="C6453" s="12" t="s">
        <v>561</v>
      </c>
      <c r="D6453" s="13">
        <v>68042</v>
      </c>
      <c r="E6453" s="13">
        <v>71943.084581000003</v>
      </c>
      <c r="F6453" s="13">
        <v>74046.997486000007</v>
      </c>
      <c r="G6453" s="13">
        <v>75865.534974000009</v>
      </c>
      <c r="H6453" s="13"/>
      <c r="I6453" s="13"/>
      <c r="J6453" s="13"/>
      <c r="K6453" s="13"/>
      <c r="L6453" s="13"/>
      <c r="M6453" s="13"/>
      <c r="N6453" s="13"/>
      <c r="O6453" s="13"/>
      <c r="P6453" s="13"/>
      <c r="Q6453" s="13"/>
      <c r="R6453" s="13"/>
      <c r="S6453" s="13"/>
    </row>
    <row r="6454" spans="1:19" x14ac:dyDescent="0.2">
      <c r="A6454" s="12" t="s">
        <v>587</v>
      </c>
      <c r="B6454" s="12" t="s">
        <v>572</v>
      </c>
      <c r="C6454" s="12" t="s">
        <v>562</v>
      </c>
      <c r="D6454" s="13">
        <v>29531</v>
      </c>
      <c r="E6454" s="13">
        <v>31870.299894</v>
      </c>
      <c r="F6454" s="13">
        <v>32080.274215000001</v>
      </c>
      <c r="G6454" s="13">
        <v>33127.762753000003</v>
      </c>
      <c r="H6454" s="13"/>
      <c r="I6454" s="13"/>
      <c r="J6454" s="13"/>
      <c r="K6454" s="13"/>
      <c r="L6454" s="13"/>
      <c r="M6454" s="13"/>
      <c r="N6454" s="13"/>
      <c r="O6454" s="13"/>
      <c r="P6454" s="13"/>
      <c r="Q6454" s="13"/>
      <c r="R6454" s="13"/>
      <c r="S6454" s="13"/>
    </row>
    <row r="6455" spans="1:19" x14ac:dyDescent="0.2">
      <c r="A6455" s="12" t="s">
        <v>587</v>
      </c>
      <c r="B6455" s="12" t="s">
        <v>572</v>
      </c>
      <c r="C6455" s="12" t="s">
        <v>563</v>
      </c>
      <c r="D6455" s="13">
        <v>984</v>
      </c>
      <c r="E6455" s="13">
        <v>1138.2802630000001</v>
      </c>
      <c r="F6455" s="13">
        <v>1283.2228279999999</v>
      </c>
      <c r="G6455" s="13">
        <v>1445.784746</v>
      </c>
      <c r="H6455" s="13"/>
      <c r="I6455" s="13"/>
      <c r="J6455" s="13"/>
      <c r="K6455" s="13"/>
      <c r="L6455" s="13"/>
      <c r="M6455" s="13"/>
      <c r="N6455" s="13"/>
      <c r="O6455" s="13"/>
      <c r="P6455" s="13"/>
      <c r="Q6455" s="13"/>
      <c r="R6455" s="13"/>
      <c r="S6455" s="13"/>
    </row>
    <row r="6456" spans="1:19" x14ac:dyDescent="0.2">
      <c r="A6456" s="12" t="s">
        <v>587</v>
      </c>
      <c r="B6456" s="12" t="s">
        <v>572</v>
      </c>
      <c r="C6456" s="12" t="s">
        <v>564</v>
      </c>
      <c r="D6456" s="13">
        <v>18338</v>
      </c>
      <c r="E6456" s="13">
        <v>18897.224988000002</v>
      </c>
      <c r="F6456" s="13">
        <v>19537.285148999999</v>
      </c>
      <c r="G6456" s="13">
        <v>19622.446838</v>
      </c>
      <c r="H6456" s="13"/>
      <c r="I6456" s="13"/>
      <c r="J6456" s="13"/>
      <c r="K6456" s="13"/>
      <c r="L6456" s="13"/>
      <c r="M6456" s="13"/>
      <c r="N6456" s="13"/>
      <c r="O6456" s="13"/>
      <c r="P6456" s="13"/>
      <c r="Q6456" s="13"/>
      <c r="R6456" s="13"/>
      <c r="S6456" s="13"/>
    </row>
    <row r="6457" spans="1:19" x14ac:dyDescent="0.2">
      <c r="A6457" s="12" t="s">
        <v>587</v>
      </c>
      <c r="B6457" s="12" t="s">
        <v>572</v>
      </c>
      <c r="C6457" s="12" t="s">
        <v>565</v>
      </c>
      <c r="D6457" s="13">
        <v>13582</v>
      </c>
      <c r="E6457" s="13">
        <v>14379.083009</v>
      </c>
      <c r="F6457" s="13">
        <v>14759.650636</v>
      </c>
      <c r="G6457" s="13">
        <v>15014.051853999999</v>
      </c>
      <c r="H6457" s="13"/>
      <c r="I6457" s="13"/>
      <c r="J6457" s="13"/>
      <c r="K6457" s="13"/>
      <c r="L6457" s="13"/>
      <c r="M6457" s="13"/>
      <c r="N6457" s="13"/>
      <c r="O6457" s="13"/>
      <c r="P6457" s="13"/>
      <c r="Q6457" s="13"/>
      <c r="R6457" s="13"/>
      <c r="S6457" s="13"/>
    </row>
    <row r="6458" spans="1:19" x14ac:dyDescent="0.2">
      <c r="A6458" s="12" t="s">
        <v>587</v>
      </c>
      <c r="B6458" s="12" t="s">
        <v>572</v>
      </c>
      <c r="C6458" s="12" t="s">
        <v>566</v>
      </c>
      <c r="D6458" s="13">
        <v>5608</v>
      </c>
      <c r="E6458" s="13">
        <v>5658.1964440000002</v>
      </c>
      <c r="F6458" s="13">
        <v>6386.5646420000012</v>
      </c>
      <c r="G6458" s="13">
        <v>6655.4887790000002</v>
      </c>
      <c r="H6458" s="13"/>
      <c r="I6458" s="13"/>
      <c r="J6458" s="13"/>
      <c r="K6458" s="13"/>
      <c r="L6458" s="13"/>
      <c r="M6458" s="13"/>
      <c r="N6458" s="13"/>
      <c r="O6458" s="13"/>
      <c r="P6458" s="13"/>
      <c r="Q6458" s="13"/>
      <c r="R6458" s="13"/>
      <c r="S6458" s="13"/>
    </row>
    <row r="6459" spans="1:19" x14ac:dyDescent="0.2">
      <c r="A6459" s="12" t="s">
        <v>587</v>
      </c>
      <c r="B6459" s="12" t="s">
        <v>573</v>
      </c>
      <c r="C6459" s="12" t="s">
        <v>554</v>
      </c>
      <c r="D6459" s="13">
        <v>62</v>
      </c>
      <c r="E6459" s="13">
        <v>65.293689999999998</v>
      </c>
      <c r="F6459" s="13">
        <v>58.843795</v>
      </c>
      <c r="G6459" s="13">
        <v>58.138667000000012</v>
      </c>
      <c r="H6459" s="13"/>
      <c r="I6459" s="13"/>
      <c r="J6459" s="13"/>
      <c r="K6459" s="13"/>
      <c r="L6459" s="13"/>
      <c r="M6459" s="13"/>
      <c r="N6459" s="13"/>
      <c r="O6459" s="13"/>
      <c r="P6459" s="13"/>
      <c r="Q6459" s="13"/>
      <c r="R6459" s="13"/>
      <c r="S6459" s="13"/>
    </row>
    <row r="6460" spans="1:19" x14ac:dyDescent="0.2">
      <c r="A6460" s="12" t="s">
        <v>587</v>
      </c>
      <c r="B6460" s="12" t="s">
        <v>573</v>
      </c>
      <c r="C6460" s="12" t="s">
        <v>555</v>
      </c>
      <c r="D6460" s="13">
        <v>0</v>
      </c>
      <c r="E6460" s="13">
        <v>0.23516000000000001</v>
      </c>
      <c r="F6460" s="13">
        <v>0.23211200000000001</v>
      </c>
      <c r="G6460" s="13">
        <v>0.235738</v>
      </c>
      <c r="H6460" s="13"/>
      <c r="I6460" s="13"/>
      <c r="J6460" s="13"/>
      <c r="K6460" s="13"/>
      <c r="L6460" s="13"/>
      <c r="M6460" s="13"/>
      <c r="N6460" s="13"/>
      <c r="O6460" s="13"/>
      <c r="P6460" s="13"/>
      <c r="Q6460" s="13"/>
      <c r="R6460" s="13"/>
      <c r="S6460" s="13"/>
    </row>
    <row r="6461" spans="1:19" x14ac:dyDescent="0.2">
      <c r="A6461" s="12" t="s">
        <v>587</v>
      </c>
      <c r="B6461" s="12" t="s">
        <v>573</v>
      </c>
      <c r="C6461" s="12" t="s">
        <v>556</v>
      </c>
      <c r="D6461" s="13">
        <v>0</v>
      </c>
      <c r="E6461" s="13">
        <v>-7.3805000000000009E-2</v>
      </c>
      <c r="F6461" s="13">
        <v>-4.1746999999999999E-2</v>
      </c>
      <c r="G6461" s="13">
        <v>-4.0474000000000003E-2</v>
      </c>
      <c r="H6461" s="13"/>
      <c r="I6461" s="13"/>
      <c r="J6461" s="13"/>
      <c r="K6461" s="13"/>
      <c r="L6461" s="13"/>
      <c r="M6461" s="13"/>
      <c r="N6461" s="13"/>
      <c r="O6461" s="13"/>
      <c r="P6461" s="13"/>
      <c r="Q6461" s="13"/>
      <c r="R6461" s="13"/>
      <c r="S6461" s="13"/>
    </row>
    <row r="6462" spans="1:19" x14ac:dyDescent="0.2">
      <c r="A6462" s="12" t="s">
        <v>587</v>
      </c>
      <c r="B6462" s="12" t="s">
        <v>573</v>
      </c>
      <c r="C6462" s="12" t="s">
        <v>557</v>
      </c>
      <c r="D6462" s="13">
        <v>63</v>
      </c>
      <c r="E6462" s="13">
        <v>65.45505</v>
      </c>
      <c r="F6462" s="13">
        <v>59.034160999999997</v>
      </c>
      <c r="G6462" s="13">
        <v>58.333922000000001</v>
      </c>
      <c r="H6462" s="13"/>
      <c r="I6462" s="13"/>
      <c r="J6462" s="13"/>
      <c r="K6462" s="13"/>
      <c r="L6462" s="13"/>
      <c r="M6462" s="13"/>
      <c r="N6462" s="13"/>
      <c r="O6462" s="13"/>
      <c r="P6462" s="13"/>
      <c r="Q6462" s="13"/>
      <c r="R6462" s="13"/>
      <c r="S6462" s="13"/>
    </row>
    <row r="6463" spans="1:19" x14ac:dyDescent="0.2">
      <c r="A6463" s="12" t="s">
        <v>587</v>
      </c>
      <c r="B6463" s="12" t="s">
        <v>573</v>
      </c>
      <c r="C6463" s="12" t="s">
        <v>558</v>
      </c>
      <c r="D6463" s="13">
        <v>9640</v>
      </c>
      <c r="E6463" s="13">
        <v>10734.810864999999</v>
      </c>
      <c r="F6463" s="13">
        <v>11446.296711000001</v>
      </c>
      <c r="G6463" s="13">
        <v>12042.925986</v>
      </c>
      <c r="H6463" s="13"/>
      <c r="I6463" s="13"/>
      <c r="J6463" s="13"/>
      <c r="K6463" s="13"/>
      <c r="L6463" s="13"/>
      <c r="M6463" s="13"/>
      <c r="N6463" s="13"/>
      <c r="O6463" s="13"/>
      <c r="P6463" s="13"/>
      <c r="Q6463" s="13"/>
      <c r="R6463" s="13"/>
      <c r="S6463" s="13"/>
    </row>
    <row r="6464" spans="1:19" x14ac:dyDescent="0.2">
      <c r="A6464" s="12" t="s">
        <v>587</v>
      </c>
      <c r="B6464" s="12" t="s">
        <v>573</v>
      </c>
      <c r="C6464" s="12" t="s">
        <v>560</v>
      </c>
      <c r="D6464" s="13">
        <v>0</v>
      </c>
      <c r="E6464" s="13">
        <v>0</v>
      </c>
      <c r="F6464" s="13">
        <v>0</v>
      </c>
      <c r="G6464" s="13">
        <v>0</v>
      </c>
      <c r="H6464" s="13"/>
      <c r="I6464" s="13"/>
      <c r="J6464" s="13"/>
      <c r="K6464" s="13"/>
      <c r="L6464" s="13"/>
      <c r="M6464" s="13"/>
      <c r="N6464" s="13"/>
      <c r="O6464" s="13"/>
      <c r="P6464" s="13"/>
      <c r="Q6464" s="13"/>
      <c r="R6464" s="13"/>
      <c r="S6464" s="13"/>
    </row>
    <row r="6465" spans="1:19" x14ac:dyDescent="0.2">
      <c r="A6465" s="12" t="s">
        <v>587</v>
      </c>
      <c r="B6465" s="12" t="s">
        <v>573</v>
      </c>
      <c r="C6465" s="12" t="s">
        <v>561</v>
      </c>
      <c r="D6465" s="13">
        <v>8109</v>
      </c>
      <c r="E6465" s="13">
        <v>9309.4832580000002</v>
      </c>
      <c r="F6465" s="13">
        <v>10069.758899</v>
      </c>
      <c r="G6465" s="13">
        <v>10620.953057000001</v>
      </c>
      <c r="H6465" s="13"/>
      <c r="I6465" s="13"/>
      <c r="J6465" s="13"/>
      <c r="K6465" s="13"/>
      <c r="L6465" s="13"/>
      <c r="M6465" s="13"/>
      <c r="N6465" s="13"/>
      <c r="O6465" s="13"/>
      <c r="P6465" s="13"/>
      <c r="Q6465" s="13"/>
      <c r="R6465" s="13"/>
      <c r="S6465" s="13"/>
    </row>
    <row r="6466" spans="1:19" x14ac:dyDescent="0.2">
      <c r="A6466" s="12" t="s">
        <v>587</v>
      </c>
      <c r="B6466" s="12" t="s">
        <v>573</v>
      </c>
      <c r="C6466" s="12" t="s">
        <v>562</v>
      </c>
      <c r="D6466" s="13">
        <v>4491</v>
      </c>
      <c r="E6466" s="13">
        <v>5342.9876169999998</v>
      </c>
      <c r="F6466" s="13">
        <v>6112.4407390000006</v>
      </c>
      <c r="G6466" s="13">
        <v>6553.9749230000007</v>
      </c>
      <c r="H6466" s="13"/>
      <c r="I6466" s="13"/>
      <c r="J6466" s="13"/>
      <c r="K6466" s="13"/>
      <c r="L6466" s="13"/>
      <c r="M6466" s="13"/>
      <c r="N6466" s="13"/>
      <c r="O6466" s="13"/>
      <c r="P6466" s="13"/>
      <c r="Q6466" s="13"/>
      <c r="R6466" s="13"/>
      <c r="S6466" s="13"/>
    </row>
    <row r="6467" spans="1:19" x14ac:dyDescent="0.2">
      <c r="A6467" s="12" t="s">
        <v>587</v>
      </c>
      <c r="B6467" s="12" t="s">
        <v>573</v>
      </c>
      <c r="C6467" s="12" t="s">
        <v>563</v>
      </c>
      <c r="D6467" s="13">
        <v>0</v>
      </c>
      <c r="E6467" s="13">
        <v>0</v>
      </c>
      <c r="F6467" s="13">
        <v>0</v>
      </c>
      <c r="G6467" s="13">
        <v>0</v>
      </c>
      <c r="H6467" s="13"/>
      <c r="I6467" s="13"/>
      <c r="J6467" s="13"/>
      <c r="K6467" s="13"/>
      <c r="L6467" s="13"/>
      <c r="M6467" s="13"/>
      <c r="N6467" s="13"/>
      <c r="O6467" s="13"/>
      <c r="P6467" s="13"/>
      <c r="Q6467" s="13"/>
      <c r="R6467" s="13"/>
      <c r="S6467" s="13"/>
    </row>
    <row r="6468" spans="1:19" x14ac:dyDescent="0.2">
      <c r="A6468" s="12" t="s">
        <v>587</v>
      </c>
      <c r="B6468" s="12" t="s">
        <v>573</v>
      </c>
      <c r="C6468" s="12" t="s">
        <v>564</v>
      </c>
      <c r="D6468" s="13">
        <v>2649</v>
      </c>
      <c r="E6468" s="13">
        <v>2910.8484119999998</v>
      </c>
      <c r="F6468" s="13">
        <v>2905.017163</v>
      </c>
      <c r="G6468" s="13">
        <v>2991.524645</v>
      </c>
      <c r="H6468" s="13"/>
      <c r="I6468" s="13"/>
      <c r="J6468" s="13"/>
      <c r="K6468" s="13"/>
      <c r="L6468" s="13"/>
      <c r="M6468" s="13"/>
      <c r="N6468" s="13"/>
      <c r="O6468" s="13"/>
      <c r="P6468" s="13"/>
      <c r="Q6468" s="13"/>
      <c r="R6468" s="13"/>
      <c r="S6468" s="13"/>
    </row>
    <row r="6469" spans="1:19" x14ac:dyDescent="0.2">
      <c r="A6469" s="12" t="s">
        <v>587</v>
      </c>
      <c r="B6469" s="12" t="s">
        <v>573</v>
      </c>
      <c r="C6469" s="12" t="s">
        <v>565</v>
      </c>
      <c r="D6469" s="13">
        <v>708</v>
      </c>
      <c r="E6469" s="13">
        <v>785.31525399999998</v>
      </c>
      <c r="F6469" s="13">
        <v>766.16610400000002</v>
      </c>
      <c r="G6469" s="13">
        <v>768.62656900000002</v>
      </c>
      <c r="H6469" s="13"/>
      <c r="I6469" s="13"/>
      <c r="J6469" s="13"/>
      <c r="K6469" s="13"/>
      <c r="L6469" s="13"/>
      <c r="M6469" s="13"/>
      <c r="N6469" s="13"/>
      <c r="O6469" s="13"/>
      <c r="P6469" s="13"/>
      <c r="Q6469" s="13"/>
      <c r="R6469" s="13"/>
      <c r="S6469" s="13"/>
    </row>
    <row r="6470" spans="1:19" x14ac:dyDescent="0.2">
      <c r="A6470" s="12" t="s">
        <v>587</v>
      </c>
      <c r="B6470" s="12" t="s">
        <v>573</v>
      </c>
      <c r="C6470" s="12" t="s">
        <v>566</v>
      </c>
      <c r="D6470" s="13">
        <v>261</v>
      </c>
      <c r="E6470" s="13">
        <v>270.33198399999998</v>
      </c>
      <c r="F6470" s="13">
        <v>286.13490999999999</v>
      </c>
      <c r="G6470" s="13">
        <v>306.82694199999997</v>
      </c>
      <c r="H6470" s="13"/>
      <c r="I6470" s="13"/>
      <c r="J6470" s="13"/>
      <c r="K6470" s="13"/>
      <c r="L6470" s="13"/>
      <c r="M6470" s="13"/>
      <c r="N6470" s="13"/>
      <c r="O6470" s="13"/>
      <c r="P6470" s="13"/>
      <c r="Q6470" s="13"/>
      <c r="R6470" s="13"/>
      <c r="S6470" s="13"/>
    </row>
    <row r="6471" spans="1:19" x14ac:dyDescent="0.2">
      <c r="A6471" s="12" t="s">
        <v>587</v>
      </c>
      <c r="B6471" s="12" t="s">
        <v>574</v>
      </c>
      <c r="C6471" s="12" t="s">
        <v>554</v>
      </c>
      <c r="D6471" s="13">
        <v>377236</v>
      </c>
      <c r="E6471" s="13">
        <v>390464.79909400002</v>
      </c>
      <c r="F6471" s="13">
        <v>406418.52190699999</v>
      </c>
      <c r="G6471" s="13">
        <v>420398.60881300003</v>
      </c>
      <c r="H6471" s="13"/>
      <c r="I6471" s="13"/>
      <c r="J6471" s="13"/>
      <c r="K6471" s="13"/>
      <c r="L6471" s="13"/>
      <c r="M6471" s="13"/>
      <c r="N6471" s="13"/>
      <c r="O6471" s="13"/>
      <c r="P6471" s="13"/>
      <c r="Q6471" s="13"/>
      <c r="R6471" s="13"/>
      <c r="S6471" s="13"/>
    </row>
    <row r="6472" spans="1:19" x14ac:dyDescent="0.2">
      <c r="A6472" s="12" t="s">
        <v>587</v>
      </c>
      <c r="B6472" s="12" t="s">
        <v>574</v>
      </c>
      <c r="C6472" s="12" t="s">
        <v>555</v>
      </c>
      <c r="D6472" s="13">
        <v>188814</v>
      </c>
      <c r="E6472" s="13">
        <v>195861.67417799999</v>
      </c>
      <c r="F6472" s="13">
        <v>199861.06703499999</v>
      </c>
      <c r="G6472" s="13">
        <v>205584.71379000001</v>
      </c>
      <c r="H6472" s="13"/>
      <c r="I6472" s="13"/>
      <c r="J6472" s="13"/>
      <c r="K6472" s="13"/>
      <c r="L6472" s="13"/>
      <c r="M6472" s="13"/>
      <c r="N6472" s="13"/>
      <c r="O6472" s="13"/>
      <c r="P6472" s="13"/>
      <c r="Q6472" s="13"/>
      <c r="R6472" s="13"/>
      <c r="S6472" s="13"/>
    </row>
    <row r="6473" spans="1:19" x14ac:dyDescent="0.2">
      <c r="A6473" s="12" t="s">
        <v>587</v>
      </c>
      <c r="B6473" s="12" t="s">
        <v>574</v>
      </c>
      <c r="C6473" s="12" t="s">
        <v>556</v>
      </c>
      <c r="D6473" s="13">
        <v>-115071</v>
      </c>
      <c r="E6473" s="13">
        <v>-117618.958419</v>
      </c>
      <c r="F6473" s="13">
        <v>-122406.731402</v>
      </c>
      <c r="G6473" s="13">
        <v>-127131.392244</v>
      </c>
      <c r="H6473" s="13"/>
      <c r="I6473" s="13"/>
      <c r="J6473" s="13"/>
      <c r="K6473" s="13"/>
      <c r="L6473" s="13"/>
      <c r="M6473" s="13"/>
      <c r="N6473" s="13"/>
      <c r="O6473" s="13"/>
      <c r="P6473" s="13"/>
      <c r="Q6473" s="13"/>
      <c r="R6473" s="13"/>
      <c r="S6473" s="13"/>
    </row>
    <row r="6474" spans="1:19" x14ac:dyDescent="0.2">
      <c r="A6474" s="12" t="s">
        <v>587</v>
      </c>
      <c r="B6474" s="12" t="s">
        <v>574</v>
      </c>
      <c r="C6474" s="12" t="s">
        <v>557</v>
      </c>
      <c r="D6474" s="13">
        <v>438960</v>
      </c>
      <c r="E6474" s="13">
        <v>463713.40841099998</v>
      </c>
      <c r="F6474" s="13">
        <v>467239.45890099998</v>
      </c>
      <c r="G6474" s="13">
        <v>476473.30928799999</v>
      </c>
      <c r="H6474" s="13"/>
      <c r="I6474" s="13"/>
      <c r="J6474" s="13"/>
      <c r="K6474" s="13"/>
      <c r="L6474" s="13"/>
      <c r="M6474" s="13"/>
      <c r="N6474" s="13"/>
      <c r="O6474" s="13"/>
      <c r="P6474" s="13"/>
      <c r="Q6474" s="13"/>
      <c r="R6474" s="13"/>
      <c r="S6474" s="13"/>
    </row>
    <row r="6475" spans="1:19" x14ac:dyDescent="0.2">
      <c r="A6475" s="12" t="s">
        <v>587</v>
      </c>
      <c r="B6475" s="12" t="s">
        <v>574</v>
      </c>
      <c r="C6475" s="12" t="s">
        <v>558</v>
      </c>
      <c r="D6475" s="13">
        <v>-95219</v>
      </c>
      <c r="E6475" s="13">
        <v>-102423.619148</v>
      </c>
      <c r="F6475" s="13">
        <v>-102344.26949399999</v>
      </c>
      <c r="G6475" s="13">
        <v>-104286.032851</v>
      </c>
      <c r="H6475" s="13"/>
      <c r="I6475" s="13"/>
      <c r="J6475" s="13"/>
      <c r="K6475" s="13"/>
      <c r="L6475" s="13"/>
      <c r="M6475" s="13"/>
      <c r="N6475" s="13"/>
      <c r="O6475" s="13"/>
      <c r="P6475" s="13"/>
      <c r="Q6475" s="13"/>
      <c r="R6475" s="13"/>
      <c r="S6475" s="13"/>
    </row>
    <row r="6476" spans="1:19" x14ac:dyDescent="0.2">
      <c r="A6476" s="12" t="s">
        <v>587</v>
      </c>
      <c r="B6476" s="12" t="s">
        <v>574</v>
      </c>
      <c r="C6476" s="12" t="s">
        <v>560</v>
      </c>
      <c r="D6476" s="13">
        <v>-2511</v>
      </c>
      <c r="E6476" s="13">
        <v>-2827.1215809999999</v>
      </c>
      <c r="F6476" s="13">
        <v>-2925.991356</v>
      </c>
      <c r="G6476" s="13">
        <v>-3136.7754460000001</v>
      </c>
      <c r="H6476" s="13"/>
      <c r="I6476" s="13"/>
      <c r="J6476" s="13"/>
      <c r="K6476" s="13"/>
      <c r="L6476" s="13"/>
      <c r="M6476" s="13"/>
      <c r="N6476" s="13"/>
      <c r="O6476" s="13"/>
      <c r="P6476" s="13"/>
      <c r="Q6476" s="13"/>
      <c r="R6476" s="13"/>
      <c r="S6476" s="13"/>
    </row>
    <row r="6477" spans="1:19" x14ac:dyDescent="0.2">
      <c r="A6477" s="12" t="s">
        <v>587</v>
      </c>
      <c r="B6477" s="12" t="s">
        <v>574</v>
      </c>
      <c r="C6477" s="12" t="s">
        <v>561</v>
      </c>
      <c r="D6477" s="13">
        <v>292711</v>
      </c>
      <c r="E6477" s="13">
        <v>307394.71227100003</v>
      </c>
      <c r="F6477" s="13">
        <v>311099.11690800003</v>
      </c>
      <c r="G6477" s="13">
        <v>315909.34450399998</v>
      </c>
      <c r="H6477" s="13"/>
      <c r="I6477" s="13"/>
      <c r="J6477" s="13"/>
      <c r="K6477" s="13"/>
      <c r="L6477" s="13"/>
      <c r="M6477" s="13"/>
      <c r="N6477" s="13"/>
      <c r="O6477" s="13"/>
      <c r="P6477" s="13"/>
      <c r="Q6477" s="13"/>
      <c r="R6477" s="13"/>
      <c r="S6477" s="13"/>
    </row>
    <row r="6478" spans="1:19" x14ac:dyDescent="0.2">
      <c r="A6478" s="12" t="s">
        <v>587</v>
      </c>
      <c r="B6478" s="12" t="s">
        <v>574</v>
      </c>
      <c r="C6478" s="12" t="s">
        <v>562</v>
      </c>
      <c r="D6478" s="13">
        <v>95765</v>
      </c>
      <c r="E6478" s="13">
        <v>100621.23484400001</v>
      </c>
      <c r="F6478" s="13">
        <v>102035.388416</v>
      </c>
      <c r="G6478" s="13">
        <v>104597.44276400001</v>
      </c>
      <c r="H6478" s="13"/>
      <c r="I6478" s="13"/>
      <c r="J6478" s="13"/>
      <c r="K6478" s="13"/>
      <c r="L6478" s="13"/>
      <c r="M6478" s="13"/>
      <c r="N6478" s="13"/>
      <c r="O6478" s="13"/>
      <c r="P6478" s="13"/>
      <c r="Q6478" s="13"/>
      <c r="R6478" s="13"/>
      <c r="S6478" s="13"/>
    </row>
    <row r="6479" spans="1:19" x14ac:dyDescent="0.2">
      <c r="A6479" s="12" t="s">
        <v>587</v>
      </c>
      <c r="B6479" s="12" t="s">
        <v>574</v>
      </c>
      <c r="C6479" s="12" t="s">
        <v>563</v>
      </c>
      <c r="D6479" s="13">
        <v>74749</v>
      </c>
      <c r="E6479" s="13">
        <v>80889.08570299999</v>
      </c>
      <c r="F6479" s="13">
        <v>82240.632162000009</v>
      </c>
      <c r="G6479" s="13">
        <v>83658.457691999996</v>
      </c>
      <c r="H6479" s="13"/>
      <c r="I6479" s="13"/>
      <c r="J6479" s="13"/>
      <c r="K6479" s="13"/>
      <c r="L6479" s="13"/>
      <c r="M6479" s="13"/>
      <c r="N6479" s="13"/>
      <c r="O6479" s="13"/>
      <c r="P6479" s="13"/>
      <c r="Q6479" s="13"/>
      <c r="R6479" s="13"/>
      <c r="S6479" s="13"/>
    </row>
    <row r="6480" spans="1:19" x14ac:dyDescent="0.2">
      <c r="A6480" s="12" t="s">
        <v>587</v>
      </c>
      <c r="B6480" s="12" t="s">
        <v>574</v>
      </c>
      <c r="C6480" s="12" t="s">
        <v>564</v>
      </c>
      <c r="D6480" s="13">
        <v>55892</v>
      </c>
      <c r="E6480" s="13">
        <v>56790.251750000003</v>
      </c>
      <c r="F6480" s="13">
        <v>56510.247036000001</v>
      </c>
      <c r="G6480" s="13">
        <v>55340.967307999999</v>
      </c>
      <c r="H6480" s="13"/>
      <c r="I6480" s="13"/>
      <c r="J6480" s="13"/>
      <c r="K6480" s="13"/>
      <c r="L6480" s="13"/>
      <c r="M6480" s="13"/>
      <c r="N6480" s="13"/>
      <c r="O6480" s="13"/>
      <c r="P6480" s="13"/>
      <c r="Q6480" s="13"/>
      <c r="R6480" s="13"/>
      <c r="S6480" s="13"/>
    </row>
    <row r="6481" spans="1:19" x14ac:dyDescent="0.2">
      <c r="A6481" s="12" t="s">
        <v>587</v>
      </c>
      <c r="B6481" s="12" t="s">
        <v>574</v>
      </c>
      <c r="C6481" s="12" t="s">
        <v>565</v>
      </c>
      <c r="D6481" s="13">
        <v>25240</v>
      </c>
      <c r="E6481" s="13">
        <v>26434.128365</v>
      </c>
      <c r="F6481" s="13">
        <v>26630.052167000002</v>
      </c>
      <c r="G6481" s="13">
        <v>26520.478222000002</v>
      </c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</row>
    <row r="6482" spans="1:19" x14ac:dyDescent="0.2">
      <c r="A6482" s="12" t="s">
        <v>587</v>
      </c>
      <c r="B6482" s="12" t="s">
        <v>574</v>
      </c>
      <c r="C6482" s="12" t="s">
        <v>566</v>
      </c>
      <c r="D6482" s="13">
        <v>41065</v>
      </c>
      <c r="E6482" s="13">
        <v>42660.011638999997</v>
      </c>
      <c r="F6482" s="13">
        <v>43682.797206000003</v>
      </c>
      <c r="G6482" s="13">
        <v>45791.998516000007</v>
      </c>
      <c r="H6482" s="13"/>
      <c r="I6482" s="13"/>
      <c r="J6482" s="13"/>
      <c r="K6482" s="13"/>
      <c r="L6482" s="13"/>
      <c r="M6482" s="13"/>
      <c r="N6482" s="13"/>
      <c r="O6482" s="13"/>
      <c r="P6482" s="13"/>
      <c r="Q6482" s="13"/>
      <c r="R6482" s="13"/>
      <c r="S6482" s="13"/>
    </row>
    <row r="6483" spans="1:19" x14ac:dyDescent="0.2">
      <c r="A6483" s="12" t="s">
        <v>588</v>
      </c>
      <c r="B6483" s="12" t="s">
        <v>553</v>
      </c>
      <c r="C6483" s="12" t="s">
        <v>554</v>
      </c>
      <c r="D6483" s="13">
        <v>160168</v>
      </c>
      <c r="E6483" s="13">
        <v>168948.36003400001</v>
      </c>
      <c r="F6483" s="13">
        <v>177921.124709</v>
      </c>
      <c r="G6483" s="13">
        <v>184131.29913500001</v>
      </c>
      <c r="H6483" s="13"/>
      <c r="I6483" s="13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</row>
    <row r="6484" spans="1:19" x14ac:dyDescent="0.2">
      <c r="A6484" s="12" t="s">
        <v>588</v>
      </c>
      <c r="B6484" s="12" t="s">
        <v>553</v>
      </c>
      <c r="C6484" s="12" t="s">
        <v>555</v>
      </c>
      <c r="D6484" s="13">
        <v>32919</v>
      </c>
      <c r="E6484" s="13">
        <v>34188.911437000002</v>
      </c>
      <c r="F6484" s="13">
        <v>33184.756007999997</v>
      </c>
      <c r="G6484" s="13">
        <v>36315.436741999998</v>
      </c>
      <c r="H6484" s="13"/>
      <c r="I6484" s="13"/>
      <c r="J6484" s="13"/>
      <c r="K6484" s="13"/>
      <c r="L6484" s="13"/>
      <c r="M6484" s="13"/>
      <c r="N6484" s="13"/>
      <c r="O6484" s="13"/>
      <c r="P6484" s="13"/>
      <c r="Q6484" s="13"/>
      <c r="R6484" s="13"/>
      <c r="S6484" s="13"/>
    </row>
    <row r="6485" spans="1:19" x14ac:dyDescent="0.2">
      <c r="A6485" s="12" t="s">
        <v>588</v>
      </c>
      <c r="B6485" s="12" t="s">
        <v>553</v>
      </c>
      <c r="C6485" s="12" t="s">
        <v>556</v>
      </c>
      <c r="D6485" s="13">
        <v>-34357</v>
      </c>
      <c r="E6485" s="13">
        <v>-34462.994090000007</v>
      </c>
      <c r="F6485" s="13">
        <v>-35196.058005000014</v>
      </c>
      <c r="G6485" s="13">
        <v>-36990.523273999999</v>
      </c>
      <c r="H6485" s="13"/>
      <c r="I6485" s="13"/>
      <c r="J6485" s="13"/>
      <c r="K6485" s="13"/>
      <c r="L6485" s="13"/>
      <c r="M6485" s="13"/>
      <c r="N6485" s="13"/>
      <c r="O6485" s="13"/>
      <c r="P6485" s="13"/>
      <c r="Q6485" s="13"/>
      <c r="R6485" s="13"/>
      <c r="S6485" s="13"/>
    </row>
    <row r="6486" spans="1:19" x14ac:dyDescent="0.2">
      <c r="A6486" s="12" t="s">
        <v>588</v>
      </c>
      <c r="B6486" s="12" t="s">
        <v>553</v>
      </c>
      <c r="C6486" s="12" t="s">
        <v>557</v>
      </c>
      <c r="D6486" s="13">
        <v>157632</v>
      </c>
      <c r="E6486" s="13">
        <v>169394.672009</v>
      </c>
      <c r="F6486" s="13">
        <v>171739.15356800001</v>
      </c>
      <c r="G6486" s="13">
        <v>175947.66928100001</v>
      </c>
      <c r="H6486" s="13"/>
      <c r="I6486" s="13"/>
      <c r="J6486" s="13"/>
      <c r="K6486" s="13"/>
      <c r="L6486" s="13"/>
      <c r="M6486" s="13"/>
      <c r="N6486" s="13"/>
      <c r="O6486" s="13"/>
      <c r="P6486" s="13"/>
      <c r="Q6486" s="13"/>
      <c r="R6486" s="13"/>
      <c r="S6486" s="13"/>
    </row>
    <row r="6487" spans="1:19" x14ac:dyDescent="0.2">
      <c r="A6487" s="12" t="s">
        <v>588</v>
      </c>
      <c r="B6487" s="12" t="s">
        <v>553</v>
      </c>
      <c r="C6487" s="12" t="s">
        <v>558</v>
      </c>
      <c r="D6487" s="13">
        <v>-100457</v>
      </c>
      <c r="E6487" s="13">
        <v>-109781.12379500001</v>
      </c>
      <c r="F6487" s="13">
        <v>-112046.73421</v>
      </c>
      <c r="G6487" s="13">
        <v>-114953.24377299999</v>
      </c>
      <c r="H6487" s="13"/>
      <c r="I6487" s="13"/>
      <c r="J6487" s="13"/>
      <c r="K6487" s="13"/>
      <c r="L6487" s="13"/>
      <c r="M6487" s="13"/>
      <c r="N6487" s="13"/>
      <c r="O6487" s="13"/>
      <c r="P6487" s="13"/>
      <c r="Q6487" s="13"/>
      <c r="R6487" s="13"/>
      <c r="S6487" s="13"/>
    </row>
    <row r="6488" spans="1:19" x14ac:dyDescent="0.2">
      <c r="A6488" s="12" t="s">
        <v>588</v>
      </c>
      <c r="B6488" s="12" t="s">
        <v>553</v>
      </c>
      <c r="C6488" s="12" t="s">
        <v>560</v>
      </c>
      <c r="D6488" s="13">
        <v>0</v>
      </c>
      <c r="E6488" s="13">
        <v>0</v>
      </c>
      <c r="F6488" s="13">
        <v>0</v>
      </c>
      <c r="G6488" s="13">
        <v>0</v>
      </c>
      <c r="H6488" s="13"/>
      <c r="I6488" s="13"/>
      <c r="J6488" s="13"/>
      <c r="K6488" s="13"/>
      <c r="L6488" s="13"/>
      <c r="M6488" s="13"/>
      <c r="N6488" s="13"/>
      <c r="O6488" s="13"/>
      <c r="P6488" s="13"/>
      <c r="Q6488" s="13"/>
      <c r="R6488" s="13"/>
      <c r="S6488" s="13"/>
    </row>
    <row r="6489" spans="1:19" x14ac:dyDescent="0.2">
      <c r="A6489" s="12" t="s">
        <v>588</v>
      </c>
      <c r="B6489" s="12" t="s">
        <v>553</v>
      </c>
      <c r="C6489" s="12" t="s">
        <v>561</v>
      </c>
      <c r="D6489" s="13">
        <v>37970</v>
      </c>
      <c r="E6489" s="13">
        <v>37608.863148999997</v>
      </c>
      <c r="F6489" s="13">
        <v>36608.238531000003</v>
      </c>
      <c r="G6489" s="13">
        <v>36946.010983</v>
      </c>
      <c r="H6489" s="13"/>
      <c r="I6489" s="13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</row>
    <row r="6490" spans="1:19" x14ac:dyDescent="0.2">
      <c r="A6490" s="12" t="s">
        <v>588</v>
      </c>
      <c r="B6490" s="12" t="s">
        <v>553</v>
      </c>
      <c r="C6490" s="12" t="s">
        <v>562</v>
      </c>
      <c r="D6490" s="13">
        <v>30355</v>
      </c>
      <c r="E6490" s="13">
        <v>30305.247522000001</v>
      </c>
      <c r="F6490" s="13">
        <v>29358.757369999999</v>
      </c>
      <c r="G6490" s="13">
        <v>29592.001390000001</v>
      </c>
      <c r="H6490" s="13"/>
      <c r="I6490" s="13"/>
      <c r="J6490" s="13"/>
      <c r="K6490" s="13"/>
      <c r="L6490" s="13"/>
      <c r="M6490" s="13"/>
      <c r="N6490" s="13"/>
      <c r="O6490" s="13"/>
      <c r="P6490" s="13"/>
      <c r="Q6490" s="13"/>
      <c r="R6490" s="13"/>
      <c r="S6490" s="13"/>
    </row>
    <row r="6491" spans="1:19" x14ac:dyDescent="0.2">
      <c r="A6491" s="12" t="s">
        <v>588</v>
      </c>
      <c r="B6491" s="12" t="s">
        <v>553</v>
      </c>
      <c r="C6491" s="12" t="s">
        <v>563</v>
      </c>
      <c r="D6491" s="13">
        <v>42</v>
      </c>
      <c r="E6491" s="13">
        <v>34.362081000000003</v>
      </c>
      <c r="F6491" s="13">
        <v>35.979877000000002</v>
      </c>
      <c r="G6491" s="13">
        <v>38.858238999999998</v>
      </c>
      <c r="H6491" s="13"/>
      <c r="I6491" s="13"/>
      <c r="J6491" s="13"/>
      <c r="K6491" s="13"/>
      <c r="L6491" s="13"/>
      <c r="M6491" s="13"/>
      <c r="N6491" s="13"/>
      <c r="O6491" s="13"/>
      <c r="P6491" s="13"/>
      <c r="Q6491" s="13"/>
      <c r="R6491" s="13"/>
      <c r="S6491" s="13"/>
    </row>
    <row r="6492" spans="1:19" x14ac:dyDescent="0.2">
      <c r="A6492" s="12" t="s">
        <v>588</v>
      </c>
      <c r="B6492" s="12" t="s">
        <v>553</v>
      </c>
      <c r="C6492" s="12" t="s">
        <v>564</v>
      </c>
      <c r="D6492" s="13">
        <v>2333</v>
      </c>
      <c r="E6492" s="13">
        <v>2212.9358870000001</v>
      </c>
      <c r="F6492" s="13">
        <v>2060.3827780000001</v>
      </c>
      <c r="G6492" s="13">
        <v>2006.5754899999999</v>
      </c>
      <c r="H6492" s="13"/>
      <c r="I6492" s="13"/>
      <c r="J6492" s="13"/>
      <c r="K6492" s="13"/>
      <c r="L6492" s="13"/>
      <c r="M6492" s="13"/>
      <c r="N6492" s="13"/>
      <c r="O6492" s="13"/>
      <c r="P6492" s="13"/>
      <c r="Q6492" s="13"/>
      <c r="R6492" s="13"/>
      <c r="S6492" s="13"/>
    </row>
    <row r="6493" spans="1:19" x14ac:dyDescent="0.2">
      <c r="A6493" s="12" t="s">
        <v>588</v>
      </c>
      <c r="B6493" s="12" t="s">
        <v>553</v>
      </c>
      <c r="C6493" s="12" t="s">
        <v>565</v>
      </c>
      <c r="D6493" s="13">
        <v>1020</v>
      </c>
      <c r="E6493" s="13">
        <v>905.69453399999998</v>
      </c>
      <c r="F6493" s="13">
        <v>828.32812200000001</v>
      </c>
      <c r="G6493" s="13">
        <v>797.30710799999997</v>
      </c>
      <c r="H6493" s="13"/>
      <c r="I6493" s="13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</row>
    <row r="6494" spans="1:19" x14ac:dyDescent="0.2">
      <c r="A6494" s="12" t="s">
        <v>588</v>
      </c>
      <c r="B6494" s="12" t="s">
        <v>553</v>
      </c>
      <c r="C6494" s="12" t="s">
        <v>566</v>
      </c>
      <c r="D6494" s="13">
        <v>4219</v>
      </c>
      <c r="E6494" s="13">
        <v>4150.6230949999999</v>
      </c>
      <c r="F6494" s="13">
        <v>4324.7903630000001</v>
      </c>
      <c r="G6494" s="13">
        <v>4511.2687310000001</v>
      </c>
      <c r="H6494" s="13"/>
      <c r="I6494" s="13"/>
      <c r="J6494" s="13"/>
      <c r="K6494" s="13"/>
      <c r="L6494" s="13"/>
      <c r="M6494" s="13"/>
      <c r="N6494" s="13"/>
      <c r="O6494" s="13"/>
      <c r="P6494" s="13"/>
      <c r="Q6494" s="13"/>
      <c r="R6494" s="13"/>
      <c r="S6494" s="13"/>
    </row>
    <row r="6495" spans="1:19" x14ac:dyDescent="0.2">
      <c r="A6495" s="12" t="s">
        <v>588</v>
      </c>
      <c r="B6495" s="12" t="s">
        <v>567</v>
      </c>
      <c r="C6495" s="12" t="s">
        <v>554</v>
      </c>
      <c r="D6495" s="13">
        <v>177061</v>
      </c>
      <c r="E6495" s="13">
        <v>179438.94515300001</v>
      </c>
      <c r="F6495" s="13">
        <v>187858.401013</v>
      </c>
      <c r="G6495" s="13">
        <v>190107.840998</v>
      </c>
      <c r="H6495" s="13"/>
      <c r="I6495" s="13"/>
      <c r="J6495" s="13"/>
      <c r="K6495" s="13"/>
      <c r="L6495" s="13"/>
      <c r="M6495" s="13"/>
      <c r="N6495" s="13"/>
      <c r="O6495" s="13"/>
      <c r="P6495" s="13"/>
      <c r="Q6495" s="13"/>
      <c r="R6495" s="13"/>
      <c r="S6495" s="13"/>
    </row>
    <row r="6496" spans="1:19" x14ac:dyDescent="0.2">
      <c r="A6496" s="12" t="s">
        <v>588</v>
      </c>
      <c r="B6496" s="12" t="s">
        <v>567</v>
      </c>
      <c r="C6496" s="12" t="s">
        <v>555</v>
      </c>
      <c r="D6496" s="13">
        <v>94211</v>
      </c>
      <c r="E6496" s="13">
        <v>94501.627960999991</v>
      </c>
      <c r="F6496" s="13">
        <v>98359.136442000003</v>
      </c>
      <c r="G6496" s="13">
        <v>101187.58618899999</v>
      </c>
      <c r="H6496" s="13"/>
      <c r="I6496" s="13"/>
      <c r="J6496" s="13"/>
      <c r="K6496" s="13"/>
      <c r="L6496" s="13"/>
      <c r="M6496" s="13"/>
      <c r="N6496" s="13"/>
      <c r="O6496" s="13"/>
      <c r="P6496" s="13"/>
      <c r="Q6496" s="13"/>
      <c r="R6496" s="13"/>
      <c r="S6496" s="13"/>
    </row>
    <row r="6497" spans="1:19" x14ac:dyDescent="0.2">
      <c r="A6497" s="12" t="s">
        <v>588</v>
      </c>
      <c r="B6497" s="12" t="s">
        <v>567</v>
      </c>
      <c r="C6497" s="12" t="s">
        <v>556</v>
      </c>
      <c r="D6497" s="13">
        <v>-92802</v>
      </c>
      <c r="E6497" s="13">
        <v>-91223.096656000009</v>
      </c>
      <c r="F6497" s="13">
        <v>-96450.26234999999</v>
      </c>
      <c r="G6497" s="13">
        <v>-97957.517798999994</v>
      </c>
      <c r="H6497" s="13"/>
      <c r="I6497" s="13"/>
      <c r="J6497" s="13"/>
      <c r="K6497" s="13"/>
      <c r="L6497" s="13"/>
      <c r="M6497" s="13"/>
      <c r="N6497" s="13"/>
      <c r="O6497" s="13"/>
      <c r="P6497" s="13"/>
      <c r="Q6497" s="13"/>
      <c r="R6497" s="13"/>
      <c r="S6497" s="13"/>
    </row>
    <row r="6498" spans="1:19" x14ac:dyDescent="0.2">
      <c r="A6498" s="12" t="s">
        <v>588</v>
      </c>
      <c r="B6498" s="12" t="s">
        <v>567</v>
      </c>
      <c r="C6498" s="12" t="s">
        <v>557</v>
      </c>
      <c r="D6498" s="13">
        <v>177570</v>
      </c>
      <c r="E6498" s="13">
        <v>185646.00812099999</v>
      </c>
      <c r="F6498" s="13">
        <v>190404.431171</v>
      </c>
      <c r="G6498" s="13">
        <v>193001.14028299999</v>
      </c>
      <c r="H6498" s="13"/>
      <c r="I6498" s="13"/>
      <c r="J6498" s="13"/>
      <c r="K6498" s="13"/>
      <c r="L6498" s="13"/>
      <c r="M6498" s="13"/>
      <c r="N6498" s="13"/>
      <c r="O6498" s="13"/>
      <c r="P6498" s="13"/>
      <c r="Q6498" s="13"/>
      <c r="R6498" s="13"/>
      <c r="S6498" s="13"/>
    </row>
    <row r="6499" spans="1:19" x14ac:dyDescent="0.2">
      <c r="A6499" s="12" t="s">
        <v>588</v>
      </c>
      <c r="B6499" s="12" t="s">
        <v>567</v>
      </c>
      <c r="C6499" s="12" t="s">
        <v>558</v>
      </c>
      <c r="D6499" s="13">
        <v>-1485</v>
      </c>
      <c r="E6499" s="13">
        <v>-1513.8943360000001</v>
      </c>
      <c r="F6499" s="13">
        <v>-1716.063541</v>
      </c>
      <c r="G6499" s="13">
        <v>-1648.974571</v>
      </c>
      <c r="H6499" s="13"/>
      <c r="I6499" s="13"/>
      <c r="J6499" s="13"/>
      <c r="K6499" s="13"/>
      <c r="L6499" s="13"/>
      <c r="M6499" s="13"/>
      <c r="N6499" s="13"/>
      <c r="O6499" s="13"/>
      <c r="P6499" s="13"/>
      <c r="Q6499" s="13"/>
      <c r="R6499" s="13"/>
      <c r="S6499" s="13"/>
    </row>
    <row r="6500" spans="1:19" x14ac:dyDescent="0.2">
      <c r="A6500" s="12" t="s">
        <v>588</v>
      </c>
      <c r="B6500" s="12" t="s">
        <v>567</v>
      </c>
      <c r="C6500" s="12" t="s">
        <v>560</v>
      </c>
      <c r="D6500" s="13">
        <v>-167698</v>
      </c>
      <c r="E6500" s="13">
        <v>-176098.08604200001</v>
      </c>
      <c r="F6500" s="13">
        <v>-181614.64378300001</v>
      </c>
      <c r="G6500" s="13">
        <v>-183513.776648</v>
      </c>
      <c r="H6500" s="13"/>
      <c r="I6500" s="13"/>
      <c r="J6500" s="13"/>
      <c r="K6500" s="13"/>
      <c r="L6500" s="13"/>
      <c r="M6500" s="13"/>
      <c r="N6500" s="13"/>
      <c r="O6500" s="13"/>
      <c r="P6500" s="13"/>
      <c r="Q6500" s="13"/>
      <c r="R6500" s="13"/>
      <c r="S6500" s="13"/>
    </row>
    <row r="6501" spans="1:19" x14ac:dyDescent="0.2">
      <c r="A6501" s="12" t="s">
        <v>588</v>
      </c>
      <c r="B6501" s="12" t="s">
        <v>567</v>
      </c>
      <c r="C6501" s="12" t="s">
        <v>561</v>
      </c>
      <c r="D6501" s="13">
        <v>360</v>
      </c>
      <c r="E6501" s="13">
        <v>373.900127</v>
      </c>
      <c r="F6501" s="13">
        <v>295.853452</v>
      </c>
      <c r="G6501" s="13">
        <v>303.31519200000002</v>
      </c>
      <c r="H6501" s="13"/>
      <c r="I6501" s="13"/>
      <c r="J6501" s="13"/>
      <c r="K6501" s="13"/>
      <c r="L6501" s="13"/>
      <c r="M6501" s="13"/>
      <c r="N6501" s="13"/>
      <c r="O6501" s="13"/>
      <c r="P6501" s="13"/>
      <c r="Q6501" s="13"/>
      <c r="R6501" s="13"/>
      <c r="S6501" s="13"/>
    </row>
    <row r="6502" spans="1:19" x14ac:dyDescent="0.2">
      <c r="A6502" s="12" t="s">
        <v>588</v>
      </c>
      <c r="B6502" s="12" t="s">
        <v>567</v>
      </c>
      <c r="C6502" s="12" t="s">
        <v>562</v>
      </c>
      <c r="D6502" s="13">
        <v>120</v>
      </c>
      <c r="E6502" s="13">
        <v>136.23146299999999</v>
      </c>
      <c r="F6502" s="13">
        <v>76.470642000000012</v>
      </c>
      <c r="G6502" s="13">
        <v>76.594938999999997</v>
      </c>
      <c r="H6502" s="13"/>
      <c r="I6502" s="13"/>
      <c r="J6502" s="13"/>
      <c r="K6502" s="13"/>
      <c r="L6502" s="13"/>
      <c r="M6502" s="13"/>
      <c r="N6502" s="13"/>
      <c r="O6502" s="13"/>
      <c r="P6502" s="13"/>
      <c r="Q6502" s="13"/>
      <c r="R6502" s="13"/>
      <c r="S6502" s="13"/>
    </row>
    <row r="6503" spans="1:19" x14ac:dyDescent="0.2">
      <c r="A6503" s="12" t="s">
        <v>588</v>
      </c>
      <c r="B6503" s="12" t="s">
        <v>567</v>
      </c>
      <c r="C6503" s="12" t="s">
        <v>563</v>
      </c>
      <c r="D6503" s="13">
        <v>1</v>
      </c>
      <c r="E6503" s="13">
        <v>0.50256299999999998</v>
      </c>
      <c r="F6503" s="13">
        <v>0.39761200000000002</v>
      </c>
      <c r="G6503" s="13">
        <v>2.3560340000000002</v>
      </c>
      <c r="H6503" s="13"/>
      <c r="I6503" s="13"/>
      <c r="J6503" s="13"/>
      <c r="K6503" s="13"/>
      <c r="L6503" s="13"/>
      <c r="M6503" s="13"/>
      <c r="N6503" s="13"/>
      <c r="O6503" s="13"/>
      <c r="P6503" s="13"/>
      <c r="Q6503" s="13"/>
      <c r="R6503" s="13"/>
      <c r="S6503" s="13"/>
    </row>
    <row r="6504" spans="1:19" x14ac:dyDescent="0.2">
      <c r="A6504" s="12" t="s">
        <v>588</v>
      </c>
      <c r="B6504" s="12" t="s">
        <v>567</v>
      </c>
      <c r="C6504" s="12" t="s">
        <v>564</v>
      </c>
      <c r="D6504" s="13">
        <v>0</v>
      </c>
      <c r="E6504" s="13">
        <v>0</v>
      </c>
      <c r="F6504" s="13">
        <v>0</v>
      </c>
      <c r="G6504" s="13">
        <v>0</v>
      </c>
      <c r="H6504" s="13"/>
      <c r="I6504" s="13"/>
      <c r="J6504" s="13"/>
      <c r="K6504" s="13"/>
      <c r="L6504" s="13"/>
      <c r="M6504" s="13"/>
      <c r="N6504" s="13"/>
      <c r="O6504" s="13"/>
      <c r="P6504" s="13"/>
      <c r="Q6504" s="13"/>
      <c r="R6504" s="13"/>
      <c r="S6504" s="13"/>
    </row>
    <row r="6505" spans="1:19" x14ac:dyDescent="0.2">
      <c r="A6505" s="12" t="s">
        <v>588</v>
      </c>
      <c r="B6505" s="12" t="s">
        <v>567</v>
      </c>
      <c r="C6505" s="12" t="s">
        <v>565</v>
      </c>
      <c r="D6505" s="13">
        <v>0</v>
      </c>
      <c r="E6505" s="13">
        <v>0</v>
      </c>
      <c r="F6505" s="13">
        <v>0</v>
      </c>
      <c r="G6505" s="13">
        <v>4.1949999999999999E-3</v>
      </c>
      <c r="H6505" s="13"/>
      <c r="I6505" s="13"/>
      <c r="J6505" s="13"/>
      <c r="K6505" s="13"/>
      <c r="L6505" s="13"/>
      <c r="M6505" s="13"/>
      <c r="N6505" s="13"/>
      <c r="O6505" s="13"/>
      <c r="P6505" s="13"/>
      <c r="Q6505" s="13"/>
      <c r="R6505" s="13"/>
      <c r="S6505" s="13"/>
    </row>
    <row r="6506" spans="1:19" x14ac:dyDescent="0.2">
      <c r="A6506" s="12" t="s">
        <v>588</v>
      </c>
      <c r="B6506" s="12" t="s">
        <v>567</v>
      </c>
      <c r="C6506" s="12" t="s">
        <v>566</v>
      </c>
      <c r="D6506" s="13">
        <v>238</v>
      </c>
      <c r="E6506" s="13">
        <v>237.166101</v>
      </c>
      <c r="F6506" s="13">
        <v>218.985198</v>
      </c>
      <c r="G6506" s="13">
        <v>224.36002300000001</v>
      </c>
      <c r="H6506" s="13"/>
      <c r="I6506" s="13"/>
      <c r="J6506" s="13"/>
      <c r="K6506" s="13"/>
      <c r="L6506" s="13"/>
      <c r="M6506" s="13"/>
      <c r="N6506" s="13"/>
      <c r="O6506" s="13"/>
      <c r="P6506" s="13"/>
      <c r="Q6506" s="13"/>
      <c r="R6506" s="13"/>
      <c r="S6506" s="13"/>
    </row>
    <row r="6507" spans="1:19" x14ac:dyDescent="0.2">
      <c r="A6507" s="12" t="s">
        <v>588</v>
      </c>
      <c r="B6507" s="12" t="s">
        <v>568</v>
      </c>
      <c r="C6507" s="12" t="s">
        <v>554</v>
      </c>
      <c r="D6507" s="13">
        <v>0</v>
      </c>
      <c r="E6507" s="13">
        <v>0</v>
      </c>
      <c r="F6507" s="13">
        <v>0</v>
      </c>
      <c r="G6507" s="13">
        <v>0</v>
      </c>
      <c r="H6507" s="13"/>
      <c r="I6507" s="13"/>
      <c r="J6507" s="13"/>
      <c r="K6507" s="13"/>
      <c r="L6507" s="13"/>
      <c r="M6507" s="13"/>
      <c r="N6507" s="13"/>
      <c r="O6507" s="13"/>
      <c r="P6507" s="13"/>
      <c r="Q6507" s="13"/>
      <c r="R6507" s="13"/>
      <c r="S6507" s="13"/>
    </row>
    <row r="6508" spans="1:19" x14ac:dyDescent="0.2">
      <c r="A6508" s="12" t="s">
        <v>588</v>
      </c>
      <c r="B6508" s="12" t="s">
        <v>568</v>
      </c>
      <c r="C6508" s="12" t="s">
        <v>555</v>
      </c>
      <c r="D6508" s="13">
        <v>51977</v>
      </c>
      <c r="E6508" s="13">
        <v>55348.341590000004</v>
      </c>
      <c r="F6508" s="13">
        <v>56855.458919999997</v>
      </c>
      <c r="G6508" s="13">
        <v>59221.123368</v>
      </c>
      <c r="H6508" s="13"/>
      <c r="I6508" s="13"/>
      <c r="J6508" s="13"/>
      <c r="K6508" s="13"/>
      <c r="L6508" s="13"/>
      <c r="M6508" s="13"/>
      <c r="N6508" s="13"/>
      <c r="O6508" s="13"/>
      <c r="P6508" s="13"/>
      <c r="Q6508" s="13"/>
      <c r="R6508" s="13"/>
      <c r="S6508" s="13"/>
    </row>
    <row r="6509" spans="1:19" x14ac:dyDescent="0.2">
      <c r="A6509" s="12" t="s">
        <v>588</v>
      </c>
      <c r="B6509" s="12" t="s">
        <v>568</v>
      </c>
      <c r="C6509" s="12" t="s">
        <v>556</v>
      </c>
      <c r="D6509" s="13">
        <v>-54876</v>
      </c>
      <c r="E6509" s="13">
        <v>-57604.964993000001</v>
      </c>
      <c r="F6509" s="13">
        <v>-58065.447163999997</v>
      </c>
      <c r="G6509" s="13">
        <v>-58712.693665999999</v>
      </c>
      <c r="H6509" s="13"/>
      <c r="I6509" s="13"/>
      <c r="J6509" s="13"/>
      <c r="K6509" s="13"/>
      <c r="L6509" s="13"/>
      <c r="M6509" s="13"/>
      <c r="N6509" s="13"/>
      <c r="O6509" s="13"/>
      <c r="P6509" s="13"/>
      <c r="Q6509" s="13"/>
      <c r="R6509" s="13"/>
      <c r="S6509" s="13"/>
    </row>
    <row r="6510" spans="1:19" x14ac:dyDescent="0.2">
      <c r="A6510" s="12" t="s">
        <v>588</v>
      </c>
      <c r="B6510" s="12" t="s">
        <v>568</v>
      </c>
      <c r="C6510" s="12" t="s">
        <v>557</v>
      </c>
      <c r="D6510" s="13">
        <v>-4122</v>
      </c>
      <c r="E6510" s="13">
        <v>-2319.866227</v>
      </c>
      <c r="F6510" s="13">
        <v>-2279.5188349999999</v>
      </c>
      <c r="G6510" s="13">
        <v>-1388.9661900000001</v>
      </c>
      <c r="H6510" s="13"/>
      <c r="I6510" s="13"/>
      <c r="J6510" s="13"/>
      <c r="K6510" s="13"/>
      <c r="L6510" s="13"/>
      <c r="M6510" s="13"/>
      <c r="N6510" s="13"/>
      <c r="O6510" s="13"/>
      <c r="P6510" s="13"/>
      <c r="Q6510" s="13"/>
      <c r="R6510" s="13"/>
      <c r="S6510" s="13"/>
    </row>
    <row r="6511" spans="1:19" x14ac:dyDescent="0.2">
      <c r="A6511" s="12" t="s">
        <v>588</v>
      </c>
      <c r="B6511" s="12" t="s">
        <v>568</v>
      </c>
      <c r="C6511" s="12" t="s">
        <v>558</v>
      </c>
      <c r="D6511" s="13">
        <v>-6294</v>
      </c>
      <c r="E6511" s="13">
        <v>-7040.2444029999988</v>
      </c>
      <c r="F6511" s="13">
        <v>-7182.1810689999993</v>
      </c>
      <c r="G6511" s="13">
        <v>-6887.7023599999993</v>
      </c>
      <c r="H6511" s="13"/>
      <c r="I6511" s="13"/>
      <c r="J6511" s="13"/>
      <c r="K6511" s="13"/>
      <c r="L6511" s="13"/>
      <c r="M6511" s="13"/>
      <c r="N6511" s="13"/>
      <c r="O6511" s="13"/>
      <c r="P6511" s="13"/>
      <c r="Q6511" s="13"/>
      <c r="R6511" s="13"/>
      <c r="S6511" s="13"/>
    </row>
    <row r="6512" spans="1:19" x14ac:dyDescent="0.2">
      <c r="A6512" s="12" t="s">
        <v>588</v>
      </c>
      <c r="B6512" s="12" t="s">
        <v>568</v>
      </c>
      <c r="C6512" s="12" t="s">
        <v>560</v>
      </c>
      <c r="D6512" s="13">
        <v>163960</v>
      </c>
      <c r="E6512" s="13">
        <v>171878.857647</v>
      </c>
      <c r="F6512" s="13">
        <v>177111.88326599999</v>
      </c>
      <c r="G6512" s="13">
        <v>179426.06881699999</v>
      </c>
      <c r="H6512" s="13"/>
      <c r="I6512" s="13"/>
      <c r="J6512" s="13"/>
      <c r="K6512" s="13"/>
      <c r="L6512" s="13"/>
      <c r="M6512" s="13"/>
      <c r="N6512" s="13"/>
      <c r="O6512" s="13"/>
      <c r="P6512" s="13"/>
      <c r="Q6512" s="13"/>
      <c r="R6512" s="13"/>
      <c r="S6512" s="13"/>
    </row>
    <row r="6513" spans="1:19" x14ac:dyDescent="0.2">
      <c r="A6513" s="12" t="s">
        <v>588</v>
      </c>
      <c r="B6513" s="12" t="s">
        <v>568</v>
      </c>
      <c r="C6513" s="12" t="s">
        <v>561</v>
      </c>
      <c r="D6513" s="13">
        <v>155034</v>
      </c>
      <c r="E6513" s="13">
        <v>163887.127201</v>
      </c>
      <c r="F6513" s="13">
        <v>169182.49220800001</v>
      </c>
      <c r="G6513" s="13">
        <v>172280.68056000001</v>
      </c>
      <c r="H6513" s="13"/>
      <c r="I6513" s="13"/>
      <c r="J6513" s="13"/>
      <c r="K6513" s="13"/>
      <c r="L6513" s="13"/>
      <c r="M6513" s="13"/>
      <c r="N6513" s="13"/>
      <c r="O6513" s="13"/>
      <c r="P6513" s="13"/>
      <c r="Q6513" s="13"/>
      <c r="R6513" s="13"/>
      <c r="S6513" s="13"/>
    </row>
    <row r="6514" spans="1:19" x14ac:dyDescent="0.2">
      <c r="A6514" s="12" t="s">
        <v>588</v>
      </c>
      <c r="B6514" s="12" t="s">
        <v>568</v>
      </c>
      <c r="C6514" s="12" t="s">
        <v>562</v>
      </c>
      <c r="D6514" s="13">
        <v>11211</v>
      </c>
      <c r="E6514" s="13">
        <v>11192.323732000001</v>
      </c>
      <c r="F6514" s="13">
        <v>12690.352715999999</v>
      </c>
      <c r="G6514" s="13">
        <v>12589.643394999999</v>
      </c>
      <c r="H6514" s="13"/>
      <c r="I6514" s="13"/>
      <c r="J6514" s="13"/>
      <c r="K6514" s="13"/>
      <c r="L6514" s="13"/>
      <c r="M6514" s="13"/>
      <c r="N6514" s="13"/>
      <c r="O6514" s="13"/>
      <c r="P6514" s="13"/>
      <c r="Q6514" s="13"/>
      <c r="R6514" s="13"/>
      <c r="S6514" s="13"/>
    </row>
    <row r="6515" spans="1:19" x14ac:dyDescent="0.2">
      <c r="A6515" s="12" t="s">
        <v>588</v>
      </c>
      <c r="B6515" s="12" t="s">
        <v>568</v>
      </c>
      <c r="C6515" s="12" t="s">
        <v>563</v>
      </c>
      <c r="D6515" s="13">
        <v>96765</v>
      </c>
      <c r="E6515" s="13">
        <v>104394.269443</v>
      </c>
      <c r="F6515" s="13">
        <v>108473.1057</v>
      </c>
      <c r="G6515" s="13">
        <v>110780.414923</v>
      </c>
      <c r="H6515" s="13"/>
      <c r="I6515" s="13"/>
      <c r="J6515" s="13"/>
      <c r="K6515" s="13"/>
      <c r="L6515" s="13"/>
      <c r="M6515" s="13"/>
      <c r="N6515" s="13"/>
      <c r="O6515" s="13"/>
      <c r="P6515" s="13"/>
      <c r="Q6515" s="13"/>
      <c r="R6515" s="13"/>
      <c r="S6515" s="13"/>
    </row>
    <row r="6516" spans="1:19" x14ac:dyDescent="0.2">
      <c r="A6516" s="12" t="s">
        <v>588</v>
      </c>
      <c r="B6516" s="12" t="s">
        <v>568</v>
      </c>
      <c r="C6516" s="12" t="s">
        <v>564</v>
      </c>
      <c r="D6516" s="13">
        <v>9198</v>
      </c>
      <c r="E6516" s="13">
        <v>9036.6707420000002</v>
      </c>
      <c r="F6516" s="13">
        <v>8956.7755539999998</v>
      </c>
      <c r="G6516" s="13">
        <v>8834.3997980000004</v>
      </c>
      <c r="H6516" s="13"/>
      <c r="I6516" s="13"/>
      <c r="J6516" s="13"/>
      <c r="K6516" s="13"/>
      <c r="L6516" s="13"/>
      <c r="M6516" s="13"/>
      <c r="N6516" s="13"/>
      <c r="O6516" s="13"/>
      <c r="P6516" s="13"/>
      <c r="Q6516" s="13"/>
      <c r="R6516" s="13"/>
      <c r="S6516" s="13"/>
    </row>
    <row r="6517" spans="1:19" x14ac:dyDescent="0.2">
      <c r="A6517" s="12" t="s">
        <v>588</v>
      </c>
      <c r="B6517" s="12" t="s">
        <v>568</v>
      </c>
      <c r="C6517" s="12" t="s">
        <v>565</v>
      </c>
      <c r="D6517" s="13">
        <v>3223</v>
      </c>
      <c r="E6517" s="13">
        <v>3301.2842930000002</v>
      </c>
      <c r="F6517" s="13">
        <v>3166.1658029999999</v>
      </c>
      <c r="G6517" s="13">
        <v>3052.9420030000001</v>
      </c>
      <c r="H6517" s="13"/>
      <c r="I6517" s="13"/>
      <c r="J6517" s="13"/>
      <c r="K6517" s="13"/>
      <c r="L6517" s="13"/>
      <c r="M6517" s="13"/>
      <c r="N6517" s="13"/>
      <c r="O6517" s="13"/>
      <c r="P6517" s="13"/>
      <c r="Q6517" s="13"/>
      <c r="R6517" s="13"/>
      <c r="S6517" s="13"/>
    </row>
    <row r="6518" spans="1:19" x14ac:dyDescent="0.2">
      <c r="A6518" s="12" t="s">
        <v>588</v>
      </c>
      <c r="B6518" s="12" t="s">
        <v>568</v>
      </c>
      <c r="C6518" s="12" t="s">
        <v>566</v>
      </c>
      <c r="D6518" s="13">
        <v>34637</v>
      </c>
      <c r="E6518" s="13">
        <v>35962.578969000002</v>
      </c>
      <c r="F6518" s="13">
        <v>35896.09246</v>
      </c>
      <c r="G6518" s="13">
        <v>37023.280422999997</v>
      </c>
      <c r="H6518" s="13"/>
      <c r="I6518" s="13"/>
      <c r="J6518" s="13"/>
      <c r="K6518" s="13"/>
      <c r="L6518" s="13"/>
      <c r="M6518" s="13"/>
      <c r="N6518" s="13"/>
      <c r="O6518" s="13"/>
      <c r="P6518" s="13"/>
      <c r="Q6518" s="13"/>
      <c r="R6518" s="13"/>
      <c r="S6518" s="13"/>
    </row>
    <row r="6519" spans="1:19" x14ac:dyDescent="0.2">
      <c r="A6519" s="12" t="s">
        <v>588</v>
      </c>
      <c r="B6519" s="12" t="s">
        <v>569</v>
      </c>
      <c r="C6519" s="12" t="s">
        <v>554</v>
      </c>
      <c r="D6519" s="13">
        <v>139600</v>
      </c>
      <c r="E6519" s="13">
        <v>145934.85096899999</v>
      </c>
      <c r="F6519" s="13">
        <v>146655.710299</v>
      </c>
      <c r="G6519" s="13">
        <v>147061.28199799999</v>
      </c>
      <c r="H6519" s="13"/>
      <c r="I6519" s="13"/>
      <c r="J6519" s="13"/>
      <c r="K6519" s="13"/>
      <c r="L6519" s="13"/>
      <c r="M6519" s="13"/>
      <c r="N6519" s="13"/>
      <c r="O6519" s="13"/>
      <c r="P6519" s="13"/>
      <c r="Q6519" s="13"/>
      <c r="R6519" s="13"/>
      <c r="S6519" s="13"/>
    </row>
    <row r="6520" spans="1:19" x14ac:dyDescent="0.2">
      <c r="A6520" s="12" t="s">
        <v>588</v>
      </c>
      <c r="B6520" s="12" t="s">
        <v>569</v>
      </c>
      <c r="C6520" s="12" t="s">
        <v>555</v>
      </c>
      <c r="D6520" s="13">
        <v>40455</v>
      </c>
      <c r="E6520" s="13">
        <v>42866.50907</v>
      </c>
      <c r="F6520" s="13">
        <v>42969.454170999998</v>
      </c>
      <c r="G6520" s="13">
        <v>41328.717702000002</v>
      </c>
      <c r="H6520" s="13"/>
      <c r="I6520" s="13"/>
      <c r="J6520" s="13"/>
      <c r="K6520" s="13"/>
      <c r="L6520" s="13"/>
      <c r="M6520" s="13"/>
      <c r="N6520" s="13"/>
      <c r="O6520" s="13"/>
      <c r="P6520" s="13"/>
      <c r="Q6520" s="13"/>
      <c r="R6520" s="13"/>
      <c r="S6520" s="13"/>
    </row>
    <row r="6521" spans="1:19" x14ac:dyDescent="0.2">
      <c r="A6521" s="12" t="s">
        <v>588</v>
      </c>
      <c r="B6521" s="12" t="s">
        <v>569</v>
      </c>
      <c r="C6521" s="12" t="s">
        <v>556</v>
      </c>
      <c r="D6521" s="13">
        <v>-42673</v>
      </c>
      <c r="E6521" s="13">
        <v>-43997.845039</v>
      </c>
      <c r="F6521" s="13">
        <v>-44030.588838000003</v>
      </c>
      <c r="G6521" s="13">
        <v>-43162.872242999998</v>
      </c>
      <c r="H6521" s="13"/>
      <c r="I6521" s="13"/>
      <c r="J6521" s="13"/>
      <c r="K6521" s="13"/>
      <c r="L6521" s="13"/>
      <c r="M6521" s="13"/>
      <c r="N6521" s="13"/>
      <c r="O6521" s="13"/>
      <c r="P6521" s="13"/>
      <c r="Q6521" s="13"/>
      <c r="R6521" s="13"/>
      <c r="S6521" s="13"/>
    </row>
    <row r="6522" spans="1:19" x14ac:dyDescent="0.2">
      <c r="A6522" s="12" t="s">
        <v>588</v>
      </c>
      <c r="B6522" s="12" t="s">
        <v>569</v>
      </c>
      <c r="C6522" s="12" t="s">
        <v>557</v>
      </c>
      <c r="D6522" s="13">
        <v>137997</v>
      </c>
      <c r="E6522" s="13">
        <v>145852.21535300001</v>
      </c>
      <c r="F6522" s="13">
        <v>143914.361018</v>
      </c>
      <c r="G6522" s="13">
        <v>144146.09843099999</v>
      </c>
      <c r="H6522" s="13"/>
      <c r="I6522" s="13"/>
      <c r="J6522" s="13"/>
      <c r="K6522" s="13"/>
      <c r="L6522" s="13"/>
      <c r="M6522" s="13"/>
      <c r="N6522" s="13"/>
      <c r="O6522" s="13"/>
      <c r="P6522" s="13"/>
      <c r="Q6522" s="13"/>
      <c r="R6522" s="13"/>
      <c r="S6522" s="13"/>
    </row>
    <row r="6523" spans="1:19" x14ac:dyDescent="0.2">
      <c r="A6523" s="12" t="s">
        <v>588</v>
      </c>
      <c r="B6523" s="12" t="s">
        <v>569</v>
      </c>
      <c r="C6523" s="12" t="s">
        <v>558</v>
      </c>
      <c r="D6523" s="13">
        <v>-55074</v>
      </c>
      <c r="E6523" s="13">
        <v>-57462.883941999993</v>
      </c>
      <c r="F6523" s="13">
        <v>-56738.193706999999</v>
      </c>
      <c r="G6523" s="13">
        <v>-58312.510102</v>
      </c>
      <c r="H6523" s="13"/>
      <c r="I6523" s="13"/>
      <c r="J6523" s="13"/>
      <c r="K6523" s="13"/>
      <c r="L6523" s="13"/>
      <c r="M6523" s="13"/>
      <c r="N6523" s="13"/>
      <c r="O6523" s="13"/>
      <c r="P6523" s="13"/>
      <c r="Q6523" s="13"/>
      <c r="R6523" s="13"/>
      <c r="S6523" s="13"/>
    </row>
    <row r="6524" spans="1:19" x14ac:dyDescent="0.2">
      <c r="A6524" s="12" t="s">
        <v>588</v>
      </c>
      <c r="B6524" s="12" t="s">
        <v>569</v>
      </c>
      <c r="C6524" s="12" t="s">
        <v>560</v>
      </c>
      <c r="D6524" s="13">
        <v>0</v>
      </c>
      <c r="E6524" s="13">
        <v>0</v>
      </c>
      <c r="F6524" s="13">
        <v>0</v>
      </c>
      <c r="G6524" s="13">
        <v>0</v>
      </c>
      <c r="H6524" s="13"/>
      <c r="I6524" s="13"/>
      <c r="J6524" s="13"/>
      <c r="K6524" s="13"/>
      <c r="L6524" s="13"/>
      <c r="M6524" s="13"/>
      <c r="N6524" s="13"/>
      <c r="O6524" s="13"/>
      <c r="P6524" s="13"/>
      <c r="Q6524" s="13"/>
      <c r="R6524" s="13"/>
      <c r="S6524" s="13"/>
    </row>
    <row r="6525" spans="1:19" x14ac:dyDescent="0.2">
      <c r="A6525" s="12" t="s">
        <v>588</v>
      </c>
      <c r="B6525" s="12" t="s">
        <v>569</v>
      </c>
      <c r="C6525" s="12" t="s">
        <v>561</v>
      </c>
      <c r="D6525" s="13">
        <v>67469</v>
      </c>
      <c r="E6525" s="13">
        <v>71892.322847000003</v>
      </c>
      <c r="F6525" s="13">
        <v>70572.381640000007</v>
      </c>
      <c r="G6525" s="13">
        <v>70328.639848000006</v>
      </c>
      <c r="H6525" s="13"/>
      <c r="I6525" s="13"/>
      <c r="J6525" s="13"/>
      <c r="K6525" s="13"/>
      <c r="L6525" s="13"/>
      <c r="M6525" s="13"/>
      <c r="N6525" s="13"/>
      <c r="O6525" s="13"/>
      <c r="P6525" s="13"/>
      <c r="Q6525" s="13"/>
      <c r="R6525" s="13"/>
      <c r="S6525" s="13"/>
    </row>
    <row r="6526" spans="1:19" x14ac:dyDescent="0.2">
      <c r="A6526" s="12" t="s">
        <v>588</v>
      </c>
      <c r="B6526" s="12" t="s">
        <v>569</v>
      </c>
      <c r="C6526" s="12" t="s">
        <v>562</v>
      </c>
      <c r="D6526" s="13">
        <v>25600</v>
      </c>
      <c r="E6526" s="13">
        <v>27965.218341</v>
      </c>
      <c r="F6526" s="13">
        <v>27608.483194</v>
      </c>
      <c r="G6526" s="13">
        <v>28137.39501</v>
      </c>
      <c r="H6526" s="13"/>
      <c r="I6526" s="13"/>
      <c r="J6526" s="13"/>
      <c r="K6526" s="13"/>
      <c r="L6526" s="13"/>
      <c r="M6526" s="13"/>
      <c r="N6526" s="13"/>
      <c r="O6526" s="13"/>
      <c r="P6526" s="13"/>
      <c r="Q6526" s="13"/>
      <c r="R6526" s="13"/>
      <c r="S6526" s="13"/>
    </row>
    <row r="6527" spans="1:19" x14ac:dyDescent="0.2">
      <c r="A6527" s="12" t="s">
        <v>588</v>
      </c>
      <c r="B6527" s="12" t="s">
        <v>569</v>
      </c>
      <c r="C6527" s="12" t="s">
        <v>563</v>
      </c>
      <c r="D6527" s="13">
        <v>4862</v>
      </c>
      <c r="E6527" s="13">
        <v>5298.0730829999993</v>
      </c>
      <c r="F6527" s="13">
        <v>5321.222675</v>
      </c>
      <c r="G6527" s="13">
        <v>5523.5859170000003</v>
      </c>
      <c r="H6527" s="13"/>
      <c r="I6527" s="13"/>
      <c r="J6527" s="13"/>
      <c r="K6527" s="13"/>
      <c r="L6527" s="13"/>
      <c r="M6527" s="13"/>
      <c r="N6527" s="13"/>
      <c r="O6527" s="13"/>
      <c r="P6527" s="13"/>
      <c r="Q6527" s="13"/>
      <c r="R6527" s="13"/>
      <c r="S6527" s="13"/>
    </row>
    <row r="6528" spans="1:19" x14ac:dyDescent="0.2">
      <c r="A6528" s="12" t="s">
        <v>588</v>
      </c>
      <c r="B6528" s="12" t="s">
        <v>569</v>
      </c>
      <c r="C6528" s="12" t="s">
        <v>564</v>
      </c>
      <c r="D6528" s="13">
        <v>20222</v>
      </c>
      <c r="E6528" s="13">
        <v>21044.215622</v>
      </c>
      <c r="F6528" s="13">
        <v>20495.792857</v>
      </c>
      <c r="G6528" s="13">
        <v>19622.987236000001</v>
      </c>
      <c r="H6528" s="13"/>
      <c r="I6528" s="13"/>
      <c r="J6528" s="13"/>
      <c r="K6528" s="13"/>
      <c r="L6528" s="13"/>
      <c r="M6528" s="13"/>
      <c r="N6528" s="13"/>
      <c r="O6528" s="13"/>
      <c r="P6528" s="13"/>
      <c r="Q6528" s="13"/>
      <c r="R6528" s="13"/>
      <c r="S6528" s="13"/>
    </row>
    <row r="6529" spans="1:19" x14ac:dyDescent="0.2">
      <c r="A6529" s="12" t="s">
        <v>588</v>
      </c>
      <c r="B6529" s="12" t="s">
        <v>569</v>
      </c>
      <c r="C6529" s="12" t="s">
        <v>565</v>
      </c>
      <c r="D6529" s="13">
        <v>8757</v>
      </c>
      <c r="E6529" s="13">
        <v>9245.4880919999996</v>
      </c>
      <c r="F6529" s="13">
        <v>9171.1572980000001</v>
      </c>
      <c r="G6529" s="13">
        <v>9026.1567410000007</v>
      </c>
      <c r="H6529" s="13"/>
      <c r="I6529" s="13"/>
      <c r="J6529" s="13"/>
      <c r="K6529" s="13"/>
      <c r="L6529" s="13"/>
      <c r="M6529" s="13"/>
      <c r="N6529" s="13"/>
      <c r="O6529" s="13"/>
      <c r="P6529" s="13"/>
      <c r="Q6529" s="13"/>
      <c r="R6529" s="13"/>
      <c r="S6529" s="13"/>
    </row>
    <row r="6530" spans="1:19" x14ac:dyDescent="0.2">
      <c r="A6530" s="12" t="s">
        <v>588</v>
      </c>
      <c r="B6530" s="12" t="s">
        <v>569</v>
      </c>
      <c r="C6530" s="12" t="s">
        <v>566</v>
      </c>
      <c r="D6530" s="13">
        <v>8028</v>
      </c>
      <c r="E6530" s="13">
        <v>8339.3277560000006</v>
      </c>
      <c r="F6530" s="13">
        <v>7975.7255990000003</v>
      </c>
      <c r="G6530" s="13">
        <v>8018.5149170000004</v>
      </c>
      <c r="H6530" s="13"/>
      <c r="I6530" s="13"/>
      <c r="J6530" s="13"/>
      <c r="K6530" s="13"/>
      <c r="L6530" s="13"/>
      <c r="M6530" s="13"/>
      <c r="N6530" s="13"/>
      <c r="O6530" s="13"/>
      <c r="P6530" s="13"/>
      <c r="Q6530" s="13"/>
      <c r="R6530" s="13"/>
      <c r="S6530" s="13"/>
    </row>
    <row r="6531" spans="1:19" x14ac:dyDescent="0.2">
      <c r="A6531" s="12" t="s">
        <v>588</v>
      </c>
      <c r="B6531" s="12" t="s">
        <v>570</v>
      </c>
      <c r="C6531" s="12" t="s">
        <v>554</v>
      </c>
      <c r="D6531" s="13">
        <v>29221</v>
      </c>
      <c r="E6531" s="13">
        <v>30722.003092999999</v>
      </c>
      <c r="F6531" s="13">
        <v>29291.499383999999</v>
      </c>
      <c r="G6531" s="13">
        <v>29919.241988000002</v>
      </c>
      <c r="H6531" s="13"/>
      <c r="I6531" s="13"/>
      <c r="J6531" s="13"/>
      <c r="K6531" s="13"/>
      <c r="L6531" s="13"/>
      <c r="M6531" s="13"/>
      <c r="N6531" s="13"/>
      <c r="O6531" s="13"/>
      <c r="P6531" s="13"/>
      <c r="Q6531" s="13"/>
      <c r="R6531" s="13"/>
      <c r="S6531" s="13"/>
    </row>
    <row r="6532" spans="1:19" x14ac:dyDescent="0.2">
      <c r="A6532" s="12" t="s">
        <v>588</v>
      </c>
      <c r="B6532" s="12" t="s">
        <v>570</v>
      </c>
      <c r="C6532" s="12" t="s">
        <v>555</v>
      </c>
      <c r="D6532" s="13">
        <v>0</v>
      </c>
      <c r="E6532" s="13">
        <v>0</v>
      </c>
      <c r="F6532" s="13">
        <v>0</v>
      </c>
      <c r="G6532" s="13">
        <v>0</v>
      </c>
      <c r="H6532" s="13"/>
      <c r="I6532" s="13"/>
      <c r="J6532" s="13"/>
      <c r="K6532" s="13"/>
      <c r="L6532" s="13"/>
      <c r="M6532" s="13"/>
      <c r="N6532" s="13"/>
      <c r="O6532" s="13"/>
      <c r="P6532" s="13"/>
      <c r="Q6532" s="13"/>
      <c r="R6532" s="13"/>
      <c r="S6532" s="13"/>
    </row>
    <row r="6533" spans="1:19" x14ac:dyDescent="0.2">
      <c r="A6533" s="12" t="s">
        <v>588</v>
      </c>
      <c r="B6533" s="12" t="s">
        <v>570</v>
      </c>
      <c r="C6533" s="12" t="s">
        <v>556</v>
      </c>
      <c r="D6533" s="13">
        <v>0</v>
      </c>
      <c r="E6533" s="13">
        <v>0</v>
      </c>
      <c r="F6533" s="13">
        <v>0</v>
      </c>
      <c r="G6533" s="13">
        <v>0</v>
      </c>
      <c r="H6533" s="13"/>
      <c r="I6533" s="13"/>
      <c r="J6533" s="13"/>
      <c r="K6533" s="13"/>
      <c r="L6533" s="13"/>
      <c r="M6533" s="13"/>
      <c r="N6533" s="13"/>
      <c r="O6533" s="13"/>
      <c r="P6533" s="13"/>
      <c r="Q6533" s="13"/>
      <c r="R6533" s="13"/>
      <c r="S6533" s="13"/>
    </row>
    <row r="6534" spans="1:19" x14ac:dyDescent="0.2">
      <c r="A6534" s="12" t="s">
        <v>588</v>
      </c>
      <c r="B6534" s="12" t="s">
        <v>570</v>
      </c>
      <c r="C6534" s="12" t="s">
        <v>557</v>
      </c>
      <c r="D6534" s="13">
        <v>29221</v>
      </c>
      <c r="E6534" s="13">
        <v>30722.003092999999</v>
      </c>
      <c r="F6534" s="13">
        <v>29291.499383999999</v>
      </c>
      <c r="G6534" s="13">
        <v>29919.241988000002</v>
      </c>
      <c r="H6534" s="13"/>
      <c r="I6534" s="13"/>
      <c r="J6534" s="13"/>
      <c r="K6534" s="13"/>
      <c r="L6534" s="13"/>
      <c r="M6534" s="13"/>
      <c r="N6534" s="13"/>
      <c r="O6534" s="13"/>
      <c r="P6534" s="13"/>
      <c r="Q6534" s="13"/>
      <c r="R6534" s="13"/>
      <c r="S6534" s="13"/>
    </row>
    <row r="6535" spans="1:19" x14ac:dyDescent="0.2">
      <c r="A6535" s="12" t="s">
        <v>588</v>
      </c>
      <c r="B6535" s="12" t="s">
        <v>570</v>
      </c>
      <c r="C6535" s="12" t="s">
        <v>558</v>
      </c>
      <c r="D6535" s="13">
        <v>-29221</v>
      </c>
      <c r="E6535" s="13">
        <v>-30722.003092999999</v>
      </c>
      <c r="F6535" s="13">
        <v>-29291.499397</v>
      </c>
      <c r="G6535" s="13">
        <v>-29919.241996000001</v>
      </c>
      <c r="H6535" s="13"/>
      <c r="I6535" s="13"/>
      <c r="J6535" s="13"/>
      <c r="K6535" s="13"/>
      <c r="L6535" s="13"/>
      <c r="M6535" s="13"/>
      <c r="N6535" s="13"/>
      <c r="O6535" s="13"/>
      <c r="P6535" s="13"/>
      <c r="Q6535" s="13"/>
      <c r="R6535" s="13"/>
      <c r="S6535" s="13"/>
    </row>
    <row r="6536" spans="1:19" x14ac:dyDescent="0.2">
      <c r="A6536" s="12" t="s">
        <v>588</v>
      </c>
      <c r="B6536" s="12" t="s">
        <v>570</v>
      </c>
      <c r="C6536" s="12" t="s">
        <v>560</v>
      </c>
      <c r="D6536" s="13">
        <v>0</v>
      </c>
      <c r="E6536" s="13">
        <v>0</v>
      </c>
      <c r="F6536" s="13">
        <v>0</v>
      </c>
      <c r="G6536" s="13">
        <v>0</v>
      </c>
      <c r="H6536" s="13"/>
      <c r="I6536" s="13"/>
      <c r="J6536" s="13"/>
      <c r="K6536" s="13"/>
      <c r="L6536" s="13"/>
      <c r="M6536" s="13"/>
      <c r="N6536" s="13"/>
      <c r="O6536" s="13"/>
      <c r="P6536" s="13"/>
      <c r="Q6536" s="13"/>
      <c r="R6536" s="13"/>
      <c r="S6536" s="13"/>
    </row>
    <row r="6537" spans="1:19" x14ac:dyDescent="0.2">
      <c r="A6537" s="12" t="s">
        <v>588</v>
      </c>
      <c r="B6537" s="12" t="s">
        <v>570</v>
      </c>
      <c r="C6537" s="12" t="s">
        <v>561</v>
      </c>
      <c r="D6537" s="13">
        <v>0</v>
      </c>
      <c r="E6537" s="13">
        <v>0</v>
      </c>
      <c r="F6537" s="13">
        <v>0</v>
      </c>
      <c r="G6537" s="13">
        <v>0</v>
      </c>
      <c r="H6537" s="13"/>
      <c r="I6537" s="13"/>
      <c r="J6537" s="13"/>
      <c r="K6537" s="13"/>
      <c r="L6537" s="13"/>
      <c r="M6537" s="13"/>
      <c r="N6537" s="13"/>
      <c r="O6537" s="13"/>
      <c r="P6537" s="13"/>
      <c r="Q6537" s="13"/>
      <c r="R6537" s="13"/>
      <c r="S6537" s="13"/>
    </row>
    <row r="6538" spans="1:19" x14ac:dyDescent="0.2">
      <c r="A6538" s="12" t="s">
        <v>588</v>
      </c>
      <c r="B6538" s="12" t="s">
        <v>570</v>
      </c>
      <c r="C6538" s="12" t="s">
        <v>562</v>
      </c>
      <c r="D6538" s="13">
        <v>0</v>
      </c>
      <c r="E6538" s="13">
        <v>0</v>
      </c>
      <c r="F6538" s="13">
        <v>0</v>
      </c>
      <c r="G6538" s="13">
        <v>0</v>
      </c>
      <c r="H6538" s="13"/>
      <c r="I6538" s="13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</row>
    <row r="6539" spans="1:19" x14ac:dyDescent="0.2">
      <c r="A6539" s="12" t="s">
        <v>588</v>
      </c>
      <c r="B6539" s="12" t="s">
        <v>570</v>
      </c>
      <c r="C6539" s="12" t="s">
        <v>563</v>
      </c>
      <c r="D6539" s="13">
        <v>0</v>
      </c>
      <c r="E6539" s="13">
        <v>0</v>
      </c>
      <c r="F6539" s="13">
        <v>0</v>
      </c>
      <c r="G6539" s="13">
        <v>0</v>
      </c>
      <c r="H6539" s="13"/>
      <c r="I6539" s="13"/>
      <c r="J6539" s="13"/>
      <c r="K6539" s="13"/>
      <c r="L6539" s="13"/>
      <c r="M6539" s="13"/>
      <c r="N6539" s="13"/>
      <c r="O6539" s="13"/>
      <c r="P6539" s="13"/>
      <c r="Q6539" s="13"/>
      <c r="R6539" s="13"/>
      <c r="S6539" s="13"/>
    </row>
    <row r="6540" spans="1:19" x14ac:dyDescent="0.2">
      <c r="A6540" s="12" t="s">
        <v>588</v>
      </c>
      <c r="B6540" s="12" t="s">
        <v>570</v>
      </c>
      <c r="C6540" s="12" t="s">
        <v>564</v>
      </c>
      <c r="D6540" s="13">
        <v>0</v>
      </c>
      <c r="E6540" s="13">
        <v>0</v>
      </c>
      <c r="F6540" s="13">
        <v>0</v>
      </c>
      <c r="G6540" s="13">
        <v>0</v>
      </c>
      <c r="H6540" s="13"/>
      <c r="I6540" s="13"/>
      <c r="J6540" s="13"/>
      <c r="K6540" s="13"/>
      <c r="L6540" s="13"/>
      <c r="M6540" s="13"/>
      <c r="N6540" s="13"/>
      <c r="O6540" s="13"/>
      <c r="P6540" s="13"/>
      <c r="Q6540" s="13"/>
      <c r="R6540" s="13"/>
      <c r="S6540" s="13"/>
    </row>
    <row r="6541" spans="1:19" x14ac:dyDescent="0.2">
      <c r="A6541" s="12" t="s">
        <v>588</v>
      </c>
      <c r="B6541" s="12" t="s">
        <v>570</v>
      </c>
      <c r="C6541" s="12" t="s">
        <v>565</v>
      </c>
      <c r="D6541" s="13">
        <v>0</v>
      </c>
      <c r="E6541" s="13">
        <v>0</v>
      </c>
      <c r="F6541" s="13">
        <v>0</v>
      </c>
      <c r="G6541" s="13">
        <v>0</v>
      </c>
      <c r="H6541" s="13"/>
      <c r="I6541" s="13"/>
      <c r="J6541" s="13"/>
      <c r="K6541" s="13"/>
      <c r="L6541" s="13"/>
      <c r="M6541" s="13"/>
      <c r="N6541" s="13"/>
      <c r="O6541" s="13"/>
      <c r="P6541" s="13"/>
      <c r="Q6541" s="13"/>
      <c r="R6541" s="13"/>
      <c r="S6541" s="13"/>
    </row>
    <row r="6542" spans="1:19" x14ac:dyDescent="0.2">
      <c r="A6542" s="12" t="s">
        <v>588</v>
      </c>
      <c r="B6542" s="12" t="s">
        <v>570</v>
      </c>
      <c r="C6542" s="12" t="s">
        <v>566</v>
      </c>
      <c r="D6542" s="13">
        <v>0</v>
      </c>
      <c r="E6542" s="13">
        <v>0</v>
      </c>
      <c r="F6542" s="13">
        <v>0</v>
      </c>
      <c r="G6542" s="13">
        <v>0</v>
      </c>
      <c r="H6542" s="13"/>
      <c r="I6542" s="13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</row>
    <row r="6543" spans="1:19" x14ac:dyDescent="0.2">
      <c r="A6543" s="12" t="s">
        <v>588</v>
      </c>
      <c r="B6543" s="12" t="s">
        <v>571</v>
      </c>
      <c r="C6543" s="12" t="s">
        <v>554</v>
      </c>
      <c r="D6543" s="13">
        <v>82328</v>
      </c>
      <c r="E6543" s="13">
        <v>85524.116513999994</v>
      </c>
      <c r="F6543" s="13">
        <v>88884.670268999995</v>
      </c>
      <c r="G6543" s="13">
        <v>91663.718640999999</v>
      </c>
      <c r="H6543" s="13"/>
      <c r="I6543" s="13"/>
      <c r="J6543" s="13"/>
      <c r="K6543" s="13"/>
      <c r="L6543" s="13"/>
      <c r="M6543" s="13"/>
      <c r="N6543" s="13"/>
      <c r="O6543" s="13"/>
      <c r="P6543" s="13"/>
      <c r="Q6543" s="13"/>
      <c r="R6543" s="13"/>
      <c r="S6543" s="13"/>
    </row>
    <row r="6544" spans="1:19" x14ac:dyDescent="0.2">
      <c r="A6544" s="12" t="s">
        <v>588</v>
      </c>
      <c r="B6544" s="12" t="s">
        <v>571</v>
      </c>
      <c r="C6544" s="12" t="s">
        <v>555</v>
      </c>
      <c r="D6544" s="13">
        <v>1465</v>
      </c>
      <c r="E6544" s="13">
        <v>1562.6478629999999</v>
      </c>
      <c r="F6544" s="13">
        <v>1537.3385229999999</v>
      </c>
      <c r="G6544" s="13">
        <v>1567.9254169999999</v>
      </c>
      <c r="H6544" s="13"/>
      <c r="I6544" s="13"/>
      <c r="J6544" s="13"/>
      <c r="K6544" s="13"/>
      <c r="L6544" s="13"/>
      <c r="M6544" s="13"/>
      <c r="N6544" s="13"/>
      <c r="O6544" s="13"/>
      <c r="P6544" s="13"/>
      <c r="Q6544" s="13"/>
      <c r="R6544" s="13"/>
      <c r="S6544" s="13"/>
    </row>
    <row r="6545" spans="1:19" x14ac:dyDescent="0.2">
      <c r="A6545" s="12" t="s">
        <v>588</v>
      </c>
      <c r="B6545" s="12" t="s">
        <v>571</v>
      </c>
      <c r="C6545" s="12" t="s">
        <v>556</v>
      </c>
      <c r="D6545" s="13">
        <v>-1038</v>
      </c>
      <c r="E6545" s="13">
        <v>-1145.294924</v>
      </c>
      <c r="F6545" s="13">
        <v>-1137.4819990000001</v>
      </c>
      <c r="G6545" s="13">
        <v>-1129.5625829999999</v>
      </c>
      <c r="H6545" s="13"/>
      <c r="I6545" s="13"/>
      <c r="J6545" s="13"/>
      <c r="K6545" s="13"/>
      <c r="L6545" s="13"/>
      <c r="M6545" s="13"/>
      <c r="N6545" s="13"/>
      <c r="O6545" s="13"/>
      <c r="P6545" s="13"/>
      <c r="Q6545" s="13"/>
      <c r="R6545" s="13"/>
      <c r="S6545" s="13"/>
    </row>
    <row r="6546" spans="1:19" x14ac:dyDescent="0.2">
      <c r="A6546" s="12" t="s">
        <v>588</v>
      </c>
      <c r="B6546" s="12" t="s">
        <v>571</v>
      </c>
      <c r="C6546" s="12" t="s">
        <v>557</v>
      </c>
      <c r="D6546" s="13">
        <v>82746</v>
      </c>
      <c r="E6546" s="13">
        <v>86014.448421000008</v>
      </c>
      <c r="F6546" s="13">
        <v>89268.440354000006</v>
      </c>
      <c r="G6546" s="13">
        <v>92075.289764000001</v>
      </c>
      <c r="H6546" s="13"/>
      <c r="I6546" s="13"/>
      <c r="J6546" s="13"/>
      <c r="K6546" s="13"/>
      <c r="L6546" s="13"/>
      <c r="M6546" s="13"/>
      <c r="N6546" s="13"/>
      <c r="O6546" s="13"/>
      <c r="P6546" s="13"/>
      <c r="Q6546" s="13"/>
      <c r="R6546" s="13"/>
      <c r="S6546" s="13"/>
    </row>
    <row r="6547" spans="1:19" x14ac:dyDescent="0.2">
      <c r="A6547" s="12" t="s">
        <v>588</v>
      </c>
      <c r="B6547" s="12" t="s">
        <v>571</v>
      </c>
      <c r="C6547" s="12" t="s">
        <v>558</v>
      </c>
      <c r="D6547" s="13">
        <v>-38214</v>
      </c>
      <c r="E6547" s="13">
        <v>-40586.851152000003</v>
      </c>
      <c r="F6547" s="13">
        <v>-43335.905636000003</v>
      </c>
      <c r="G6547" s="13">
        <v>-44997.520950999999</v>
      </c>
      <c r="H6547" s="13"/>
      <c r="I6547" s="13"/>
      <c r="J6547" s="13"/>
      <c r="K6547" s="13"/>
      <c r="L6547" s="13"/>
      <c r="M6547" s="13"/>
      <c r="N6547" s="13"/>
      <c r="O6547" s="13"/>
      <c r="P6547" s="13"/>
      <c r="Q6547" s="13"/>
      <c r="R6547" s="13"/>
      <c r="S6547" s="13"/>
    </row>
    <row r="6548" spans="1:19" x14ac:dyDescent="0.2">
      <c r="A6548" s="12" t="s">
        <v>588</v>
      </c>
      <c r="B6548" s="12" t="s">
        <v>571</v>
      </c>
      <c r="C6548" s="12" t="s">
        <v>560</v>
      </c>
      <c r="D6548" s="13">
        <v>0</v>
      </c>
      <c r="E6548" s="13">
        <v>0</v>
      </c>
      <c r="F6548" s="13">
        <v>0</v>
      </c>
      <c r="G6548" s="13">
        <v>0</v>
      </c>
      <c r="H6548" s="13"/>
      <c r="I6548" s="13"/>
      <c r="J6548" s="13"/>
      <c r="K6548" s="13"/>
      <c r="L6548" s="13"/>
      <c r="M6548" s="13"/>
      <c r="N6548" s="13"/>
      <c r="O6548" s="13"/>
      <c r="P6548" s="13"/>
      <c r="Q6548" s="13"/>
      <c r="R6548" s="13"/>
      <c r="S6548" s="13"/>
    </row>
    <row r="6549" spans="1:19" x14ac:dyDescent="0.2">
      <c r="A6549" s="12" t="s">
        <v>588</v>
      </c>
      <c r="B6549" s="12" t="s">
        <v>571</v>
      </c>
      <c r="C6549" s="12" t="s">
        <v>561</v>
      </c>
      <c r="D6549" s="13">
        <v>40138</v>
      </c>
      <c r="E6549" s="13">
        <v>40796.001268999993</v>
      </c>
      <c r="F6549" s="13">
        <v>41311.643643000003</v>
      </c>
      <c r="G6549" s="13">
        <v>42236.526188999997</v>
      </c>
      <c r="H6549" s="13"/>
      <c r="I6549" s="13"/>
      <c r="J6549" s="13"/>
      <c r="K6549" s="13"/>
      <c r="L6549" s="13"/>
      <c r="M6549" s="13"/>
      <c r="N6549" s="13"/>
      <c r="O6549" s="13"/>
      <c r="P6549" s="13"/>
      <c r="Q6549" s="13"/>
      <c r="R6549" s="13"/>
      <c r="S6549" s="13"/>
    </row>
    <row r="6550" spans="1:19" x14ac:dyDescent="0.2">
      <c r="A6550" s="12" t="s">
        <v>588</v>
      </c>
      <c r="B6550" s="12" t="s">
        <v>571</v>
      </c>
      <c r="C6550" s="12" t="s">
        <v>562</v>
      </c>
      <c r="D6550" s="13">
        <v>10307</v>
      </c>
      <c r="E6550" s="13">
        <v>10590.908421</v>
      </c>
      <c r="F6550" s="13">
        <v>10907.429169999999</v>
      </c>
      <c r="G6550" s="13">
        <v>11409.458929</v>
      </c>
      <c r="H6550" s="13"/>
      <c r="I6550" s="13"/>
      <c r="J6550" s="13"/>
      <c r="K6550" s="13"/>
      <c r="L6550" s="13"/>
      <c r="M6550" s="13"/>
      <c r="N6550" s="13"/>
      <c r="O6550" s="13"/>
      <c r="P6550" s="13"/>
      <c r="Q6550" s="13"/>
      <c r="R6550" s="13"/>
      <c r="S6550" s="13"/>
    </row>
    <row r="6551" spans="1:19" x14ac:dyDescent="0.2">
      <c r="A6551" s="12" t="s">
        <v>588</v>
      </c>
      <c r="B6551" s="12" t="s">
        <v>571</v>
      </c>
      <c r="C6551" s="12" t="s">
        <v>563</v>
      </c>
      <c r="D6551" s="13">
        <v>3727</v>
      </c>
      <c r="E6551" s="13">
        <v>3987.260612</v>
      </c>
      <c r="F6551" s="13">
        <v>4243.1578320000008</v>
      </c>
      <c r="G6551" s="13">
        <v>4733.0622630000007</v>
      </c>
      <c r="H6551" s="13"/>
      <c r="I6551" s="13"/>
      <c r="J6551" s="13"/>
      <c r="K6551" s="13"/>
      <c r="L6551" s="13"/>
      <c r="M6551" s="13"/>
      <c r="N6551" s="13"/>
      <c r="O6551" s="13"/>
      <c r="P6551" s="13"/>
      <c r="Q6551" s="13"/>
      <c r="R6551" s="13"/>
      <c r="S6551" s="13"/>
    </row>
    <row r="6552" spans="1:19" x14ac:dyDescent="0.2">
      <c r="A6552" s="12" t="s">
        <v>588</v>
      </c>
      <c r="B6552" s="12" t="s">
        <v>571</v>
      </c>
      <c r="C6552" s="12" t="s">
        <v>564</v>
      </c>
      <c r="D6552" s="13">
        <v>23868</v>
      </c>
      <c r="E6552" s="13">
        <v>23951.661392000002</v>
      </c>
      <c r="F6552" s="13">
        <v>23879.865007</v>
      </c>
      <c r="G6552" s="13">
        <v>23714.594489999999</v>
      </c>
      <c r="H6552" s="13"/>
      <c r="I6552" s="13"/>
      <c r="J6552" s="13"/>
      <c r="K6552" s="13"/>
      <c r="L6552" s="13"/>
      <c r="M6552" s="13"/>
      <c r="N6552" s="13"/>
      <c r="O6552" s="13"/>
      <c r="P6552" s="13"/>
      <c r="Q6552" s="13"/>
      <c r="R6552" s="13"/>
      <c r="S6552" s="13"/>
    </row>
    <row r="6553" spans="1:19" x14ac:dyDescent="0.2">
      <c r="A6553" s="15" t="s">
        <v>588</v>
      </c>
      <c r="B6553" s="15" t="s">
        <v>571</v>
      </c>
      <c r="C6553" s="15" t="s">
        <v>565</v>
      </c>
      <c r="D6553" s="13">
        <v>1466</v>
      </c>
      <c r="E6553" s="13">
        <v>1490.125006</v>
      </c>
      <c r="F6553" s="13">
        <v>1486.161826</v>
      </c>
      <c r="G6553" s="13">
        <v>1513.9721010000001</v>
      </c>
      <c r="H6553" s="13"/>
      <c r="I6553" s="13"/>
      <c r="J6553" s="13"/>
      <c r="K6553" s="13"/>
      <c r="L6553" s="13"/>
      <c r="M6553" s="13"/>
      <c r="N6553" s="13"/>
      <c r="O6553" s="13"/>
      <c r="P6553" s="13"/>
      <c r="Q6553" s="13"/>
      <c r="R6553" s="13"/>
      <c r="S6553" s="13"/>
    </row>
    <row r="6554" spans="1:19" x14ac:dyDescent="0.2">
      <c r="A6554" s="15" t="s">
        <v>588</v>
      </c>
      <c r="B6554" s="15" t="s">
        <v>571</v>
      </c>
      <c r="C6554" s="15" t="s">
        <v>566</v>
      </c>
      <c r="D6554" s="13">
        <v>770</v>
      </c>
      <c r="E6554" s="13">
        <v>776.04588700000011</v>
      </c>
      <c r="F6554" s="13">
        <v>795.02973099999997</v>
      </c>
      <c r="G6554" s="13">
        <v>865.4384</v>
      </c>
      <c r="H6554" s="13"/>
      <c r="I6554" s="13"/>
      <c r="J6554" s="13"/>
      <c r="K6554" s="13"/>
      <c r="L6554" s="13"/>
      <c r="M6554" s="13"/>
      <c r="N6554" s="13"/>
      <c r="O6554" s="13"/>
      <c r="P6554" s="13"/>
      <c r="Q6554" s="13"/>
      <c r="R6554" s="13"/>
      <c r="S6554" s="13"/>
    </row>
    <row r="6555" spans="1:19" x14ac:dyDescent="0.2">
      <c r="A6555" s="15" t="s">
        <v>588</v>
      </c>
      <c r="B6555" s="15" t="s">
        <v>572</v>
      </c>
      <c r="C6555" s="15" t="s">
        <v>554</v>
      </c>
      <c r="D6555" s="13">
        <v>0</v>
      </c>
      <c r="E6555" s="13">
        <v>0</v>
      </c>
      <c r="F6555" s="13">
        <v>0</v>
      </c>
      <c r="G6555" s="13">
        <v>0</v>
      </c>
      <c r="H6555" s="13"/>
      <c r="I6555" s="13"/>
      <c r="J6555" s="13"/>
      <c r="K6555" s="13"/>
      <c r="L6555" s="13"/>
      <c r="M6555" s="13"/>
      <c r="N6555" s="13"/>
      <c r="O6555" s="13"/>
      <c r="P6555" s="13"/>
      <c r="Q6555" s="13"/>
      <c r="R6555" s="13"/>
      <c r="S6555" s="13"/>
    </row>
    <row r="6556" spans="1:19" x14ac:dyDescent="0.2">
      <c r="A6556" s="15" t="s">
        <v>588</v>
      </c>
      <c r="B6556" s="15" t="s">
        <v>572</v>
      </c>
      <c r="C6556" s="15" t="s">
        <v>555</v>
      </c>
      <c r="D6556" s="13">
        <v>2661</v>
      </c>
      <c r="E6556" s="13">
        <v>2757.9234660000002</v>
      </c>
      <c r="F6556" s="13">
        <v>2887.3217530000002</v>
      </c>
      <c r="G6556" s="13">
        <v>2869.0621639999999</v>
      </c>
      <c r="H6556" s="13"/>
      <c r="I6556" s="13"/>
      <c r="J6556" s="13"/>
      <c r="K6556" s="13"/>
      <c r="L6556" s="13"/>
      <c r="M6556" s="13"/>
      <c r="N6556" s="13"/>
      <c r="O6556" s="13"/>
      <c r="P6556" s="13"/>
      <c r="Q6556" s="13"/>
      <c r="R6556" s="13"/>
      <c r="S6556" s="13"/>
    </row>
    <row r="6557" spans="1:19" x14ac:dyDescent="0.2">
      <c r="A6557" s="15" t="s">
        <v>588</v>
      </c>
      <c r="B6557" s="15" t="s">
        <v>572</v>
      </c>
      <c r="C6557" s="15" t="s">
        <v>556</v>
      </c>
      <c r="D6557" s="13">
        <v>-2726</v>
      </c>
      <c r="E6557" s="13">
        <v>-2808.5529689999998</v>
      </c>
      <c r="F6557" s="13">
        <v>-2966.2245699999999</v>
      </c>
      <c r="G6557" s="13">
        <v>-2950.699564</v>
      </c>
      <c r="H6557" s="13"/>
      <c r="I6557" s="13"/>
      <c r="J6557" s="13"/>
      <c r="K6557" s="13"/>
      <c r="L6557" s="13"/>
      <c r="M6557" s="13"/>
      <c r="N6557" s="13"/>
      <c r="O6557" s="13"/>
      <c r="P6557" s="13"/>
      <c r="Q6557" s="13"/>
      <c r="R6557" s="13"/>
      <c r="S6557" s="13"/>
    </row>
    <row r="6558" spans="1:19" x14ac:dyDescent="0.2">
      <c r="A6558" s="15" t="s">
        <v>588</v>
      </c>
      <c r="B6558" s="15" t="s">
        <v>572</v>
      </c>
      <c r="C6558" s="15" t="s">
        <v>557</v>
      </c>
      <c r="D6558" s="13">
        <v>-65</v>
      </c>
      <c r="E6558" s="13">
        <v>-50.629478000000013</v>
      </c>
      <c r="F6558" s="13">
        <v>-78.902812999999995</v>
      </c>
      <c r="G6558" s="13">
        <v>-81.637387000000004</v>
      </c>
      <c r="H6558" s="13"/>
      <c r="I6558" s="13"/>
      <c r="J6558" s="13"/>
      <c r="K6558" s="13"/>
      <c r="L6558" s="13"/>
      <c r="M6558" s="13"/>
      <c r="N6558" s="13"/>
      <c r="O6558" s="13"/>
      <c r="P6558" s="13"/>
      <c r="Q6558" s="13"/>
      <c r="R6558" s="13"/>
      <c r="S6558" s="13"/>
    </row>
    <row r="6559" spans="1:19" x14ac:dyDescent="0.2">
      <c r="A6559" s="15" t="s">
        <v>588</v>
      </c>
      <c r="B6559" s="15" t="s">
        <v>572</v>
      </c>
      <c r="C6559" s="15" t="s">
        <v>558</v>
      </c>
      <c r="D6559" s="13">
        <v>96852</v>
      </c>
      <c r="E6559" s="13">
        <v>102705.13431199999</v>
      </c>
      <c r="F6559" s="13">
        <v>105056.98293</v>
      </c>
      <c r="G6559" s="13">
        <v>107908.375785</v>
      </c>
      <c r="H6559" s="13"/>
      <c r="I6559" s="13"/>
      <c r="J6559" s="13"/>
      <c r="K6559" s="13"/>
      <c r="L6559" s="13"/>
      <c r="M6559" s="13"/>
      <c r="N6559" s="13"/>
      <c r="O6559" s="13"/>
      <c r="P6559" s="13"/>
      <c r="Q6559" s="13"/>
      <c r="R6559" s="13"/>
      <c r="S6559" s="13"/>
    </row>
    <row r="6560" spans="1:19" x14ac:dyDescent="0.2">
      <c r="A6560" s="15" t="s">
        <v>588</v>
      </c>
      <c r="B6560" s="15" t="s">
        <v>572</v>
      </c>
      <c r="C6560" s="15" t="s">
        <v>560</v>
      </c>
      <c r="D6560" s="13">
        <v>0</v>
      </c>
      <c r="E6560" s="13">
        <v>0</v>
      </c>
      <c r="F6560" s="13">
        <v>0</v>
      </c>
      <c r="G6560" s="13">
        <v>0</v>
      </c>
      <c r="H6560" s="13"/>
      <c r="I6560" s="13"/>
      <c r="J6560" s="13"/>
      <c r="K6560" s="13"/>
      <c r="L6560" s="13"/>
      <c r="M6560" s="13"/>
      <c r="N6560" s="13"/>
      <c r="O6560" s="13"/>
      <c r="P6560" s="13"/>
      <c r="Q6560" s="13"/>
      <c r="R6560" s="13"/>
      <c r="S6560" s="13"/>
    </row>
    <row r="6561" spans="1:19" x14ac:dyDescent="0.2">
      <c r="A6561" s="15" t="s">
        <v>588</v>
      </c>
      <c r="B6561" s="15" t="s">
        <v>572</v>
      </c>
      <c r="C6561" s="15" t="s">
        <v>561</v>
      </c>
      <c r="D6561" s="13">
        <v>81537</v>
      </c>
      <c r="E6561" s="13">
        <v>86177.823243999999</v>
      </c>
      <c r="F6561" s="13">
        <v>88700.886291999996</v>
      </c>
      <c r="G6561" s="13">
        <v>90904.584254999994</v>
      </c>
      <c r="H6561" s="13"/>
      <c r="I6561" s="13"/>
      <c r="J6561" s="13"/>
      <c r="K6561" s="13"/>
      <c r="L6561" s="13"/>
      <c r="M6561" s="13"/>
      <c r="N6561" s="13"/>
      <c r="O6561" s="13"/>
      <c r="P6561" s="13"/>
      <c r="Q6561" s="13"/>
      <c r="R6561" s="13"/>
      <c r="S6561" s="13"/>
    </row>
    <row r="6562" spans="1:19" x14ac:dyDescent="0.2">
      <c r="A6562" s="15" t="s">
        <v>588</v>
      </c>
      <c r="B6562" s="15" t="s">
        <v>572</v>
      </c>
      <c r="C6562" s="15" t="s">
        <v>562</v>
      </c>
      <c r="D6562" s="13">
        <v>34556</v>
      </c>
      <c r="E6562" s="13">
        <v>37191.888483000002</v>
      </c>
      <c r="F6562" s="13">
        <v>37509.410061000002</v>
      </c>
      <c r="G6562" s="13">
        <v>38622.871953000002</v>
      </c>
      <c r="H6562" s="13"/>
      <c r="I6562" s="13"/>
      <c r="J6562" s="13"/>
      <c r="K6562" s="13"/>
      <c r="L6562" s="13"/>
      <c r="M6562" s="13"/>
      <c r="N6562" s="13"/>
      <c r="O6562" s="13"/>
      <c r="P6562" s="13"/>
      <c r="Q6562" s="13"/>
      <c r="R6562" s="13"/>
      <c r="S6562" s="13"/>
    </row>
    <row r="6563" spans="1:19" x14ac:dyDescent="0.2">
      <c r="A6563" s="15" t="s">
        <v>588</v>
      </c>
      <c r="B6563" s="15" t="s">
        <v>572</v>
      </c>
      <c r="C6563" s="15" t="s">
        <v>563</v>
      </c>
      <c r="D6563" s="13">
        <v>1316</v>
      </c>
      <c r="E6563" s="13">
        <v>1496.3750230000001</v>
      </c>
      <c r="F6563" s="13">
        <v>1654.6334420000001</v>
      </c>
      <c r="G6563" s="13">
        <v>1825.8422820000001</v>
      </c>
      <c r="H6563" s="13"/>
      <c r="I6563" s="13"/>
      <c r="J6563" s="13"/>
      <c r="K6563" s="13"/>
      <c r="L6563" s="13"/>
      <c r="M6563" s="13"/>
      <c r="N6563" s="13"/>
      <c r="O6563" s="13"/>
      <c r="P6563" s="13"/>
      <c r="Q6563" s="13"/>
      <c r="R6563" s="13"/>
      <c r="S6563" s="13"/>
    </row>
    <row r="6564" spans="1:19" x14ac:dyDescent="0.2">
      <c r="A6564" s="15" t="s">
        <v>588</v>
      </c>
      <c r="B6564" s="15" t="s">
        <v>572</v>
      </c>
      <c r="C6564" s="15" t="s">
        <v>564</v>
      </c>
      <c r="D6564" s="13">
        <v>22852</v>
      </c>
      <c r="E6564" s="13">
        <v>23592.122346</v>
      </c>
      <c r="F6564" s="13">
        <v>24320.272434999999</v>
      </c>
      <c r="G6564" s="13">
        <v>24565.124638000001</v>
      </c>
      <c r="H6564" s="13"/>
      <c r="I6564" s="13"/>
      <c r="J6564" s="13"/>
      <c r="K6564" s="13"/>
      <c r="L6564" s="13"/>
      <c r="M6564" s="13"/>
      <c r="N6564" s="13"/>
      <c r="O6564" s="13"/>
      <c r="P6564" s="13"/>
      <c r="Q6564" s="13"/>
      <c r="R6564" s="13"/>
      <c r="S6564" s="13"/>
    </row>
    <row r="6565" spans="1:19" x14ac:dyDescent="0.2">
      <c r="A6565" s="15" t="s">
        <v>588</v>
      </c>
      <c r="B6565" s="15" t="s">
        <v>572</v>
      </c>
      <c r="C6565" s="15" t="s">
        <v>565</v>
      </c>
      <c r="D6565" s="13">
        <v>16500</v>
      </c>
      <c r="E6565" s="13">
        <v>17481.479393000001</v>
      </c>
      <c r="F6565" s="13">
        <v>18052.70968</v>
      </c>
      <c r="G6565" s="13">
        <v>18436.364476999999</v>
      </c>
      <c r="H6565" s="13"/>
      <c r="I6565" s="13"/>
      <c r="J6565" s="13"/>
      <c r="K6565" s="13"/>
      <c r="L6565" s="13"/>
      <c r="M6565" s="13"/>
      <c r="N6565" s="13"/>
      <c r="O6565" s="13"/>
      <c r="P6565" s="13"/>
      <c r="Q6565" s="13"/>
      <c r="R6565" s="13"/>
      <c r="S6565" s="13"/>
    </row>
    <row r="6566" spans="1:19" x14ac:dyDescent="0.2">
      <c r="A6566" s="15" t="s">
        <v>588</v>
      </c>
      <c r="B6566" s="15" t="s">
        <v>572</v>
      </c>
      <c r="C6566" s="15" t="s">
        <v>566</v>
      </c>
      <c r="D6566" s="13">
        <v>6313</v>
      </c>
      <c r="E6566" s="13">
        <v>6415.9580239999996</v>
      </c>
      <c r="F6566" s="13">
        <v>7163.8606659999996</v>
      </c>
      <c r="G6566" s="13">
        <v>7454.3808630000003</v>
      </c>
      <c r="H6566" s="13"/>
      <c r="I6566" s="13"/>
      <c r="J6566" s="13"/>
      <c r="K6566" s="13"/>
      <c r="L6566" s="13"/>
      <c r="M6566" s="13"/>
      <c r="N6566" s="13"/>
      <c r="O6566" s="13"/>
      <c r="P6566" s="13"/>
      <c r="Q6566" s="13"/>
      <c r="R6566" s="13"/>
      <c r="S6566" s="13"/>
    </row>
    <row r="6567" spans="1:19" x14ac:dyDescent="0.2">
      <c r="A6567" s="15" t="s">
        <v>588</v>
      </c>
      <c r="B6567" s="15" t="s">
        <v>573</v>
      </c>
      <c r="C6567" s="15" t="s">
        <v>554</v>
      </c>
      <c r="D6567" s="13">
        <v>68</v>
      </c>
      <c r="E6567" s="13">
        <v>70.848857999999993</v>
      </c>
      <c r="F6567" s="13">
        <v>64.484540999999993</v>
      </c>
      <c r="G6567" s="13">
        <v>63.402558999999997</v>
      </c>
      <c r="H6567" s="13"/>
      <c r="I6567" s="13"/>
      <c r="J6567" s="13"/>
      <c r="K6567" s="13"/>
      <c r="L6567" s="13"/>
      <c r="M6567" s="13"/>
      <c r="N6567" s="13"/>
      <c r="O6567" s="13"/>
      <c r="P6567" s="13"/>
      <c r="Q6567" s="13"/>
      <c r="R6567" s="13"/>
      <c r="S6567" s="13"/>
    </row>
    <row r="6568" spans="1:19" x14ac:dyDescent="0.2">
      <c r="A6568" s="15" t="s">
        <v>588</v>
      </c>
      <c r="B6568" s="15" t="s">
        <v>573</v>
      </c>
      <c r="C6568" s="15" t="s">
        <v>555</v>
      </c>
      <c r="D6568" s="13">
        <v>0</v>
      </c>
      <c r="E6568" s="13">
        <v>0.23516000000000001</v>
      </c>
      <c r="F6568" s="13">
        <v>0.23211200000000001</v>
      </c>
      <c r="G6568" s="13">
        <v>0.235738</v>
      </c>
      <c r="H6568" s="13"/>
      <c r="I6568" s="13"/>
      <c r="J6568" s="13"/>
      <c r="K6568" s="13"/>
      <c r="L6568" s="13"/>
      <c r="M6568" s="13"/>
      <c r="N6568" s="13"/>
      <c r="O6568" s="13"/>
      <c r="P6568" s="13"/>
      <c r="Q6568" s="13"/>
      <c r="R6568" s="13"/>
      <c r="S6568" s="13"/>
    </row>
    <row r="6569" spans="1:19" x14ac:dyDescent="0.2">
      <c r="A6569" s="15" t="s">
        <v>588</v>
      </c>
      <c r="B6569" s="15" t="s">
        <v>573</v>
      </c>
      <c r="C6569" s="15" t="s">
        <v>556</v>
      </c>
      <c r="D6569" s="13">
        <v>0</v>
      </c>
      <c r="E6569" s="13">
        <v>-7.3805000000000009E-2</v>
      </c>
      <c r="F6569" s="13">
        <v>-4.1746999999999999E-2</v>
      </c>
      <c r="G6569" s="13">
        <v>-4.0474000000000003E-2</v>
      </c>
      <c r="H6569" s="13"/>
      <c r="I6569" s="13"/>
      <c r="J6569" s="13"/>
      <c r="K6569" s="13"/>
      <c r="L6569" s="13"/>
      <c r="M6569" s="13"/>
      <c r="N6569" s="13"/>
      <c r="O6569" s="13"/>
      <c r="P6569" s="13"/>
      <c r="Q6569" s="13"/>
      <c r="R6569" s="13"/>
      <c r="S6569" s="13"/>
    </row>
    <row r="6570" spans="1:19" x14ac:dyDescent="0.2">
      <c r="A6570" s="15" t="s">
        <v>588</v>
      </c>
      <c r="B6570" s="15" t="s">
        <v>573</v>
      </c>
      <c r="C6570" s="15" t="s">
        <v>557</v>
      </c>
      <c r="D6570" s="13">
        <v>68</v>
      </c>
      <c r="E6570" s="13">
        <v>71.010217000000011</v>
      </c>
      <c r="F6570" s="13">
        <v>64.674906000000007</v>
      </c>
      <c r="G6570" s="13">
        <v>63.597814</v>
      </c>
      <c r="H6570" s="13"/>
      <c r="I6570" s="13"/>
      <c r="J6570" s="13"/>
      <c r="K6570" s="13"/>
      <c r="L6570" s="13"/>
      <c r="M6570" s="13"/>
      <c r="N6570" s="13"/>
      <c r="O6570" s="13"/>
      <c r="P6570" s="13"/>
      <c r="Q6570" s="13"/>
      <c r="R6570" s="13"/>
      <c r="S6570" s="13"/>
    </row>
    <row r="6571" spans="1:19" x14ac:dyDescent="0.2">
      <c r="A6571" s="15" t="s">
        <v>588</v>
      </c>
      <c r="B6571" s="15" t="s">
        <v>573</v>
      </c>
      <c r="C6571" s="15" t="s">
        <v>558</v>
      </c>
      <c r="D6571" s="13">
        <v>15887</v>
      </c>
      <c r="E6571" s="13">
        <v>17533.793108000002</v>
      </c>
      <c r="F6571" s="13">
        <v>18087.475848999999</v>
      </c>
      <c r="G6571" s="13">
        <v>18769.372813999998</v>
      </c>
      <c r="H6571" s="13"/>
      <c r="I6571" s="13"/>
      <c r="J6571" s="13"/>
      <c r="K6571" s="13"/>
      <c r="L6571" s="13"/>
      <c r="M6571" s="13"/>
      <c r="N6571" s="13"/>
      <c r="O6571" s="13"/>
      <c r="P6571" s="13"/>
      <c r="Q6571" s="13"/>
      <c r="R6571" s="13"/>
      <c r="S6571" s="13"/>
    </row>
    <row r="6572" spans="1:19" x14ac:dyDescent="0.2">
      <c r="A6572" s="15" t="s">
        <v>588</v>
      </c>
      <c r="B6572" s="15" t="s">
        <v>573</v>
      </c>
      <c r="C6572" s="15" t="s">
        <v>560</v>
      </c>
      <c r="D6572" s="13">
        <v>0</v>
      </c>
      <c r="E6572" s="13">
        <v>0</v>
      </c>
      <c r="F6572" s="13">
        <v>0</v>
      </c>
      <c r="G6572" s="13">
        <v>0</v>
      </c>
      <c r="H6572" s="13"/>
      <c r="I6572" s="13"/>
      <c r="J6572" s="13"/>
      <c r="K6572" s="13"/>
      <c r="L6572" s="13"/>
      <c r="M6572" s="13"/>
      <c r="N6572" s="13"/>
      <c r="O6572" s="13"/>
      <c r="P6572" s="13"/>
      <c r="Q6572" s="13"/>
      <c r="R6572" s="13"/>
      <c r="S6572" s="13"/>
    </row>
    <row r="6573" spans="1:19" x14ac:dyDescent="0.2">
      <c r="A6573" s="15" t="s">
        <v>588</v>
      </c>
      <c r="B6573" s="15" t="s">
        <v>573</v>
      </c>
      <c r="C6573" s="15" t="s">
        <v>561</v>
      </c>
      <c r="D6573" s="13">
        <v>13276</v>
      </c>
      <c r="E6573" s="13">
        <v>14829.33007</v>
      </c>
      <c r="F6573" s="13">
        <v>15448.62665</v>
      </c>
      <c r="G6573" s="13">
        <v>16107.790598</v>
      </c>
      <c r="H6573" s="13"/>
      <c r="I6573" s="13"/>
      <c r="J6573" s="13"/>
      <c r="K6573" s="13"/>
      <c r="L6573" s="13"/>
      <c r="M6573" s="13"/>
      <c r="N6573" s="13"/>
      <c r="O6573" s="13"/>
      <c r="P6573" s="13"/>
      <c r="Q6573" s="13"/>
      <c r="R6573" s="13"/>
      <c r="S6573" s="13"/>
    </row>
    <row r="6574" spans="1:19" x14ac:dyDescent="0.2">
      <c r="A6574" s="15" t="s">
        <v>588</v>
      </c>
      <c r="B6574" s="15" t="s">
        <v>573</v>
      </c>
      <c r="C6574" s="15" t="s">
        <v>562</v>
      </c>
      <c r="D6574" s="13">
        <v>6303</v>
      </c>
      <c r="E6574" s="13">
        <v>7219.9684999999999</v>
      </c>
      <c r="F6574" s="13">
        <v>8045.8501619999997</v>
      </c>
      <c r="G6574" s="13">
        <v>8522.2121700000007</v>
      </c>
      <c r="H6574" s="13"/>
      <c r="I6574" s="13"/>
      <c r="J6574" s="13"/>
      <c r="K6574" s="13"/>
      <c r="L6574" s="13"/>
      <c r="M6574" s="13"/>
      <c r="N6574" s="13"/>
      <c r="O6574" s="13"/>
      <c r="P6574" s="13"/>
      <c r="Q6574" s="13"/>
      <c r="R6574" s="13"/>
      <c r="S6574" s="13"/>
    </row>
    <row r="6575" spans="1:19" x14ac:dyDescent="0.2">
      <c r="A6575" s="15" t="s">
        <v>588</v>
      </c>
      <c r="B6575" s="15" t="s">
        <v>573</v>
      </c>
      <c r="C6575" s="15" t="s">
        <v>563</v>
      </c>
      <c r="D6575" s="13">
        <v>0</v>
      </c>
      <c r="E6575" s="13">
        <v>0</v>
      </c>
      <c r="F6575" s="13">
        <v>0</v>
      </c>
      <c r="G6575" s="13">
        <v>0</v>
      </c>
      <c r="H6575" s="13"/>
      <c r="I6575" s="13"/>
      <c r="J6575" s="13"/>
      <c r="K6575" s="13"/>
      <c r="L6575" s="13"/>
      <c r="M6575" s="13"/>
      <c r="N6575" s="13"/>
      <c r="O6575" s="13"/>
      <c r="P6575" s="13"/>
      <c r="Q6575" s="13"/>
      <c r="R6575" s="13"/>
      <c r="S6575" s="13"/>
    </row>
    <row r="6576" spans="1:19" x14ac:dyDescent="0.2">
      <c r="A6576" s="15" t="s">
        <v>588</v>
      </c>
      <c r="B6576" s="15" t="s">
        <v>573</v>
      </c>
      <c r="C6576" s="15" t="s">
        <v>564</v>
      </c>
      <c r="D6576" s="13">
        <v>4914</v>
      </c>
      <c r="E6576" s="13">
        <v>5334.2030949999998</v>
      </c>
      <c r="F6576" s="13">
        <v>5271.958689</v>
      </c>
      <c r="G6576" s="13">
        <v>5427.4687249999997</v>
      </c>
      <c r="H6576" s="13"/>
      <c r="I6576" s="13"/>
      <c r="J6576" s="13"/>
      <c r="K6576" s="13"/>
      <c r="L6576" s="13"/>
      <c r="M6576" s="13"/>
      <c r="N6576" s="13"/>
      <c r="O6576" s="13"/>
      <c r="P6576" s="13"/>
      <c r="Q6576" s="13"/>
      <c r="R6576" s="13"/>
      <c r="S6576" s="13"/>
    </row>
    <row r="6577" spans="1:19" x14ac:dyDescent="0.2">
      <c r="A6577" s="15" t="s">
        <v>588</v>
      </c>
      <c r="B6577" s="15" t="s">
        <v>573</v>
      </c>
      <c r="C6577" s="15" t="s">
        <v>565</v>
      </c>
      <c r="D6577" s="13">
        <v>1583</v>
      </c>
      <c r="E6577" s="13">
        <v>1846.058861</v>
      </c>
      <c r="F6577" s="13">
        <v>1684.415281</v>
      </c>
      <c r="G6577" s="13">
        <v>1693.2682150000001</v>
      </c>
      <c r="H6577" s="13"/>
      <c r="I6577" s="13"/>
      <c r="J6577" s="13"/>
      <c r="K6577" s="13"/>
      <c r="L6577" s="13"/>
      <c r="M6577" s="13"/>
      <c r="N6577" s="13"/>
      <c r="O6577" s="13"/>
      <c r="P6577" s="13"/>
      <c r="Q6577" s="13"/>
      <c r="R6577" s="13"/>
      <c r="S6577" s="13"/>
    </row>
    <row r="6578" spans="1:19" x14ac:dyDescent="0.2">
      <c r="A6578" s="15" t="s">
        <v>588</v>
      </c>
      <c r="B6578" s="15" t="s">
        <v>573</v>
      </c>
      <c r="C6578" s="15" t="s">
        <v>566</v>
      </c>
      <c r="D6578" s="13">
        <v>477</v>
      </c>
      <c r="E6578" s="13">
        <v>429.09963900000002</v>
      </c>
      <c r="F6578" s="13">
        <v>446.40252400000003</v>
      </c>
      <c r="G6578" s="13">
        <v>464.84149600000012</v>
      </c>
      <c r="H6578" s="13"/>
      <c r="I6578" s="13"/>
      <c r="J6578" s="13"/>
      <c r="K6578" s="13"/>
      <c r="L6578" s="13"/>
      <c r="M6578" s="13"/>
      <c r="N6578" s="13"/>
      <c r="O6578" s="13"/>
      <c r="P6578" s="13"/>
      <c r="Q6578" s="13"/>
      <c r="R6578" s="13"/>
      <c r="S6578" s="13"/>
    </row>
    <row r="6579" spans="1:19" x14ac:dyDescent="0.2">
      <c r="A6579" s="15" t="s">
        <v>588</v>
      </c>
      <c r="B6579" s="15" t="s">
        <v>574</v>
      </c>
      <c r="C6579" s="15" t="s">
        <v>554</v>
      </c>
      <c r="D6579" s="13">
        <v>588446</v>
      </c>
      <c r="E6579" s="13">
        <v>610639.12462100002</v>
      </c>
      <c r="F6579" s="13">
        <v>630675.890212</v>
      </c>
      <c r="G6579" s="13">
        <v>642946.78535099991</v>
      </c>
      <c r="H6579" s="13"/>
      <c r="I6579" s="13"/>
      <c r="J6579" s="13"/>
      <c r="K6579" s="13"/>
      <c r="L6579" s="13"/>
      <c r="M6579" s="13"/>
      <c r="N6579" s="13"/>
      <c r="O6579" s="13"/>
      <c r="P6579" s="13"/>
      <c r="Q6579" s="13"/>
      <c r="R6579" s="13"/>
      <c r="S6579" s="13"/>
    </row>
    <row r="6580" spans="1:19" x14ac:dyDescent="0.2">
      <c r="A6580" s="15" t="s">
        <v>588</v>
      </c>
      <c r="B6580" s="15" t="s">
        <v>574</v>
      </c>
      <c r="C6580" s="15" t="s">
        <v>555</v>
      </c>
      <c r="D6580" s="13">
        <v>223688</v>
      </c>
      <c r="E6580" s="13">
        <v>231226.19648399999</v>
      </c>
      <c r="F6580" s="13">
        <v>235793.697946</v>
      </c>
      <c r="G6580" s="13">
        <v>242490.087332</v>
      </c>
      <c r="H6580" s="13"/>
      <c r="I6580" s="13"/>
      <c r="J6580" s="13"/>
      <c r="K6580" s="13"/>
      <c r="L6580" s="13"/>
      <c r="M6580" s="13"/>
      <c r="N6580" s="13"/>
      <c r="O6580" s="13"/>
      <c r="P6580" s="13"/>
      <c r="Q6580" s="13"/>
      <c r="R6580" s="13"/>
      <c r="S6580" s="13"/>
    </row>
    <row r="6581" spans="1:19" x14ac:dyDescent="0.2">
      <c r="A6581" s="15" t="s">
        <v>588</v>
      </c>
      <c r="B6581" s="15" t="s">
        <v>574</v>
      </c>
      <c r="C6581" s="15" t="s">
        <v>556</v>
      </c>
      <c r="D6581" s="13">
        <v>-228471</v>
      </c>
      <c r="E6581" s="13">
        <v>-231242.822518</v>
      </c>
      <c r="F6581" s="13">
        <v>-237846.10466499999</v>
      </c>
      <c r="G6581" s="13">
        <v>-240903.90965700001</v>
      </c>
      <c r="H6581" s="13"/>
      <c r="I6581" s="13"/>
      <c r="J6581" s="13"/>
      <c r="K6581" s="13"/>
      <c r="L6581" s="13"/>
      <c r="M6581" s="13"/>
      <c r="N6581" s="13"/>
      <c r="O6581" s="13"/>
      <c r="P6581" s="13"/>
      <c r="Q6581" s="13"/>
      <c r="R6581" s="13"/>
      <c r="S6581" s="13"/>
    </row>
    <row r="6582" spans="1:19" x14ac:dyDescent="0.2">
      <c r="A6582" s="15" t="s">
        <v>588</v>
      </c>
      <c r="B6582" s="15" t="s">
        <v>574</v>
      </c>
      <c r="C6582" s="15" t="s">
        <v>557</v>
      </c>
      <c r="D6582" s="13">
        <v>581048</v>
      </c>
      <c r="E6582" s="13">
        <v>615329.8614680001</v>
      </c>
      <c r="F6582" s="13">
        <v>622324.13874700002</v>
      </c>
      <c r="G6582" s="13">
        <v>633682.43400500005</v>
      </c>
      <c r="H6582" s="13"/>
      <c r="I6582" s="13"/>
      <c r="J6582" s="13"/>
      <c r="K6582" s="13"/>
      <c r="L6582" s="13"/>
      <c r="M6582" s="13"/>
      <c r="N6582" s="13"/>
      <c r="O6582" s="13"/>
      <c r="P6582" s="13"/>
      <c r="Q6582" s="13"/>
      <c r="R6582" s="13"/>
      <c r="S6582" s="13"/>
    </row>
    <row r="6583" spans="1:19" x14ac:dyDescent="0.2">
      <c r="A6583" s="15" t="s">
        <v>588</v>
      </c>
      <c r="B6583" s="15" t="s">
        <v>574</v>
      </c>
      <c r="C6583" s="15" t="s">
        <v>558</v>
      </c>
      <c r="D6583" s="13">
        <v>-118006</v>
      </c>
      <c r="E6583" s="13">
        <v>-126868.073397</v>
      </c>
      <c r="F6583" s="13">
        <v>-127166.118799</v>
      </c>
      <c r="G6583" s="13">
        <v>-130041.44514700001</v>
      </c>
      <c r="H6583" s="13"/>
      <c r="I6583" s="13"/>
      <c r="J6583" s="13"/>
      <c r="K6583" s="13"/>
      <c r="L6583" s="13"/>
      <c r="M6583" s="13"/>
      <c r="N6583" s="13"/>
      <c r="O6583" s="13"/>
      <c r="P6583" s="13"/>
      <c r="Q6583" s="13"/>
      <c r="R6583" s="13"/>
      <c r="S6583" s="13"/>
    </row>
    <row r="6584" spans="1:19" x14ac:dyDescent="0.2">
      <c r="A6584" s="15" t="s">
        <v>588</v>
      </c>
      <c r="B6584" s="15" t="s">
        <v>574</v>
      </c>
      <c r="C6584" s="15" t="s">
        <v>560</v>
      </c>
      <c r="D6584" s="13">
        <v>-3739</v>
      </c>
      <c r="E6584" s="13">
        <v>-4219.2283699999998</v>
      </c>
      <c r="F6584" s="13">
        <v>-4502.7605169999997</v>
      </c>
      <c r="G6584" s="13">
        <v>-4087.707848</v>
      </c>
      <c r="H6584" s="13"/>
      <c r="I6584" s="13"/>
      <c r="J6584" s="13"/>
      <c r="K6584" s="13"/>
      <c r="L6584" s="13"/>
      <c r="M6584" s="13"/>
      <c r="N6584" s="13"/>
      <c r="O6584" s="13"/>
      <c r="P6584" s="13"/>
      <c r="Q6584" s="13"/>
      <c r="R6584" s="13"/>
      <c r="S6584" s="13"/>
    </row>
    <row r="6585" spans="1:19" x14ac:dyDescent="0.2">
      <c r="A6585" s="15" t="s">
        <v>588</v>
      </c>
      <c r="B6585" s="15" t="s">
        <v>574</v>
      </c>
      <c r="C6585" s="15" t="s">
        <v>561</v>
      </c>
      <c r="D6585" s="13">
        <v>395783</v>
      </c>
      <c r="E6585" s="13">
        <v>415565.36782300001</v>
      </c>
      <c r="F6585" s="13">
        <v>422120.12239899999</v>
      </c>
      <c r="G6585" s="13">
        <v>429107.54758299998</v>
      </c>
      <c r="H6585" s="13"/>
      <c r="I6585" s="13"/>
      <c r="J6585" s="13"/>
      <c r="K6585" s="13"/>
      <c r="L6585" s="13"/>
      <c r="M6585" s="13"/>
      <c r="N6585" s="13"/>
      <c r="O6585" s="13"/>
      <c r="P6585" s="13"/>
      <c r="Q6585" s="13"/>
      <c r="R6585" s="13"/>
      <c r="S6585" s="13"/>
    </row>
    <row r="6586" spans="1:19" x14ac:dyDescent="0.2">
      <c r="A6586" s="15" t="s">
        <v>588</v>
      </c>
      <c r="B6586" s="15" t="s">
        <v>574</v>
      </c>
      <c r="C6586" s="15" t="s">
        <v>562</v>
      </c>
      <c r="D6586" s="13">
        <v>118451</v>
      </c>
      <c r="E6586" s="13">
        <v>124601.786433</v>
      </c>
      <c r="F6586" s="13">
        <v>126196.75333599999</v>
      </c>
      <c r="G6586" s="13">
        <v>128950.177729</v>
      </c>
      <c r="H6586" s="13"/>
      <c r="I6586" s="13"/>
      <c r="J6586" s="13"/>
      <c r="K6586" s="13"/>
      <c r="L6586" s="13"/>
      <c r="M6586" s="13"/>
      <c r="N6586" s="13"/>
      <c r="O6586" s="13"/>
      <c r="P6586" s="13"/>
      <c r="Q6586" s="13"/>
      <c r="R6586" s="13"/>
      <c r="S6586" s="13"/>
    </row>
    <row r="6587" spans="1:19" x14ac:dyDescent="0.2">
      <c r="A6587" s="15" t="s">
        <v>588</v>
      </c>
      <c r="B6587" s="15" t="s">
        <v>574</v>
      </c>
      <c r="C6587" s="15" t="s">
        <v>563</v>
      </c>
      <c r="D6587" s="13">
        <v>106713</v>
      </c>
      <c r="E6587" s="13">
        <v>115210.842751</v>
      </c>
      <c r="F6587" s="13">
        <v>119728.497135</v>
      </c>
      <c r="G6587" s="13">
        <v>122904.119683</v>
      </c>
      <c r="H6587" s="13"/>
      <c r="I6587" s="13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</row>
    <row r="6588" spans="1:19" x14ac:dyDescent="0.2">
      <c r="A6588" s="15" t="s">
        <v>588</v>
      </c>
      <c r="B6588" s="15" t="s">
        <v>574</v>
      </c>
      <c r="C6588" s="15" t="s">
        <v>564</v>
      </c>
      <c r="D6588" s="13">
        <v>83387</v>
      </c>
      <c r="E6588" s="13">
        <v>85171.809087999995</v>
      </c>
      <c r="F6588" s="13">
        <v>84985.047353000002</v>
      </c>
      <c r="G6588" s="13">
        <v>84171.150406000001</v>
      </c>
      <c r="H6588" s="13"/>
      <c r="I6588" s="13"/>
      <c r="J6588" s="13"/>
      <c r="K6588" s="13"/>
      <c r="L6588" s="13"/>
      <c r="M6588" s="13"/>
      <c r="N6588" s="13"/>
      <c r="O6588" s="13"/>
      <c r="P6588" s="13"/>
      <c r="Q6588" s="13"/>
      <c r="R6588" s="13"/>
      <c r="S6588" s="13"/>
    </row>
    <row r="6589" spans="1:19" x14ac:dyDescent="0.2">
      <c r="A6589" s="15" t="s">
        <v>588</v>
      </c>
      <c r="B6589" s="15" t="s">
        <v>574</v>
      </c>
      <c r="C6589" s="15" t="s">
        <v>565</v>
      </c>
      <c r="D6589" s="13">
        <v>32549</v>
      </c>
      <c r="E6589" s="13">
        <v>34270.130224</v>
      </c>
      <c r="F6589" s="13">
        <v>34388.938013999999</v>
      </c>
      <c r="G6589" s="13">
        <v>34520.014831</v>
      </c>
      <c r="H6589" s="13"/>
      <c r="I6589" s="13"/>
      <c r="J6589" s="13"/>
      <c r="K6589" s="13"/>
      <c r="L6589" s="13"/>
      <c r="M6589" s="13"/>
      <c r="N6589" s="13"/>
      <c r="O6589" s="13"/>
      <c r="P6589" s="13"/>
      <c r="Q6589" s="13"/>
      <c r="R6589" s="13"/>
      <c r="S6589" s="13"/>
    </row>
    <row r="6590" spans="1:19" x14ac:dyDescent="0.2">
      <c r="A6590" s="15" t="s">
        <v>588</v>
      </c>
      <c r="B6590" s="15" t="s">
        <v>574</v>
      </c>
      <c r="C6590" s="15" t="s">
        <v>566</v>
      </c>
      <c r="D6590" s="13">
        <v>54683</v>
      </c>
      <c r="E6590" s="13">
        <v>56310.799440000003</v>
      </c>
      <c r="F6590" s="13">
        <v>56820.886516000013</v>
      </c>
      <c r="G6590" s="13">
        <v>58562.084857000002</v>
      </c>
      <c r="H6590" s="13"/>
      <c r="I6590" s="13"/>
      <c r="J6590" s="13"/>
      <c r="K6590" s="13"/>
      <c r="L6590" s="13"/>
      <c r="M6590" s="13"/>
      <c r="N6590" s="13"/>
      <c r="O6590" s="13"/>
      <c r="P6590" s="13"/>
      <c r="Q6590" s="13"/>
      <c r="R6590" s="13"/>
      <c r="S6590" s="13"/>
    </row>
    <row r="6591" spans="1:19" x14ac:dyDescent="0.2">
      <c r="A6591" s="15" t="s">
        <v>112</v>
      </c>
      <c r="B6591" s="15" t="s">
        <v>570</v>
      </c>
      <c r="C6591" s="15" t="s">
        <v>589</v>
      </c>
      <c r="D6591" s="13">
        <v>0</v>
      </c>
      <c r="E6591" s="13">
        <v>0</v>
      </c>
      <c r="F6591" s="13">
        <v>0</v>
      </c>
      <c r="G6591" s="13">
        <v>0</v>
      </c>
      <c r="H6591" s="13"/>
      <c r="I6591" s="13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</row>
    <row r="6592" spans="1:19" x14ac:dyDescent="0.2">
      <c r="A6592" s="15" t="s">
        <v>112</v>
      </c>
      <c r="B6592" s="15" t="s">
        <v>590</v>
      </c>
      <c r="C6592" s="15" t="s">
        <v>589</v>
      </c>
      <c r="D6592" s="13">
        <v>205248</v>
      </c>
      <c r="E6592" s="13">
        <v>194756.258</v>
      </c>
      <c r="F6592" s="13">
        <v>187536.019</v>
      </c>
      <c r="G6592" s="13">
        <v>181362.61900000001</v>
      </c>
      <c r="H6592" s="13"/>
      <c r="I6592" s="13"/>
      <c r="J6592" s="13"/>
      <c r="K6592" s="13"/>
      <c r="L6592" s="13"/>
      <c r="M6592" s="13"/>
      <c r="N6592" s="13"/>
      <c r="O6592" s="13"/>
      <c r="P6592" s="13"/>
      <c r="Q6592" s="13"/>
      <c r="R6592" s="13"/>
      <c r="S6592" s="13"/>
    </row>
    <row r="6593" spans="1:19" x14ac:dyDescent="0.2">
      <c r="A6593" s="15" t="s">
        <v>112</v>
      </c>
      <c r="B6593" s="15" t="s">
        <v>591</v>
      </c>
      <c r="C6593" s="15" t="s">
        <v>589</v>
      </c>
      <c r="D6593" s="13">
        <v>59545</v>
      </c>
      <c r="E6593" s="13">
        <v>70359.092000000004</v>
      </c>
      <c r="F6593" s="13">
        <v>83281.716</v>
      </c>
      <c r="G6593" s="13">
        <v>92216.308999999994</v>
      </c>
      <c r="H6593" s="13"/>
      <c r="I6593" s="13"/>
      <c r="J6593" s="13"/>
      <c r="K6593" s="13"/>
      <c r="L6593" s="13"/>
      <c r="M6593" s="13"/>
      <c r="N6593" s="13"/>
      <c r="O6593" s="13"/>
      <c r="P6593" s="13"/>
      <c r="Q6593" s="13"/>
      <c r="R6593" s="13"/>
      <c r="S6593" s="13"/>
    </row>
    <row r="6594" spans="1:19" x14ac:dyDescent="0.2">
      <c r="A6594" s="15" t="s">
        <v>112</v>
      </c>
      <c r="B6594" s="15" t="s">
        <v>574</v>
      </c>
      <c r="C6594" s="15" t="s">
        <v>589</v>
      </c>
      <c r="D6594" s="13">
        <v>264793</v>
      </c>
      <c r="E6594" s="13">
        <v>265115.34999999998</v>
      </c>
      <c r="F6594" s="13">
        <v>270817.73499999999</v>
      </c>
      <c r="G6594" s="13">
        <v>273578.92800000001</v>
      </c>
      <c r="H6594" s="13"/>
      <c r="I6594" s="13"/>
      <c r="J6594" s="13"/>
      <c r="K6594" s="13"/>
      <c r="L6594" s="13"/>
      <c r="M6594" s="13"/>
      <c r="N6594" s="13"/>
      <c r="O6594" s="13"/>
      <c r="P6594" s="13"/>
      <c r="Q6594" s="13"/>
      <c r="R6594" s="13"/>
      <c r="S6594" s="13"/>
    </row>
    <row r="6595" spans="1:19" x14ac:dyDescent="0.2">
      <c r="A6595" s="15" t="s">
        <v>117</v>
      </c>
      <c r="B6595" s="15" t="s">
        <v>570</v>
      </c>
      <c r="C6595" s="15" t="s">
        <v>589</v>
      </c>
      <c r="D6595" s="13">
        <v>0</v>
      </c>
      <c r="E6595" s="13">
        <v>0</v>
      </c>
      <c r="F6595" s="13">
        <v>0</v>
      </c>
      <c r="G6595" s="13">
        <v>0</v>
      </c>
      <c r="H6595" s="13"/>
      <c r="I6595" s="13"/>
      <c r="J6595" s="13"/>
      <c r="K6595" s="13"/>
      <c r="L6595" s="13"/>
      <c r="M6595" s="13"/>
      <c r="N6595" s="13"/>
      <c r="O6595" s="13"/>
      <c r="P6595" s="13"/>
      <c r="Q6595" s="13"/>
      <c r="R6595" s="13"/>
      <c r="S6595" s="13"/>
    </row>
    <row r="6596" spans="1:19" x14ac:dyDescent="0.2">
      <c r="A6596" s="15" t="s">
        <v>117</v>
      </c>
      <c r="B6596" s="15" t="s">
        <v>590</v>
      </c>
      <c r="C6596" s="15" t="s">
        <v>589</v>
      </c>
      <c r="D6596" s="13">
        <v>13037</v>
      </c>
      <c r="E6596" s="13">
        <v>13484.65</v>
      </c>
      <c r="F6596" s="13">
        <v>13500.681</v>
      </c>
      <c r="G6596" s="13">
        <v>10205.044</v>
      </c>
      <c r="H6596" s="13"/>
      <c r="I6596" s="13"/>
      <c r="J6596" s="13"/>
      <c r="K6596" s="13"/>
      <c r="L6596" s="13"/>
      <c r="M6596" s="13"/>
      <c r="N6596" s="13"/>
      <c r="O6596" s="13"/>
      <c r="P6596" s="13"/>
      <c r="Q6596" s="13"/>
      <c r="R6596" s="13"/>
      <c r="S6596" s="13"/>
    </row>
    <row r="6597" spans="1:19" x14ac:dyDescent="0.2">
      <c r="A6597" s="15" t="s">
        <v>117</v>
      </c>
      <c r="B6597" s="15" t="s">
        <v>591</v>
      </c>
      <c r="C6597" s="15" t="s">
        <v>589</v>
      </c>
      <c r="D6597" s="13">
        <v>55424</v>
      </c>
      <c r="E6597" s="13">
        <v>52883.347000000002</v>
      </c>
      <c r="F6597" s="13">
        <v>50405.983</v>
      </c>
      <c r="G6597" s="13">
        <v>59662.358</v>
      </c>
      <c r="H6597" s="13"/>
      <c r="I6597" s="13"/>
      <c r="J6597" s="13"/>
      <c r="K6597" s="13"/>
      <c r="L6597" s="13"/>
      <c r="M6597" s="13"/>
      <c r="N6597" s="13"/>
      <c r="O6597" s="13"/>
      <c r="P6597" s="13"/>
      <c r="Q6597" s="13"/>
      <c r="R6597" s="13"/>
      <c r="S6597" s="13"/>
    </row>
    <row r="6598" spans="1:19" x14ac:dyDescent="0.2">
      <c r="A6598" s="15" t="s">
        <v>117</v>
      </c>
      <c r="B6598" s="15" t="s">
        <v>574</v>
      </c>
      <c r="C6598" s="15" t="s">
        <v>589</v>
      </c>
      <c r="D6598" s="13">
        <v>69212</v>
      </c>
      <c r="E6598" s="13">
        <v>67098.081000000006</v>
      </c>
      <c r="F6598" s="13">
        <v>64677.48</v>
      </c>
      <c r="G6598" s="13">
        <v>70608.944000000003</v>
      </c>
      <c r="H6598" s="13"/>
      <c r="I6598" s="13"/>
      <c r="J6598" s="13"/>
      <c r="K6598" s="13"/>
      <c r="L6598" s="13"/>
      <c r="M6598" s="13"/>
      <c r="N6598" s="13"/>
      <c r="O6598" s="13"/>
      <c r="P6598" s="13"/>
      <c r="Q6598" s="13"/>
      <c r="R6598" s="13"/>
      <c r="S6598" s="13"/>
    </row>
    <row r="6599" spans="1:19" x14ac:dyDescent="0.2">
      <c r="A6599" s="15" t="s">
        <v>124</v>
      </c>
      <c r="B6599" s="15" t="s">
        <v>570</v>
      </c>
      <c r="C6599" s="15" t="s">
        <v>589</v>
      </c>
      <c r="D6599" s="13">
        <v>34435</v>
      </c>
      <c r="E6599" s="13">
        <v>50326.2</v>
      </c>
      <c r="F6599" s="13">
        <v>43879.1</v>
      </c>
      <c r="G6599" s="13">
        <v>32927.9</v>
      </c>
      <c r="H6599" s="13"/>
      <c r="I6599" s="13"/>
      <c r="J6599" s="13"/>
      <c r="K6599" s="13"/>
      <c r="L6599" s="13"/>
      <c r="M6599" s="13"/>
      <c r="N6599" s="13"/>
      <c r="O6599" s="13"/>
      <c r="P6599" s="13"/>
      <c r="Q6599" s="13"/>
      <c r="R6599" s="13"/>
      <c r="S6599" s="13"/>
    </row>
    <row r="6600" spans="1:19" x14ac:dyDescent="0.2">
      <c r="A6600" s="15" t="s">
        <v>124</v>
      </c>
      <c r="B6600" s="15" t="s">
        <v>590</v>
      </c>
      <c r="C6600" s="15" t="s">
        <v>589</v>
      </c>
      <c r="D6600" s="13">
        <v>28772</v>
      </c>
      <c r="E6600" s="13">
        <v>24728.9</v>
      </c>
      <c r="F6600" s="13">
        <v>24554.1</v>
      </c>
      <c r="G6600" s="13">
        <v>20319.2</v>
      </c>
      <c r="H6600" s="13"/>
      <c r="I6600" s="13"/>
      <c r="J6600" s="13"/>
      <c r="K6600" s="13"/>
      <c r="L6600" s="13"/>
      <c r="M6600" s="13"/>
      <c r="N6600" s="13"/>
      <c r="O6600" s="13"/>
      <c r="P6600" s="13"/>
      <c r="Q6600" s="13"/>
      <c r="R6600" s="13"/>
      <c r="S6600" s="13"/>
    </row>
    <row r="6601" spans="1:19" x14ac:dyDescent="0.2">
      <c r="A6601" s="15" t="s">
        <v>124</v>
      </c>
      <c r="B6601" s="15" t="s">
        <v>591</v>
      </c>
      <c r="C6601" s="15" t="s">
        <v>589</v>
      </c>
      <c r="D6601" s="13">
        <v>23461</v>
      </c>
      <c r="E6601" s="13">
        <v>22741.4</v>
      </c>
      <c r="F6601" s="13">
        <v>24428.400000000001</v>
      </c>
      <c r="G6601" s="13">
        <v>27472.9</v>
      </c>
      <c r="H6601" s="13"/>
      <c r="I6601" s="13"/>
      <c r="J6601" s="13"/>
      <c r="K6601" s="13"/>
      <c r="L6601" s="13"/>
      <c r="M6601" s="13"/>
      <c r="N6601" s="13"/>
      <c r="O6601" s="13"/>
      <c r="P6601" s="13"/>
      <c r="Q6601" s="13"/>
      <c r="R6601" s="13"/>
      <c r="S6601" s="13"/>
    </row>
    <row r="6602" spans="1:19" x14ac:dyDescent="0.2">
      <c r="A6602" s="15" t="s">
        <v>124</v>
      </c>
      <c r="B6602" s="15" t="s">
        <v>574</v>
      </c>
      <c r="C6602" s="15" t="s">
        <v>589</v>
      </c>
      <c r="D6602" s="13">
        <v>88406</v>
      </c>
      <c r="E6602" s="13">
        <v>99549.9</v>
      </c>
      <c r="F6602" s="13">
        <v>94573.2</v>
      </c>
      <c r="G6602" s="13">
        <v>82420.100000000006</v>
      </c>
      <c r="H6602" s="13"/>
      <c r="I6602" s="13"/>
      <c r="J6602" s="13"/>
      <c r="K6602" s="13"/>
      <c r="L6602" s="13"/>
      <c r="M6602" s="13"/>
      <c r="N6602" s="13"/>
      <c r="O6602" s="13"/>
      <c r="P6602" s="13"/>
      <c r="Q6602" s="13"/>
      <c r="R6602" s="13"/>
      <c r="S6602" s="13"/>
    </row>
    <row r="6603" spans="1:19" x14ac:dyDescent="0.2">
      <c r="A6603" s="15" t="s">
        <v>162</v>
      </c>
      <c r="B6603" s="15" t="s">
        <v>570</v>
      </c>
      <c r="C6603" s="15" t="s">
        <v>589</v>
      </c>
      <c r="D6603" s="13">
        <v>98195</v>
      </c>
      <c r="E6603" s="13">
        <v>92629</v>
      </c>
      <c r="F6603" s="13">
        <v>87239</v>
      </c>
      <c r="G6603" s="13">
        <v>89047</v>
      </c>
      <c r="H6603" s="13"/>
      <c r="I6603" s="13"/>
      <c r="J6603" s="13"/>
      <c r="K6603" s="13"/>
      <c r="L6603" s="13"/>
      <c r="M6603" s="13"/>
      <c r="N6603" s="13"/>
      <c r="O6603" s="13"/>
      <c r="P6603" s="13"/>
      <c r="Q6603" s="13"/>
      <c r="R6603" s="13"/>
      <c r="S6603" s="13"/>
    </row>
    <row r="6604" spans="1:19" x14ac:dyDescent="0.2">
      <c r="A6604" s="15" t="s">
        <v>162</v>
      </c>
      <c r="B6604" s="15" t="s">
        <v>590</v>
      </c>
      <c r="C6604" s="15" t="s">
        <v>589</v>
      </c>
      <c r="D6604" s="13">
        <v>116173</v>
      </c>
      <c r="E6604" s="13">
        <v>118008</v>
      </c>
      <c r="F6604" s="13">
        <v>117652</v>
      </c>
      <c r="G6604" s="13">
        <v>124531</v>
      </c>
      <c r="H6604" s="13"/>
      <c r="I6604" s="13"/>
      <c r="J6604" s="13"/>
      <c r="K6604" s="13"/>
      <c r="L6604" s="13"/>
      <c r="M6604" s="13"/>
      <c r="N6604" s="13"/>
      <c r="O6604" s="13"/>
      <c r="P6604" s="13"/>
      <c r="Q6604" s="13"/>
      <c r="R6604" s="13"/>
      <c r="S6604" s="13"/>
    </row>
    <row r="6605" spans="1:19" x14ac:dyDescent="0.2">
      <c r="A6605" s="15" t="s">
        <v>162</v>
      </c>
      <c r="B6605" s="15" t="s">
        <v>591</v>
      </c>
      <c r="C6605" s="15" t="s">
        <v>589</v>
      </c>
      <c r="D6605" s="13">
        <v>437044</v>
      </c>
      <c r="E6605" s="13">
        <v>436042</v>
      </c>
      <c r="F6605" s="13">
        <v>453142</v>
      </c>
      <c r="G6605" s="13">
        <v>418836</v>
      </c>
      <c r="H6605" s="13"/>
      <c r="I6605" s="13"/>
      <c r="J6605" s="13"/>
      <c r="K6605" s="13"/>
      <c r="L6605" s="13"/>
      <c r="M6605" s="13"/>
      <c r="N6605" s="13"/>
      <c r="O6605" s="13"/>
      <c r="P6605" s="13"/>
      <c r="Q6605" s="13"/>
      <c r="R6605" s="13"/>
      <c r="S6605" s="13"/>
    </row>
    <row r="6606" spans="1:19" x14ac:dyDescent="0.2">
      <c r="A6606" s="15" t="s">
        <v>162</v>
      </c>
      <c r="B6606" s="15" t="s">
        <v>574</v>
      </c>
      <c r="C6606" s="15" t="s">
        <v>589</v>
      </c>
      <c r="D6606" s="13">
        <v>651862</v>
      </c>
      <c r="E6606" s="13">
        <v>647180</v>
      </c>
      <c r="F6606" s="13">
        <v>658467</v>
      </c>
      <c r="G6606" s="13">
        <v>632891</v>
      </c>
      <c r="H6606" s="13"/>
      <c r="I6606" s="13"/>
      <c r="J6606" s="13"/>
      <c r="K6606" s="13"/>
      <c r="L6606" s="13"/>
      <c r="M6606" s="13"/>
      <c r="N6606" s="13"/>
      <c r="O6606" s="13"/>
      <c r="P6606" s="13"/>
      <c r="Q6606" s="13"/>
      <c r="R6606" s="13"/>
      <c r="S6606" s="13"/>
    </row>
    <row r="6607" spans="1:19" x14ac:dyDescent="0.2">
      <c r="A6607" s="15" t="s">
        <v>167</v>
      </c>
      <c r="B6607" s="15" t="s">
        <v>570</v>
      </c>
      <c r="C6607" s="15" t="s">
        <v>589</v>
      </c>
      <c r="D6607" s="13">
        <v>0</v>
      </c>
      <c r="E6607" s="13">
        <v>0</v>
      </c>
      <c r="F6607" s="13">
        <v>0</v>
      </c>
      <c r="G6607" s="13">
        <v>0</v>
      </c>
      <c r="H6607" s="13"/>
      <c r="I6607" s="13"/>
      <c r="J6607" s="13"/>
      <c r="K6607" s="13"/>
      <c r="L6607" s="13"/>
      <c r="M6607" s="13"/>
      <c r="N6607" s="13"/>
      <c r="O6607" s="13"/>
      <c r="P6607" s="13"/>
      <c r="Q6607" s="13"/>
      <c r="R6607" s="13"/>
      <c r="S6607" s="13"/>
    </row>
    <row r="6608" spans="1:19" x14ac:dyDescent="0.2">
      <c r="A6608" s="15" t="s">
        <v>167</v>
      </c>
      <c r="B6608" s="15" t="s">
        <v>590</v>
      </c>
      <c r="C6608" s="15" t="s">
        <v>589</v>
      </c>
      <c r="D6608" s="13">
        <v>43094</v>
      </c>
      <c r="E6608" s="13">
        <v>45028.72</v>
      </c>
      <c r="F6608" s="13">
        <v>40342.019999999997</v>
      </c>
      <c r="G6608" s="13">
        <v>32896.023999999998</v>
      </c>
      <c r="H6608" s="13"/>
      <c r="I6608" s="13"/>
      <c r="J6608" s="13"/>
      <c r="K6608" s="13"/>
      <c r="L6608" s="13"/>
      <c r="M6608" s="13"/>
      <c r="N6608" s="13"/>
      <c r="O6608" s="13"/>
      <c r="P6608" s="13"/>
      <c r="Q6608" s="13"/>
      <c r="R6608" s="13"/>
      <c r="S6608" s="13"/>
    </row>
    <row r="6609" spans="1:19" x14ac:dyDescent="0.2">
      <c r="A6609" s="15" t="s">
        <v>167</v>
      </c>
      <c r="B6609" s="15" t="s">
        <v>591</v>
      </c>
      <c r="C6609" s="15" t="s">
        <v>589</v>
      </c>
      <c r="D6609" s="13">
        <v>40900</v>
      </c>
      <c r="E6609" s="13">
        <v>42990.156999999999</v>
      </c>
      <c r="F6609" s="13">
        <v>50353.031000000003</v>
      </c>
      <c r="G6609" s="13">
        <v>57428.402000000002</v>
      </c>
      <c r="H6609" s="13"/>
      <c r="I6609" s="13"/>
      <c r="J6609" s="13"/>
      <c r="K6609" s="13"/>
      <c r="L6609" s="13"/>
      <c r="M6609" s="13"/>
      <c r="N6609" s="13"/>
      <c r="O6609" s="13"/>
      <c r="P6609" s="13"/>
      <c r="Q6609" s="13"/>
      <c r="R6609" s="13"/>
      <c r="S6609" s="13"/>
    </row>
    <row r="6610" spans="1:19" x14ac:dyDescent="0.2">
      <c r="A6610" s="15" t="s">
        <v>167</v>
      </c>
      <c r="B6610" s="15" t="s">
        <v>574</v>
      </c>
      <c r="C6610" s="15" t="s">
        <v>589</v>
      </c>
      <c r="D6610" s="13">
        <v>83994</v>
      </c>
      <c r="E6610" s="13">
        <v>88018.876999999993</v>
      </c>
      <c r="F6610" s="13">
        <v>90695.051000000007</v>
      </c>
      <c r="G6610" s="13">
        <v>90324.426000000007</v>
      </c>
      <c r="H6610" s="13"/>
      <c r="I6610" s="13"/>
      <c r="J6610" s="13"/>
      <c r="K6610" s="13"/>
      <c r="L6610" s="13"/>
      <c r="M6610" s="13"/>
      <c r="N6610" s="13"/>
      <c r="O6610" s="13"/>
      <c r="P6610" s="13"/>
      <c r="Q6610" s="13"/>
      <c r="R6610" s="13"/>
      <c r="S6610" s="13"/>
    </row>
    <row r="6611" spans="1:19" x14ac:dyDescent="0.2">
      <c r="A6611" s="15" t="s">
        <v>182</v>
      </c>
      <c r="B6611" s="15" t="s">
        <v>570</v>
      </c>
      <c r="C6611" s="15" t="s">
        <v>589</v>
      </c>
      <c r="D6611" s="13">
        <v>0</v>
      </c>
      <c r="E6611" s="13">
        <v>0</v>
      </c>
      <c r="F6611" s="13">
        <v>0</v>
      </c>
      <c r="G6611" s="13">
        <v>0</v>
      </c>
      <c r="H6611" s="13"/>
      <c r="I6611" s="13"/>
      <c r="J6611" s="13"/>
      <c r="K6611" s="13"/>
      <c r="L6611" s="13"/>
      <c r="M6611" s="13"/>
      <c r="N6611" s="13"/>
      <c r="O6611" s="13"/>
      <c r="P6611" s="13"/>
      <c r="Q6611" s="13"/>
      <c r="R6611" s="13"/>
      <c r="S6611" s="13"/>
    </row>
    <row r="6612" spans="1:19" x14ac:dyDescent="0.2">
      <c r="A6612" s="15" t="s">
        <v>182</v>
      </c>
      <c r="B6612" s="15" t="s">
        <v>590</v>
      </c>
      <c r="C6612" s="15" t="s">
        <v>589</v>
      </c>
      <c r="D6612" s="13">
        <v>27213</v>
      </c>
      <c r="E6612" s="13">
        <v>18276.232</v>
      </c>
      <c r="F6612" s="13">
        <v>20798.931</v>
      </c>
      <c r="G6612" s="13">
        <v>27061.701000000001</v>
      </c>
      <c r="H6612" s="13"/>
      <c r="I6612" s="13"/>
      <c r="J6612" s="13"/>
      <c r="K6612" s="13"/>
      <c r="L6612" s="13"/>
      <c r="M6612" s="13"/>
      <c r="N6612" s="13"/>
      <c r="O6612" s="13"/>
      <c r="P6612" s="13"/>
      <c r="Q6612" s="13"/>
      <c r="R6612" s="13"/>
      <c r="S6612" s="13"/>
    </row>
    <row r="6613" spans="1:19" x14ac:dyDescent="0.2">
      <c r="A6613" s="15" t="s">
        <v>182</v>
      </c>
      <c r="B6613" s="15" t="s">
        <v>591</v>
      </c>
      <c r="C6613" s="15" t="s">
        <v>589</v>
      </c>
      <c r="D6613" s="13">
        <v>52336</v>
      </c>
      <c r="E6613" s="13">
        <v>64956.934999999998</v>
      </c>
      <c r="F6613" s="13">
        <v>65181.184000000001</v>
      </c>
      <c r="G6613" s="13">
        <v>62177.453999999998</v>
      </c>
      <c r="H6613" s="13"/>
      <c r="I6613" s="13"/>
      <c r="J6613" s="13"/>
      <c r="K6613" s="13"/>
      <c r="L6613" s="13"/>
      <c r="M6613" s="13"/>
      <c r="N6613" s="13"/>
      <c r="O6613" s="13"/>
      <c r="P6613" s="13"/>
      <c r="Q6613" s="13"/>
      <c r="R6613" s="13"/>
      <c r="S6613" s="13"/>
    </row>
    <row r="6614" spans="1:19" x14ac:dyDescent="0.2">
      <c r="A6614" s="15" t="s">
        <v>182</v>
      </c>
      <c r="B6614" s="15" t="s">
        <v>574</v>
      </c>
      <c r="C6614" s="15" t="s">
        <v>589</v>
      </c>
      <c r="D6614" s="13">
        <v>79550</v>
      </c>
      <c r="E6614" s="13">
        <v>84054.323999999993</v>
      </c>
      <c r="F6614" s="13">
        <v>85992.838000000003</v>
      </c>
      <c r="G6614" s="13">
        <v>89269.691000000006</v>
      </c>
      <c r="H6614" s="13"/>
      <c r="I6614" s="13"/>
      <c r="J6614" s="13"/>
      <c r="K6614" s="13"/>
      <c r="L6614" s="13"/>
      <c r="M6614" s="13"/>
      <c r="N6614" s="13"/>
      <c r="O6614" s="13"/>
      <c r="P6614" s="13"/>
      <c r="Q6614" s="13"/>
      <c r="R6614" s="13"/>
      <c r="S6614" s="13"/>
    </row>
    <row r="6615" spans="1:19" x14ac:dyDescent="0.2">
      <c r="A6615" s="15" t="s">
        <v>188</v>
      </c>
      <c r="B6615" s="15" t="s">
        <v>570</v>
      </c>
      <c r="C6615" s="15" t="s">
        <v>589</v>
      </c>
      <c r="D6615" s="13">
        <v>0</v>
      </c>
      <c r="E6615" s="13">
        <v>0</v>
      </c>
      <c r="F6615" s="13">
        <v>0</v>
      </c>
      <c r="G6615" s="13">
        <v>0</v>
      </c>
      <c r="H6615" s="13"/>
      <c r="I6615" s="13"/>
      <c r="J6615" s="13"/>
      <c r="K6615" s="13"/>
      <c r="L6615" s="13"/>
      <c r="M6615" s="13"/>
      <c r="N6615" s="13"/>
      <c r="O6615" s="13"/>
      <c r="P6615" s="13"/>
      <c r="Q6615" s="13"/>
      <c r="R6615" s="13"/>
      <c r="S6615" s="13"/>
    </row>
    <row r="6616" spans="1:19" x14ac:dyDescent="0.2">
      <c r="A6616" s="15" t="s">
        <v>188</v>
      </c>
      <c r="B6616" s="15" t="s">
        <v>590</v>
      </c>
      <c r="C6616" s="15" t="s">
        <v>589</v>
      </c>
      <c r="D6616" s="13">
        <v>24</v>
      </c>
      <c r="E6616" s="13">
        <v>2.86</v>
      </c>
      <c r="F6616" s="13">
        <v>92.12</v>
      </c>
      <c r="G6616" s="13">
        <v>608.1</v>
      </c>
      <c r="H6616" s="13"/>
      <c r="I6616" s="13"/>
      <c r="J6616" s="13"/>
      <c r="K6616" s="13"/>
      <c r="L6616" s="13"/>
      <c r="M6616" s="13"/>
      <c r="N6616" s="13"/>
      <c r="O6616" s="13"/>
      <c r="P6616" s="13"/>
      <c r="Q6616" s="13"/>
      <c r="R6616" s="13"/>
      <c r="S6616" s="13"/>
    </row>
    <row r="6617" spans="1:19" x14ac:dyDescent="0.2">
      <c r="A6617" s="15" t="s">
        <v>188</v>
      </c>
      <c r="B6617" s="15" t="s">
        <v>591</v>
      </c>
      <c r="C6617" s="15" t="s">
        <v>589</v>
      </c>
      <c r="D6617" s="13">
        <v>11706</v>
      </c>
      <c r="E6617" s="13">
        <v>12734.188</v>
      </c>
      <c r="F6617" s="13">
        <v>12581.316999999999</v>
      </c>
      <c r="G6617" s="13">
        <v>11404.802</v>
      </c>
      <c r="H6617" s="13"/>
      <c r="I6617" s="13"/>
      <c r="J6617" s="13"/>
      <c r="K6617" s="13"/>
      <c r="L6617" s="13"/>
      <c r="M6617" s="13"/>
      <c r="N6617" s="13"/>
      <c r="O6617" s="13"/>
      <c r="P6617" s="13"/>
      <c r="Q6617" s="13"/>
      <c r="R6617" s="13"/>
      <c r="S6617" s="13"/>
    </row>
    <row r="6618" spans="1:19" x14ac:dyDescent="0.2">
      <c r="A6618" s="15" t="s">
        <v>188</v>
      </c>
      <c r="B6618" s="15" t="s">
        <v>574</v>
      </c>
      <c r="C6618" s="15" t="s">
        <v>589</v>
      </c>
      <c r="D6618" s="13">
        <v>11730</v>
      </c>
      <c r="E6618" s="13">
        <v>12737.048000000001</v>
      </c>
      <c r="F6618" s="13">
        <v>12673.437</v>
      </c>
      <c r="G6618" s="13">
        <v>12012.902</v>
      </c>
      <c r="H6618" s="13"/>
      <c r="I6618" s="13"/>
      <c r="J6618" s="13"/>
      <c r="K6618" s="13"/>
      <c r="L6618" s="13"/>
      <c r="M6618" s="13"/>
      <c r="N6618" s="13"/>
      <c r="O6618" s="13"/>
      <c r="P6618" s="13"/>
      <c r="Q6618" s="13"/>
      <c r="R6618" s="13"/>
      <c r="S6618" s="13"/>
    </row>
    <row r="6619" spans="1:19" x14ac:dyDescent="0.2">
      <c r="A6619" s="15" t="s">
        <v>196</v>
      </c>
      <c r="B6619" s="15" t="s">
        <v>570</v>
      </c>
      <c r="C6619" s="15" t="s">
        <v>589</v>
      </c>
      <c r="D6619" s="13">
        <v>30043</v>
      </c>
      <c r="E6619" s="13">
        <v>30731.18</v>
      </c>
      <c r="F6619" s="13">
        <v>31021.81</v>
      </c>
      <c r="G6619" s="13">
        <v>30410.464</v>
      </c>
      <c r="H6619" s="13"/>
      <c r="I6619" s="13"/>
      <c r="J6619" s="13"/>
      <c r="K6619" s="13"/>
      <c r="L6619" s="13"/>
      <c r="M6619" s="13"/>
      <c r="N6619" s="13"/>
      <c r="O6619" s="13"/>
      <c r="P6619" s="13"/>
      <c r="Q6619" s="13"/>
      <c r="R6619" s="13"/>
      <c r="S6619" s="13"/>
    </row>
    <row r="6620" spans="1:19" x14ac:dyDescent="0.2">
      <c r="A6620" s="15" t="s">
        <v>196</v>
      </c>
      <c r="B6620" s="15" t="s">
        <v>590</v>
      </c>
      <c r="C6620" s="15" t="s">
        <v>589</v>
      </c>
      <c r="D6620" s="13">
        <v>39624</v>
      </c>
      <c r="E6620" s="13">
        <v>42191.169000000002</v>
      </c>
      <c r="F6620" s="13">
        <v>41837.710000000006</v>
      </c>
      <c r="G6620" s="13">
        <v>34146.557000000001</v>
      </c>
      <c r="H6620" s="13"/>
      <c r="I6620" s="13"/>
      <c r="J6620" s="13"/>
      <c r="K6620" s="13"/>
      <c r="L6620" s="13"/>
      <c r="M6620" s="13"/>
      <c r="N6620" s="13"/>
      <c r="O6620" s="13"/>
      <c r="P6620" s="13"/>
      <c r="Q6620" s="13"/>
      <c r="R6620" s="13"/>
      <c r="S6620" s="13"/>
    </row>
    <row r="6621" spans="1:19" x14ac:dyDescent="0.2">
      <c r="A6621" s="15" t="s">
        <v>196</v>
      </c>
      <c r="B6621" s="15" t="s">
        <v>591</v>
      </c>
      <c r="C6621" s="15" t="s">
        <v>589</v>
      </c>
      <c r="D6621" s="13">
        <v>10352</v>
      </c>
      <c r="E6621" s="13">
        <v>10644.579</v>
      </c>
      <c r="F6621" s="13">
        <v>10766.734</v>
      </c>
      <c r="G6621" s="13">
        <v>11147.17</v>
      </c>
      <c r="H6621" s="13"/>
      <c r="I6621" s="13"/>
      <c r="J6621" s="13"/>
      <c r="K6621" s="13"/>
      <c r="L6621" s="13"/>
      <c r="M6621" s="13"/>
      <c r="N6621" s="13"/>
      <c r="O6621" s="13"/>
      <c r="P6621" s="13"/>
      <c r="Q6621" s="13"/>
      <c r="R6621" s="13"/>
      <c r="S6621" s="13"/>
    </row>
    <row r="6622" spans="1:19" x14ac:dyDescent="0.2">
      <c r="A6622" s="15" t="s">
        <v>196</v>
      </c>
      <c r="B6622" s="15" t="s">
        <v>574</v>
      </c>
      <c r="C6622" s="15" t="s">
        <v>589</v>
      </c>
      <c r="D6622" s="13">
        <v>80231</v>
      </c>
      <c r="E6622" s="13">
        <v>83804.274999999994</v>
      </c>
      <c r="F6622" s="13">
        <v>83860.976999999999</v>
      </c>
      <c r="G6622" s="13">
        <v>75939.822</v>
      </c>
      <c r="H6622" s="13"/>
      <c r="I6622" s="13"/>
      <c r="J6622" s="13"/>
      <c r="K6622" s="13"/>
      <c r="L6622" s="13"/>
      <c r="M6622" s="13"/>
      <c r="N6622" s="13"/>
      <c r="O6622" s="13"/>
      <c r="P6622" s="13"/>
      <c r="Q6622" s="13"/>
      <c r="R6622" s="13"/>
      <c r="S6622" s="13"/>
    </row>
    <row r="6623" spans="1:19" x14ac:dyDescent="0.2">
      <c r="A6623" s="15" t="s">
        <v>204</v>
      </c>
      <c r="B6623" s="15" t="s">
        <v>570</v>
      </c>
      <c r="C6623" s="15" t="s">
        <v>589</v>
      </c>
      <c r="D6623" s="13">
        <v>0</v>
      </c>
      <c r="E6623" s="13">
        <v>0</v>
      </c>
      <c r="F6623" s="13">
        <v>0</v>
      </c>
      <c r="G6623" s="13">
        <v>0</v>
      </c>
      <c r="H6623" s="13"/>
      <c r="I6623" s="13"/>
      <c r="J6623" s="13"/>
      <c r="K6623" s="13"/>
      <c r="L6623" s="13"/>
      <c r="M6623" s="13"/>
      <c r="N6623" s="13"/>
      <c r="O6623" s="13"/>
      <c r="P6623" s="13"/>
      <c r="Q6623" s="13"/>
      <c r="R6623" s="13"/>
      <c r="S6623" s="13"/>
    </row>
    <row r="6624" spans="1:19" x14ac:dyDescent="0.2">
      <c r="A6624" s="15" t="s">
        <v>204</v>
      </c>
      <c r="B6624" s="15" t="s">
        <v>590</v>
      </c>
      <c r="C6624" s="15" t="s">
        <v>589</v>
      </c>
      <c r="D6624" s="13">
        <v>4509</v>
      </c>
      <c r="E6624" s="13">
        <v>6158.1440000000002</v>
      </c>
      <c r="F6624" s="13">
        <v>5776.2910000000002</v>
      </c>
      <c r="G6624" s="13">
        <v>3764.288</v>
      </c>
      <c r="H6624" s="13"/>
      <c r="I6624" s="13"/>
      <c r="J6624" s="13"/>
      <c r="K6624" s="13"/>
      <c r="L6624" s="13"/>
      <c r="M6624" s="13"/>
      <c r="N6624" s="13"/>
      <c r="O6624" s="13"/>
      <c r="P6624" s="13"/>
      <c r="Q6624" s="13"/>
      <c r="R6624" s="13"/>
      <c r="S6624" s="13"/>
    </row>
    <row r="6625" spans="1:19" x14ac:dyDescent="0.2">
      <c r="A6625" s="15" t="s">
        <v>204</v>
      </c>
      <c r="B6625" s="15" t="s">
        <v>591</v>
      </c>
      <c r="C6625" s="15" t="s">
        <v>589</v>
      </c>
      <c r="D6625" s="13">
        <v>23447</v>
      </c>
      <c r="E6625" s="13">
        <v>26097.975999999999</v>
      </c>
      <c r="F6625" s="13">
        <v>28512.843000000001</v>
      </c>
      <c r="G6625" s="13">
        <v>29212.913</v>
      </c>
      <c r="H6625" s="13"/>
      <c r="I6625" s="13"/>
      <c r="J6625" s="13"/>
      <c r="K6625" s="13"/>
      <c r="L6625" s="13"/>
      <c r="M6625" s="13"/>
      <c r="N6625" s="13"/>
      <c r="O6625" s="13"/>
      <c r="P6625" s="13"/>
      <c r="Q6625" s="13"/>
      <c r="R6625" s="13"/>
      <c r="S6625" s="13"/>
    </row>
    <row r="6626" spans="1:19" x14ac:dyDescent="0.2">
      <c r="A6626" s="15" t="s">
        <v>204</v>
      </c>
      <c r="B6626" s="15" t="s">
        <v>574</v>
      </c>
      <c r="C6626" s="15" t="s">
        <v>589</v>
      </c>
      <c r="D6626" s="13">
        <v>28729</v>
      </c>
      <c r="E6626" s="13">
        <v>33050.614999999998</v>
      </c>
      <c r="F6626" s="13">
        <v>35123.887999999999</v>
      </c>
      <c r="G6626" s="13">
        <v>33732.93</v>
      </c>
      <c r="H6626" s="13"/>
      <c r="I6626" s="13"/>
      <c r="J6626" s="13"/>
      <c r="K6626" s="13"/>
      <c r="L6626" s="13"/>
      <c r="M6626" s="13"/>
      <c r="N6626" s="13"/>
      <c r="O6626" s="13"/>
      <c r="P6626" s="13"/>
      <c r="Q6626" s="13"/>
      <c r="R6626" s="13"/>
      <c r="S6626" s="13"/>
    </row>
    <row r="6627" spans="1:19" x14ac:dyDescent="0.2">
      <c r="A6627" s="15" t="s">
        <v>221</v>
      </c>
      <c r="B6627" s="15" t="s">
        <v>570</v>
      </c>
      <c r="C6627" s="15" t="s">
        <v>589</v>
      </c>
      <c r="D6627" s="13">
        <v>0</v>
      </c>
      <c r="E6627" s="13">
        <v>0</v>
      </c>
      <c r="F6627" s="13">
        <v>0</v>
      </c>
      <c r="G6627" s="13">
        <v>0</v>
      </c>
      <c r="H6627" s="13"/>
      <c r="I6627" s="13"/>
      <c r="J6627" s="13"/>
      <c r="K6627" s="13"/>
      <c r="L6627" s="13"/>
      <c r="M6627" s="13"/>
      <c r="N6627" s="13"/>
      <c r="O6627" s="13"/>
      <c r="P6627" s="13"/>
      <c r="Q6627" s="13"/>
      <c r="R6627" s="13"/>
      <c r="S6627" s="13"/>
    </row>
    <row r="6628" spans="1:19" x14ac:dyDescent="0.2">
      <c r="A6628" s="15" t="s">
        <v>221</v>
      </c>
      <c r="B6628" s="15" t="s">
        <v>590</v>
      </c>
      <c r="C6628" s="15" t="s">
        <v>589</v>
      </c>
      <c r="D6628" s="13">
        <v>3033</v>
      </c>
      <c r="E6628" s="13">
        <v>4233.7780000000002</v>
      </c>
      <c r="F6628" s="13">
        <v>5985.558</v>
      </c>
      <c r="G6628" s="13">
        <v>2850.0540000000001</v>
      </c>
      <c r="H6628" s="13"/>
      <c r="I6628" s="13"/>
      <c r="J6628" s="13"/>
      <c r="K6628" s="13"/>
      <c r="L6628" s="13"/>
      <c r="M6628" s="13"/>
      <c r="N6628" s="13"/>
      <c r="O6628" s="13"/>
      <c r="P6628" s="13"/>
      <c r="Q6628" s="13"/>
      <c r="R6628" s="13"/>
      <c r="S6628" s="13"/>
    </row>
    <row r="6629" spans="1:19" x14ac:dyDescent="0.2">
      <c r="A6629" s="15" t="s">
        <v>221</v>
      </c>
      <c r="B6629" s="15" t="s">
        <v>591</v>
      </c>
      <c r="C6629" s="15" t="s">
        <v>589</v>
      </c>
      <c r="D6629" s="13">
        <v>2971</v>
      </c>
      <c r="E6629" s="13">
        <v>2878.5329999999999</v>
      </c>
      <c r="F6629" s="13">
        <v>2856.152</v>
      </c>
      <c r="G6629" s="13">
        <v>2805.1120000000001</v>
      </c>
      <c r="H6629" s="13"/>
      <c r="I6629" s="13"/>
      <c r="J6629" s="13"/>
      <c r="K6629" s="13"/>
      <c r="L6629" s="13"/>
      <c r="M6629" s="13"/>
      <c r="N6629" s="13"/>
      <c r="O6629" s="13"/>
      <c r="P6629" s="13"/>
      <c r="Q6629" s="13"/>
      <c r="R6629" s="13"/>
      <c r="S6629" s="13"/>
    </row>
    <row r="6630" spans="1:19" x14ac:dyDescent="0.2">
      <c r="A6630" s="15" t="s">
        <v>221</v>
      </c>
      <c r="B6630" s="15" t="s">
        <v>574</v>
      </c>
      <c r="C6630" s="15" t="s">
        <v>589</v>
      </c>
      <c r="D6630" s="13">
        <v>6078</v>
      </c>
      <c r="E6630" s="13">
        <v>7204.4589999999998</v>
      </c>
      <c r="F6630" s="13">
        <v>8936.8490000000002</v>
      </c>
      <c r="G6630" s="13">
        <v>5745.0429999999997</v>
      </c>
      <c r="H6630" s="13"/>
      <c r="I6630" s="13"/>
      <c r="J6630" s="13"/>
      <c r="K6630" s="13"/>
      <c r="L6630" s="13"/>
      <c r="M6630" s="13"/>
      <c r="N6630" s="13"/>
      <c r="O6630" s="13"/>
      <c r="P6630" s="13"/>
      <c r="Q6630" s="13"/>
      <c r="R6630" s="13"/>
      <c r="S6630" s="13"/>
    </row>
    <row r="6631" spans="1:19" x14ac:dyDescent="0.2">
      <c r="A6631" s="15" t="s">
        <v>225</v>
      </c>
      <c r="B6631" s="15" t="s">
        <v>570</v>
      </c>
      <c r="C6631" s="15" t="s">
        <v>589</v>
      </c>
      <c r="D6631" s="13">
        <v>23291</v>
      </c>
      <c r="E6631" s="13">
        <v>23598</v>
      </c>
      <c r="F6631" s="13">
        <v>25336</v>
      </c>
      <c r="G6631" s="13">
        <v>34308</v>
      </c>
      <c r="H6631" s="13"/>
      <c r="I6631" s="13"/>
      <c r="J6631" s="13"/>
      <c r="K6631" s="13"/>
      <c r="L6631" s="13"/>
      <c r="M6631" s="13"/>
      <c r="N6631" s="13"/>
      <c r="O6631" s="13"/>
      <c r="P6631" s="13"/>
      <c r="Q6631" s="13"/>
      <c r="R6631" s="13"/>
      <c r="S6631" s="13"/>
    </row>
    <row r="6632" spans="1:19" x14ac:dyDescent="0.2">
      <c r="A6632" s="15" t="s">
        <v>225</v>
      </c>
      <c r="B6632" s="15" t="s">
        <v>590</v>
      </c>
      <c r="C6632" s="15" t="s">
        <v>589</v>
      </c>
      <c r="D6632" s="13">
        <v>9372</v>
      </c>
      <c r="E6632" s="13">
        <v>9582</v>
      </c>
      <c r="F6632" s="13">
        <v>7400</v>
      </c>
      <c r="G6632" s="13">
        <v>4264</v>
      </c>
      <c r="H6632" s="13"/>
      <c r="I6632" s="13"/>
      <c r="J6632" s="13"/>
      <c r="K6632" s="13"/>
      <c r="L6632" s="13"/>
      <c r="M6632" s="13"/>
      <c r="N6632" s="13"/>
      <c r="O6632" s="13"/>
      <c r="P6632" s="13"/>
      <c r="Q6632" s="13"/>
      <c r="R6632" s="13"/>
      <c r="S6632" s="13"/>
    </row>
    <row r="6633" spans="1:19" x14ac:dyDescent="0.2">
      <c r="A6633" s="15" t="s">
        <v>225</v>
      </c>
      <c r="B6633" s="15" t="s">
        <v>591</v>
      </c>
      <c r="C6633" s="15" t="s">
        <v>589</v>
      </c>
      <c r="D6633" s="13">
        <v>35928</v>
      </c>
      <c r="E6633" s="13">
        <v>38175.373</v>
      </c>
      <c r="F6633" s="13">
        <v>38667.21</v>
      </c>
      <c r="G6633" s="13">
        <v>42301.665999999997</v>
      </c>
      <c r="H6633" s="13"/>
      <c r="I6633" s="13"/>
      <c r="J6633" s="13"/>
      <c r="K6633" s="13"/>
      <c r="L6633" s="13"/>
      <c r="M6633" s="13"/>
      <c r="N6633" s="13"/>
      <c r="O6633" s="13"/>
      <c r="P6633" s="13"/>
      <c r="Q6633" s="13"/>
      <c r="R6633" s="13"/>
      <c r="S6633" s="13"/>
    </row>
    <row r="6634" spans="1:19" x14ac:dyDescent="0.2">
      <c r="A6634" s="15" t="s">
        <v>225</v>
      </c>
      <c r="B6634" s="15" t="s">
        <v>574</v>
      </c>
      <c r="C6634" s="15" t="s">
        <v>589</v>
      </c>
      <c r="D6634" s="13">
        <v>69268</v>
      </c>
      <c r="E6634" s="13">
        <v>72120.664999999994</v>
      </c>
      <c r="F6634" s="13">
        <v>72186.671000000002</v>
      </c>
      <c r="G6634" s="13">
        <v>81540.452000000005</v>
      </c>
      <c r="H6634" s="13"/>
      <c r="I6634" s="13"/>
      <c r="J6634" s="13"/>
      <c r="K6634" s="13"/>
      <c r="L6634" s="13"/>
      <c r="M6634" s="13"/>
      <c r="N6634" s="13"/>
      <c r="O6634" s="13"/>
      <c r="P6634" s="13"/>
      <c r="Q6634" s="13"/>
      <c r="R6634" s="13"/>
      <c r="S6634" s="13"/>
    </row>
    <row r="6635" spans="1:19" x14ac:dyDescent="0.2">
      <c r="A6635" s="15" t="s">
        <v>231</v>
      </c>
      <c r="B6635" s="15" t="s">
        <v>570</v>
      </c>
      <c r="C6635" s="15" t="s">
        <v>589</v>
      </c>
      <c r="D6635" s="13">
        <v>353833</v>
      </c>
      <c r="E6635" s="13">
        <v>379361.29200000002</v>
      </c>
      <c r="F6635" s="13">
        <v>294731.038</v>
      </c>
      <c r="G6635" s="13">
        <v>338202.283</v>
      </c>
      <c r="H6635" s="13"/>
      <c r="I6635" s="13"/>
      <c r="J6635" s="13"/>
      <c r="K6635" s="13"/>
      <c r="L6635" s="13"/>
      <c r="M6635" s="13"/>
      <c r="N6635" s="13"/>
      <c r="O6635" s="13"/>
      <c r="P6635" s="13"/>
      <c r="Q6635" s="13"/>
      <c r="R6635" s="13"/>
      <c r="S6635" s="13"/>
    </row>
    <row r="6636" spans="1:19" x14ac:dyDescent="0.2">
      <c r="A6636" s="15" t="s">
        <v>231</v>
      </c>
      <c r="B6636" s="15" t="s">
        <v>590</v>
      </c>
      <c r="C6636" s="15" t="s">
        <v>589</v>
      </c>
      <c r="D6636" s="13">
        <v>45784</v>
      </c>
      <c r="E6636" s="13">
        <v>46367.476999999999</v>
      </c>
      <c r="F6636" s="13">
        <v>56221.853000000003</v>
      </c>
      <c r="G6636" s="13">
        <v>39095.319000000003</v>
      </c>
      <c r="H6636" s="13"/>
      <c r="I6636" s="13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</row>
    <row r="6637" spans="1:19" x14ac:dyDescent="0.2">
      <c r="A6637" s="15" t="s">
        <v>231</v>
      </c>
      <c r="B6637" s="15" t="s">
        <v>591</v>
      </c>
      <c r="C6637" s="15" t="s">
        <v>589</v>
      </c>
      <c r="D6637" s="13">
        <v>125820</v>
      </c>
      <c r="E6637" s="13">
        <v>122760.931</v>
      </c>
      <c r="F6637" s="13">
        <v>114379.091</v>
      </c>
      <c r="G6637" s="13">
        <v>140442.23699999999</v>
      </c>
      <c r="H6637" s="13"/>
      <c r="I6637" s="13"/>
      <c r="J6637" s="13"/>
      <c r="K6637" s="13"/>
      <c r="L6637" s="13"/>
      <c r="M6637" s="13"/>
      <c r="N6637" s="13"/>
      <c r="O6637" s="13"/>
      <c r="P6637" s="13"/>
      <c r="Q6637" s="13"/>
      <c r="R6637" s="13"/>
      <c r="S6637" s="13"/>
    </row>
    <row r="6638" spans="1:19" x14ac:dyDescent="0.2">
      <c r="A6638" s="15" t="s">
        <v>231</v>
      </c>
      <c r="B6638" s="15" t="s">
        <v>574</v>
      </c>
      <c r="C6638" s="15" t="s">
        <v>589</v>
      </c>
      <c r="D6638" s="13">
        <v>528390</v>
      </c>
      <c r="E6638" s="13">
        <v>551310.679</v>
      </c>
      <c r="F6638" s="13">
        <v>468144.13799999998</v>
      </c>
      <c r="G6638" s="13">
        <v>521466.88699999999</v>
      </c>
      <c r="H6638" s="13"/>
      <c r="I6638" s="13"/>
      <c r="J6638" s="13"/>
      <c r="K6638" s="13"/>
      <c r="L6638" s="13"/>
      <c r="M6638" s="13"/>
      <c r="N6638" s="13"/>
      <c r="O6638" s="13"/>
      <c r="P6638" s="13"/>
      <c r="Q6638" s="13"/>
      <c r="R6638" s="13"/>
      <c r="S6638" s="13"/>
    </row>
    <row r="6639" spans="1:19" x14ac:dyDescent="0.2">
      <c r="A6639" s="15" t="s">
        <v>198</v>
      </c>
      <c r="B6639" s="15" t="s">
        <v>570</v>
      </c>
      <c r="C6639" s="15" t="s">
        <v>589</v>
      </c>
      <c r="D6639" s="13">
        <v>64382</v>
      </c>
      <c r="E6639" s="13">
        <v>69130</v>
      </c>
      <c r="F6639" s="13">
        <v>34709</v>
      </c>
      <c r="G6639" s="13">
        <v>7216</v>
      </c>
      <c r="H6639" s="13"/>
      <c r="I6639" s="13"/>
      <c r="J6639" s="13"/>
      <c r="K6639" s="13"/>
      <c r="L6639" s="13"/>
      <c r="M6639" s="13"/>
      <c r="N6639" s="13"/>
      <c r="O6639" s="13"/>
      <c r="P6639" s="13"/>
      <c r="Q6639" s="13"/>
      <c r="R6639" s="13"/>
      <c r="S6639" s="13"/>
    </row>
    <row r="6640" spans="1:19" x14ac:dyDescent="0.2">
      <c r="A6640" s="15" t="s">
        <v>198</v>
      </c>
      <c r="B6640" s="15" t="s">
        <v>590</v>
      </c>
      <c r="C6640" s="15" t="s">
        <v>589</v>
      </c>
      <c r="D6640" s="13">
        <v>244678</v>
      </c>
      <c r="E6640" s="13">
        <v>276447</v>
      </c>
      <c r="F6640" s="13">
        <v>278338.01500000001</v>
      </c>
      <c r="G6640" s="13">
        <v>221139.34099999999</v>
      </c>
      <c r="H6640" s="13"/>
      <c r="I6640" s="13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</row>
    <row r="6641" spans="1:19" x14ac:dyDescent="0.2">
      <c r="A6641" s="15" t="s">
        <v>198</v>
      </c>
      <c r="B6641" s="15" t="s">
        <v>591</v>
      </c>
      <c r="C6641" s="15" t="s">
        <v>589</v>
      </c>
      <c r="D6641" s="13">
        <v>251481</v>
      </c>
      <c r="E6641" s="13">
        <v>233638.2</v>
      </c>
      <c r="F6641" s="13">
        <v>252268</v>
      </c>
      <c r="G6641" s="13">
        <v>270110</v>
      </c>
      <c r="H6641" s="13"/>
      <c r="I6641" s="13"/>
      <c r="J6641" s="13"/>
      <c r="K6641" s="13"/>
      <c r="L6641" s="13"/>
      <c r="M6641" s="13"/>
      <c r="N6641" s="13"/>
      <c r="O6641" s="13"/>
      <c r="P6641" s="13"/>
      <c r="Q6641" s="13"/>
      <c r="R6641" s="13"/>
      <c r="S6641" s="13"/>
    </row>
    <row r="6642" spans="1:19" x14ac:dyDescent="0.2">
      <c r="A6642" s="15" t="s">
        <v>198</v>
      </c>
      <c r="B6642" s="15" t="s">
        <v>574</v>
      </c>
      <c r="C6642" s="15" t="s">
        <v>589</v>
      </c>
      <c r="D6642" s="13">
        <v>568908</v>
      </c>
      <c r="E6642" s="13">
        <v>587484.19999999995</v>
      </c>
      <c r="F6642" s="13">
        <v>572998.01500000001</v>
      </c>
      <c r="G6642" s="13">
        <v>506438.24300000002</v>
      </c>
      <c r="H6642" s="13"/>
      <c r="I6642" s="13"/>
      <c r="J6642" s="13"/>
      <c r="K6642" s="13"/>
      <c r="L6642" s="13"/>
      <c r="M6642" s="13"/>
      <c r="N6642" s="13"/>
      <c r="O6642" s="13"/>
      <c r="P6642" s="13"/>
      <c r="Q6642" s="13"/>
      <c r="R6642" s="13"/>
      <c r="S6642" s="13"/>
    </row>
    <row r="6643" spans="1:19" x14ac:dyDescent="0.2">
      <c r="A6643" s="15" t="s">
        <v>257</v>
      </c>
      <c r="B6643" s="15" t="s">
        <v>570</v>
      </c>
      <c r="C6643" s="15" t="s">
        <v>589</v>
      </c>
      <c r="D6643" s="13">
        <v>0</v>
      </c>
      <c r="E6643" s="13">
        <v>0</v>
      </c>
      <c r="F6643" s="13">
        <v>0</v>
      </c>
      <c r="G6643" s="13">
        <v>0</v>
      </c>
      <c r="H6643" s="13"/>
      <c r="I6643" s="13"/>
      <c r="J6643" s="13"/>
      <c r="K6643" s="13"/>
      <c r="L6643" s="13"/>
      <c r="M6643" s="13"/>
      <c r="N6643" s="13"/>
      <c r="O6643" s="13"/>
      <c r="P6643" s="13"/>
      <c r="Q6643" s="13"/>
      <c r="R6643" s="13"/>
      <c r="S6643" s="13"/>
    </row>
    <row r="6644" spans="1:19" x14ac:dyDescent="0.2">
      <c r="A6644" s="15" t="s">
        <v>257</v>
      </c>
      <c r="B6644" s="15" t="s">
        <v>590</v>
      </c>
      <c r="C6644" s="15" t="s">
        <v>589</v>
      </c>
      <c r="D6644" s="13">
        <v>30561</v>
      </c>
      <c r="E6644" s="13">
        <v>32478.499</v>
      </c>
      <c r="F6644" s="13">
        <v>30023.556</v>
      </c>
      <c r="G6644" s="13">
        <v>25259.175999999999</v>
      </c>
      <c r="H6644" s="13"/>
      <c r="I6644" s="13"/>
      <c r="J6644" s="13"/>
      <c r="K6644" s="13"/>
      <c r="L6644" s="13"/>
      <c r="M6644" s="13"/>
      <c r="N6644" s="13"/>
      <c r="O6644" s="13"/>
      <c r="P6644" s="13"/>
      <c r="Q6644" s="13"/>
      <c r="R6644" s="13"/>
      <c r="S6644" s="13"/>
    </row>
    <row r="6645" spans="1:19" x14ac:dyDescent="0.2">
      <c r="A6645" s="15" t="s">
        <v>257</v>
      </c>
      <c r="B6645" s="15" t="s">
        <v>591</v>
      </c>
      <c r="C6645" s="15" t="s">
        <v>589</v>
      </c>
      <c r="D6645" s="13">
        <v>17554</v>
      </c>
      <c r="E6645" s="13">
        <v>22136.602999999999</v>
      </c>
      <c r="F6645" s="13">
        <v>22446.760999999999</v>
      </c>
      <c r="G6645" s="13">
        <v>24385.514999999999</v>
      </c>
      <c r="H6645" s="13"/>
      <c r="I6645" s="13"/>
      <c r="J6645" s="13"/>
      <c r="K6645" s="13"/>
      <c r="L6645" s="13"/>
      <c r="M6645" s="13"/>
      <c r="N6645" s="13"/>
      <c r="O6645" s="13"/>
      <c r="P6645" s="13"/>
      <c r="Q6645" s="13"/>
      <c r="R6645" s="13"/>
      <c r="S6645" s="13"/>
    </row>
    <row r="6646" spans="1:19" x14ac:dyDescent="0.2">
      <c r="A6646" s="15" t="s">
        <v>257</v>
      </c>
      <c r="B6646" s="15" t="s">
        <v>574</v>
      </c>
      <c r="C6646" s="15" t="s">
        <v>589</v>
      </c>
      <c r="D6646" s="13">
        <v>48155</v>
      </c>
      <c r="E6646" s="13">
        <v>54657.129000000001</v>
      </c>
      <c r="F6646" s="13">
        <v>52525.447</v>
      </c>
      <c r="G6646" s="13">
        <v>49687.491000000002</v>
      </c>
      <c r="H6646" s="13"/>
      <c r="I6646" s="13"/>
      <c r="J6646" s="13"/>
      <c r="K6646" s="13"/>
      <c r="L6646" s="13"/>
      <c r="M6646" s="13"/>
      <c r="N6646" s="13"/>
      <c r="O6646" s="13"/>
      <c r="P6646" s="13"/>
      <c r="Q6646" s="13"/>
      <c r="R6646" s="13"/>
      <c r="S6646" s="13"/>
    </row>
    <row r="6647" spans="1:19" x14ac:dyDescent="0.2">
      <c r="A6647" s="15" t="s">
        <v>279</v>
      </c>
      <c r="B6647" s="15" t="s">
        <v>570</v>
      </c>
      <c r="C6647" s="15" t="s">
        <v>589</v>
      </c>
      <c r="D6647" s="13">
        <v>16055</v>
      </c>
      <c r="E6647" s="13">
        <v>15990</v>
      </c>
      <c r="F6647" s="13">
        <v>15812</v>
      </c>
      <c r="G6647" s="13">
        <v>15918</v>
      </c>
      <c r="H6647" s="13"/>
      <c r="I6647" s="13"/>
      <c r="J6647" s="13"/>
      <c r="K6647" s="13"/>
      <c r="L6647" s="13"/>
      <c r="M6647" s="13"/>
      <c r="N6647" s="13"/>
      <c r="O6647" s="13"/>
      <c r="P6647" s="13"/>
      <c r="Q6647" s="13"/>
      <c r="R6647" s="13"/>
      <c r="S6647" s="13"/>
    </row>
    <row r="6648" spans="1:19" x14ac:dyDescent="0.2">
      <c r="A6648" s="15" t="s">
        <v>279</v>
      </c>
      <c r="B6648" s="15" t="s">
        <v>590</v>
      </c>
      <c r="C6648" s="15" t="s">
        <v>589</v>
      </c>
      <c r="D6648" s="13">
        <v>12962</v>
      </c>
      <c r="E6648" s="13">
        <v>12817.3</v>
      </c>
      <c r="F6648" s="13">
        <v>11996.4</v>
      </c>
      <c r="G6648" s="13">
        <v>9843.2999999999993</v>
      </c>
      <c r="H6648" s="13"/>
      <c r="I6648" s="13"/>
      <c r="J6648" s="13"/>
      <c r="K6648" s="13"/>
      <c r="L6648" s="13"/>
      <c r="M6648" s="13"/>
      <c r="N6648" s="13"/>
      <c r="O6648" s="13"/>
      <c r="P6648" s="13"/>
      <c r="Q6648" s="13"/>
      <c r="R6648" s="13"/>
      <c r="S6648" s="13"/>
    </row>
    <row r="6649" spans="1:19" x14ac:dyDescent="0.2">
      <c r="A6649" s="15" t="s">
        <v>279</v>
      </c>
      <c r="B6649" s="15" t="s">
        <v>591</v>
      </c>
      <c r="C6649" s="15" t="s">
        <v>589</v>
      </c>
      <c r="D6649" s="13">
        <v>5529</v>
      </c>
      <c r="E6649" s="13">
        <v>6915</v>
      </c>
      <c r="F6649" s="13">
        <v>7662</v>
      </c>
      <c r="G6649" s="13">
        <v>9373</v>
      </c>
      <c r="H6649" s="13"/>
      <c r="I6649" s="13"/>
      <c r="J6649" s="13"/>
      <c r="K6649" s="13"/>
      <c r="L6649" s="13"/>
      <c r="M6649" s="13"/>
      <c r="N6649" s="13"/>
      <c r="O6649" s="13"/>
      <c r="P6649" s="13"/>
      <c r="Q6649" s="13"/>
      <c r="R6649" s="13"/>
      <c r="S6649" s="13"/>
    </row>
    <row r="6650" spans="1:19" x14ac:dyDescent="0.2">
      <c r="A6650" s="15" t="s">
        <v>279</v>
      </c>
      <c r="B6650" s="15" t="s">
        <v>574</v>
      </c>
      <c r="C6650" s="15" t="s">
        <v>589</v>
      </c>
      <c r="D6650" s="13">
        <v>34930</v>
      </c>
      <c r="E6650" s="13">
        <v>36120.300000000003</v>
      </c>
      <c r="F6650" s="13">
        <v>35801.760000000002</v>
      </c>
      <c r="G6650" s="13">
        <v>35545.822</v>
      </c>
      <c r="H6650" s="13"/>
      <c r="I6650" s="13"/>
      <c r="J6650" s="13"/>
      <c r="K6650" s="13"/>
      <c r="L6650" s="13"/>
      <c r="M6650" s="13"/>
      <c r="N6650" s="13"/>
      <c r="O6650" s="13"/>
      <c r="P6650" s="13"/>
      <c r="Q6650" s="13"/>
      <c r="R6650" s="13"/>
      <c r="S6650" s="13"/>
    </row>
    <row r="6651" spans="1:19" x14ac:dyDescent="0.2">
      <c r="A6651" s="15" t="s">
        <v>292</v>
      </c>
      <c r="B6651" s="15" t="s">
        <v>570</v>
      </c>
      <c r="C6651" s="15" t="s">
        <v>589</v>
      </c>
      <c r="D6651" s="13">
        <v>0</v>
      </c>
      <c r="E6651" s="13">
        <v>0</v>
      </c>
      <c r="F6651" s="13">
        <v>0</v>
      </c>
      <c r="G6651" s="13">
        <v>0</v>
      </c>
      <c r="H6651" s="13"/>
      <c r="I6651" s="13"/>
      <c r="J6651" s="13"/>
      <c r="K6651" s="13"/>
      <c r="L6651" s="13"/>
      <c r="M6651" s="13"/>
      <c r="N6651" s="13"/>
      <c r="O6651" s="13"/>
      <c r="P6651" s="13"/>
      <c r="Q6651" s="13"/>
      <c r="R6651" s="13"/>
      <c r="S6651" s="13"/>
    </row>
    <row r="6652" spans="1:19" x14ac:dyDescent="0.2">
      <c r="A6652" s="15" t="s">
        <v>292</v>
      </c>
      <c r="B6652" s="15" t="s">
        <v>590</v>
      </c>
      <c r="C6652" s="15" t="s">
        <v>589</v>
      </c>
      <c r="D6652" s="13">
        <v>3</v>
      </c>
      <c r="E6652" s="13">
        <v>2.464</v>
      </c>
      <c r="F6652" s="13">
        <v>2.944</v>
      </c>
      <c r="G6652" s="13">
        <v>4.202</v>
      </c>
      <c r="H6652" s="13"/>
      <c r="I6652" s="13"/>
      <c r="J6652" s="13"/>
      <c r="K6652" s="13"/>
      <c r="L6652" s="13"/>
      <c r="M6652" s="13"/>
      <c r="N6652" s="13"/>
      <c r="O6652" s="13"/>
      <c r="P6652" s="13"/>
      <c r="Q6652" s="13"/>
      <c r="R6652" s="13"/>
      <c r="S6652" s="13"/>
    </row>
    <row r="6653" spans="1:19" x14ac:dyDescent="0.2">
      <c r="A6653" s="15" t="s">
        <v>292</v>
      </c>
      <c r="B6653" s="15" t="s">
        <v>591</v>
      </c>
      <c r="C6653" s="15" t="s">
        <v>589</v>
      </c>
      <c r="D6653" s="13">
        <v>19124</v>
      </c>
      <c r="E6653" s="13">
        <v>19611.734</v>
      </c>
      <c r="F6653" s="13">
        <v>20117.573</v>
      </c>
      <c r="G6653" s="13">
        <v>20239.448</v>
      </c>
      <c r="H6653" s="13"/>
      <c r="I6653" s="13"/>
      <c r="J6653" s="13"/>
      <c r="K6653" s="13"/>
      <c r="L6653" s="13"/>
      <c r="M6653" s="13"/>
      <c r="N6653" s="13"/>
      <c r="O6653" s="13"/>
      <c r="P6653" s="13"/>
      <c r="Q6653" s="13"/>
      <c r="R6653" s="13"/>
      <c r="S6653" s="13"/>
    </row>
    <row r="6654" spans="1:19" x14ac:dyDescent="0.2">
      <c r="A6654" s="15" t="s">
        <v>292</v>
      </c>
      <c r="B6654" s="15" t="s">
        <v>574</v>
      </c>
      <c r="C6654" s="15" t="s">
        <v>589</v>
      </c>
      <c r="D6654" s="13">
        <v>19127</v>
      </c>
      <c r="E6654" s="13">
        <v>19614.198</v>
      </c>
      <c r="F6654" s="13">
        <v>20120.517</v>
      </c>
      <c r="G6654" s="13">
        <v>20243.650000000001</v>
      </c>
      <c r="H6654" s="13"/>
      <c r="I6654" s="13"/>
      <c r="J6654" s="13"/>
      <c r="K6654" s="13"/>
      <c r="L6654" s="13"/>
      <c r="M6654" s="13"/>
      <c r="N6654" s="13"/>
      <c r="O6654" s="13"/>
      <c r="P6654" s="13"/>
      <c r="Q6654" s="13"/>
      <c r="R6654" s="13"/>
      <c r="S6654" s="13"/>
    </row>
    <row r="6655" spans="1:19" x14ac:dyDescent="0.2">
      <c r="A6655" s="15" t="s">
        <v>286</v>
      </c>
      <c r="B6655" s="15" t="s">
        <v>570</v>
      </c>
      <c r="C6655" s="15" t="s">
        <v>589</v>
      </c>
      <c r="D6655" s="13">
        <v>0</v>
      </c>
      <c r="E6655" s="13">
        <v>0</v>
      </c>
      <c r="F6655" s="13">
        <v>0</v>
      </c>
      <c r="G6655" s="13">
        <v>0</v>
      </c>
      <c r="H6655" s="13"/>
      <c r="I6655" s="13"/>
      <c r="J6655" s="13"/>
      <c r="K6655" s="13"/>
      <c r="L6655" s="13"/>
      <c r="M6655" s="13"/>
      <c r="N6655" s="13"/>
      <c r="O6655" s="13"/>
      <c r="P6655" s="13"/>
      <c r="Q6655" s="13"/>
      <c r="R6655" s="13"/>
      <c r="S6655" s="13"/>
    </row>
    <row r="6656" spans="1:19" x14ac:dyDescent="0.2">
      <c r="A6656" s="15" t="s">
        <v>286</v>
      </c>
      <c r="B6656" s="15" t="s">
        <v>590</v>
      </c>
      <c r="C6656" s="15" t="s">
        <v>589</v>
      </c>
      <c r="D6656" s="13">
        <v>18218</v>
      </c>
      <c r="E6656" s="13">
        <v>19651.079000000002</v>
      </c>
      <c r="F6656" s="13">
        <v>20218.267</v>
      </c>
      <c r="G6656" s="13">
        <v>16940.929</v>
      </c>
      <c r="H6656" s="13"/>
      <c r="I6656" s="13"/>
      <c r="J6656" s="13"/>
      <c r="K6656" s="13"/>
      <c r="L6656" s="13"/>
      <c r="M6656" s="13"/>
      <c r="N6656" s="13"/>
      <c r="O6656" s="13"/>
      <c r="P6656" s="13"/>
      <c r="Q6656" s="13"/>
      <c r="R6656" s="13"/>
      <c r="S6656" s="13"/>
    </row>
    <row r="6657" spans="1:19" x14ac:dyDescent="0.2">
      <c r="A6657" s="15" t="s">
        <v>286</v>
      </c>
      <c r="B6657" s="15" t="s">
        <v>591</v>
      </c>
      <c r="C6657" s="15" t="s">
        <v>589</v>
      </c>
      <c r="D6657" s="13">
        <v>13652</v>
      </c>
      <c r="E6657" s="13">
        <v>11768.72</v>
      </c>
      <c r="F6657" s="13">
        <v>13257.046</v>
      </c>
      <c r="G6657" s="13">
        <v>14283.441000000001</v>
      </c>
      <c r="H6657" s="13"/>
      <c r="I6657" s="13"/>
      <c r="J6657" s="13"/>
      <c r="K6657" s="13"/>
      <c r="L6657" s="13"/>
      <c r="M6657" s="13"/>
      <c r="N6657" s="13"/>
      <c r="O6657" s="13"/>
      <c r="P6657" s="13"/>
      <c r="Q6657" s="13"/>
      <c r="R6657" s="13"/>
      <c r="S6657" s="13"/>
    </row>
    <row r="6658" spans="1:19" x14ac:dyDescent="0.2">
      <c r="A6658" s="15" t="s">
        <v>286</v>
      </c>
      <c r="B6658" s="15" t="s">
        <v>574</v>
      </c>
      <c r="C6658" s="15" t="s">
        <v>589</v>
      </c>
      <c r="D6658" s="13">
        <v>32168</v>
      </c>
      <c r="E6658" s="13">
        <v>31741.846000000001</v>
      </c>
      <c r="F6658" s="13">
        <v>33798.213000000003</v>
      </c>
      <c r="G6658" s="13">
        <v>31558.113000000001</v>
      </c>
      <c r="H6658" s="13"/>
      <c r="I6658" s="13"/>
      <c r="J6658" s="13"/>
      <c r="K6658" s="13"/>
      <c r="L6658" s="13"/>
      <c r="M6658" s="13"/>
      <c r="N6658" s="13"/>
      <c r="O6658" s="13"/>
      <c r="P6658" s="13"/>
      <c r="Q6658" s="13"/>
      <c r="R6658" s="13"/>
      <c r="S6658" s="13"/>
    </row>
    <row r="6659" spans="1:19" x14ac:dyDescent="0.2">
      <c r="A6659" s="15" t="s">
        <v>294</v>
      </c>
      <c r="B6659" s="15" t="s">
        <v>570</v>
      </c>
      <c r="C6659" s="15" t="s">
        <v>589</v>
      </c>
      <c r="D6659" s="13">
        <v>0</v>
      </c>
      <c r="E6659" s="13">
        <v>0</v>
      </c>
      <c r="F6659" s="13">
        <v>0</v>
      </c>
      <c r="G6659" s="13">
        <v>0</v>
      </c>
      <c r="H6659" s="13"/>
      <c r="I6659" s="13"/>
      <c r="J6659" s="13"/>
      <c r="K6659" s="13"/>
      <c r="L6659" s="13"/>
      <c r="M6659" s="13"/>
      <c r="N6659" s="13"/>
      <c r="O6659" s="13"/>
      <c r="P6659" s="13"/>
      <c r="Q6659" s="13"/>
      <c r="R6659" s="13"/>
      <c r="S6659" s="13"/>
    </row>
    <row r="6660" spans="1:19" x14ac:dyDescent="0.2">
      <c r="A6660" s="15" t="s">
        <v>294</v>
      </c>
      <c r="B6660" s="15" t="s">
        <v>590</v>
      </c>
      <c r="C6660" s="15" t="s">
        <v>589</v>
      </c>
      <c r="D6660" s="13">
        <v>67702</v>
      </c>
      <c r="E6660" s="13">
        <v>68053.567999999999</v>
      </c>
      <c r="F6660" s="13">
        <v>69346.812000000005</v>
      </c>
      <c r="G6660" s="13">
        <v>67624.612999999998</v>
      </c>
      <c r="H6660" s="13"/>
      <c r="I6660" s="13"/>
      <c r="J6660" s="13"/>
      <c r="K6660" s="13"/>
      <c r="L6660" s="13"/>
      <c r="M6660" s="13"/>
      <c r="N6660" s="13"/>
      <c r="O6660" s="13"/>
      <c r="P6660" s="13"/>
      <c r="Q6660" s="13"/>
      <c r="R6660" s="13"/>
      <c r="S6660" s="13"/>
    </row>
    <row r="6661" spans="1:19" x14ac:dyDescent="0.2">
      <c r="A6661" s="15" t="s">
        <v>294</v>
      </c>
      <c r="B6661" s="15" t="s">
        <v>591</v>
      </c>
      <c r="C6661" s="15" t="s">
        <v>589</v>
      </c>
      <c r="D6661" s="13">
        <v>4367</v>
      </c>
      <c r="E6661" s="13">
        <v>5529.0619999999999</v>
      </c>
      <c r="F6661" s="13">
        <v>6400.1379999999999</v>
      </c>
      <c r="G6661" s="13">
        <v>8741.2559999999994</v>
      </c>
      <c r="H6661" s="13"/>
      <c r="I6661" s="13"/>
      <c r="J6661" s="13"/>
      <c r="K6661" s="13"/>
      <c r="L6661" s="13"/>
      <c r="M6661" s="13"/>
      <c r="N6661" s="13"/>
      <c r="O6661" s="13"/>
      <c r="P6661" s="13"/>
      <c r="Q6661" s="13"/>
      <c r="R6661" s="13"/>
      <c r="S6661" s="13"/>
    </row>
    <row r="6662" spans="1:19" x14ac:dyDescent="0.2">
      <c r="A6662" s="15" t="s">
        <v>294</v>
      </c>
      <c r="B6662" s="15" t="s">
        <v>574</v>
      </c>
      <c r="C6662" s="15" t="s">
        <v>589</v>
      </c>
      <c r="D6662" s="13">
        <v>72285</v>
      </c>
      <c r="E6662" s="13">
        <v>73796.334000000003</v>
      </c>
      <c r="F6662" s="13">
        <v>75964.316999999995</v>
      </c>
      <c r="G6662" s="13">
        <v>76593.960999999996</v>
      </c>
      <c r="H6662" s="13"/>
      <c r="I6662" s="13"/>
      <c r="J6662" s="13"/>
      <c r="K6662" s="13"/>
      <c r="L6662" s="13"/>
      <c r="M6662" s="13"/>
      <c r="N6662" s="13"/>
      <c r="O6662" s="13"/>
      <c r="P6662" s="13"/>
      <c r="Q6662" s="13"/>
      <c r="R6662" s="13"/>
      <c r="S6662" s="13"/>
    </row>
    <row r="6663" spans="1:19" x14ac:dyDescent="0.2">
      <c r="A6663" s="15" t="s">
        <v>296</v>
      </c>
      <c r="B6663" s="15" t="s">
        <v>570</v>
      </c>
      <c r="C6663" s="15" t="s">
        <v>589</v>
      </c>
      <c r="D6663" s="13">
        <v>0</v>
      </c>
      <c r="E6663" s="13">
        <v>0</v>
      </c>
      <c r="F6663" s="13">
        <v>0</v>
      </c>
      <c r="G6663" s="13">
        <v>0</v>
      </c>
      <c r="H6663" s="13"/>
      <c r="I6663" s="13"/>
      <c r="J6663" s="13"/>
      <c r="K6663" s="13"/>
      <c r="L6663" s="13"/>
      <c r="M6663" s="13"/>
      <c r="N6663" s="13"/>
      <c r="O6663" s="13"/>
      <c r="P6663" s="13"/>
      <c r="Q6663" s="13"/>
      <c r="R6663" s="13"/>
      <c r="S6663" s="13"/>
    </row>
    <row r="6664" spans="1:19" x14ac:dyDescent="0.2">
      <c r="A6664" s="15" t="s">
        <v>296</v>
      </c>
      <c r="B6664" s="15" t="s">
        <v>590</v>
      </c>
      <c r="C6664" s="15" t="s">
        <v>589</v>
      </c>
      <c r="D6664" s="13">
        <v>158769</v>
      </c>
      <c r="E6664" s="13">
        <v>167682.022</v>
      </c>
      <c r="F6664" s="13">
        <v>178503.283</v>
      </c>
      <c r="G6664" s="13">
        <v>143554.42300000001</v>
      </c>
      <c r="H6664" s="13"/>
      <c r="I6664" s="13"/>
      <c r="J6664" s="13"/>
      <c r="K6664" s="13"/>
      <c r="L6664" s="13"/>
      <c r="M6664" s="13"/>
      <c r="N6664" s="13"/>
      <c r="O6664" s="13"/>
      <c r="P6664" s="13"/>
      <c r="Q6664" s="13"/>
      <c r="R6664" s="13"/>
      <c r="S6664" s="13"/>
    </row>
    <row r="6665" spans="1:19" x14ac:dyDescent="0.2">
      <c r="A6665" s="15" t="s">
        <v>296</v>
      </c>
      <c r="B6665" s="15" t="s">
        <v>591</v>
      </c>
      <c r="C6665" s="15" t="s">
        <v>589</v>
      </c>
      <c r="D6665" s="13">
        <v>116915</v>
      </c>
      <c r="E6665" s="13">
        <v>116339.011</v>
      </c>
      <c r="F6665" s="13">
        <v>100466.056</v>
      </c>
      <c r="G6665" s="13">
        <v>116578.644</v>
      </c>
      <c r="H6665" s="13"/>
      <c r="I6665" s="13"/>
      <c r="J6665" s="13"/>
      <c r="K6665" s="13"/>
      <c r="L6665" s="13"/>
      <c r="M6665" s="13"/>
      <c r="N6665" s="13"/>
      <c r="O6665" s="13"/>
      <c r="P6665" s="13"/>
      <c r="Q6665" s="13"/>
      <c r="R6665" s="13"/>
      <c r="S6665" s="13"/>
    </row>
    <row r="6666" spans="1:19" x14ac:dyDescent="0.2">
      <c r="A6666" s="15" t="s">
        <v>296</v>
      </c>
      <c r="B6666" s="15" t="s">
        <v>574</v>
      </c>
      <c r="C6666" s="15" t="s">
        <v>589</v>
      </c>
      <c r="D6666" s="13">
        <v>278588</v>
      </c>
      <c r="E6666" s="13">
        <v>286979.33399999997</v>
      </c>
      <c r="F6666" s="13">
        <v>282068.15399999998</v>
      </c>
      <c r="G6666" s="13">
        <v>263165.39199999999</v>
      </c>
      <c r="H6666" s="13"/>
      <c r="I6666" s="13"/>
      <c r="J6666" s="13"/>
      <c r="K6666" s="13"/>
      <c r="L6666" s="13"/>
      <c r="M6666" s="13"/>
      <c r="N6666" s="13"/>
      <c r="O6666" s="13"/>
      <c r="P6666" s="13"/>
      <c r="Q6666" s="13"/>
      <c r="R6666" s="13"/>
      <c r="S6666" s="13"/>
    </row>
    <row r="6667" spans="1:19" x14ac:dyDescent="0.2">
      <c r="A6667" s="15" t="s">
        <v>301</v>
      </c>
      <c r="B6667" s="15" t="s">
        <v>570</v>
      </c>
      <c r="C6667" s="15" t="s">
        <v>589</v>
      </c>
      <c r="D6667" s="13">
        <v>38752</v>
      </c>
      <c r="E6667" s="13">
        <v>70805.099000000002</v>
      </c>
      <c r="F6667" s="13">
        <v>56070.027000000002</v>
      </c>
      <c r="G6667" s="13">
        <v>84055.058000000005</v>
      </c>
      <c r="H6667" s="13"/>
      <c r="I6667" s="13"/>
      <c r="J6667" s="13"/>
      <c r="K6667" s="13"/>
      <c r="L6667" s="13"/>
      <c r="M6667" s="13"/>
      <c r="N6667" s="13"/>
      <c r="O6667" s="13"/>
      <c r="P6667" s="13"/>
      <c r="Q6667" s="13"/>
      <c r="R6667" s="13"/>
      <c r="S6667" s="13"/>
    </row>
    <row r="6668" spans="1:19" x14ac:dyDescent="0.2">
      <c r="A6668" s="15" t="s">
        <v>301</v>
      </c>
      <c r="B6668" s="15" t="s">
        <v>590</v>
      </c>
      <c r="C6668" s="15" t="s">
        <v>589</v>
      </c>
      <c r="D6668" s="13">
        <v>736634</v>
      </c>
      <c r="E6668" s="13">
        <v>720586.35499999998</v>
      </c>
      <c r="F6668" s="13">
        <v>695278.08599999989</v>
      </c>
      <c r="G6668" s="13">
        <v>644531.96499999997</v>
      </c>
      <c r="H6668" s="13"/>
      <c r="I6668" s="13"/>
      <c r="J6668" s="13"/>
      <c r="K6668" s="13"/>
      <c r="L6668" s="13"/>
      <c r="M6668" s="13"/>
      <c r="N6668" s="13"/>
      <c r="O6668" s="13"/>
      <c r="P6668" s="13"/>
      <c r="Q6668" s="13"/>
      <c r="R6668" s="13"/>
      <c r="S6668" s="13"/>
    </row>
    <row r="6669" spans="1:19" x14ac:dyDescent="0.2">
      <c r="A6669" s="15" t="s">
        <v>301</v>
      </c>
      <c r="B6669" s="15" t="s">
        <v>591</v>
      </c>
      <c r="C6669" s="15" t="s">
        <v>589</v>
      </c>
      <c r="D6669" s="13">
        <v>197621</v>
      </c>
      <c r="E6669" s="13">
        <v>211523.69</v>
      </c>
      <c r="F6669" s="13">
        <v>219256.49799999999</v>
      </c>
      <c r="G6669" s="13">
        <v>226524.62700000001</v>
      </c>
      <c r="H6669" s="13"/>
      <c r="I6669" s="13"/>
      <c r="J6669" s="13"/>
      <c r="K6669" s="13"/>
      <c r="L6669" s="13"/>
      <c r="M6669" s="13"/>
      <c r="N6669" s="13"/>
      <c r="O6669" s="13"/>
      <c r="P6669" s="13"/>
      <c r="Q6669" s="13"/>
      <c r="R6669" s="13"/>
      <c r="S6669" s="13"/>
    </row>
    <row r="6670" spans="1:19" x14ac:dyDescent="0.2">
      <c r="A6670" s="15" t="s">
        <v>301</v>
      </c>
      <c r="B6670" s="15" t="s">
        <v>574</v>
      </c>
      <c r="C6670" s="15" t="s">
        <v>589</v>
      </c>
      <c r="D6670" s="13">
        <v>1008125</v>
      </c>
      <c r="E6670" s="13">
        <v>1039684.956</v>
      </c>
      <c r="F6670" s="13">
        <v>1008694.2439999999</v>
      </c>
      <c r="G6670" s="13">
        <v>992805.44400000002</v>
      </c>
      <c r="H6670" s="13"/>
      <c r="I6670" s="13"/>
      <c r="J6670" s="13"/>
      <c r="K6670" s="13"/>
      <c r="L6670" s="13"/>
      <c r="M6670" s="13"/>
      <c r="N6670" s="13"/>
      <c r="O6670" s="13"/>
      <c r="P6670" s="13"/>
      <c r="Q6670" s="13"/>
      <c r="R6670" s="13"/>
      <c r="S6670" s="13"/>
    </row>
    <row r="6671" spans="1:19" x14ac:dyDescent="0.2">
      <c r="A6671" s="15" t="s">
        <v>316</v>
      </c>
      <c r="B6671" s="15" t="s">
        <v>570</v>
      </c>
      <c r="C6671" s="15" t="s">
        <v>589</v>
      </c>
      <c r="D6671" s="13">
        <v>160184</v>
      </c>
      <c r="E6671" s="13">
        <v>158015.23000000001</v>
      </c>
      <c r="F6671" s="13">
        <v>176054.01199999999</v>
      </c>
      <c r="G6671" s="13">
        <v>180494.09599999999</v>
      </c>
      <c r="H6671" s="13"/>
      <c r="I6671" s="13"/>
      <c r="J6671" s="13"/>
      <c r="K6671" s="13"/>
      <c r="L6671" s="13"/>
      <c r="M6671" s="13"/>
      <c r="N6671" s="13"/>
      <c r="O6671" s="13"/>
      <c r="P6671" s="13"/>
      <c r="Q6671" s="13"/>
      <c r="R6671" s="13"/>
      <c r="S6671" s="13"/>
    </row>
    <row r="6672" spans="1:19" x14ac:dyDescent="0.2">
      <c r="A6672" s="15" t="s">
        <v>316</v>
      </c>
      <c r="B6672" s="15" t="s">
        <v>590</v>
      </c>
      <c r="C6672" s="15" t="s">
        <v>589</v>
      </c>
      <c r="D6672" s="13">
        <v>392464</v>
      </c>
      <c r="E6672" s="13">
        <v>421431.71100000001</v>
      </c>
      <c r="F6672" s="13">
        <v>394841.91100000002</v>
      </c>
      <c r="G6672" s="13">
        <v>373539.64</v>
      </c>
      <c r="H6672" s="13"/>
      <c r="I6672" s="13"/>
      <c r="J6672" s="13"/>
      <c r="K6672" s="13"/>
      <c r="L6672" s="13"/>
      <c r="M6672" s="13"/>
      <c r="N6672" s="13"/>
      <c r="O6672" s="13"/>
      <c r="P6672" s="13"/>
      <c r="Q6672" s="13"/>
      <c r="R6672" s="13"/>
      <c r="S6672" s="13"/>
    </row>
    <row r="6673" spans="1:19" x14ac:dyDescent="0.2">
      <c r="A6673" s="15" t="s">
        <v>316</v>
      </c>
      <c r="B6673" s="15" t="s">
        <v>591</v>
      </c>
      <c r="C6673" s="15" t="s">
        <v>589</v>
      </c>
      <c r="D6673" s="13">
        <v>33750</v>
      </c>
      <c r="E6673" s="13">
        <v>37591.675999999999</v>
      </c>
      <c r="F6673" s="13">
        <v>45400.356</v>
      </c>
      <c r="G6673" s="13">
        <v>47388.224999999999</v>
      </c>
      <c r="H6673" s="13"/>
      <c r="I6673" s="13"/>
      <c r="J6673" s="13"/>
      <c r="K6673" s="13"/>
      <c r="L6673" s="13"/>
      <c r="M6673" s="13"/>
      <c r="N6673" s="13"/>
      <c r="O6673" s="13"/>
      <c r="P6673" s="13"/>
      <c r="Q6673" s="13"/>
      <c r="R6673" s="13"/>
      <c r="S6673" s="13"/>
    </row>
    <row r="6674" spans="1:19" x14ac:dyDescent="0.2">
      <c r="A6674" s="15" t="s">
        <v>316</v>
      </c>
      <c r="B6674" s="15" t="s">
        <v>574</v>
      </c>
      <c r="C6674" s="15" t="s">
        <v>589</v>
      </c>
      <c r="D6674" s="13">
        <v>590963</v>
      </c>
      <c r="E6674" s="13">
        <v>622802.32799999998</v>
      </c>
      <c r="F6674" s="13">
        <v>621164.50300000003</v>
      </c>
      <c r="G6674" s="13">
        <v>606901.21799999999</v>
      </c>
      <c r="H6674" s="13"/>
      <c r="I6674" s="13"/>
      <c r="J6674" s="13"/>
      <c r="K6674" s="13"/>
      <c r="L6674" s="13"/>
      <c r="M6674" s="13"/>
      <c r="N6674" s="13"/>
      <c r="O6674" s="13"/>
      <c r="P6674" s="13"/>
      <c r="Q6674" s="13"/>
      <c r="R6674" s="13"/>
      <c r="S6674" s="13"/>
    </row>
    <row r="6675" spans="1:19" x14ac:dyDescent="0.2">
      <c r="A6675" s="15" t="s">
        <v>340</v>
      </c>
      <c r="B6675" s="15" t="s">
        <v>570</v>
      </c>
      <c r="C6675" s="15" t="s">
        <v>589</v>
      </c>
      <c r="D6675" s="13">
        <v>0</v>
      </c>
      <c r="E6675" s="13">
        <v>0</v>
      </c>
      <c r="F6675" s="13">
        <v>0</v>
      </c>
      <c r="G6675" s="13">
        <v>0</v>
      </c>
      <c r="H6675" s="13"/>
      <c r="I6675" s="13"/>
      <c r="J6675" s="13"/>
      <c r="K6675" s="13"/>
      <c r="L6675" s="13"/>
      <c r="M6675" s="13"/>
      <c r="N6675" s="13"/>
      <c r="O6675" s="13"/>
      <c r="P6675" s="13"/>
      <c r="Q6675" s="13"/>
      <c r="R6675" s="13"/>
      <c r="S6675" s="13"/>
    </row>
    <row r="6676" spans="1:19" x14ac:dyDescent="0.2">
      <c r="A6676" s="15" t="s">
        <v>340</v>
      </c>
      <c r="B6676" s="15" t="s">
        <v>590</v>
      </c>
      <c r="C6676" s="15" t="s">
        <v>589</v>
      </c>
      <c r="D6676" s="13">
        <v>2075</v>
      </c>
      <c r="E6676" s="13">
        <v>2128.3980000000001</v>
      </c>
      <c r="F6676" s="13">
        <v>1214.4549999999999</v>
      </c>
      <c r="G6676" s="13">
        <v>1424.2180000000001</v>
      </c>
      <c r="H6676" s="13"/>
      <c r="I6676" s="13"/>
      <c r="J6676" s="13"/>
      <c r="K6676" s="13"/>
      <c r="L6676" s="13"/>
      <c r="M6676" s="13"/>
      <c r="N6676" s="13"/>
      <c r="O6676" s="13"/>
      <c r="P6676" s="13"/>
      <c r="Q6676" s="13"/>
      <c r="R6676" s="13"/>
      <c r="S6676" s="13"/>
    </row>
    <row r="6677" spans="1:19" x14ac:dyDescent="0.2">
      <c r="A6677" s="15" t="s">
        <v>340</v>
      </c>
      <c r="B6677" s="15" t="s">
        <v>591</v>
      </c>
      <c r="C6677" s="15" t="s">
        <v>589</v>
      </c>
      <c r="D6677" s="13">
        <v>3650</v>
      </c>
      <c r="E6677" s="13">
        <v>3717.8229999999999</v>
      </c>
      <c r="F6677" s="13">
        <v>3816.5169999999998</v>
      </c>
      <c r="G6677" s="13">
        <v>4963.3580000000002</v>
      </c>
      <c r="H6677" s="13"/>
      <c r="I6677" s="13"/>
      <c r="J6677" s="13"/>
      <c r="K6677" s="13"/>
      <c r="L6677" s="13"/>
      <c r="M6677" s="13"/>
      <c r="N6677" s="13"/>
      <c r="O6677" s="13"/>
      <c r="P6677" s="13"/>
      <c r="Q6677" s="13"/>
      <c r="R6677" s="13"/>
      <c r="S6677" s="13"/>
    </row>
    <row r="6678" spans="1:19" x14ac:dyDescent="0.2">
      <c r="A6678" s="15" t="s">
        <v>340</v>
      </c>
      <c r="B6678" s="15" t="s">
        <v>574</v>
      </c>
      <c r="C6678" s="15" t="s">
        <v>589</v>
      </c>
      <c r="D6678" s="13">
        <v>5725</v>
      </c>
      <c r="E6678" s="13">
        <v>5846.2209999999995</v>
      </c>
      <c r="F6678" s="13">
        <v>5030.9719999999998</v>
      </c>
      <c r="G6678" s="13">
        <v>6387.576</v>
      </c>
      <c r="H6678" s="13"/>
      <c r="I6678" s="13"/>
      <c r="J6678" s="13"/>
      <c r="K6678" s="13"/>
      <c r="L6678" s="13"/>
      <c r="M6678" s="13"/>
      <c r="N6678" s="13"/>
      <c r="O6678" s="13"/>
      <c r="P6678" s="13"/>
      <c r="Q6678" s="13"/>
      <c r="R6678" s="13"/>
      <c r="S6678" s="13"/>
    </row>
    <row r="6679" spans="1:19" x14ac:dyDescent="0.2">
      <c r="A6679" s="15" t="s">
        <v>336</v>
      </c>
      <c r="B6679" s="15" t="s">
        <v>570</v>
      </c>
      <c r="C6679" s="15" t="s">
        <v>589</v>
      </c>
      <c r="D6679" s="13">
        <v>0</v>
      </c>
      <c r="E6679" s="13">
        <v>0</v>
      </c>
      <c r="F6679" s="13">
        <v>0</v>
      </c>
      <c r="G6679" s="13">
        <v>0</v>
      </c>
      <c r="H6679" s="13"/>
      <c r="I6679" s="13"/>
      <c r="J6679" s="13"/>
      <c r="K6679" s="13"/>
      <c r="L6679" s="13"/>
      <c r="M6679" s="13"/>
      <c r="N6679" s="13"/>
      <c r="O6679" s="13"/>
      <c r="P6679" s="13"/>
      <c r="Q6679" s="13"/>
      <c r="R6679" s="13"/>
      <c r="S6679" s="13"/>
    </row>
    <row r="6680" spans="1:19" x14ac:dyDescent="0.2">
      <c r="A6680" s="15" t="s">
        <v>336</v>
      </c>
      <c r="B6680" s="15" t="s">
        <v>590</v>
      </c>
      <c r="C6680" s="15" t="s">
        <v>589</v>
      </c>
      <c r="D6680" s="13">
        <v>1821</v>
      </c>
      <c r="E6680" s="13">
        <v>1316.5</v>
      </c>
      <c r="F6680" s="13">
        <v>890.8</v>
      </c>
      <c r="G6680" s="13">
        <v>798.3</v>
      </c>
      <c r="H6680" s="13"/>
      <c r="I6680" s="13"/>
      <c r="J6680" s="13"/>
      <c r="K6680" s="13"/>
      <c r="L6680" s="13"/>
      <c r="M6680" s="13"/>
      <c r="N6680" s="13"/>
      <c r="O6680" s="13"/>
      <c r="P6680" s="13"/>
      <c r="Q6680" s="13"/>
      <c r="R6680" s="13"/>
      <c r="S6680" s="13"/>
    </row>
    <row r="6681" spans="1:19" x14ac:dyDescent="0.2">
      <c r="A6681" s="15" t="s">
        <v>336</v>
      </c>
      <c r="B6681" s="15" t="s">
        <v>591</v>
      </c>
      <c r="C6681" s="15" t="s">
        <v>589</v>
      </c>
      <c r="D6681" s="13">
        <v>2575</v>
      </c>
      <c r="E6681" s="13">
        <v>2621.7</v>
      </c>
      <c r="F6681" s="13">
        <v>3027</v>
      </c>
      <c r="G6681" s="13">
        <v>4437.2</v>
      </c>
      <c r="H6681" s="13"/>
      <c r="I6681" s="13"/>
      <c r="J6681" s="13"/>
      <c r="K6681" s="13"/>
      <c r="L6681" s="13"/>
      <c r="M6681" s="13"/>
      <c r="N6681" s="13"/>
      <c r="O6681" s="13"/>
      <c r="P6681" s="13"/>
      <c r="Q6681" s="13"/>
      <c r="R6681" s="13"/>
      <c r="S6681" s="13"/>
    </row>
    <row r="6682" spans="1:19" x14ac:dyDescent="0.2">
      <c r="A6682" s="15" t="s">
        <v>336</v>
      </c>
      <c r="B6682" s="15" t="s">
        <v>574</v>
      </c>
      <c r="C6682" s="15" t="s">
        <v>589</v>
      </c>
      <c r="D6682" s="13">
        <v>4738</v>
      </c>
      <c r="E6682" s="13">
        <v>4368.3999999999996</v>
      </c>
      <c r="F6682" s="13">
        <v>4226.6000000000004</v>
      </c>
      <c r="G6682" s="13">
        <v>5440</v>
      </c>
      <c r="H6682" s="13"/>
      <c r="I6682" s="13"/>
      <c r="J6682" s="13"/>
      <c r="K6682" s="13"/>
      <c r="L6682" s="13"/>
      <c r="M6682" s="13"/>
      <c r="N6682" s="13"/>
      <c r="O6682" s="13"/>
      <c r="P6682" s="13"/>
      <c r="Q6682" s="13"/>
      <c r="R6682" s="13"/>
      <c r="S6682" s="13"/>
    </row>
    <row r="6683" spans="1:19" x14ac:dyDescent="0.2">
      <c r="A6683" s="15" t="s">
        <v>338</v>
      </c>
      <c r="B6683" s="15" t="s">
        <v>570</v>
      </c>
      <c r="C6683" s="15" t="s">
        <v>589</v>
      </c>
      <c r="D6683" s="13">
        <v>0</v>
      </c>
      <c r="E6683" s="13">
        <v>0</v>
      </c>
      <c r="F6683" s="13">
        <v>0</v>
      </c>
      <c r="G6683" s="13">
        <v>0</v>
      </c>
      <c r="H6683" s="13"/>
      <c r="I6683" s="13"/>
      <c r="J6683" s="13"/>
      <c r="K6683" s="13"/>
      <c r="L6683" s="13"/>
      <c r="M6683" s="13"/>
      <c r="N6683" s="13"/>
      <c r="O6683" s="13"/>
      <c r="P6683" s="13"/>
      <c r="Q6683" s="13"/>
      <c r="R6683" s="13"/>
      <c r="S6683" s="13"/>
    </row>
    <row r="6684" spans="1:19" x14ac:dyDescent="0.2">
      <c r="A6684" s="15" t="s">
        <v>338</v>
      </c>
      <c r="B6684" s="15" t="s">
        <v>590</v>
      </c>
      <c r="C6684" s="15" t="s">
        <v>589</v>
      </c>
      <c r="D6684" s="13">
        <v>184</v>
      </c>
      <c r="E6684" s="13">
        <v>173.12799999999999</v>
      </c>
      <c r="F6684" s="13">
        <v>98.865000000000009</v>
      </c>
      <c r="G6684" s="13">
        <v>85.13900000000001</v>
      </c>
      <c r="H6684" s="13"/>
      <c r="I6684" s="13"/>
      <c r="J6684" s="13"/>
      <c r="K6684" s="13"/>
      <c r="L6684" s="13"/>
      <c r="M6684" s="13"/>
      <c r="N6684" s="13"/>
      <c r="O6684" s="13"/>
      <c r="P6684" s="13"/>
      <c r="Q6684" s="13"/>
      <c r="R6684" s="13"/>
      <c r="S6684" s="13"/>
    </row>
    <row r="6685" spans="1:19" x14ac:dyDescent="0.2">
      <c r="A6685" s="15" t="s">
        <v>338</v>
      </c>
      <c r="B6685" s="15" t="s">
        <v>591</v>
      </c>
      <c r="C6685" s="15" t="s">
        <v>589</v>
      </c>
      <c r="D6685" s="13">
        <v>976</v>
      </c>
      <c r="E6685" s="13">
        <v>989.84400000000005</v>
      </c>
      <c r="F6685" s="13">
        <v>1031.3240000000001</v>
      </c>
      <c r="G6685" s="13">
        <v>1243.473</v>
      </c>
      <c r="H6685" s="13"/>
      <c r="I6685" s="13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</row>
    <row r="6686" spans="1:19" x14ac:dyDescent="0.2">
      <c r="A6686" s="15" t="s">
        <v>338</v>
      </c>
      <c r="B6686" s="15" t="s">
        <v>574</v>
      </c>
      <c r="C6686" s="15" t="s">
        <v>589</v>
      </c>
      <c r="D6686" s="13">
        <v>1232</v>
      </c>
      <c r="E6686" s="13">
        <v>1233.028</v>
      </c>
      <c r="F6686" s="13">
        <v>1198.6289999999999</v>
      </c>
      <c r="G6686" s="13">
        <v>1384.742</v>
      </c>
      <c r="H6686" s="13"/>
      <c r="I6686" s="13"/>
      <c r="J6686" s="13"/>
      <c r="K6686" s="13"/>
      <c r="L6686" s="13"/>
      <c r="M6686" s="13"/>
      <c r="N6686" s="13"/>
      <c r="O6686" s="13"/>
      <c r="P6686" s="13"/>
      <c r="Q6686" s="13"/>
      <c r="R6686" s="13"/>
      <c r="S6686" s="13"/>
    </row>
    <row r="6687" spans="1:19" x14ac:dyDescent="0.2">
      <c r="A6687" s="15" t="s">
        <v>351</v>
      </c>
      <c r="B6687" s="15" t="s">
        <v>570</v>
      </c>
      <c r="C6687" s="15" t="s">
        <v>589</v>
      </c>
      <c r="D6687" s="13">
        <v>11178</v>
      </c>
      <c r="E6687" s="13">
        <v>11923</v>
      </c>
      <c r="F6687" s="13">
        <v>10850</v>
      </c>
      <c r="G6687" s="13">
        <v>12386</v>
      </c>
      <c r="H6687" s="13"/>
      <c r="I6687" s="13"/>
      <c r="J6687" s="13"/>
      <c r="K6687" s="13"/>
      <c r="L6687" s="13"/>
      <c r="M6687" s="13"/>
      <c r="N6687" s="13"/>
      <c r="O6687" s="13"/>
      <c r="P6687" s="13"/>
      <c r="Q6687" s="13"/>
      <c r="R6687" s="13"/>
      <c r="S6687" s="13"/>
    </row>
    <row r="6688" spans="1:19" x14ac:dyDescent="0.2">
      <c r="A6688" s="15" t="s">
        <v>351</v>
      </c>
      <c r="B6688" s="15" t="s">
        <v>590</v>
      </c>
      <c r="C6688" s="15" t="s">
        <v>589</v>
      </c>
      <c r="D6688" s="13">
        <v>243251</v>
      </c>
      <c r="E6688" s="13">
        <v>249604.65299999999</v>
      </c>
      <c r="F6688" s="13">
        <v>255997.391</v>
      </c>
      <c r="G6688" s="13">
        <v>292303.2</v>
      </c>
      <c r="H6688" s="13"/>
      <c r="I6688" s="13"/>
      <c r="J6688" s="13"/>
      <c r="K6688" s="13"/>
      <c r="L6688" s="13"/>
      <c r="M6688" s="13"/>
      <c r="N6688" s="13"/>
      <c r="O6688" s="13"/>
      <c r="P6688" s="13"/>
      <c r="Q6688" s="13"/>
      <c r="R6688" s="13"/>
      <c r="S6688" s="13"/>
    </row>
    <row r="6689" spans="1:19" x14ac:dyDescent="0.2">
      <c r="A6689" s="15" t="s">
        <v>351</v>
      </c>
      <c r="B6689" s="15" t="s">
        <v>591</v>
      </c>
      <c r="C6689" s="15" t="s">
        <v>589</v>
      </c>
      <c r="D6689" s="13">
        <v>70321</v>
      </c>
      <c r="E6689" s="13">
        <v>82641</v>
      </c>
      <c r="F6689" s="13">
        <v>82897</v>
      </c>
      <c r="G6689" s="13">
        <v>70683</v>
      </c>
      <c r="H6689" s="13"/>
      <c r="I6689" s="13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</row>
    <row r="6690" spans="1:19" x14ac:dyDescent="0.2">
      <c r="A6690" s="15" t="s">
        <v>351</v>
      </c>
      <c r="B6690" s="15" t="s">
        <v>574</v>
      </c>
      <c r="C6690" s="15" t="s">
        <v>589</v>
      </c>
      <c r="D6690" s="13">
        <v>331494</v>
      </c>
      <c r="E6690" s="13">
        <v>350363.65299999999</v>
      </c>
      <c r="F6690" s="13">
        <v>364709.391</v>
      </c>
      <c r="G6690" s="13">
        <v>380359.2</v>
      </c>
      <c r="H6690" s="13"/>
      <c r="I6690" s="13"/>
      <c r="J6690" s="13"/>
      <c r="K6690" s="13"/>
      <c r="L6690" s="13"/>
      <c r="M6690" s="13"/>
      <c r="N6690" s="13"/>
      <c r="O6690" s="13"/>
      <c r="P6690" s="13"/>
      <c r="Q6690" s="13"/>
      <c r="R6690" s="13"/>
      <c r="S6690" s="13"/>
    </row>
    <row r="6691" spans="1:19" x14ac:dyDescent="0.2">
      <c r="A6691" s="15" t="s">
        <v>398</v>
      </c>
      <c r="B6691" s="15" t="s">
        <v>570</v>
      </c>
      <c r="C6691" s="15" t="s">
        <v>589</v>
      </c>
      <c r="D6691" s="13">
        <v>4087</v>
      </c>
      <c r="E6691" s="13">
        <v>3827.9560000000001</v>
      </c>
      <c r="F6691" s="13">
        <v>4156.3130000000001</v>
      </c>
      <c r="G6691" s="13">
        <v>3985.2930000000001</v>
      </c>
      <c r="H6691" s="13"/>
      <c r="I6691" s="13"/>
      <c r="J6691" s="13"/>
      <c r="K6691" s="13"/>
      <c r="L6691" s="13"/>
      <c r="M6691" s="13"/>
      <c r="N6691" s="13"/>
      <c r="O6691" s="13"/>
      <c r="P6691" s="13"/>
      <c r="Q6691" s="13"/>
      <c r="R6691" s="13"/>
      <c r="S6691" s="13"/>
    </row>
    <row r="6692" spans="1:19" x14ac:dyDescent="0.2">
      <c r="A6692" s="15" t="s">
        <v>398</v>
      </c>
      <c r="B6692" s="15" t="s">
        <v>590</v>
      </c>
      <c r="C6692" s="15" t="s">
        <v>589</v>
      </c>
      <c r="D6692" s="13">
        <v>83977</v>
      </c>
      <c r="E6692" s="13">
        <v>75398.420999999988</v>
      </c>
      <c r="F6692" s="13">
        <v>66737.289999999994</v>
      </c>
      <c r="G6692" s="13">
        <v>58189.309000000001</v>
      </c>
      <c r="H6692" s="13"/>
      <c r="I6692" s="13"/>
      <c r="J6692" s="13"/>
      <c r="K6692" s="13"/>
      <c r="L6692" s="13"/>
      <c r="M6692" s="13"/>
      <c r="N6692" s="13"/>
      <c r="O6692" s="13"/>
      <c r="P6692" s="13"/>
      <c r="Q6692" s="13"/>
      <c r="R6692" s="13"/>
      <c r="S6692" s="13"/>
    </row>
    <row r="6693" spans="1:19" x14ac:dyDescent="0.2">
      <c r="A6693" s="15" t="s">
        <v>398</v>
      </c>
      <c r="B6693" s="15" t="s">
        <v>591</v>
      </c>
      <c r="C6693" s="15" t="s">
        <v>589</v>
      </c>
      <c r="D6693" s="13">
        <v>32729</v>
      </c>
      <c r="E6693" s="13">
        <v>40433.03</v>
      </c>
      <c r="F6693" s="13">
        <v>48092.500999999997</v>
      </c>
      <c r="G6693" s="13">
        <v>56779.421999999999</v>
      </c>
      <c r="H6693" s="13"/>
      <c r="I6693" s="13"/>
      <c r="J6693" s="13"/>
      <c r="K6693" s="13"/>
      <c r="L6693" s="13"/>
      <c r="M6693" s="13"/>
      <c r="N6693" s="13"/>
      <c r="O6693" s="13"/>
      <c r="P6693" s="13"/>
      <c r="Q6693" s="13"/>
      <c r="R6693" s="13"/>
      <c r="S6693" s="13"/>
    </row>
    <row r="6694" spans="1:19" x14ac:dyDescent="0.2">
      <c r="A6694" s="15" t="s">
        <v>398</v>
      </c>
      <c r="B6694" s="15" t="s">
        <v>574</v>
      </c>
      <c r="C6694" s="15" t="s">
        <v>589</v>
      </c>
      <c r="D6694" s="13">
        <v>123278</v>
      </c>
      <c r="E6694" s="13">
        <v>122170.455</v>
      </c>
      <c r="F6694" s="13">
        <v>121572.85</v>
      </c>
      <c r="G6694" s="13">
        <v>121330.586</v>
      </c>
      <c r="H6694" s="13"/>
      <c r="I6694" s="13"/>
      <c r="J6694" s="13"/>
      <c r="K6694" s="13"/>
      <c r="L6694" s="13"/>
      <c r="M6694" s="13"/>
      <c r="N6694" s="13"/>
      <c r="O6694" s="13"/>
      <c r="P6694" s="13"/>
      <c r="Q6694" s="13"/>
      <c r="R6694" s="13"/>
      <c r="S6694" s="13"/>
    </row>
    <row r="6695" spans="1:19" x14ac:dyDescent="0.2">
      <c r="A6695" s="15" t="s">
        <v>406</v>
      </c>
      <c r="B6695" s="15" t="s">
        <v>570</v>
      </c>
      <c r="C6695" s="15" t="s">
        <v>589</v>
      </c>
      <c r="D6695" s="13">
        <v>0</v>
      </c>
      <c r="E6695" s="13">
        <v>0</v>
      </c>
      <c r="F6695" s="13">
        <v>0</v>
      </c>
      <c r="G6695" s="13">
        <v>0</v>
      </c>
      <c r="H6695" s="13"/>
      <c r="I6695" s="13"/>
      <c r="J6695" s="13"/>
      <c r="K6695" s="13"/>
      <c r="L6695" s="13"/>
      <c r="M6695" s="13"/>
      <c r="N6695" s="13"/>
      <c r="O6695" s="13"/>
      <c r="P6695" s="13"/>
      <c r="Q6695" s="13"/>
      <c r="R6695" s="13"/>
      <c r="S6695" s="13"/>
    </row>
    <row r="6696" spans="1:19" x14ac:dyDescent="0.2">
      <c r="A6696" s="15" t="s">
        <v>406</v>
      </c>
      <c r="B6696" s="15" t="s">
        <v>590</v>
      </c>
      <c r="C6696" s="15" t="s">
        <v>589</v>
      </c>
      <c r="D6696" s="13">
        <v>8672</v>
      </c>
      <c r="E6696" s="13">
        <v>8234.1859999999997</v>
      </c>
      <c r="F6696" s="13">
        <v>5929.3549999999996</v>
      </c>
      <c r="G6696" s="13">
        <v>5492.0829999999996</v>
      </c>
      <c r="H6696" s="13"/>
      <c r="I6696" s="13"/>
      <c r="J6696" s="13"/>
      <c r="K6696" s="13"/>
      <c r="L6696" s="13"/>
      <c r="M6696" s="13"/>
      <c r="N6696" s="13"/>
      <c r="O6696" s="13"/>
      <c r="P6696" s="13"/>
      <c r="Q6696" s="13"/>
      <c r="R6696" s="13"/>
      <c r="S6696" s="13"/>
    </row>
    <row r="6697" spans="1:19" x14ac:dyDescent="0.2">
      <c r="A6697" s="15" t="s">
        <v>406</v>
      </c>
      <c r="B6697" s="15" t="s">
        <v>591</v>
      </c>
      <c r="C6697" s="15" t="s">
        <v>589</v>
      </c>
      <c r="D6697" s="13">
        <v>35815</v>
      </c>
      <c r="E6697" s="13">
        <v>36332.315999999999</v>
      </c>
      <c r="F6697" s="13">
        <v>38691.396000000001</v>
      </c>
      <c r="G6697" s="13">
        <v>39135.029000000002</v>
      </c>
      <c r="H6697" s="13"/>
      <c r="I6697" s="13"/>
      <c r="J6697" s="13"/>
      <c r="K6697" s="13"/>
      <c r="L6697" s="13"/>
      <c r="M6697" s="13"/>
      <c r="N6697" s="13"/>
      <c r="O6697" s="13"/>
      <c r="P6697" s="13"/>
      <c r="Q6697" s="13"/>
      <c r="R6697" s="13"/>
      <c r="S6697" s="13"/>
    </row>
    <row r="6698" spans="1:19" x14ac:dyDescent="0.2">
      <c r="A6698" s="15" t="s">
        <v>406</v>
      </c>
      <c r="B6698" s="15" t="s">
        <v>574</v>
      </c>
      <c r="C6698" s="15" t="s">
        <v>589</v>
      </c>
      <c r="D6698" s="13">
        <v>44530</v>
      </c>
      <c r="E6698" s="13">
        <v>44612.639999999999</v>
      </c>
      <c r="F6698" s="13">
        <v>44663.245999999999</v>
      </c>
      <c r="G6698" s="13">
        <v>44662.057000000001</v>
      </c>
      <c r="H6698" s="13"/>
      <c r="I6698" s="13"/>
      <c r="J6698" s="13"/>
      <c r="K6698" s="13"/>
      <c r="L6698" s="13"/>
      <c r="M6698" s="13"/>
      <c r="N6698" s="13"/>
      <c r="O6698" s="13"/>
      <c r="P6698" s="13"/>
      <c r="Q6698" s="13"/>
      <c r="R6698" s="13"/>
      <c r="S6698" s="13"/>
    </row>
    <row r="6699" spans="1:19" x14ac:dyDescent="0.2">
      <c r="A6699" s="15" t="s">
        <v>400</v>
      </c>
      <c r="B6699" s="15" t="s">
        <v>570</v>
      </c>
      <c r="C6699" s="15" t="s">
        <v>589</v>
      </c>
      <c r="D6699" s="13">
        <v>0</v>
      </c>
      <c r="E6699" s="13">
        <v>0</v>
      </c>
      <c r="F6699" s="13">
        <v>0</v>
      </c>
      <c r="G6699" s="13">
        <v>0</v>
      </c>
      <c r="H6699" s="13"/>
      <c r="I6699" s="13"/>
      <c r="J6699" s="13"/>
      <c r="K6699" s="13"/>
      <c r="L6699" s="13"/>
      <c r="M6699" s="13"/>
      <c r="N6699" s="13"/>
      <c r="O6699" s="13"/>
      <c r="P6699" s="13"/>
      <c r="Q6699" s="13"/>
      <c r="R6699" s="13"/>
      <c r="S6699" s="13"/>
    </row>
    <row r="6700" spans="1:19" x14ac:dyDescent="0.2">
      <c r="A6700" s="15" t="s">
        <v>400</v>
      </c>
      <c r="B6700" s="15" t="s">
        <v>590</v>
      </c>
      <c r="C6700" s="15" t="s">
        <v>589</v>
      </c>
      <c r="D6700" s="13">
        <v>2007</v>
      </c>
      <c r="E6700" s="13">
        <v>897.79699999999991</v>
      </c>
      <c r="F6700" s="13">
        <v>1490.2829999999999</v>
      </c>
      <c r="G6700" s="13">
        <v>1692.0650000000001</v>
      </c>
      <c r="H6700" s="13"/>
      <c r="I6700" s="13"/>
      <c r="J6700" s="13"/>
      <c r="K6700" s="13"/>
      <c r="L6700" s="13"/>
      <c r="M6700" s="13"/>
      <c r="N6700" s="13"/>
      <c r="O6700" s="13"/>
      <c r="P6700" s="13"/>
      <c r="Q6700" s="13"/>
      <c r="R6700" s="13"/>
      <c r="S6700" s="13"/>
    </row>
    <row r="6701" spans="1:19" x14ac:dyDescent="0.2">
      <c r="A6701" s="15" t="s">
        <v>400</v>
      </c>
      <c r="B6701" s="15" t="s">
        <v>591</v>
      </c>
      <c r="C6701" s="15" t="s">
        <v>589</v>
      </c>
      <c r="D6701" s="13">
        <v>152039</v>
      </c>
      <c r="E6701" s="13">
        <v>156059.497</v>
      </c>
      <c r="F6701" s="13">
        <v>143460.65900000001</v>
      </c>
      <c r="G6701" s="13">
        <v>151285.68799999999</v>
      </c>
      <c r="H6701" s="13"/>
      <c r="I6701" s="13"/>
      <c r="J6701" s="13"/>
      <c r="K6701" s="13"/>
      <c r="L6701" s="13"/>
      <c r="M6701" s="13"/>
      <c r="N6701" s="13"/>
      <c r="O6701" s="13"/>
      <c r="P6701" s="13"/>
      <c r="Q6701" s="13"/>
      <c r="R6701" s="13"/>
      <c r="S6701" s="13"/>
    </row>
    <row r="6702" spans="1:19" x14ac:dyDescent="0.2">
      <c r="A6702" s="15" t="s">
        <v>400</v>
      </c>
      <c r="B6702" s="15" t="s">
        <v>574</v>
      </c>
      <c r="C6702" s="15" t="s">
        <v>589</v>
      </c>
      <c r="D6702" s="13">
        <v>154529</v>
      </c>
      <c r="E6702" s="13">
        <v>157519.139</v>
      </c>
      <c r="F6702" s="13">
        <v>145604.37700000001</v>
      </c>
      <c r="G6702" s="13">
        <v>153634.06299999999</v>
      </c>
      <c r="H6702" s="13"/>
      <c r="I6702" s="13"/>
      <c r="J6702" s="13"/>
      <c r="K6702" s="13"/>
      <c r="L6702" s="13"/>
      <c r="M6702" s="13"/>
      <c r="N6702" s="13"/>
      <c r="O6702" s="13"/>
      <c r="P6702" s="13"/>
      <c r="Q6702" s="13"/>
      <c r="R6702" s="13"/>
      <c r="S6702" s="13"/>
    </row>
    <row r="6703" spans="1:19" x14ac:dyDescent="0.2">
      <c r="A6703" s="15" t="s">
        <v>424</v>
      </c>
      <c r="B6703" s="15" t="s">
        <v>570</v>
      </c>
      <c r="C6703" s="15" t="s">
        <v>589</v>
      </c>
      <c r="D6703" s="13">
        <v>0</v>
      </c>
      <c r="E6703" s="13">
        <v>0</v>
      </c>
      <c r="F6703" s="13">
        <v>0</v>
      </c>
      <c r="G6703" s="13">
        <v>0</v>
      </c>
      <c r="H6703" s="13"/>
      <c r="I6703" s="13"/>
      <c r="J6703" s="13"/>
      <c r="K6703" s="13"/>
      <c r="L6703" s="13"/>
      <c r="M6703" s="13"/>
      <c r="N6703" s="13"/>
      <c r="O6703" s="13"/>
      <c r="P6703" s="13"/>
      <c r="Q6703" s="13"/>
      <c r="R6703" s="13"/>
      <c r="S6703" s="13"/>
    </row>
    <row r="6704" spans="1:19" x14ac:dyDescent="0.2">
      <c r="A6704" s="15" t="s">
        <v>424</v>
      </c>
      <c r="B6704" s="15" t="s">
        <v>590</v>
      </c>
      <c r="C6704" s="15" t="s">
        <v>589</v>
      </c>
      <c r="D6704" s="13">
        <v>128408</v>
      </c>
      <c r="E6704" s="13">
        <v>147638.46799999999</v>
      </c>
      <c r="F6704" s="13">
        <v>140362.10200000001</v>
      </c>
      <c r="G6704" s="13">
        <v>119112.87</v>
      </c>
      <c r="H6704" s="13"/>
      <c r="I6704" s="13"/>
      <c r="J6704" s="13"/>
      <c r="K6704" s="13"/>
      <c r="L6704" s="13"/>
      <c r="M6704" s="13"/>
      <c r="N6704" s="13"/>
      <c r="O6704" s="13"/>
      <c r="P6704" s="13"/>
      <c r="Q6704" s="13"/>
      <c r="R6704" s="13"/>
      <c r="S6704" s="13"/>
    </row>
    <row r="6705" spans="1:19" x14ac:dyDescent="0.2">
      <c r="A6705" s="15" t="s">
        <v>424</v>
      </c>
      <c r="B6705" s="15" t="s">
        <v>591</v>
      </c>
      <c r="C6705" s="15" t="s">
        <v>589</v>
      </c>
      <c r="D6705" s="13">
        <v>28227</v>
      </c>
      <c r="E6705" s="13">
        <v>30568.076000000001</v>
      </c>
      <c r="F6705" s="13">
        <v>37688.578999999998</v>
      </c>
      <c r="G6705" s="13">
        <v>45853.364999999998</v>
      </c>
      <c r="H6705" s="13"/>
      <c r="I6705" s="13"/>
      <c r="J6705" s="13"/>
      <c r="K6705" s="13"/>
      <c r="L6705" s="13"/>
      <c r="M6705" s="13"/>
      <c r="N6705" s="13"/>
      <c r="O6705" s="13"/>
      <c r="P6705" s="13"/>
      <c r="Q6705" s="13"/>
      <c r="R6705" s="13"/>
      <c r="S6705" s="13"/>
    </row>
    <row r="6706" spans="1:19" x14ac:dyDescent="0.2">
      <c r="A6706" s="15" t="s">
        <v>424</v>
      </c>
      <c r="B6706" s="15" t="s">
        <v>574</v>
      </c>
      <c r="C6706" s="15" t="s">
        <v>589</v>
      </c>
      <c r="D6706" s="13">
        <v>157224</v>
      </c>
      <c r="E6706" s="13">
        <v>178869.53899999999</v>
      </c>
      <c r="F6706" s="13">
        <v>178698</v>
      </c>
      <c r="G6706" s="13">
        <v>166037.492</v>
      </c>
      <c r="H6706" s="13"/>
      <c r="I6706" s="13"/>
      <c r="J6706" s="13"/>
      <c r="K6706" s="13"/>
      <c r="L6706" s="13"/>
      <c r="M6706" s="13"/>
      <c r="N6706" s="13"/>
      <c r="O6706" s="13"/>
      <c r="P6706" s="13"/>
      <c r="Q6706" s="13"/>
      <c r="R6706" s="13"/>
      <c r="S6706" s="13"/>
    </row>
    <row r="6707" spans="1:19" x14ac:dyDescent="0.2">
      <c r="A6707" s="15" t="s">
        <v>430</v>
      </c>
      <c r="B6707" s="15" t="s">
        <v>570</v>
      </c>
      <c r="C6707" s="15" t="s">
        <v>589</v>
      </c>
      <c r="D6707" s="13">
        <v>0</v>
      </c>
      <c r="E6707" s="13">
        <v>0</v>
      </c>
      <c r="F6707" s="13">
        <v>0</v>
      </c>
      <c r="G6707" s="13">
        <v>0</v>
      </c>
      <c r="H6707" s="13"/>
      <c r="I6707" s="13"/>
      <c r="J6707" s="13"/>
      <c r="K6707" s="13"/>
      <c r="L6707" s="13"/>
      <c r="M6707" s="13"/>
      <c r="N6707" s="13"/>
      <c r="O6707" s="13"/>
      <c r="P6707" s="13"/>
      <c r="Q6707" s="13"/>
      <c r="R6707" s="13"/>
      <c r="S6707" s="13"/>
    </row>
    <row r="6708" spans="1:19" x14ac:dyDescent="0.2">
      <c r="A6708" s="15" t="s">
        <v>430</v>
      </c>
      <c r="B6708" s="15" t="s">
        <v>590</v>
      </c>
      <c r="C6708" s="15" t="s">
        <v>589</v>
      </c>
      <c r="D6708" s="13">
        <v>21166</v>
      </c>
      <c r="E6708" s="13">
        <v>17605.59</v>
      </c>
      <c r="F6708" s="13">
        <v>18677.962</v>
      </c>
      <c r="G6708" s="13">
        <v>11653.08</v>
      </c>
      <c r="H6708" s="13"/>
      <c r="I6708" s="13"/>
      <c r="J6708" s="13"/>
      <c r="K6708" s="13"/>
      <c r="L6708" s="13"/>
      <c r="M6708" s="13"/>
      <c r="N6708" s="13"/>
      <c r="O6708" s="13"/>
      <c r="P6708" s="13"/>
      <c r="Q6708" s="13"/>
      <c r="R6708" s="13"/>
      <c r="S6708" s="13"/>
    </row>
    <row r="6709" spans="1:19" x14ac:dyDescent="0.2">
      <c r="A6709" s="15" t="s">
        <v>430</v>
      </c>
      <c r="B6709" s="15" t="s">
        <v>591</v>
      </c>
      <c r="C6709" s="15" t="s">
        <v>589</v>
      </c>
      <c r="D6709" s="13">
        <v>30100</v>
      </c>
      <c r="E6709" s="13">
        <v>31541.424999999999</v>
      </c>
      <c r="F6709" s="13">
        <v>27606.493999999999</v>
      </c>
      <c r="G6709" s="13">
        <v>34352.485999999997</v>
      </c>
      <c r="H6709" s="13"/>
      <c r="I6709" s="13"/>
      <c r="J6709" s="13"/>
      <c r="K6709" s="13"/>
      <c r="L6709" s="13"/>
      <c r="M6709" s="13"/>
      <c r="N6709" s="13"/>
      <c r="O6709" s="13"/>
      <c r="P6709" s="13"/>
      <c r="Q6709" s="13"/>
      <c r="R6709" s="13"/>
      <c r="S6709" s="13"/>
    </row>
    <row r="6710" spans="1:19" x14ac:dyDescent="0.2">
      <c r="A6710" s="15" t="s">
        <v>430</v>
      </c>
      <c r="B6710" s="15" t="s">
        <v>574</v>
      </c>
      <c r="C6710" s="15" t="s">
        <v>589</v>
      </c>
      <c r="D6710" s="13">
        <v>51528</v>
      </c>
      <c r="E6710" s="13">
        <v>49432.474999999999</v>
      </c>
      <c r="F6710" s="13">
        <v>46504.472000000002</v>
      </c>
      <c r="G6710" s="13">
        <v>46214.485000000001</v>
      </c>
      <c r="H6710" s="13"/>
      <c r="I6710" s="13"/>
      <c r="J6710" s="13"/>
      <c r="K6710" s="13"/>
      <c r="L6710" s="13"/>
      <c r="M6710" s="13"/>
      <c r="N6710" s="13"/>
      <c r="O6710" s="13"/>
      <c r="P6710" s="13"/>
      <c r="Q6710" s="13"/>
      <c r="R6710" s="13"/>
      <c r="S6710" s="13"/>
    </row>
    <row r="6711" spans="1:19" x14ac:dyDescent="0.2">
      <c r="A6711" s="15" t="s">
        <v>576</v>
      </c>
      <c r="B6711" s="15" t="s">
        <v>570</v>
      </c>
      <c r="C6711" s="15" t="s">
        <v>589</v>
      </c>
      <c r="D6711" s="13">
        <v>15444</v>
      </c>
      <c r="E6711" s="13">
        <v>15730</v>
      </c>
      <c r="F6711" s="13">
        <v>15920</v>
      </c>
      <c r="G6711" s="13">
        <v>18333</v>
      </c>
      <c r="H6711" s="13"/>
      <c r="I6711" s="13"/>
      <c r="J6711" s="13"/>
      <c r="K6711" s="13"/>
      <c r="L6711" s="13"/>
      <c r="M6711" s="13"/>
      <c r="N6711" s="13"/>
      <c r="O6711" s="13"/>
      <c r="P6711" s="13"/>
      <c r="Q6711" s="13"/>
      <c r="R6711" s="13"/>
      <c r="S6711" s="13"/>
    </row>
    <row r="6712" spans="1:19" x14ac:dyDescent="0.2">
      <c r="A6712" s="15" t="s">
        <v>576</v>
      </c>
      <c r="B6712" s="15" t="s">
        <v>590</v>
      </c>
      <c r="C6712" s="15" t="s">
        <v>589</v>
      </c>
      <c r="D6712" s="13">
        <v>6180</v>
      </c>
      <c r="E6712" s="13">
        <v>6986</v>
      </c>
      <c r="F6712" s="13">
        <v>4675</v>
      </c>
      <c r="G6712" s="13">
        <v>4373</v>
      </c>
      <c r="H6712" s="13"/>
      <c r="I6712" s="13"/>
      <c r="J6712" s="13"/>
      <c r="K6712" s="13"/>
      <c r="L6712" s="13"/>
      <c r="M6712" s="13"/>
      <c r="N6712" s="13"/>
      <c r="O6712" s="13"/>
      <c r="P6712" s="13"/>
      <c r="Q6712" s="13"/>
      <c r="R6712" s="13"/>
      <c r="S6712" s="13"/>
    </row>
    <row r="6713" spans="1:19" x14ac:dyDescent="0.2">
      <c r="A6713" s="15" t="s">
        <v>576</v>
      </c>
      <c r="B6713" s="15" t="s">
        <v>591</v>
      </c>
      <c r="C6713" s="15" t="s">
        <v>589</v>
      </c>
      <c r="D6713" s="13">
        <v>6857</v>
      </c>
      <c r="E6713" s="13">
        <v>6778</v>
      </c>
      <c r="F6713" s="13">
        <v>5822</v>
      </c>
      <c r="G6713" s="13">
        <v>6709</v>
      </c>
      <c r="H6713" s="13"/>
      <c r="I6713" s="13"/>
      <c r="J6713" s="13"/>
      <c r="K6713" s="13"/>
      <c r="L6713" s="13"/>
      <c r="M6713" s="13"/>
      <c r="N6713" s="13"/>
      <c r="O6713" s="13"/>
      <c r="P6713" s="13"/>
      <c r="Q6713" s="13"/>
      <c r="R6713" s="13"/>
      <c r="S6713" s="13"/>
    </row>
    <row r="6714" spans="1:19" x14ac:dyDescent="0.2">
      <c r="A6714" s="15" t="s">
        <v>576</v>
      </c>
      <c r="B6714" s="15" t="s">
        <v>574</v>
      </c>
      <c r="C6714" s="15" t="s">
        <v>589</v>
      </c>
      <c r="D6714" s="13">
        <v>28556</v>
      </c>
      <c r="E6714" s="13">
        <v>29722</v>
      </c>
      <c r="F6714" s="13">
        <v>26553</v>
      </c>
      <c r="G6714" s="13">
        <v>29561</v>
      </c>
      <c r="H6714" s="13"/>
      <c r="I6714" s="13"/>
      <c r="J6714" s="13"/>
      <c r="K6714" s="13"/>
      <c r="L6714" s="13"/>
      <c r="M6714" s="13"/>
      <c r="N6714" s="13"/>
      <c r="O6714" s="13"/>
      <c r="P6714" s="13"/>
      <c r="Q6714" s="13"/>
      <c r="R6714" s="13"/>
      <c r="S6714" s="13"/>
    </row>
    <row r="6715" spans="1:19" x14ac:dyDescent="0.2">
      <c r="A6715" s="15" t="s">
        <v>477</v>
      </c>
      <c r="B6715" s="15" t="s">
        <v>570</v>
      </c>
      <c r="C6715" s="15" t="s">
        <v>589</v>
      </c>
      <c r="D6715" s="13">
        <v>6353</v>
      </c>
      <c r="E6715" s="13">
        <v>5705.951</v>
      </c>
      <c r="F6715" s="13">
        <v>5605.5079999999998</v>
      </c>
      <c r="G6715" s="13">
        <v>5603.0060000000003</v>
      </c>
      <c r="H6715" s="13"/>
      <c r="I6715" s="13"/>
      <c r="J6715" s="13"/>
      <c r="K6715" s="13"/>
      <c r="L6715" s="13"/>
      <c r="M6715" s="13"/>
      <c r="N6715" s="13"/>
      <c r="O6715" s="13"/>
      <c r="P6715" s="13"/>
      <c r="Q6715" s="13"/>
      <c r="R6715" s="13"/>
      <c r="S6715" s="13"/>
    </row>
    <row r="6716" spans="1:19" x14ac:dyDescent="0.2">
      <c r="A6716" s="15" t="s">
        <v>477</v>
      </c>
      <c r="B6716" s="15" t="s">
        <v>590</v>
      </c>
      <c r="C6716" s="15" t="s">
        <v>589</v>
      </c>
      <c r="D6716" s="13">
        <v>4954</v>
      </c>
      <c r="E6716" s="13">
        <v>4427.0739999999996</v>
      </c>
      <c r="F6716" s="13">
        <v>3677.4839999999999</v>
      </c>
      <c r="G6716" s="13">
        <v>3654.1570000000002</v>
      </c>
      <c r="H6716" s="13"/>
      <c r="I6716" s="13"/>
      <c r="J6716" s="13"/>
      <c r="K6716" s="13"/>
      <c r="L6716" s="13"/>
      <c r="M6716" s="13"/>
      <c r="N6716" s="13"/>
      <c r="O6716" s="13"/>
      <c r="P6716" s="13"/>
      <c r="Q6716" s="13"/>
      <c r="R6716" s="13"/>
      <c r="S6716" s="13"/>
    </row>
    <row r="6717" spans="1:19" x14ac:dyDescent="0.2">
      <c r="A6717" s="15" t="s">
        <v>477</v>
      </c>
      <c r="B6717" s="15" t="s">
        <v>591</v>
      </c>
      <c r="C6717" s="15" t="s">
        <v>589</v>
      </c>
      <c r="D6717" s="13">
        <v>5583</v>
      </c>
      <c r="E6717" s="13">
        <v>5448.7</v>
      </c>
      <c r="F6717" s="13">
        <v>4069.299</v>
      </c>
      <c r="G6717" s="13">
        <v>6308.0110000000004</v>
      </c>
      <c r="H6717" s="13"/>
      <c r="I6717" s="13"/>
      <c r="J6717" s="13"/>
      <c r="K6717" s="13"/>
      <c r="L6717" s="13"/>
      <c r="M6717" s="13"/>
      <c r="N6717" s="13"/>
      <c r="O6717" s="13"/>
      <c r="P6717" s="13"/>
      <c r="Q6717" s="13"/>
      <c r="R6717" s="13"/>
      <c r="S6717" s="13"/>
    </row>
    <row r="6718" spans="1:19" x14ac:dyDescent="0.2">
      <c r="A6718" s="15" t="s">
        <v>477</v>
      </c>
      <c r="B6718" s="15" t="s">
        <v>574</v>
      </c>
      <c r="C6718" s="15" t="s">
        <v>589</v>
      </c>
      <c r="D6718" s="13">
        <v>16900</v>
      </c>
      <c r="E6718" s="13">
        <v>15592.366</v>
      </c>
      <c r="F6718" s="13">
        <v>13364.332</v>
      </c>
      <c r="G6718" s="13">
        <v>15577.317999999999</v>
      </c>
      <c r="H6718" s="13"/>
      <c r="I6718" s="13"/>
      <c r="J6718" s="13"/>
      <c r="K6718" s="13"/>
      <c r="L6718" s="13"/>
      <c r="M6718" s="13"/>
      <c r="N6718" s="13"/>
      <c r="O6718" s="13"/>
      <c r="P6718" s="13"/>
      <c r="Q6718" s="13"/>
      <c r="R6718" s="13"/>
      <c r="S6718" s="13"/>
    </row>
    <row r="6719" spans="1:19" x14ac:dyDescent="0.2">
      <c r="A6719" s="15" t="s">
        <v>219</v>
      </c>
      <c r="B6719" s="15" t="s">
        <v>570</v>
      </c>
      <c r="C6719" s="15" t="s">
        <v>589</v>
      </c>
      <c r="D6719" s="13">
        <v>58299</v>
      </c>
      <c r="E6719" s="13">
        <v>56564</v>
      </c>
      <c r="F6719" s="13">
        <v>58590</v>
      </c>
      <c r="G6719" s="13">
        <v>56873</v>
      </c>
      <c r="H6719" s="13"/>
      <c r="I6719" s="13"/>
      <c r="J6719" s="13"/>
      <c r="K6719" s="13"/>
      <c r="L6719" s="13"/>
      <c r="M6719" s="13"/>
      <c r="N6719" s="13"/>
      <c r="O6719" s="13"/>
      <c r="P6719" s="13"/>
      <c r="Q6719" s="13"/>
      <c r="R6719" s="13"/>
      <c r="S6719" s="13"/>
    </row>
    <row r="6720" spans="1:19" x14ac:dyDescent="0.2">
      <c r="A6720" s="15" t="s">
        <v>219</v>
      </c>
      <c r="B6720" s="15" t="s">
        <v>590</v>
      </c>
      <c r="C6720" s="15" t="s">
        <v>589</v>
      </c>
      <c r="D6720" s="13">
        <v>86592</v>
      </c>
      <c r="E6720" s="13">
        <v>87560</v>
      </c>
      <c r="F6720" s="13">
        <v>105261</v>
      </c>
      <c r="G6720" s="13">
        <v>78010.91</v>
      </c>
      <c r="H6720" s="13"/>
      <c r="I6720" s="13"/>
      <c r="J6720" s="13"/>
      <c r="K6720" s="13"/>
      <c r="L6720" s="13"/>
      <c r="M6720" s="13"/>
      <c r="N6720" s="13"/>
      <c r="O6720" s="13"/>
      <c r="P6720" s="13"/>
      <c r="Q6720" s="13"/>
      <c r="R6720" s="13"/>
      <c r="S6720" s="13"/>
    </row>
    <row r="6721" spans="1:19" x14ac:dyDescent="0.2">
      <c r="A6721" s="15" t="s">
        <v>219</v>
      </c>
      <c r="B6721" s="15" t="s">
        <v>591</v>
      </c>
      <c r="C6721" s="15" t="s">
        <v>589</v>
      </c>
      <c r="D6721" s="13">
        <v>113783</v>
      </c>
      <c r="E6721" s="13">
        <v>125746.55100000001</v>
      </c>
      <c r="F6721" s="13">
        <v>122918.5</v>
      </c>
      <c r="G6721" s="13">
        <v>143772</v>
      </c>
      <c r="H6721" s="13"/>
      <c r="I6721" s="13"/>
      <c r="J6721" s="13"/>
      <c r="K6721" s="13"/>
      <c r="L6721" s="13"/>
      <c r="M6721" s="13"/>
      <c r="N6721" s="13"/>
      <c r="O6721" s="13"/>
      <c r="P6721" s="13"/>
      <c r="Q6721" s="13"/>
      <c r="R6721" s="13"/>
      <c r="S6721" s="13"/>
    </row>
    <row r="6722" spans="1:19" x14ac:dyDescent="0.2">
      <c r="A6722" s="15" t="s">
        <v>219</v>
      </c>
      <c r="B6722" s="15" t="s">
        <v>574</v>
      </c>
      <c r="C6722" s="15" t="s">
        <v>589</v>
      </c>
      <c r="D6722" s="13">
        <v>259882</v>
      </c>
      <c r="E6722" s="13">
        <v>271091</v>
      </c>
      <c r="F6722" s="13">
        <v>287942</v>
      </c>
      <c r="G6722" s="13">
        <v>279771.75300000003</v>
      </c>
      <c r="H6722" s="13"/>
      <c r="I6722" s="13"/>
      <c r="J6722" s="13"/>
      <c r="K6722" s="13"/>
      <c r="L6722" s="13"/>
      <c r="M6722" s="13"/>
      <c r="N6722" s="13"/>
      <c r="O6722" s="13"/>
      <c r="P6722" s="13"/>
      <c r="Q6722" s="13"/>
      <c r="R6722" s="13"/>
      <c r="S6722" s="13"/>
    </row>
    <row r="6723" spans="1:19" x14ac:dyDescent="0.2">
      <c r="A6723" s="15" t="s">
        <v>479</v>
      </c>
      <c r="B6723" s="15" t="s">
        <v>570</v>
      </c>
      <c r="C6723" s="15" t="s">
        <v>589</v>
      </c>
      <c r="D6723" s="13">
        <v>49198</v>
      </c>
      <c r="E6723" s="13">
        <v>52965</v>
      </c>
      <c r="F6723" s="13">
        <v>51944</v>
      </c>
      <c r="G6723" s="13">
        <v>48470</v>
      </c>
      <c r="H6723" s="13"/>
      <c r="I6723" s="13"/>
      <c r="J6723" s="13"/>
      <c r="K6723" s="13"/>
      <c r="L6723" s="13"/>
      <c r="M6723" s="13"/>
      <c r="N6723" s="13"/>
      <c r="O6723" s="13"/>
      <c r="P6723" s="13"/>
      <c r="Q6723" s="13"/>
      <c r="R6723" s="13"/>
      <c r="S6723" s="13"/>
    </row>
    <row r="6724" spans="1:19" x14ac:dyDescent="0.2">
      <c r="A6724" s="15" t="s">
        <v>479</v>
      </c>
      <c r="B6724" s="15" t="s">
        <v>590</v>
      </c>
      <c r="C6724" s="15" t="s">
        <v>589</v>
      </c>
      <c r="D6724" s="13">
        <v>897</v>
      </c>
      <c r="E6724" s="13">
        <v>1375</v>
      </c>
      <c r="F6724" s="13">
        <v>1227</v>
      </c>
      <c r="G6724" s="13">
        <v>1011</v>
      </c>
      <c r="H6724" s="13"/>
      <c r="I6724" s="13"/>
      <c r="J6724" s="13"/>
      <c r="K6724" s="13"/>
      <c r="L6724" s="13"/>
      <c r="M6724" s="13"/>
      <c r="N6724" s="13"/>
      <c r="O6724" s="13"/>
      <c r="P6724" s="13"/>
      <c r="Q6724" s="13"/>
      <c r="R6724" s="13"/>
      <c r="S6724" s="13"/>
    </row>
    <row r="6725" spans="1:19" x14ac:dyDescent="0.2">
      <c r="A6725" s="15" t="s">
        <v>479</v>
      </c>
      <c r="B6725" s="15" t="s">
        <v>591</v>
      </c>
      <c r="C6725" s="15" t="s">
        <v>589</v>
      </c>
      <c r="D6725" s="13">
        <v>112143</v>
      </c>
      <c r="E6725" s="13">
        <v>115737</v>
      </c>
      <c r="F6725" s="13">
        <v>118236</v>
      </c>
      <c r="G6725" s="13">
        <v>115246</v>
      </c>
      <c r="H6725" s="13"/>
      <c r="I6725" s="13"/>
      <c r="J6725" s="13"/>
      <c r="K6725" s="13"/>
      <c r="L6725" s="13"/>
      <c r="M6725" s="13"/>
      <c r="N6725" s="13"/>
      <c r="O6725" s="13"/>
      <c r="P6725" s="13"/>
      <c r="Q6725" s="13"/>
      <c r="R6725" s="13"/>
      <c r="S6725" s="13"/>
    </row>
    <row r="6726" spans="1:19" x14ac:dyDescent="0.2">
      <c r="A6726" s="15" t="s">
        <v>479</v>
      </c>
      <c r="B6726" s="15" t="s">
        <v>574</v>
      </c>
      <c r="C6726" s="15" t="s">
        <v>589</v>
      </c>
      <c r="D6726" s="13">
        <v>163782</v>
      </c>
      <c r="E6726" s="13">
        <v>171757</v>
      </c>
      <c r="F6726" s="13">
        <v>173063</v>
      </c>
      <c r="G6726" s="13">
        <v>166040</v>
      </c>
      <c r="H6726" s="13"/>
      <c r="I6726" s="13"/>
      <c r="J6726" s="13"/>
      <c r="K6726" s="13"/>
      <c r="L6726" s="13"/>
      <c r="M6726" s="13"/>
      <c r="N6726" s="13"/>
      <c r="O6726" s="13"/>
      <c r="P6726" s="13"/>
      <c r="Q6726" s="13"/>
      <c r="R6726" s="13"/>
      <c r="S6726" s="13"/>
    </row>
    <row r="6727" spans="1:19" x14ac:dyDescent="0.2">
      <c r="A6727" s="15" t="s">
        <v>165</v>
      </c>
      <c r="B6727" s="15" t="s">
        <v>570</v>
      </c>
      <c r="C6727" s="15" t="s">
        <v>589</v>
      </c>
      <c r="D6727" s="13">
        <v>24025</v>
      </c>
      <c r="E6727" s="13">
        <v>19363.849999999999</v>
      </c>
      <c r="F6727" s="13">
        <v>24153.084999999999</v>
      </c>
      <c r="G6727" s="13">
        <v>24384.03</v>
      </c>
      <c r="H6727" s="13"/>
      <c r="I6727" s="13"/>
      <c r="J6727" s="13"/>
      <c r="K6727" s="13"/>
      <c r="L6727" s="13"/>
      <c r="M6727" s="13"/>
      <c r="N6727" s="13"/>
      <c r="O6727" s="13"/>
      <c r="P6727" s="13"/>
      <c r="Q6727" s="13"/>
      <c r="R6727" s="13"/>
      <c r="S6727" s="13"/>
    </row>
    <row r="6728" spans="1:19" x14ac:dyDescent="0.2">
      <c r="A6728" s="15" t="s">
        <v>165</v>
      </c>
      <c r="B6728" s="15" t="s">
        <v>590</v>
      </c>
      <c r="C6728" s="15" t="s">
        <v>589</v>
      </c>
      <c r="D6728" s="13">
        <v>636</v>
      </c>
      <c r="E6728" s="13">
        <v>532.72900000000004</v>
      </c>
      <c r="F6728" s="13">
        <v>411.63499999999999</v>
      </c>
      <c r="G6728" s="13">
        <v>302.74099999999999</v>
      </c>
      <c r="H6728" s="13"/>
      <c r="I6728" s="13"/>
      <c r="J6728" s="13"/>
      <c r="K6728" s="13"/>
      <c r="L6728" s="13"/>
      <c r="M6728" s="13"/>
      <c r="N6728" s="13"/>
      <c r="O6728" s="13"/>
      <c r="P6728" s="13"/>
      <c r="Q6728" s="13"/>
      <c r="R6728" s="13"/>
      <c r="S6728" s="13"/>
    </row>
    <row r="6729" spans="1:19" x14ac:dyDescent="0.2">
      <c r="A6729" s="15" t="s">
        <v>165</v>
      </c>
      <c r="B6729" s="15" t="s">
        <v>591</v>
      </c>
      <c r="C6729" s="15" t="s">
        <v>589</v>
      </c>
      <c r="D6729" s="13">
        <v>42605</v>
      </c>
      <c r="E6729" s="13">
        <v>42018.084999999999</v>
      </c>
      <c r="F6729" s="13">
        <v>35986.241999999998</v>
      </c>
      <c r="G6729" s="13">
        <v>44263.853999999999</v>
      </c>
      <c r="H6729" s="13"/>
      <c r="I6729" s="13"/>
      <c r="J6729" s="13"/>
      <c r="K6729" s="13"/>
      <c r="L6729" s="13"/>
      <c r="M6729" s="13"/>
      <c r="N6729" s="13"/>
      <c r="O6729" s="13"/>
      <c r="P6729" s="13"/>
      <c r="Q6729" s="13"/>
      <c r="R6729" s="13"/>
      <c r="S6729" s="13"/>
    </row>
    <row r="6730" spans="1:19" x14ac:dyDescent="0.2">
      <c r="A6730" s="15" t="s">
        <v>165</v>
      </c>
      <c r="B6730" s="15" t="s">
        <v>574</v>
      </c>
      <c r="C6730" s="15" t="s">
        <v>589</v>
      </c>
      <c r="D6730" s="13">
        <v>68498</v>
      </c>
      <c r="E6730" s="13">
        <v>63106.962</v>
      </c>
      <c r="F6730" s="13">
        <v>61725.644999999997</v>
      </c>
      <c r="G6730" s="13">
        <v>70077.664999999994</v>
      </c>
      <c r="H6730" s="13"/>
      <c r="I6730" s="13"/>
      <c r="J6730" s="13"/>
      <c r="K6730" s="13"/>
      <c r="L6730" s="13"/>
      <c r="M6730" s="13"/>
      <c r="N6730" s="13"/>
      <c r="O6730" s="13"/>
      <c r="P6730" s="13"/>
      <c r="Q6730" s="13"/>
      <c r="R6730" s="13"/>
      <c r="S6730" s="13"/>
    </row>
    <row r="6731" spans="1:19" x14ac:dyDescent="0.2">
      <c r="A6731" s="15" t="s">
        <v>577</v>
      </c>
      <c r="B6731" s="15" t="s">
        <v>570</v>
      </c>
      <c r="C6731" s="15" t="s">
        <v>589</v>
      </c>
      <c r="D6731" s="13">
        <v>0</v>
      </c>
      <c r="E6731" s="13">
        <v>0</v>
      </c>
      <c r="F6731" s="13">
        <v>0</v>
      </c>
      <c r="G6731" s="13">
        <v>0</v>
      </c>
      <c r="H6731" s="13"/>
      <c r="I6731" s="13"/>
      <c r="J6731" s="13"/>
      <c r="K6731" s="13"/>
      <c r="L6731" s="13"/>
      <c r="M6731" s="13"/>
      <c r="N6731" s="13"/>
      <c r="O6731" s="13"/>
      <c r="P6731" s="13"/>
      <c r="Q6731" s="13"/>
      <c r="R6731" s="13"/>
      <c r="S6731" s="13"/>
    </row>
    <row r="6732" spans="1:19" x14ac:dyDescent="0.2">
      <c r="A6732" s="15" t="s">
        <v>577</v>
      </c>
      <c r="B6732" s="15" t="s">
        <v>590</v>
      </c>
      <c r="C6732" s="15" t="s">
        <v>589</v>
      </c>
      <c r="D6732" s="13">
        <v>177066</v>
      </c>
      <c r="E6732" s="13">
        <v>214844.32199999999</v>
      </c>
      <c r="F6732" s="13">
        <v>189172.46100000001</v>
      </c>
      <c r="G6732" s="13">
        <v>189720.03</v>
      </c>
      <c r="H6732" s="13"/>
      <c r="I6732" s="13"/>
      <c r="J6732" s="13"/>
      <c r="K6732" s="13"/>
      <c r="L6732" s="13"/>
      <c r="M6732" s="13"/>
      <c r="N6732" s="13"/>
      <c r="O6732" s="13"/>
      <c r="P6732" s="13"/>
      <c r="Q6732" s="13"/>
      <c r="R6732" s="13"/>
      <c r="S6732" s="13"/>
    </row>
    <row r="6733" spans="1:19" x14ac:dyDescent="0.2">
      <c r="A6733" s="15" t="s">
        <v>577</v>
      </c>
      <c r="B6733" s="15" t="s">
        <v>591</v>
      </c>
      <c r="C6733" s="15" t="s">
        <v>589</v>
      </c>
      <c r="D6733" s="13">
        <v>128345</v>
      </c>
      <c r="E6733" s="13">
        <v>118552.296</v>
      </c>
      <c r="F6733" s="13">
        <v>137827.421</v>
      </c>
      <c r="G6733" s="13">
        <v>140022.739</v>
      </c>
      <c r="H6733" s="13"/>
      <c r="I6733" s="13"/>
      <c r="J6733" s="13"/>
      <c r="K6733" s="13"/>
      <c r="L6733" s="13"/>
      <c r="M6733" s="13"/>
      <c r="N6733" s="13"/>
      <c r="O6733" s="13"/>
      <c r="P6733" s="13"/>
      <c r="Q6733" s="13"/>
      <c r="R6733" s="13"/>
      <c r="S6733" s="13"/>
    </row>
    <row r="6734" spans="1:19" x14ac:dyDescent="0.2">
      <c r="A6734" s="15" t="s">
        <v>577</v>
      </c>
      <c r="B6734" s="15" t="s">
        <v>574</v>
      </c>
      <c r="C6734" s="15" t="s">
        <v>589</v>
      </c>
      <c r="D6734" s="13">
        <v>306703</v>
      </c>
      <c r="E6734" s="13">
        <v>334723.11099999998</v>
      </c>
      <c r="F6734" s="13">
        <v>328379.34100000001</v>
      </c>
      <c r="G6734" s="13">
        <v>331148.89500000002</v>
      </c>
      <c r="H6734" s="13"/>
      <c r="I6734" s="13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</row>
    <row r="6735" spans="1:19" x14ac:dyDescent="0.2">
      <c r="A6735" s="15" t="s">
        <v>239</v>
      </c>
      <c r="B6735" s="15" t="s">
        <v>570</v>
      </c>
      <c r="C6735" s="15" t="s">
        <v>589</v>
      </c>
      <c r="D6735" s="13">
        <v>50239</v>
      </c>
      <c r="E6735" s="13">
        <v>46103.921999999999</v>
      </c>
      <c r="F6735" s="13">
        <v>47400.415999999997</v>
      </c>
      <c r="G6735" s="13">
        <v>40596.11</v>
      </c>
      <c r="H6735" s="13"/>
      <c r="I6735" s="13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</row>
    <row r="6736" spans="1:19" x14ac:dyDescent="0.2">
      <c r="A6736" s="15" t="s">
        <v>239</v>
      </c>
      <c r="B6736" s="15" t="s">
        <v>590</v>
      </c>
      <c r="C6736" s="15" t="s">
        <v>589</v>
      </c>
      <c r="D6736" s="13">
        <v>120282</v>
      </c>
      <c r="E6736" s="13">
        <v>133104.796</v>
      </c>
      <c r="F6736" s="13">
        <v>135393.31700000001</v>
      </c>
      <c r="G6736" s="13">
        <v>108731.64599999999</v>
      </c>
      <c r="H6736" s="13"/>
      <c r="I6736" s="13"/>
      <c r="J6736" s="13"/>
      <c r="K6736" s="13"/>
      <c r="L6736" s="13"/>
      <c r="M6736" s="13"/>
      <c r="N6736" s="13"/>
      <c r="O6736" s="13"/>
      <c r="P6736" s="13"/>
      <c r="Q6736" s="13"/>
      <c r="R6736" s="13"/>
      <c r="S6736" s="13"/>
    </row>
    <row r="6737" spans="1:19" x14ac:dyDescent="0.2">
      <c r="A6737" s="15" t="s">
        <v>239</v>
      </c>
      <c r="B6737" s="15" t="s">
        <v>591</v>
      </c>
      <c r="C6737" s="15" t="s">
        <v>589</v>
      </c>
      <c r="D6737" s="13">
        <v>133630</v>
      </c>
      <c r="E6737" s="13">
        <v>122481.66</v>
      </c>
      <c r="F6737" s="13">
        <v>135397.88800000001</v>
      </c>
      <c r="G6737" s="13">
        <v>135834.891</v>
      </c>
      <c r="H6737" s="13"/>
      <c r="I6737" s="13"/>
      <c r="J6737" s="13"/>
      <c r="K6737" s="13"/>
      <c r="L6737" s="13"/>
      <c r="M6737" s="13"/>
      <c r="N6737" s="13"/>
      <c r="O6737" s="13"/>
      <c r="P6737" s="13"/>
      <c r="Q6737" s="13"/>
      <c r="R6737" s="13"/>
      <c r="S6737" s="13"/>
    </row>
    <row r="6738" spans="1:19" x14ac:dyDescent="0.2">
      <c r="A6738" s="15" t="s">
        <v>239</v>
      </c>
      <c r="B6738" s="15" t="s">
        <v>574</v>
      </c>
      <c r="C6738" s="15" t="s">
        <v>589</v>
      </c>
      <c r="D6738" s="13">
        <v>308979</v>
      </c>
      <c r="E6738" s="13">
        <v>306743.598</v>
      </c>
      <c r="F6738" s="13">
        <v>323549.27899999998</v>
      </c>
      <c r="G6738" s="13">
        <v>291568.88199999998</v>
      </c>
      <c r="H6738" s="13"/>
      <c r="I6738" s="13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</row>
    <row r="6739" spans="1:19" x14ac:dyDescent="0.2">
      <c r="A6739" s="15" t="s">
        <v>522</v>
      </c>
      <c r="B6739" s="15" t="s">
        <v>570</v>
      </c>
      <c r="C6739" s="15" t="s">
        <v>589</v>
      </c>
      <c r="D6739" s="13">
        <v>823150</v>
      </c>
      <c r="E6739" s="13">
        <v>811551.478</v>
      </c>
      <c r="F6739" s="13">
        <v>803668.56700000004</v>
      </c>
      <c r="G6739" s="13">
        <v>808075.91799999995</v>
      </c>
      <c r="H6739" s="13"/>
      <c r="I6739" s="13"/>
      <c r="J6739" s="13"/>
      <c r="K6739" s="13"/>
      <c r="L6739" s="13"/>
      <c r="M6739" s="13"/>
      <c r="N6739" s="13"/>
      <c r="O6739" s="13"/>
      <c r="P6739" s="13"/>
      <c r="Q6739" s="13"/>
      <c r="R6739" s="13"/>
      <c r="S6739" s="13"/>
    </row>
    <row r="6740" spans="1:19" x14ac:dyDescent="0.2">
      <c r="A6740" s="15" t="s">
        <v>522</v>
      </c>
      <c r="B6740" s="15" t="s">
        <v>590</v>
      </c>
      <c r="C6740" s="15" t="s">
        <v>589</v>
      </c>
      <c r="D6740" s="13">
        <v>2573324</v>
      </c>
      <c r="E6740" s="13">
        <v>2661776.344</v>
      </c>
      <c r="F6740" s="13">
        <v>2696235.4569999999</v>
      </c>
      <c r="G6740" s="13">
        <v>2640373.2349999999</v>
      </c>
      <c r="H6740" s="13"/>
      <c r="I6740" s="13"/>
      <c r="J6740" s="13"/>
      <c r="K6740" s="13"/>
      <c r="L6740" s="13"/>
      <c r="M6740" s="13"/>
      <c r="N6740" s="13"/>
      <c r="O6740" s="13"/>
      <c r="P6740" s="13"/>
      <c r="Q6740" s="13"/>
      <c r="R6740" s="13"/>
      <c r="S6740" s="13"/>
    </row>
    <row r="6741" spans="1:19" x14ac:dyDescent="0.2">
      <c r="A6741" s="15" t="s">
        <v>522</v>
      </c>
      <c r="B6741" s="15" t="s">
        <v>591</v>
      </c>
      <c r="C6741" s="15" t="s">
        <v>589</v>
      </c>
      <c r="D6741" s="13">
        <v>827386</v>
      </c>
      <c r="E6741" s="13">
        <v>866274</v>
      </c>
      <c r="F6741" s="13">
        <v>959231.98199999996</v>
      </c>
      <c r="G6741" s="13">
        <v>962076.04599999997</v>
      </c>
      <c r="H6741" s="13"/>
      <c r="I6741" s="13"/>
      <c r="J6741" s="13"/>
      <c r="K6741" s="13"/>
      <c r="L6741" s="13"/>
      <c r="M6741" s="13"/>
      <c r="N6741" s="13"/>
      <c r="O6741" s="13"/>
      <c r="P6741" s="13"/>
      <c r="Q6741" s="13"/>
      <c r="R6741" s="13"/>
      <c r="S6741" s="13"/>
    </row>
    <row r="6742" spans="1:19" x14ac:dyDescent="0.2">
      <c r="A6742" s="15" t="s">
        <v>522</v>
      </c>
      <c r="B6742" s="15" t="s">
        <v>574</v>
      </c>
      <c r="C6742" s="15" t="s">
        <v>589</v>
      </c>
      <c r="D6742" s="13">
        <v>4238970</v>
      </c>
      <c r="E6742" s="13">
        <v>4354058.8099999996</v>
      </c>
      <c r="F6742" s="13">
        <v>4472902.01</v>
      </c>
      <c r="G6742" s="13">
        <v>4430406.9359999998</v>
      </c>
      <c r="H6742" s="13"/>
      <c r="I6742" s="13"/>
      <c r="J6742" s="13"/>
      <c r="K6742" s="13"/>
      <c r="L6742" s="13"/>
      <c r="M6742" s="13"/>
      <c r="N6742" s="13"/>
      <c r="O6742" s="13"/>
      <c r="P6742" s="13"/>
      <c r="Q6742" s="13"/>
      <c r="R6742" s="13"/>
      <c r="S6742" s="13"/>
    </row>
    <row r="6743" spans="1:19" x14ac:dyDescent="0.2">
      <c r="A6743" s="15" t="s">
        <v>578</v>
      </c>
      <c r="B6743" s="15" t="s">
        <v>570</v>
      </c>
      <c r="C6743" s="15" t="s">
        <v>589</v>
      </c>
      <c r="D6743" s="13">
        <v>1861142</v>
      </c>
      <c r="E6743" s="13">
        <v>1914321.1580000001</v>
      </c>
      <c r="F6743" s="13">
        <v>1787139.8759999999</v>
      </c>
      <c r="G6743" s="13">
        <v>1831285.1580000001</v>
      </c>
      <c r="H6743" s="13"/>
      <c r="I6743" s="13"/>
      <c r="J6743" s="13"/>
      <c r="K6743" s="13"/>
      <c r="L6743" s="13"/>
      <c r="M6743" s="13"/>
      <c r="N6743" s="13"/>
      <c r="O6743" s="13"/>
      <c r="P6743" s="13"/>
      <c r="Q6743" s="13"/>
      <c r="R6743" s="13"/>
      <c r="S6743" s="13"/>
    </row>
    <row r="6744" spans="1:19" x14ac:dyDescent="0.2">
      <c r="A6744" s="15" t="s">
        <v>578</v>
      </c>
      <c r="B6744" s="15" t="s">
        <v>590</v>
      </c>
      <c r="C6744" s="15" t="s">
        <v>589</v>
      </c>
      <c r="D6744" s="13">
        <v>5659366</v>
      </c>
      <c r="E6744" s="13">
        <v>5855571.5920000002</v>
      </c>
      <c r="F6744" s="13">
        <v>5827698.4139999989</v>
      </c>
      <c r="G6744" s="13">
        <v>5500468.4780000001</v>
      </c>
      <c r="H6744" s="13"/>
      <c r="I6744" s="13"/>
      <c r="J6744" s="13"/>
      <c r="K6744" s="13"/>
      <c r="L6744" s="13"/>
      <c r="M6744" s="13"/>
      <c r="N6744" s="13"/>
      <c r="O6744" s="13"/>
      <c r="P6744" s="13"/>
      <c r="Q6744" s="13"/>
      <c r="R6744" s="13"/>
      <c r="S6744" s="13"/>
    </row>
    <row r="6745" spans="1:19" x14ac:dyDescent="0.2">
      <c r="A6745" s="15" t="s">
        <v>578</v>
      </c>
      <c r="B6745" s="15" t="s">
        <v>591</v>
      </c>
      <c r="C6745" s="15" t="s">
        <v>589</v>
      </c>
      <c r="D6745" s="13">
        <v>3265690</v>
      </c>
      <c r="E6745" s="13">
        <v>3356259.21</v>
      </c>
      <c r="F6745" s="13">
        <v>3527630.8909999998</v>
      </c>
      <c r="G6745" s="13">
        <v>3655697.0410000002</v>
      </c>
      <c r="H6745" s="13"/>
      <c r="I6745" s="13"/>
      <c r="J6745" s="13"/>
      <c r="K6745" s="13"/>
      <c r="L6745" s="13"/>
      <c r="M6745" s="13"/>
      <c r="N6745" s="13"/>
      <c r="O6745" s="13"/>
      <c r="P6745" s="13"/>
      <c r="Q6745" s="13"/>
      <c r="R6745" s="13"/>
      <c r="S6745" s="13"/>
    </row>
    <row r="6746" spans="1:19" x14ac:dyDescent="0.2">
      <c r="A6746" s="15" t="s">
        <v>578</v>
      </c>
      <c r="B6746" s="15" t="s">
        <v>574</v>
      </c>
      <c r="C6746" s="15" t="s">
        <v>589</v>
      </c>
      <c r="D6746" s="13">
        <v>10882040</v>
      </c>
      <c r="E6746" s="13">
        <v>11225335.295</v>
      </c>
      <c r="F6746" s="13">
        <v>11248971.578</v>
      </c>
      <c r="G6746" s="13">
        <v>11092073.108999999</v>
      </c>
      <c r="H6746" s="13"/>
      <c r="I6746" s="13"/>
      <c r="J6746" s="13"/>
      <c r="K6746" s="13"/>
      <c r="L6746" s="13"/>
      <c r="M6746" s="13"/>
      <c r="N6746" s="13"/>
      <c r="O6746" s="13"/>
      <c r="P6746" s="13"/>
      <c r="Q6746" s="13"/>
      <c r="R6746" s="13"/>
      <c r="S6746" s="13"/>
    </row>
    <row r="6747" spans="1:19" x14ac:dyDescent="0.2">
      <c r="A6747" s="15" t="s">
        <v>101</v>
      </c>
      <c r="B6747" s="15" t="s">
        <v>570</v>
      </c>
      <c r="C6747" s="15" t="s">
        <v>589</v>
      </c>
      <c r="D6747" s="13">
        <v>10707</v>
      </c>
      <c r="E6747" s="13">
        <v>10877.004999999999</v>
      </c>
      <c r="F6747" s="13">
        <v>7988.2349999999997</v>
      </c>
      <c r="G6747" s="13">
        <v>9586.0959999999995</v>
      </c>
      <c r="H6747" s="13"/>
      <c r="I6747" s="13"/>
      <c r="J6747" s="13"/>
      <c r="K6747" s="13"/>
      <c r="L6747" s="13"/>
      <c r="M6747" s="13"/>
      <c r="N6747" s="13"/>
      <c r="O6747" s="13"/>
      <c r="P6747" s="13"/>
      <c r="Q6747" s="13"/>
      <c r="R6747" s="13"/>
      <c r="S6747" s="13"/>
    </row>
    <row r="6748" spans="1:19" x14ac:dyDescent="0.2">
      <c r="A6748" s="15" t="s">
        <v>101</v>
      </c>
      <c r="B6748" s="15" t="s">
        <v>590</v>
      </c>
      <c r="C6748" s="15" t="s">
        <v>589</v>
      </c>
      <c r="D6748" s="13">
        <v>89699</v>
      </c>
      <c r="E6748" s="13">
        <v>99592.960000000006</v>
      </c>
      <c r="F6748" s="13">
        <v>88728.57699999999</v>
      </c>
      <c r="G6748" s="13">
        <v>78515.040000000008</v>
      </c>
      <c r="H6748" s="13"/>
      <c r="I6748" s="13"/>
      <c r="J6748" s="13"/>
      <c r="K6748" s="13"/>
      <c r="L6748" s="13"/>
      <c r="M6748" s="13"/>
      <c r="N6748" s="13"/>
      <c r="O6748" s="13"/>
      <c r="P6748" s="13"/>
      <c r="Q6748" s="13"/>
      <c r="R6748" s="13"/>
      <c r="S6748" s="13"/>
    </row>
    <row r="6749" spans="1:19" x14ac:dyDescent="0.2">
      <c r="A6749" s="15" t="s">
        <v>101</v>
      </c>
      <c r="B6749" s="15" t="s">
        <v>591</v>
      </c>
      <c r="C6749" s="15" t="s">
        <v>589</v>
      </c>
      <c r="D6749" s="13">
        <v>42809</v>
      </c>
      <c r="E6749" s="13">
        <v>42173.52</v>
      </c>
      <c r="F6749" s="13">
        <v>48118.394999999997</v>
      </c>
      <c r="G6749" s="13">
        <v>59679.597999999998</v>
      </c>
      <c r="H6749" s="13"/>
      <c r="I6749" s="13"/>
      <c r="J6749" s="13"/>
      <c r="K6749" s="13"/>
      <c r="L6749" s="13"/>
      <c r="M6749" s="13"/>
      <c r="N6749" s="13"/>
      <c r="O6749" s="13"/>
      <c r="P6749" s="13"/>
      <c r="Q6749" s="13"/>
      <c r="R6749" s="13"/>
      <c r="S6749" s="13"/>
    </row>
    <row r="6750" spans="1:19" x14ac:dyDescent="0.2">
      <c r="A6750" s="15" t="s">
        <v>101</v>
      </c>
      <c r="B6750" s="15" t="s">
        <v>574</v>
      </c>
      <c r="C6750" s="15" t="s">
        <v>589</v>
      </c>
      <c r="D6750" s="13">
        <v>143215</v>
      </c>
      <c r="E6750" s="13">
        <v>152643.48499999999</v>
      </c>
      <c r="F6750" s="13">
        <v>144835.20699999999</v>
      </c>
      <c r="G6750" s="13">
        <v>147780.734</v>
      </c>
      <c r="H6750" s="13"/>
      <c r="I6750" s="13"/>
      <c r="J6750" s="13"/>
      <c r="K6750" s="13"/>
      <c r="L6750" s="13"/>
      <c r="M6750" s="13"/>
      <c r="N6750" s="13"/>
      <c r="O6750" s="13"/>
      <c r="P6750" s="13"/>
      <c r="Q6750" s="13"/>
      <c r="R6750" s="13"/>
      <c r="S6750" s="13"/>
    </row>
    <row r="6751" spans="1:19" x14ac:dyDescent="0.2">
      <c r="A6751" s="15" t="s">
        <v>149</v>
      </c>
      <c r="B6751" s="15" t="s">
        <v>570</v>
      </c>
      <c r="C6751" s="15" t="s">
        <v>589</v>
      </c>
      <c r="D6751" s="13">
        <v>14053</v>
      </c>
      <c r="E6751" s="13">
        <v>14704.588</v>
      </c>
      <c r="F6751" s="13">
        <v>14559.013000000001</v>
      </c>
      <c r="G6751" s="13">
        <v>14503.723</v>
      </c>
      <c r="H6751" s="13"/>
      <c r="I6751" s="13"/>
      <c r="J6751" s="13"/>
      <c r="K6751" s="13"/>
      <c r="L6751" s="13"/>
      <c r="M6751" s="13"/>
      <c r="N6751" s="13"/>
      <c r="O6751" s="13"/>
      <c r="P6751" s="13"/>
      <c r="Q6751" s="13"/>
      <c r="R6751" s="13"/>
      <c r="S6751" s="13"/>
    </row>
    <row r="6752" spans="1:19" x14ac:dyDescent="0.2">
      <c r="A6752" s="15" t="s">
        <v>149</v>
      </c>
      <c r="B6752" s="15" t="s">
        <v>590</v>
      </c>
      <c r="C6752" s="15" t="s">
        <v>589</v>
      </c>
      <c r="D6752" s="13">
        <v>89253</v>
      </c>
      <c r="E6752" s="13">
        <v>131429.59099999999</v>
      </c>
      <c r="F6752" s="13">
        <v>66647.448999999993</v>
      </c>
      <c r="G6752" s="13">
        <v>61752.914999999994</v>
      </c>
      <c r="H6752" s="13"/>
      <c r="I6752" s="13"/>
      <c r="J6752" s="13"/>
      <c r="K6752" s="13"/>
      <c r="L6752" s="13"/>
      <c r="M6752" s="13"/>
      <c r="N6752" s="13"/>
      <c r="O6752" s="13"/>
      <c r="P6752" s="13"/>
      <c r="Q6752" s="13"/>
      <c r="R6752" s="13"/>
      <c r="S6752" s="13"/>
    </row>
    <row r="6753" spans="1:19" x14ac:dyDescent="0.2">
      <c r="A6753" s="15" t="s">
        <v>149</v>
      </c>
      <c r="B6753" s="15" t="s">
        <v>591</v>
      </c>
      <c r="C6753" s="15" t="s">
        <v>589</v>
      </c>
      <c r="D6753" s="13">
        <v>522922</v>
      </c>
      <c r="E6753" s="13">
        <v>507580.93800000002</v>
      </c>
      <c r="F6753" s="13">
        <v>593904.79399999999</v>
      </c>
      <c r="G6753" s="13">
        <v>629662.84199999995</v>
      </c>
      <c r="H6753" s="13"/>
      <c r="I6753" s="13"/>
      <c r="J6753" s="13"/>
      <c r="K6753" s="13"/>
      <c r="L6753" s="13"/>
      <c r="M6753" s="13"/>
      <c r="N6753" s="13"/>
      <c r="O6753" s="13"/>
      <c r="P6753" s="13"/>
      <c r="Q6753" s="13"/>
      <c r="R6753" s="13"/>
      <c r="S6753" s="13"/>
    </row>
    <row r="6754" spans="1:19" x14ac:dyDescent="0.2">
      <c r="A6754" s="15" t="s">
        <v>149</v>
      </c>
      <c r="B6754" s="15" t="s">
        <v>574</v>
      </c>
      <c r="C6754" s="15" t="s">
        <v>589</v>
      </c>
      <c r="D6754" s="13">
        <v>628765</v>
      </c>
      <c r="E6754" s="13">
        <v>656109.15</v>
      </c>
      <c r="F6754" s="13">
        <v>677371.978</v>
      </c>
      <c r="G6754" s="13">
        <v>707596.31900000002</v>
      </c>
      <c r="H6754" s="13"/>
      <c r="I6754" s="13"/>
      <c r="J6754" s="13"/>
      <c r="K6754" s="13"/>
      <c r="L6754" s="13"/>
      <c r="M6754" s="13"/>
      <c r="N6754" s="13"/>
      <c r="O6754" s="13"/>
      <c r="P6754" s="13"/>
      <c r="Q6754" s="13"/>
      <c r="R6754" s="13"/>
      <c r="S6754" s="13"/>
    </row>
    <row r="6755" spans="1:19" x14ac:dyDescent="0.2">
      <c r="A6755" s="15" t="s">
        <v>579</v>
      </c>
      <c r="B6755" s="15" t="s">
        <v>570</v>
      </c>
      <c r="C6755" s="15" t="s">
        <v>589</v>
      </c>
      <c r="D6755" s="13">
        <v>366255</v>
      </c>
      <c r="E6755" s="13">
        <v>407523</v>
      </c>
      <c r="F6755" s="13">
        <v>417775.29</v>
      </c>
      <c r="G6755" s="13">
        <v>434720</v>
      </c>
      <c r="H6755" s="13"/>
      <c r="I6755" s="13"/>
      <c r="J6755" s="13"/>
      <c r="K6755" s="13"/>
      <c r="L6755" s="13"/>
      <c r="M6755" s="13"/>
      <c r="N6755" s="13"/>
      <c r="O6755" s="13"/>
      <c r="P6755" s="13"/>
      <c r="Q6755" s="13"/>
      <c r="R6755" s="13"/>
      <c r="S6755" s="13"/>
    </row>
    <row r="6756" spans="1:19" x14ac:dyDescent="0.2">
      <c r="A6756" s="15" t="s">
        <v>579</v>
      </c>
      <c r="B6756" s="15" t="s">
        <v>590</v>
      </c>
      <c r="C6756" s="15" t="s">
        <v>589</v>
      </c>
      <c r="D6756" s="13">
        <v>5174017</v>
      </c>
      <c r="E6756" s="13">
        <v>5696862.2339999992</v>
      </c>
      <c r="F6756" s="13">
        <v>5799606.6440000003</v>
      </c>
      <c r="G6756" s="13">
        <v>6148954.2010000004</v>
      </c>
      <c r="H6756" s="13"/>
      <c r="I6756" s="13"/>
      <c r="J6756" s="13"/>
      <c r="K6756" s="13"/>
      <c r="L6756" s="13"/>
      <c r="M6756" s="13"/>
      <c r="N6756" s="13"/>
      <c r="O6756" s="13"/>
      <c r="P6756" s="13"/>
      <c r="Q6756" s="13"/>
      <c r="R6756" s="13"/>
      <c r="S6756" s="13"/>
    </row>
    <row r="6757" spans="1:19" x14ac:dyDescent="0.2">
      <c r="A6757" s="15" t="s">
        <v>579</v>
      </c>
      <c r="B6757" s="15" t="s">
        <v>591</v>
      </c>
      <c r="C6757" s="15" t="s">
        <v>589</v>
      </c>
      <c r="D6757" s="13">
        <v>2183298</v>
      </c>
      <c r="E6757" s="13">
        <v>2449017.2319999998</v>
      </c>
      <c r="F6757" s="13">
        <v>2676250.838</v>
      </c>
      <c r="G6757" s="13">
        <v>2901329.7740000002</v>
      </c>
      <c r="H6757" s="13"/>
      <c r="I6757" s="13"/>
      <c r="J6757" s="13"/>
      <c r="K6757" s="13"/>
      <c r="L6757" s="13"/>
      <c r="M6757" s="13"/>
      <c r="N6757" s="13"/>
      <c r="O6757" s="13"/>
      <c r="P6757" s="13"/>
      <c r="Q6757" s="13"/>
      <c r="R6757" s="13"/>
      <c r="S6757" s="13"/>
    </row>
    <row r="6758" spans="1:19" x14ac:dyDescent="0.2">
      <c r="A6758" s="15" t="s">
        <v>579</v>
      </c>
      <c r="B6758" s="15" t="s">
        <v>574</v>
      </c>
      <c r="C6758" s="15" t="s">
        <v>589</v>
      </c>
      <c r="D6758" s="13">
        <v>7732068</v>
      </c>
      <c r="E6758" s="13">
        <v>8560051.5209999997</v>
      </c>
      <c r="F6758" s="13">
        <v>8900766.7960000001</v>
      </c>
      <c r="G6758" s="13">
        <v>9492336.4489999991</v>
      </c>
      <c r="H6758" s="13"/>
      <c r="I6758" s="13"/>
      <c r="J6758" s="13"/>
      <c r="K6758" s="13"/>
      <c r="L6758" s="13"/>
      <c r="M6758" s="13"/>
      <c r="N6758" s="13"/>
      <c r="O6758" s="13"/>
      <c r="P6758" s="13"/>
      <c r="Q6758" s="13"/>
      <c r="R6758" s="13"/>
      <c r="S6758" s="13"/>
    </row>
    <row r="6759" spans="1:19" x14ac:dyDescent="0.2">
      <c r="A6759" s="15" t="s">
        <v>213</v>
      </c>
      <c r="B6759" s="15" t="s">
        <v>570</v>
      </c>
      <c r="C6759" s="15" t="s">
        <v>589</v>
      </c>
      <c r="D6759" s="13">
        <v>0</v>
      </c>
      <c r="E6759" s="13">
        <v>0</v>
      </c>
      <c r="F6759" s="13">
        <v>0</v>
      </c>
      <c r="G6759" s="13">
        <v>0</v>
      </c>
      <c r="H6759" s="13"/>
      <c r="I6759" s="13"/>
      <c r="J6759" s="13"/>
      <c r="K6759" s="13"/>
      <c r="L6759" s="13"/>
      <c r="M6759" s="13"/>
      <c r="N6759" s="13"/>
      <c r="O6759" s="13"/>
      <c r="P6759" s="13"/>
      <c r="Q6759" s="13"/>
      <c r="R6759" s="13"/>
      <c r="S6759" s="13"/>
    </row>
    <row r="6760" spans="1:19" x14ac:dyDescent="0.2">
      <c r="A6760" s="15" t="s">
        <v>213</v>
      </c>
      <c r="B6760" s="15" t="s">
        <v>590</v>
      </c>
      <c r="C6760" s="15" t="s">
        <v>589</v>
      </c>
      <c r="D6760" s="13">
        <v>177295</v>
      </c>
      <c r="E6760" s="13">
        <v>182131.54</v>
      </c>
      <c r="F6760" s="13">
        <v>183201.95499999999</v>
      </c>
      <c r="G6760" s="13">
        <v>187679.80499999999</v>
      </c>
      <c r="H6760" s="13"/>
      <c r="I6760" s="13"/>
      <c r="J6760" s="13"/>
      <c r="K6760" s="13"/>
      <c r="L6760" s="13"/>
      <c r="M6760" s="13"/>
      <c r="N6760" s="13"/>
      <c r="O6760" s="13"/>
      <c r="P6760" s="13"/>
      <c r="Q6760" s="13"/>
      <c r="R6760" s="13"/>
      <c r="S6760" s="13"/>
    </row>
    <row r="6761" spans="1:19" x14ac:dyDescent="0.2">
      <c r="A6761" s="15" t="s">
        <v>213</v>
      </c>
      <c r="B6761" s="15" t="s">
        <v>591</v>
      </c>
      <c r="C6761" s="15" t="s">
        <v>589</v>
      </c>
      <c r="D6761" s="13">
        <v>25006</v>
      </c>
      <c r="E6761" s="13">
        <v>25218.04</v>
      </c>
      <c r="F6761" s="13">
        <v>26196.142</v>
      </c>
      <c r="G6761" s="13">
        <v>27450.704000000002</v>
      </c>
      <c r="H6761" s="13"/>
      <c r="I6761" s="13"/>
      <c r="J6761" s="13"/>
      <c r="K6761" s="13"/>
      <c r="L6761" s="13"/>
      <c r="M6761" s="13"/>
      <c r="N6761" s="13"/>
      <c r="O6761" s="13"/>
      <c r="P6761" s="13"/>
      <c r="Q6761" s="13"/>
      <c r="R6761" s="13"/>
      <c r="S6761" s="13"/>
    </row>
    <row r="6762" spans="1:19" x14ac:dyDescent="0.2">
      <c r="A6762" s="15" t="s">
        <v>213</v>
      </c>
      <c r="B6762" s="15" t="s">
        <v>574</v>
      </c>
      <c r="C6762" s="15" t="s">
        <v>589</v>
      </c>
      <c r="D6762" s="13">
        <v>202301</v>
      </c>
      <c r="E6762" s="13">
        <v>207349.58</v>
      </c>
      <c r="F6762" s="13">
        <v>209398.09700000001</v>
      </c>
      <c r="G6762" s="13">
        <v>215130.50899999999</v>
      </c>
      <c r="H6762" s="13"/>
      <c r="I6762" s="13"/>
      <c r="J6762" s="13"/>
      <c r="K6762" s="13"/>
      <c r="L6762" s="13"/>
      <c r="M6762" s="13"/>
      <c r="N6762" s="13"/>
      <c r="O6762" s="13"/>
      <c r="P6762" s="13"/>
      <c r="Q6762" s="13"/>
      <c r="R6762" s="13"/>
      <c r="S6762" s="13"/>
    </row>
    <row r="6763" spans="1:19" x14ac:dyDescent="0.2">
      <c r="A6763" s="15" t="s">
        <v>284</v>
      </c>
      <c r="B6763" s="15" t="s">
        <v>570</v>
      </c>
      <c r="C6763" s="15" t="s">
        <v>589</v>
      </c>
      <c r="D6763" s="13">
        <v>43029</v>
      </c>
      <c r="E6763" s="13">
        <v>47112</v>
      </c>
      <c r="F6763" s="13">
        <v>45861</v>
      </c>
      <c r="G6763" s="13">
        <v>47937</v>
      </c>
      <c r="H6763" s="13"/>
      <c r="I6763" s="13"/>
      <c r="J6763" s="13"/>
      <c r="K6763" s="13"/>
      <c r="L6763" s="13"/>
      <c r="M6763" s="13"/>
      <c r="N6763" s="13"/>
      <c r="O6763" s="13"/>
      <c r="P6763" s="13"/>
      <c r="Q6763" s="13"/>
      <c r="R6763" s="13"/>
      <c r="S6763" s="13"/>
    </row>
    <row r="6764" spans="1:19" x14ac:dyDescent="0.2">
      <c r="A6764" s="15" t="s">
        <v>284</v>
      </c>
      <c r="B6764" s="15" t="s">
        <v>590</v>
      </c>
      <c r="C6764" s="15" t="s">
        <v>589</v>
      </c>
      <c r="D6764" s="13">
        <v>1167491</v>
      </c>
      <c r="E6764" s="13">
        <v>1236825.071</v>
      </c>
      <c r="F6764" s="13">
        <v>1366175.6310000001</v>
      </c>
      <c r="G6764" s="13">
        <v>1541601.7339999999</v>
      </c>
      <c r="H6764" s="13"/>
      <c r="I6764" s="13"/>
      <c r="J6764" s="13"/>
      <c r="K6764" s="13"/>
      <c r="L6764" s="13"/>
      <c r="M6764" s="13"/>
      <c r="N6764" s="13"/>
      <c r="O6764" s="13"/>
      <c r="P6764" s="13"/>
      <c r="Q6764" s="13"/>
      <c r="R6764" s="13"/>
      <c r="S6764" s="13"/>
    </row>
    <row r="6765" spans="1:19" x14ac:dyDescent="0.2">
      <c r="A6765" s="15" t="s">
        <v>284</v>
      </c>
      <c r="B6765" s="15" t="s">
        <v>591</v>
      </c>
      <c r="C6765" s="15" t="s">
        <v>589</v>
      </c>
      <c r="D6765" s="13">
        <v>325031</v>
      </c>
      <c r="E6765" s="13">
        <v>350948.17200000002</v>
      </c>
      <c r="F6765" s="13">
        <v>408082.45500000002</v>
      </c>
      <c r="G6765" s="13">
        <v>395246.92300000001</v>
      </c>
      <c r="H6765" s="13"/>
      <c r="I6765" s="13"/>
      <c r="J6765" s="13"/>
      <c r="K6765" s="13"/>
      <c r="L6765" s="13"/>
      <c r="M6765" s="13"/>
      <c r="N6765" s="13"/>
      <c r="O6765" s="13"/>
      <c r="P6765" s="13"/>
      <c r="Q6765" s="13"/>
      <c r="R6765" s="13"/>
      <c r="S6765" s="13"/>
    </row>
    <row r="6766" spans="1:19" x14ac:dyDescent="0.2">
      <c r="A6766" s="15" t="s">
        <v>284</v>
      </c>
      <c r="B6766" s="15" t="s">
        <v>574</v>
      </c>
      <c r="C6766" s="15" t="s">
        <v>589</v>
      </c>
      <c r="D6766" s="13">
        <v>1536714</v>
      </c>
      <c r="E6766" s="13">
        <v>1636446.243</v>
      </c>
      <c r="F6766" s="13">
        <v>1821867.5859999999</v>
      </c>
      <c r="G6766" s="13">
        <v>1986776.1569999999</v>
      </c>
      <c r="H6766" s="13"/>
      <c r="I6766" s="13"/>
      <c r="J6766" s="13"/>
      <c r="K6766" s="13"/>
      <c r="L6766" s="13"/>
      <c r="M6766" s="13"/>
      <c r="N6766" s="13"/>
      <c r="O6766" s="13"/>
      <c r="P6766" s="13"/>
      <c r="Q6766" s="13"/>
      <c r="R6766" s="13"/>
      <c r="S6766" s="13"/>
    </row>
    <row r="6767" spans="1:19" x14ac:dyDescent="0.2">
      <c r="A6767" s="15" t="s">
        <v>282</v>
      </c>
      <c r="B6767" s="15" t="s">
        <v>570</v>
      </c>
      <c r="C6767" s="15" t="s">
        <v>589</v>
      </c>
      <c r="D6767" s="13">
        <v>0</v>
      </c>
      <c r="E6767" s="13">
        <v>0</v>
      </c>
      <c r="F6767" s="13">
        <v>0</v>
      </c>
      <c r="G6767" s="13">
        <v>0</v>
      </c>
      <c r="H6767" s="13"/>
      <c r="I6767" s="13"/>
      <c r="J6767" s="13"/>
      <c r="K6767" s="13"/>
      <c r="L6767" s="13"/>
      <c r="M6767" s="13"/>
      <c r="N6767" s="13"/>
      <c r="O6767" s="13"/>
      <c r="P6767" s="13"/>
      <c r="Q6767" s="13"/>
      <c r="R6767" s="13"/>
      <c r="S6767" s="13"/>
    </row>
    <row r="6768" spans="1:19" x14ac:dyDescent="0.2">
      <c r="A6768" s="15" t="s">
        <v>282</v>
      </c>
      <c r="B6768" s="15" t="s">
        <v>590</v>
      </c>
      <c r="C6768" s="15" t="s">
        <v>589</v>
      </c>
      <c r="D6768" s="13">
        <v>276399</v>
      </c>
      <c r="E6768" s="13">
        <v>300400.38900000002</v>
      </c>
      <c r="F6768" s="13">
        <v>328874.538</v>
      </c>
      <c r="G6768" s="13">
        <v>364183.56900000002</v>
      </c>
      <c r="H6768" s="13"/>
      <c r="I6768" s="13"/>
      <c r="J6768" s="13"/>
      <c r="K6768" s="13"/>
      <c r="L6768" s="13"/>
      <c r="M6768" s="13"/>
      <c r="N6768" s="13"/>
      <c r="O6768" s="13"/>
      <c r="P6768" s="13"/>
      <c r="Q6768" s="13"/>
      <c r="R6768" s="13"/>
      <c r="S6768" s="13"/>
    </row>
    <row r="6769" spans="1:19" x14ac:dyDescent="0.2">
      <c r="A6769" s="15" t="s">
        <v>282</v>
      </c>
      <c r="B6769" s="15" t="s">
        <v>591</v>
      </c>
      <c r="C6769" s="15" t="s">
        <v>589</v>
      </c>
      <c r="D6769" s="13">
        <v>54990</v>
      </c>
      <c r="E6769" s="13">
        <v>58684.12</v>
      </c>
      <c r="F6769" s="13">
        <v>68472.73</v>
      </c>
      <c r="G6769" s="13">
        <v>69246.37</v>
      </c>
      <c r="H6769" s="13"/>
      <c r="I6769" s="13"/>
      <c r="J6769" s="13"/>
      <c r="K6769" s="13"/>
      <c r="L6769" s="13"/>
      <c r="M6769" s="13"/>
      <c r="N6769" s="13"/>
      <c r="O6769" s="13"/>
      <c r="P6769" s="13"/>
      <c r="Q6769" s="13"/>
      <c r="R6769" s="13"/>
      <c r="S6769" s="13"/>
    </row>
    <row r="6770" spans="1:19" x14ac:dyDescent="0.2">
      <c r="A6770" s="15" t="s">
        <v>282</v>
      </c>
      <c r="B6770" s="15" t="s">
        <v>574</v>
      </c>
      <c r="C6770" s="15" t="s">
        <v>589</v>
      </c>
      <c r="D6770" s="13">
        <v>331398</v>
      </c>
      <c r="E6770" s="13">
        <v>359090.00900000002</v>
      </c>
      <c r="F6770" s="13">
        <v>397369.26799999998</v>
      </c>
      <c r="G6770" s="13">
        <v>433460.43900000001</v>
      </c>
      <c r="H6770" s="13"/>
      <c r="I6770" s="13"/>
      <c r="J6770" s="13"/>
      <c r="K6770" s="13"/>
      <c r="L6770" s="13"/>
      <c r="M6770" s="13"/>
      <c r="N6770" s="13"/>
      <c r="O6770" s="13"/>
      <c r="P6770" s="13"/>
      <c r="Q6770" s="13"/>
      <c r="R6770" s="13"/>
      <c r="S6770" s="13"/>
    </row>
    <row r="6771" spans="1:19" x14ac:dyDescent="0.2">
      <c r="A6771" s="15" t="s">
        <v>307</v>
      </c>
      <c r="B6771" s="15" t="s">
        <v>570</v>
      </c>
      <c r="C6771" s="15" t="s">
        <v>589</v>
      </c>
      <c r="D6771" s="13">
        <v>0</v>
      </c>
      <c r="E6771" s="13">
        <v>0</v>
      </c>
      <c r="F6771" s="13">
        <v>0</v>
      </c>
      <c r="G6771" s="13">
        <v>0</v>
      </c>
      <c r="H6771" s="13"/>
      <c r="I6771" s="13"/>
      <c r="J6771" s="13"/>
      <c r="K6771" s="13"/>
      <c r="L6771" s="13"/>
      <c r="M6771" s="13"/>
      <c r="N6771" s="13"/>
      <c r="O6771" s="13"/>
      <c r="P6771" s="13"/>
      <c r="Q6771" s="13"/>
      <c r="R6771" s="13"/>
      <c r="S6771" s="13"/>
    </row>
    <row r="6772" spans="1:19" x14ac:dyDescent="0.2">
      <c r="A6772" s="15" t="s">
        <v>307</v>
      </c>
      <c r="B6772" s="15" t="s">
        <v>590</v>
      </c>
      <c r="C6772" s="15" t="s">
        <v>589</v>
      </c>
      <c r="D6772" s="13">
        <v>755</v>
      </c>
      <c r="E6772" s="13">
        <v>1262</v>
      </c>
      <c r="F6772" s="13">
        <v>1584.9</v>
      </c>
      <c r="G6772" s="13">
        <v>1305.7</v>
      </c>
      <c r="H6772" s="13"/>
      <c r="I6772" s="13"/>
      <c r="J6772" s="13"/>
      <c r="K6772" s="13"/>
      <c r="L6772" s="13"/>
      <c r="M6772" s="13"/>
      <c r="N6772" s="13"/>
      <c r="O6772" s="13"/>
      <c r="P6772" s="13"/>
      <c r="Q6772" s="13"/>
      <c r="R6772" s="13"/>
      <c r="S6772" s="13"/>
    </row>
    <row r="6773" spans="1:19" x14ac:dyDescent="0.2">
      <c r="A6773" s="15" t="s">
        <v>307</v>
      </c>
      <c r="B6773" s="15" t="s">
        <v>591</v>
      </c>
      <c r="C6773" s="15" t="s">
        <v>589</v>
      </c>
      <c r="D6773" s="13">
        <v>10931</v>
      </c>
      <c r="E6773" s="13">
        <v>11114.584999999999</v>
      </c>
      <c r="F6773" s="13">
        <v>11348.771000000001</v>
      </c>
      <c r="G6773" s="13">
        <v>11397.784</v>
      </c>
      <c r="H6773" s="13"/>
      <c r="I6773" s="13"/>
      <c r="J6773" s="13"/>
      <c r="K6773" s="13"/>
      <c r="L6773" s="13"/>
      <c r="M6773" s="13"/>
      <c r="N6773" s="13"/>
      <c r="O6773" s="13"/>
      <c r="P6773" s="13"/>
      <c r="Q6773" s="13"/>
      <c r="R6773" s="13"/>
      <c r="S6773" s="13"/>
    </row>
    <row r="6774" spans="1:19" x14ac:dyDescent="0.2">
      <c r="A6774" s="15" t="s">
        <v>307</v>
      </c>
      <c r="B6774" s="15" t="s">
        <v>574</v>
      </c>
      <c r="C6774" s="15" t="s">
        <v>589</v>
      </c>
      <c r="D6774" s="13">
        <v>11686</v>
      </c>
      <c r="E6774" s="13">
        <v>12376.584999999999</v>
      </c>
      <c r="F6774" s="13">
        <v>12933.671</v>
      </c>
      <c r="G6774" s="13">
        <v>12703.484</v>
      </c>
      <c r="H6774" s="13"/>
      <c r="I6774" s="13"/>
      <c r="J6774" s="13"/>
      <c r="K6774" s="13"/>
      <c r="L6774" s="13"/>
      <c r="M6774" s="13"/>
      <c r="N6774" s="13"/>
      <c r="O6774" s="13"/>
      <c r="P6774" s="13"/>
      <c r="Q6774" s="13"/>
      <c r="R6774" s="13"/>
      <c r="S6774" s="13"/>
    </row>
    <row r="6775" spans="1:19" x14ac:dyDescent="0.2">
      <c r="A6775" s="15" t="s">
        <v>344</v>
      </c>
      <c r="B6775" s="15" t="s">
        <v>570</v>
      </c>
      <c r="C6775" s="15" t="s">
        <v>589</v>
      </c>
      <c r="D6775" s="13">
        <v>0</v>
      </c>
      <c r="E6775" s="13">
        <v>0</v>
      </c>
      <c r="F6775" s="13">
        <v>0</v>
      </c>
      <c r="G6775" s="13">
        <v>0</v>
      </c>
      <c r="H6775" s="13"/>
      <c r="I6775" s="13"/>
      <c r="J6775" s="13"/>
      <c r="K6775" s="13"/>
      <c r="L6775" s="13"/>
      <c r="M6775" s="13"/>
      <c r="N6775" s="13"/>
      <c r="O6775" s="13"/>
      <c r="P6775" s="13"/>
      <c r="Q6775" s="13"/>
      <c r="R6775" s="13"/>
      <c r="S6775" s="13"/>
    </row>
    <row r="6776" spans="1:19" x14ac:dyDescent="0.2">
      <c r="A6776" s="15" t="s">
        <v>344</v>
      </c>
      <c r="B6776" s="15" t="s">
        <v>590</v>
      </c>
      <c r="C6776" s="15" t="s">
        <v>589</v>
      </c>
      <c r="D6776" s="13">
        <v>31353</v>
      </c>
      <c r="E6776" s="13">
        <v>33120.262999999999</v>
      </c>
      <c r="F6776" s="13">
        <v>33937.364000000001</v>
      </c>
      <c r="G6776" s="13">
        <v>33237.175000000003</v>
      </c>
      <c r="H6776" s="13"/>
      <c r="I6776" s="13"/>
      <c r="J6776" s="13"/>
      <c r="K6776" s="13"/>
      <c r="L6776" s="13"/>
      <c r="M6776" s="13"/>
      <c r="N6776" s="13"/>
      <c r="O6776" s="13"/>
      <c r="P6776" s="13"/>
      <c r="Q6776" s="13"/>
      <c r="R6776" s="13"/>
      <c r="S6776" s="13"/>
    </row>
    <row r="6777" spans="1:19" x14ac:dyDescent="0.2">
      <c r="A6777" s="15" t="s">
        <v>344</v>
      </c>
      <c r="B6777" s="15" t="s">
        <v>591</v>
      </c>
      <c r="C6777" s="15" t="s">
        <v>589</v>
      </c>
      <c r="D6777" s="13">
        <v>6979</v>
      </c>
      <c r="E6777" s="13">
        <v>7745.183</v>
      </c>
      <c r="F6777" s="13">
        <v>7153.8370000000004</v>
      </c>
      <c r="G6777" s="13">
        <v>9009.3799999999992</v>
      </c>
      <c r="H6777" s="13"/>
      <c r="I6777" s="13"/>
      <c r="J6777" s="13"/>
      <c r="K6777" s="13"/>
      <c r="L6777" s="13"/>
      <c r="M6777" s="13"/>
      <c r="N6777" s="13"/>
      <c r="O6777" s="13"/>
      <c r="P6777" s="13"/>
      <c r="Q6777" s="13"/>
      <c r="R6777" s="13"/>
      <c r="S6777" s="13"/>
    </row>
    <row r="6778" spans="1:19" x14ac:dyDescent="0.2">
      <c r="A6778" s="15" t="s">
        <v>344</v>
      </c>
      <c r="B6778" s="15" t="s">
        <v>574</v>
      </c>
      <c r="C6778" s="15" t="s">
        <v>589</v>
      </c>
      <c r="D6778" s="13">
        <v>39634</v>
      </c>
      <c r="E6778" s="13">
        <v>42167.582999999999</v>
      </c>
      <c r="F6778" s="13">
        <v>42393.338000000003</v>
      </c>
      <c r="G6778" s="13">
        <v>43548.692000000003</v>
      </c>
      <c r="H6778" s="13"/>
      <c r="I6778" s="13"/>
      <c r="J6778" s="13"/>
      <c r="K6778" s="13"/>
      <c r="L6778" s="13"/>
      <c r="M6778" s="13"/>
      <c r="N6778" s="13"/>
      <c r="O6778" s="13"/>
      <c r="P6778" s="13"/>
      <c r="Q6778" s="13"/>
      <c r="R6778" s="13"/>
      <c r="S6778" s="13"/>
    </row>
    <row r="6779" spans="1:19" x14ac:dyDescent="0.2">
      <c r="A6779" s="15" t="s">
        <v>454</v>
      </c>
      <c r="B6779" s="15" t="s">
        <v>570</v>
      </c>
      <c r="C6779" s="15" t="s">
        <v>589</v>
      </c>
      <c r="D6779" s="13">
        <v>0</v>
      </c>
      <c r="E6779" s="13">
        <v>0</v>
      </c>
      <c r="F6779" s="13">
        <v>0</v>
      </c>
      <c r="G6779" s="13">
        <v>0</v>
      </c>
      <c r="H6779" s="13"/>
      <c r="I6779" s="13"/>
      <c r="J6779" s="13"/>
      <c r="K6779" s="13"/>
      <c r="L6779" s="13"/>
      <c r="M6779" s="13"/>
      <c r="N6779" s="13"/>
      <c r="O6779" s="13"/>
      <c r="P6779" s="13"/>
      <c r="Q6779" s="13"/>
      <c r="R6779" s="13"/>
      <c r="S6779" s="13"/>
    </row>
    <row r="6780" spans="1:19" x14ac:dyDescent="0.2">
      <c r="A6780" s="15" t="s">
        <v>454</v>
      </c>
      <c r="B6780" s="15" t="s">
        <v>590</v>
      </c>
      <c r="C6780" s="15" t="s">
        <v>589</v>
      </c>
      <c r="D6780" s="13">
        <v>5046</v>
      </c>
      <c r="E6780" s="13">
        <v>5291.1060000000007</v>
      </c>
      <c r="F6780" s="13">
        <v>6422.1710000000003</v>
      </c>
      <c r="G6780" s="13">
        <v>6805.1879999999992</v>
      </c>
      <c r="H6780" s="13"/>
      <c r="I6780" s="13"/>
      <c r="J6780" s="13"/>
      <c r="K6780" s="13"/>
      <c r="L6780" s="13"/>
      <c r="M6780" s="13"/>
      <c r="N6780" s="13"/>
      <c r="O6780" s="13"/>
      <c r="P6780" s="13"/>
      <c r="Q6780" s="13"/>
      <c r="R6780" s="13"/>
      <c r="S6780" s="13"/>
    </row>
    <row r="6781" spans="1:19" x14ac:dyDescent="0.2">
      <c r="A6781" s="15" t="s">
        <v>454</v>
      </c>
      <c r="B6781" s="15" t="s">
        <v>591</v>
      </c>
      <c r="C6781" s="15" t="s">
        <v>589</v>
      </c>
      <c r="D6781" s="13">
        <v>715</v>
      </c>
      <c r="E6781" s="13">
        <v>1053.529</v>
      </c>
      <c r="F6781" s="13">
        <v>1091.3879999999999</v>
      </c>
      <c r="G6781" s="13">
        <v>1067.3109999999999</v>
      </c>
      <c r="H6781" s="13"/>
      <c r="I6781" s="13"/>
      <c r="J6781" s="13"/>
      <c r="K6781" s="13"/>
      <c r="L6781" s="13"/>
      <c r="M6781" s="13"/>
      <c r="N6781" s="13"/>
      <c r="O6781" s="13"/>
      <c r="P6781" s="13"/>
      <c r="Q6781" s="13"/>
      <c r="R6781" s="13"/>
      <c r="S6781" s="13"/>
    </row>
    <row r="6782" spans="1:19" x14ac:dyDescent="0.2">
      <c r="A6782" s="15" t="s">
        <v>454</v>
      </c>
      <c r="B6782" s="15" t="s">
        <v>574</v>
      </c>
      <c r="C6782" s="15" t="s">
        <v>589</v>
      </c>
      <c r="D6782" s="13">
        <v>5804</v>
      </c>
      <c r="E6782" s="13">
        <v>6380.5810000000001</v>
      </c>
      <c r="F6782" s="13">
        <v>7549.5050000000001</v>
      </c>
      <c r="G6782" s="13">
        <v>7908.4449999999997</v>
      </c>
      <c r="H6782" s="13"/>
      <c r="I6782" s="13"/>
      <c r="J6782" s="13"/>
      <c r="K6782" s="13"/>
      <c r="L6782" s="13"/>
      <c r="M6782" s="13"/>
      <c r="N6782" s="13"/>
      <c r="O6782" s="13"/>
      <c r="P6782" s="13"/>
      <c r="Q6782" s="13"/>
      <c r="R6782" s="13"/>
      <c r="S6782" s="13"/>
    </row>
    <row r="6783" spans="1:19" x14ac:dyDescent="0.2">
      <c r="A6783" s="15" t="s">
        <v>456</v>
      </c>
      <c r="B6783" s="15" t="s">
        <v>570</v>
      </c>
      <c r="C6783" s="15" t="s">
        <v>589</v>
      </c>
      <c r="D6783" s="13">
        <v>0</v>
      </c>
      <c r="E6783" s="13">
        <v>0</v>
      </c>
      <c r="F6783" s="13">
        <v>0</v>
      </c>
      <c r="G6783" s="13">
        <v>0</v>
      </c>
      <c r="H6783" s="13"/>
      <c r="I6783" s="13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</row>
    <row r="6784" spans="1:19" x14ac:dyDescent="0.2">
      <c r="A6784" s="15" t="s">
        <v>456</v>
      </c>
      <c r="B6784" s="15" t="s">
        <v>590</v>
      </c>
      <c r="C6784" s="15" t="s">
        <v>589</v>
      </c>
      <c r="D6784" s="13">
        <v>51594</v>
      </c>
      <c r="E6784" s="13">
        <v>54171.226000000002</v>
      </c>
      <c r="F6784" s="13">
        <v>54599.649999999987</v>
      </c>
      <c r="G6784" s="13">
        <v>54940.307000000001</v>
      </c>
      <c r="H6784" s="13"/>
      <c r="I6784" s="13"/>
      <c r="J6784" s="13"/>
      <c r="K6784" s="13"/>
      <c r="L6784" s="13"/>
      <c r="M6784" s="13"/>
      <c r="N6784" s="13"/>
      <c r="O6784" s="13"/>
      <c r="P6784" s="13"/>
      <c r="Q6784" s="13"/>
      <c r="R6784" s="13"/>
      <c r="S6784" s="13"/>
    </row>
    <row r="6785" spans="1:19" x14ac:dyDescent="0.2">
      <c r="A6785" s="15" t="s">
        <v>456</v>
      </c>
      <c r="B6785" s="15" t="s">
        <v>591</v>
      </c>
      <c r="C6785" s="15" t="s">
        <v>589</v>
      </c>
      <c r="D6785" s="13">
        <v>1275</v>
      </c>
      <c r="E6785" s="13">
        <v>1603.2719999999999</v>
      </c>
      <c r="F6785" s="13">
        <v>1991.6110000000001</v>
      </c>
      <c r="G6785" s="13">
        <v>2296.8420000000001</v>
      </c>
      <c r="H6785" s="13"/>
      <c r="I6785" s="13"/>
      <c r="J6785" s="13"/>
      <c r="K6785" s="13"/>
      <c r="L6785" s="13"/>
      <c r="M6785" s="13"/>
      <c r="N6785" s="13"/>
      <c r="O6785" s="13"/>
      <c r="P6785" s="13"/>
      <c r="Q6785" s="13"/>
      <c r="R6785" s="13"/>
      <c r="S6785" s="13"/>
    </row>
    <row r="6786" spans="1:19" x14ac:dyDescent="0.2">
      <c r="A6786" s="15" t="s">
        <v>456</v>
      </c>
      <c r="B6786" s="15" t="s">
        <v>574</v>
      </c>
      <c r="C6786" s="15" t="s">
        <v>589</v>
      </c>
      <c r="D6786" s="13">
        <v>53399</v>
      </c>
      <c r="E6786" s="13">
        <v>56363.332000000002</v>
      </c>
      <c r="F6786" s="13">
        <v>57342.504999999997</v>
      </c>
      <c r="G6786" s="13">
        <v>57833.364000000001</v>
      </c>
      <c r="H6786" s="13"/>
      <c r="I6786" s="13"/>
      <c r="J6786" s="13"/>
      <c r="K6786" s="13"/>
      <c r="L6786" s="13"/>
      <c r="M6786" s="13"/>
      <c r="N6786" s="13"/>
      <c r="O6786" s="13"/>
      <c r="P6786" s="13"/>
      <c r="Q6786" s="13"/>
      <c r="R6786" s="13"/>
      <c r="S6786" s="13"/>
    </row>
    <row r="6787" spans="1:19" x14ac:dyDescent="0.2">
      <c r="A6787" s="15" t="s">
        <v>544</v>
      </c>
      <c r="B6787" s="15" t="s">
        <v>570</v>
      </c>
      <c r="C6787" s="15" t="s">
        <v>589</v>
      </c>
      <c r="D6787" s="13">
        <v>9903</v>
      </c>
      <c r="E6787" s="13">
        <v>12738.003000000001</v>
      </c>
      <c r="F6787" s="13">
        <v>10593.663</v>
      </c>
      <c r="G6787" s="13">
        <v>8543.9609999999993</v>
      </c>
      <c r="H6787" s="13"/>
      <c r="I6787" s="13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</row>
    <row r="6788" spans="1:19" x14ac:dyDescent="0.2">
      <c r="A6788" s="15" t="s">
        <v>544</v>
      </c>
      <c r="B6788" s="15" t="s">
        <v>590</v>
      </c>
      <c r="C6788" s="15" t="s">
        <v>589</v>
      </c>
      <c r="D6788" s="13">
        <v>210700</v>
      </c>
      <c r="E6788" s="13">
        <v>209539.77</v>
      </c>
      <c r="F6788" s="13">
        <v>202526.23</v>
      </c>
      <c r="G6788" s="13">
        <v>195231.26800000001</v>
      </c>
      <c r="H6788" s="13"/>
      <c r="I6788" s="13"/>
      <c r="J6788" s="13"/>
      <c r="K6788" s="13"/>
      <c r="L6788" s="13"/>
      <c r="M6788" s="13"/>
      <c r="N6788" s="13"/>
      <c r="O6788" s="13"/>
      <c r="P6788" s="13"/>
      <c r="Q6788" s="13"/>
      <c r="R6788" s="13"/>
      <c r="S6788" s="13"/>
    </row>
    <row r="6789" spans="1:19" x14ac:dyDescent="0.2">
      <c r="A6789" s="15" t="s">
        <v>544</v>
      </c>
      <c r="B6789" s="15" t="s">
        <v>591</v>
      </c>
      <c r="C6789" s="15" t="s">
        <v>589</v>
      </c>
      <c r="D6789" s="13">
        <v>14123</v>
      </c>
      <c r="E6789" s="13">
        <v>17429.635999999999</v>
      </c>
      <c r="F6789" s="13">
        <v>19972.13</v>
      </c>
      <c r="G6789" s="13">
        <v>21025.47</v>
      </c>
      <c r="H6789" s="13"/>
      <c r="I6789" s="13"/>
      <c r="J6789" s="13"/>
      <c r="K6789" s="13"/>
      <c r="L6789" s="13"/>
      <c r="M6789" s="13"/>
      <c r="N6789" s="13"/>
      <c r="O6789" s="13"/>
      <c r="P6789" s="13"/>
      <c r="Q6789" s="13"/>
      <c r="R6789" s="13"/>
      <c r="S6789" s="13"/>
    </row>
    <row r="6790" spans="1:19" x14ac:dyDescent="0.2">
      <c r="A6790" s="15" t="s">
        <v>544</v>
      </c>
      <c r="B6790" s="15" t="s">
        <v>574</v>
      </c>
      <c r="C6790" s="15" t="s">
        <v>589</v>
      </c>
      <c r="D6790" s="13">
        <v>234726</v>
      </c>
      <c r="E6790" s="13">
        <v>239707.40900000001</v>
      </c>
      <c r="F6790" s="13">
        <v>233092.02299999999</v>
      </c>
      <c r="G6790" s="13">
        <v>224800.69899999999</v>
      </c>
      <c r="H6790" s="13"/>
      <c r="I6790" s="13"/>
      <c r="J6790" s="13"/>
      <c r="K6790" s="13"/>
      <c r="L6790" s="13"/>
      <c r="M6790" s="13"/>
      <c r="N6790" s="13"/>
      <c r="O6790" s="13"/>
      <c r="P6790" s="13"/>
      <c r="Q6790" s="13"/>
      <c r="R6790" s="13"/>
      <c r="S6790" s="13"/>
    </row>
    <row r="6791" spans="1:19" x14ac:dyDescent="0.2">
      <c r="A6791" s="15" t="s">
        <v>493</v>
      </c>
      <c r="B6791" s="15" t="s">
        <v>570</v>
      </c>
      <c r="C6791" s="15" t="s">
        <v>589</v>
      </c>
      <c r="D6791" s="13">
        <v>0</v>
      </c>
      <c r="E6791" s="13">
        <v>0</v>
      </c>
      <c r="F6791" s="13">
        <v>0</v>
      </c>
      <c r="G6791" s="13">
        <v>0</v>
      </c>
      <c r="H6791" s="13"/>
      <c r="I6791" s="13"/>
      <c r="J6791" s="13"/>
      <c r="K6791" s="13"/>
      <c r="L6791" s="13"/>
      <c r="M6791" s="13"/>
      <c r="N6791" s="13"/>
      <c r="O6791" s="13"/>
      <c r="P6791" s="13"/>
      <c r="Q6791" s="13"/>
      <c r="R6791" s="13"/>
      <c r="S6791" s="13"/>
    </row>
    <row r="6792" spans="1:19" x14ac:dyDescent="0.2">
      <c r="A6792" s="15" t="s">
        <v>493</v>
      </c>
      <c r="B6792" s="15" t="s">
        <v>590</v>
      </c>
      <c r="C6792" s="15" t="s">
        <v>589</v>
      </c>
      <c r="D6792" s="13">
        <v>147981</v>
      </c>
      <c r="E6792" s="13">
        <v>146897.51</v>
      </c>
      <c r="F6792" s="13">
        <v>149088.64000000001</v>
      </c>
      <c r="G6792" s="13">
        <v>157741.79999999999</v>
      </c>
      <c r="H6792" s="13"/>
      <c r="I6792" s="13"/>
      <c r="J6792" s="13"/>
      <c r="K6792" s="13"/>
      <c r="L6792" s="13"/>
      <c r="M6792" s="13"/>
      <c r="N6792" s="13"/>
      <c r="O6792" s="13"/>
      <c r="P6792" s="13"/>
      <c r="Q6792" s="13"/>
      <c r="R6792" s="13"/>
      <c r="S6792" s="13"/>
    </row>
    <row r="6793" spans="1:19" x14ac:dyDescent="0.2">
      <c r="A6793" s="15" t="s">
        <v>493</v>
      </c>
      <c r="B6793" s="15" t="s">
        <v>591</v>
      </c>
      <c r="C6793" s="15" t="s">
        <v>589</v>
      </c>
      <c r="D6793" s="13">
        <v>29562</v>
      </c>
      <c r="E6793" s="13">
        <v>31056.335999999999</v>
      </c>
      <c r="F6793" s="13">
        <v>34098.955999999998</v>
      </c>
      <c r="G6793" s="13">
        <v>38366.326999999997</v>
      </c>
      <c r="H6793" s="13"/>
      <c r="I6793" s="13"/>
      <c r="J6793" s="13"/>
      <c r="K6793" s="13"/>
      <c r="L6793" s="13"/>
      <c r="M6793" s="13"/>
      <c r="N6793" s="13"/>
      <c r="O6793" s="13"/>
      <c r="P6793" s="13"/>
      <c r="Q6793" s="13"/>
      <c r="R6793" s="13"/>
      <c r="S6793" s="13"/>
    </row>
    <row r="6794" spans="1:19" x14ac:dyDescent="0.2">
      <c r="A6794" s="15" t="s">
        <v>493</v>
      </c>
      <c r="B6794" s="15" t="s">
        <v>574</v>
      </c>
      <c r="C6794" s="15" t="s">
        <v>589</v>
      </c>
      <c r="D6794" s="13">
        <v>177542</v>
      </c>
      <c r="E6794" s="13">
        <v>177953.84599999999</v>
      </c>
      <c r="F6794" s="13">
        <v>183187.59599999999</v>
      </c>
      <c r="G6794" s="13">
        <v>196108.12700000001</v>
      </c>
      <c r="H6794" s="13"/>
      <c r="I6794" s="13"/>
      <c r="J6794" s="13"/>
      <c r="K6794" s="13"/>
      <c r="L6794" s="13"/>
      <c r="M6794" s="13"/>
      <c r="N6794" s="13"/>
      <c r="O6794" s="13"/>
      <c r="P6794" s="13"/>
      <c r="Q6794" s="13"/>
      <c r="R6794" s="13"/>
      <c r="S6794" s="13"/>
    </row>
    <row r="6795" spans="1:19" x14ac:dyDescent="0.2">
      <c r="A6795" s="15" t="s">
        <v>519</v>
      </c>
      <c r="B6795" s="15" t="s">
        <v>570</v>
      </c>
      <c r="C6795" s="15" t="s">
        <v>589</v>
      </c>
      <c r="D6795" s="13">
        <v>76203</v>
      </c>
      <c r="E6795" s="13">
        <v>86206.399999999994</v>
      </c>
      <c r="F6795" s="13">
        <v>62068.608</v>
      </c>
      <c r="G6795" s="13">
        <v>51989.942999999999</v>
      </c>
      <c r="H6795" s="13"/>
      <c r="I6795" s="13"/>
      <c r="J6795" s="13"/>
      <c r="K6795" s="13"/>
      <c r="L6795" s="13"/>
      <c r="M6795" s="13"/>
      <c r="N6795" s="13"/>
      <c r="O6795" s="13"/>
      <c r="P6795" s="13"/>
      <c r="Q6795" s="13"/>
      <c r="R6795" s="13"/>
      <c r="S6795" s="13"/>
    </row>
    <row r="6796" spans="1:19" x14ac:dyDescent="0.2">
      <c r="A6796" s="15" t="s">
        <v>519</v>
      </c>
      <c r="B6796" s="15" t="s">
        <v>590</v>
      </c>
      <c r="C6796" s="15" t="s">
        <v>589</v>
      </c>
      <c r="D6796" s="13">
        <v>54499</v>
      </c>
      <c r="E6796" s="13">
        <v>51076.381999999998</v>
      </c>
      <c r="F6796" s="13">
        <v>33685.165000000001</v>
      </c>
      <c r="G6796" s="13">
        <v>34444.911999999997</v>
      </c>
      <c r="H6796" s="13"/>
      <c r="I6796" s="13"/>
      <c r="J6796" s="13"/>
      <c r="K6796" s="13"/>
      <c r="L6796" s="13"/>
      <c r="M6796" s="13"/>
      <c r="N6796" s="13"/>
      <c r="O6796" s="13"/>
      <c r="P6796" s="13"/>
      <c r="Q6796" s="13"/>
      <c r="R6796" s="13"/>
      <c r="S6796" s="13"/>
    </row>
    <row r="6797" spans="1:19" x14ac:dyDescent="0.2">
      <c r="A6797" s="15" t="s">
        <v>519</v>
      </c>
      <c r="B6797" s="15" t="s">
        <v>591</v>
      </c>
      <c r="C6797" s="15" t="s">
        <v>589</v>
      </c>
      <c r="D6797" s="13">
        <v>17559</v>
      </c>
      <c r="E6797" s="13">
        <v>18954.53</v>
      </c>
      <c r="F6797" s="13">
        <v>14950.873</v>
      </c>
      <c r="G6797" s="13">
        <v>17183.598999999998</v>
      </c>
      <c r="H6797" s="13"/>
      <c r="I6797" s="13"/>
      <c r="J6797" s="13"/>
      <c r="K6797" s="13"/>
      <c r="L6797" s="13"/>
      <c r="M6797" s="13"/>
      <c r="N6797" s="13"/>
      <c r="O6797" s="13"/>
      <c r="P6797" s="13"/>
      <c r="Q6797" s="13"/>
      <c r="R6797" s="13"/>
      <c r="S6797" s="13"/>
    </row>
    <row r="6798" spans="1:19" x14ac:dyDescent="0.2">
      <c r="A6798" s="15" t="s">
        <v>519</v>
      </c>
      <c r="B6798" s="15" t="s">
        <v>574</v>
      </c>
      <c r="C6798" s="15" t="s">
        <v>589</v>
      </c>
      <c r="D6798" s="13">
        <v>148408</v>
      </c>
      <c r="E6798" s="13">
        <v>156383.91200000001</v>
      </c>
      <c r="F6798" s="13">
        <v>110764.126</v>
      </c>
      <c r="G6798" s="13">
        <v>103678.24800000001</v>
      </c>
      <c r="H6798" s="13"/>
      <c r="I6798" s="13"/>
      <c r="J6798" s="13"/>
      <c r="K6798" s="13"/>
      <c r="L6798" s="13"/>
      <c r="M6798" s="13"/>
      <c r="N6798" s="13"/>
      <c r="O6798" s="13"/>
      <c r="P6798" s="13"/>
      <c r="Q6798" s="13"/>
      <c r="R6798" s="13"/>
      <c r="S6798" s="13"/>
    </row>
    <row r="6799" spans="1:19" x14ac:dyDescent="0.2">
      <c r="A6799" s="15" t="s">
        <v>580</v>
      </c>
      <c r="B6799" s="15" t="s">
        <v>570</v>
      </c>
      <c r="C6799" s="15" t="s">
        <v>589</v>
      </c>
      <c r="D6799" s="13">
        <v>815185</v>
      </c>
      <c r="E6799" s="13">
        <v>899470.03899999999</v>
      </c>
      <c r="F6799" s="13">
        <v>895706.19400000002</v>
      </c>
      <c r="G6799" s="13">
        <v>909196.13100000005</v>
      </c>
      <c r="H6799" s="13"/>
      <c r="I6799" s="13"/>
      <c r="J6799" s="13"/>
      <c r="K6799" s="13"/>
      <c r="L6799" s="13"/>
      <c r="M6799" s="13"/>
      <c r="N6799" s="13"/>
      <c r="O6799" s="13"/>
      <c r="P6799" s="13"/>
      <c r="Q6799" s="13"/>
      <c r="R6799" s="13"/>
      <c r="S6799" s="13"/>
    </row>
    <row r="6800" spans="1:19" x14ac:dyDescent="0.2">
      <c r="A6800" s="15" t="s">
        <v>580</v>
      </c>
      <c r="B6800" s="15" t="s">
        <v>590</v>
      </c>
      <c r="C6800" s="15" t="s">
        <v>589</v>
      </c>
      <c r="D6800" s="13">
        <v>10936635</v>
      </c>
      <c r="E6800" s="13">
        <v>11772462.021</v>
      </c>
      <c r="F6800" s="13">
        <v>11977580.725</v>
      </c>
      <c r="G6800" s="13">
        <v>12612207.574999999</v>
      </c>
      <c r="H6800" s="13"/>
      <c r="I6800" s="13"/>
      <c r="J6800" s="13"/>
      <c r="K6800" s="13"/>
      <c r="L6800" s="13"/>
      <c r="M6800" s="13"/>
      <c r="N6800" s="13"/>
      <c r="O6800" s="13"/>
      <c r="P6800" s="13"/>
      <c r="Q6800" s="13"/>
      <c r="R6800" s="13"/>
      <c r="S6800" s="13"/>
    </row>
    <row r="6801" spans="1:19" x14ac:dyDescent="0.2">
      <c r="A6801" s="15" t="s">
        <v>580</v>
      </c>
      <c r="B6801" s="15" t="s">
        <v>591</v>
      </c>
      <c r="C6801" s="15" t="s">
        <v>589</v>
      </c>
      <c r="D6801" s="13">
        <v>4253061</v>
      </c>
      <c r="E6801" s="13">
        <v>4616806.4850000003</v>
      </c>
      <c r="F6801" s="13">
        <v>5044601.3229999999</v>
      </c>
      <c r="G6801" s="13">
        <v>5345694.4620000003</v>
      </c>
      <c r="H6801" s="13"/>
      <c r="I6801" s="13"/>
      <c r="J6801" s="13"/>
      <c r="K6801" s="13"/>
      <c r="L6801" s="13"/>
      <c r="M6801" s="13"/>
      <c r="N6801" s="13"/>
      <c r="O6801" s="13"/>
      <c r="P6801" s="13"/>
      <c r="Q6801" s="13"/>
      <c r="R6801" s="13"/>
      <c r="S6801" s="13"/>
    </row>
    <row r="6802" spans="1:19" x14ac:dyDescent="0.2">
      <c r="A6802" s="15" t="s">
        <v>580</v>
      </c>
      <c r="B6802" s="15" t="s">
        <v>574</v>
      </c>
      <c r="C6802" s="15" t="s">
        <v>589</v>
      </c>
      <c r="D6802" s="13">
        <v>16024946</v>
      </c>
      <c r="E6802" s="13">
        <v>17307624.420000002</v>
      </c>
      <c r="F6802" s="13">
        <v>17937215.800000001</v>
      </c>
      <c r="G6802" s="13">
        <v>18886075</v>
      </c>
      <c r="H6802" s="13"/>
      <c r="I6802" s="13"/>
      <c r="J6802" s="13"/>
      <c r="K6802" s="13"/>
      <c r="L6802" s="13"/>
      <c r="M6802" s="13"/>
      <c r="N6802" s="13"/>
      <c r="O6802" s="13"/>
      <c r="P6802" s="13"/>
      <c r="Q6802" s="13"/>
      <c r="R6802" s="13"/>
      <c r="S6802" s="13"/>
    </row>
    <row r="6803" spans="1:19" x14ac:dyDescent="0.2">
      <c r="A6803" s="15" t="s">
        <v>581</v>
      </c>
      <c r="B6803" s="15" t="s">
        <v>570</v>
      </c>
      <c r="C6803" s="15" t="s">
        <v>589</v>
      </c>
      <c r="D6803" s="13">
        <v>9903</v>
      </c>
      <c r="E6803" s="13">
        <v>12738.003000000001</v>
      </c>
      <c r="F6803" s="13">
        <v>10593.663</v>
      </c>
      <c r="G6803" s="13">
        <v>8543.9609999999993</v>
      </c>
      <c r="H6803" s="13"/>
      <c r="I6803" s="13"/>
      <c r="J6803" s="13"/>
      <c r="K6803" s="13"/>
      <c r="L6803" s="13"/>
      <c r="M6803" s="13"/>
      <c r="N6803" s="13"/>
      <c r="O6803" s="13"/>
      <c r="P6803" s="13"/>
      <c r="Q6803" s="13"/>
      <c r="R6803" s="13"/>
      <c r="S6803" s="13"/>
    </row>
    <row r="6804" spans="1:19" x14ac:dyDescent="0.2">
      <c r="A6804" s="15" t="s">
        <v>581</v>
      </c>
      <c r="B6804" s="15" t="s">
        <v>590</v>
      </c>
      <c r="C6804" s="15" t="s">
        <v>589</v>
      </c>
      <c r="D6804" s="13">
        <v>655400</v>
      </c>
      <c r="E6804" s="13">
        <v>677810.52500000002</v>
      </c>
      <c r="F6804" s="13">
        <v>680473.44299999997</v>
      </c>
      <c r="G6804" s="13">
        <v>680723.65599999996</v>
      </c>
      <c r="H6804" s="13"/>
      <c r="I6804" s="13"/>
      <c r="J6804" s="13"/>
      <c r="K6804" s="13"/>
      <c r="L6804" s="13"/>
      <c r="M6804" s="13"/>
      <c r="N6804" s="13"/>
      <c r="O6804" s="13"/>
      <c r="P6804" s="13"/>
      <c r="Q6804" s="13"/>
      <c r="R6804" s="13"/>
      <c r="S6804" s="13"/>
    </row>
    <row r="6805" spans="1:19" x14ac:dyDescent="0.2">
      <c r="A6805" s="15" t="s">
        <v>581</v>
      </c>
      <c r="B6805" s="15" t="s">
        <v>591</v>
      </c>
      <c r="C6805" s="15" t="s">
        <v>589</v>
      </c>
      <c r="D6805" s="13">
        <v>190330</v>
      </c>
      <c r="E6805" s="13">
        <v>200890.84700000001</v>
      </c>
      <c r="F6805" s="13">
        <v>210699.41099999999</v>
      </c>
      <c r="G6805" s="13">
        <v>221121.413</v>
      </c>
      <c r="H6805" s="13"/>
      <c r="I6805" s="13"/>
      <c r="J6805" s="13"/>
      <c r="K6805" s="13"/>
      <c r="L6805" s="13"/>
      <c r="M6805" s="13"/>
      <c r="N6805" s="13"/>
      <c r="O6805" s="13"/>
      <c r="P6805" s="13"/>
      <c r="Q6805" s="13"/>
      <c r="R6805" s="13"/>
      <c r="S6805" s="13"/>
    </row>
    <row r="6806" spans="1:19" x14ac:dyDescent="0.2">
      <c r="A6806" s="15" t="s">
        <v>581</v>
      </c>
      <c r="B6806" s="15" t="s">
        <v>574</v>
      </c>
      <c r="C6806" s="15" t="s">
        <v>589</v>
      </c>
      <c r="D6806" s="13">
        <v>857169</v>
      </c>
      <c r="E6806" s="13">
        <v>893000.25399999996</v>
      </c>
      <c r="F6806" s="13">
        <v>903318.79399999999</v>
      </c>
      <c r="G6806" s="13">
        <v>911909.95200000005</v>
      </c>
      <c r="H6806" s="13"/>
      <c r="I6806" s="13"/>
      <c r="J6806" s="13"/>
      <c r="K6806" s="13"/>
      <c r="L6806" s="13"/>
      <c r="M6806" s="13"/>
      <c r="N6806" s="13"/>
      <c r="O6806" s="13"/>
      <c r="P6806" s="13"/>
      <c r="Q6806" s="13"/>
      <c r="R6806" s="13"/>
      <c r="S6806" s="13"/>
    </row>
    <row r="6807" spans="1:19" x14ac:dyDescent="0.2">
      <c r="A6807" s="15" t="s">
        <v>582</v>
      </c>
      <c r="B6807" s="15" t="s">
        <v>570</v>
      </c>
      <c r="C6807" s="15" t="s">
        <v>589</v>
      </c>
      <c r="D6807" s="13">
        <v>24760</v>
      </c>
      <c r="E6807" s="13">
        <v>25581.593000000001</v>
      </c>
      <c r="F6807" s="13">
        <v>22547.248</v>
      </c>
      <c r="G6807" s="13">
        <v>24089.819</v>
      </c>
      <c r="H6807" s="13"/>
      <c r="I6807" s="13"/>
      <c r="J6807" s="13"/>
      <c r="K6807" s="13"/>
      <c r="L6807" s="13"/>
      <c r="M6807" s="13"/>
      <c r="N6807" s="13"/>
      <c r="O6807" s="13"/>
      <c r="P6807" s="13"/>
      <c r="Q6807" s="13"/>
      <c r="R6807" s="13"/>
      <c r="S6807" s="13"/>
    </row>
    <row r="6808" spans="1:19" x14ac:dyDescent="0.2">
      <c r="A6808" s="15" t="s">
        <v>582</v>
      </c>
      <c r="B6808" s="15" t="s">
        <v>590</v>
      </c>
      <c r="C6808" s="15" t="s">
        <v>589</v>
      </c>
      <c r="D6808" s="13">
        <v>292706</v>
      </c>
      <c r="E6808" s="13">
        <v>351954.31599999999</v>
      </c>
      <c r="F6808" s="13">
        <v>281013.66600000003</v>
      </c>
      <c r="G6808" s="13">
        <v>278777.76400000002</v>
      </c>
      <c r="H6808" s="13"/>
      <c r="I6808" s="13"/>
      <c r="J6808" s="13"/>
      <c r="K6808" s="13"/>
      <c r="L6808" s="13"/>
      <c r="M6808" s="13"/>
      <c r="N6808" s="13"/>
      <c r="O6808" s="13"/>
      <c r="P6808" s="13"/>
      <c r="Q6808" s="13"/>
      <c r="R6808" s="13"/>
      <c r="S6808" s="13"/>
    </row>
    <row r="6809" spans="1:19" x14ac:dyDescent="0.2">
      <c r="A6809" s="15" t="s">
        <v>582</v>
      </c>
      <c r="B6809" s="15" t="s">
        <v>591</v>
      </c>
      <c r="C6809" s="15" t="s">
        <v>589</v>
      </c>
      <c r="D6809" s="13">
        <v>792707</v>
      </c>
      <c r="E6809" s="13">
        <v>781031.78</v>
      </c>
      <c r="F6809" s="13">
        <v>872887.96600000001</v>
      </c>
      <c r="G6809" s="13">
        <v>919613.13199999998</v>
      </c>
      <c r="H6809" s="13"/>
      <c r="I6809" s="13"/>
      <c r="J6809" s="13"/>
      <c r="K6809" s="13"/>
      <c r="L6809" s="13"/>
      <c r="M6809" s="13"/>
      <c r="N6809" s="13"/>
      <c r="O6809" s="13"/>
      <c r="P6809" s="13"/>
      <c r="Q6809" s="13"/>
      <c r="R6809" s="13"/>
      <c r="S6809" s="13"/>
    </row>
    <row r="6810" spans="1:19" x14ac:dyDescent="0.2">
      <c r="A6810" s="15" t="s">
        <v>582</v>
      </c>
      <c r="B6810" s="15" t="s">
        <v>574</v>
      </c>
      <c r="C6810" s="15" t="s">
        <v>589</v>
      </c>
      <c r="D6810" s="13">
        <v>1112709</v>
      </c>
      <c r="E6810" s="13">
        <v>1160961.7220000001</v>
      </c>
      <c r="F6810" s="13">
        <v>1178709.602</v>
      </c>
      <c r="G6810" s="13">
        <v>1224157.554</v>
      </c>
      <c r="H6810" s="13"/>
      <c r="I6810" s="13"/>
      <c r="J6810" s="13"/>
      <c r="K6810" s="13"/>
      <c r="L6810" s="13"/>
      <c r="M6810" s="13"/>
      <c r="N6810" s="13"/>
      <c r="O6810" s="13"/>
      <c r="P6810" s="13"/>
      <c r="Q6810" s="13"/>
      <c r="R6810" s="13"/>
      <c r="S6810" s="13"/>
    </row>
    <row r="6811" spans="1:19" x14ac:dyDescent="0.2">
      <c r="A6811" s="15" t="s">
        <v>583</v>
      </c>
      <c r="B6811" s="15" t="s">
        <v>570</v>
      </c>
      <c r="C6811" s="15" t="s">
        <v>589</v>
      </c>
      <c r="D6811" s="13">
        <v>450070</v>
      </c>
      <c r="E6811" s="13">
        <v>501596.94799999997</v>
      </c>
      <c r="F6811" s="13">
        <v>513350.11399999988</v>
      </c>
      <c r="G6811" s="13">
        <v>526628.24100000004</v>
      </c>
      <c r="H6811" s="13"/>
      <c r="I6811" s="13"/>
      <c r="J6811" s="13"/>
      <c r="K6811" s="13"/>
      <c r="L6811" s="13"/>
      <c r="M6811" s="13"/>
      <c r="N6811" s="13"/>
      <c r="O6811" s="13"/>
      <c r="P6811" s="13"/>
      <c r="Q6811" s="13"/>
      <c r="R6811" s="13"/>
      <c r="S6811" s="13"/>
    </row>
    <row r="6812" spans="1:19" x14ac:dyDescent="0.2">
      <c r="A6812" s="15" t="s">
        <v>583</v>
      </c>
      <c r="B6812" s="15" t="s">
        <v>590</v>
      </c>
      <c r="C6812" s="15" t="s">
        <v>589</v>
      </c>
      <c r="D6812" s="13">
        <v>7713130</v>
      </c>
      <c r="E6812" s="13">
        <v>8350195.5010000002</v>
      </c>
      <c r="F6812" s="13">
        <v>8606282.7599999998</v>
      </c>
      <c r="G6812" s="13">
        <v>9189367.9079999998</v>
      </c>
      <c r="H6812" s="13"/>
      <c r="I6812" s="13"/>
      <c r="J6812" s="13"/>
      <c r="K6812" s="13"/>
      <c r="L6812" s="13"/>
      <c r="M6812" s="13"/>
      <c r="N6812" s="13"/>
      <c r="O6812" s="13"/>
      <c r="P6812" s="13"/>
      <c r="Q6812" s="13"/>
      <c r="R6812" s="13"/>
      <c r="S6812" s="13"/>
    </row>
    <row r="6813" spans="1:19" x14ac:dyDescent="0.2">
      <c r="A6813" s="15" t="s">
        <v>583</v>
      </c>
      <c r="B6813" s="15" t="s">
        <v>591</v>
      </c>
      <c r="C6813" s="15" t="s">
        <v>589</v>
      </c>
      <c r="D6813" s="13">
        <v>2867287</v>
      </c>
      <c r="E6813" s="13">
        <v>3216601.4849999999</v>
      </c>
      <c r="F6813" s="13">
        <v>3559354.08</v>
      </c>
      <c r="G6813" s="13">
        <v>3771012.523</v>
      </c>
      <c r="H6813" s="13"/>
      <c r="I6813" s="13"/>
      <c r="J6813" s="13"/>
      <c r="K6813" s="13"/>
      <c r="L6813" s="13"/>
      <c r="M6813" s="13"/>
      <c r="N6813" s="13"/>
      <c r="O6813" s="13"/>
      <c r="P6813" s="13"/>
      <c r="Q6813" s="13"/>
      <c r="R6813" s="13"/>
      <c r="S6813" s="13"/>
    </row>
    <row r="6814" spans="1:19" x14ac:dyDescent="0.2">
      <c r="A6814" s="15" t="s">
        <v>583</v>
      </c>
      <c r="B6814" s="15" t="s">
        <v>574</v>
      </c>
      <c r="C6814" s="15" t="s">
        <v>589</v>
      </c>
      <c r="D6814" s="13">
        <v>11042600</v>
      </c>
      <c r="E6814" s="13">
        <v>12079133.471000001</v>
      </c>
      <c r="F6814" s="13">
        <v>12690587.963</v>
      </c>
      <c r="G6814" s="13">
        <v>13498787.541999999</v>
      </c>
      <c r="H6814" s="13"/>
      <c r="I6814" s="13"/>
      <c r="J6814" s="13"/>
      <c r="K6814" s="13"/>
      <c r="L6814" s="13"/>
      <c r="M6814" s="13"/>
      <c r="N6814" s="13"/>
      <c r="O6814" s="13"/>
      <c r="P6814" s="13"/>
      <c r="Q6814" s="13"/>
      <c r="R6814" s="13"/>
      <c r="S6814" s="13"/>
    </row>
    <row r="6815" spans="1:19" x14ac:dyDescent="0.2">
      <c r="A6815" s="15" t="s">
        <v>584</v>
      </c>
      <c r="B6815" s="15" t="s">
        <v>570</v>
      </c>
      <c r="C6815" s="15" t="s">
        <v>589</v>
      </c>
      <c r="D6815" s="13">
        <v>323134</v>
      </c>
      <c r="E6815" s="13">
        <v>345128</v>
      </c>
      <c r="F6815" s="13">
        <v>322665.53200000001</v>
      </c>
      <c r="G6815" s="13">
        <v>310858.03600000002</v>
      </c>
      <c r="H6815" s="13"/>
      <c r="I6815" s="14"/>
      <c r="J6815" s="14"/>
      <c r="K6815" s="14"/>
      <c r="L6815" s="14"/>
      <c r="M6815" s="14"/>
      <c r="N6815" s="14"/>
      <c r="O6815" s="14"/>
      <c r="P6815" s="14"/>
      <c r="Q6815" s="14"/>
      <c r="R6815" s="14"/>
      <c r="S6815" s="14"/>
    </row>
    <row r="6816" spans="1:19" x14ac:dyDescent="0.2">
      <c r="A6816" s="15" t="s">
        <v>584</v>
      </c>
      <c r="B6816" s="15" t="s">
        <v>590</v>
      </c>
      <c r="C6816" s="15" t="s">
        <v>589</v>
      </c>
      <c r="D6816" s="13">
        <v>1066697</v>
      </c>
      <c r="E6816" s="13">
        <v>1135728.2620000001</v>
      </c>
      <c r="F6816" s="13">
        <v>1129170.2450000001</v>
      </c>
      <c r="G6816" s="13">
        <v>1126203.2</v>
      </c>
      <c r="H6816" s="13"/>
      <c r="I6816" s="14"/>
      <c r="J6816" s="14"/>
      <c r="K6816" s="14"/>
      <c r="L6816" s="14"/>
      <c r="M6816" s="14"/>
      <c r="N6816" s="14"/>
      <c r="O6816" s="14"/>
      <c r="P6816" s="14"/>
      <c r="Q6816" s="14"/>
      <c r="R6816" s="14"/>
      <c r="S6816" s="14"/>
    </row>
    <row r="6817" spans="1:19" x14ac:dyDescent="0.2">
      <c r="A6817" s="15" t="s">
        <v>584</v>
      </c>
      <c r="B6817" s="15" t="s">
        <v>591</v>
      </c>
      <c r="C6817" s="15" t="s">
        <v>589</v>
      </c>
      <c r="D6817" s="13">
        <v>361885</v>
      </c>
      <c r="E6817" s="13">
        <v>386092.15</v>
      </c>
      <c r="F6817" s="13">
        <v>359639.91100000002</v>
      </c>
      <c r="G6817" s="13">
        <v>384504.609</v>
      </c>
      <c r="H6817" s="13"/>
      <c r="I6817" s="14"/>
      <c r="J6817" s="14"/>
      <c r="K6817" s="14"/>
      <c r="L6817" s="14"/>
      <c r="M6817" s="14"/>
      <c r="N6817" s="14"/>
      <c r="O6817" s="14"/>
      <c r="P6817" s="14"/>
      <c r="Q6817" s="14"/>
      <c r="R6817" s="14"/>
      <c r="S6817" s="14"/>
    </row>
    <row r="6818" spans="1:19" x14ac:dyDescent="0.2">
      <c r="A6818" s="15" t="s">
        <v>584</v>
      </c>
      <c r="B6818" s="15" t="s">
        <v>574</v>
      </c>
      <c r="C6818" s="15" t="s">
        <v>589</v>
      </c>
      <c r="D6818" s="13">
        <v>1755595</v>
      </c>
      <c r="E6818" s="13">
        <v>1871139.838</v>
      </c>
      <c r="F6818" s="13">
        <v>1815389.2379999999</v>
      </c>
      <c r="G6818" s="13">
        <v>1825566.0460000001</v>
      </c>
      <c r="H6818" s="13"/>
      <c r="I6818" s="14"/>
      <c r="J6818" s="14"/>
      <c r="K6818" s="14"/>
      <c r="L6818" s="14"/>
      <c r="M6818" s="14"/>
      <c r="N6818" s="14"/>
      <c r="O6818" s="14"/>
      <c r="P6818" s="14"/>
      <c r="Q6818" s="14"/>
      <c r="R6818" s="14"/>
      <c r="S6818" s="14"/>
    </row>
    <row r="6819" spans="1:19" x14ac:dyDescent="0.2">
      <c r="A6819" s="15" t="s">
        <v>585</v>
      </c>
      <c r="B6819" s="15" t="s">
        <v>570</v>
      </c>
      <c r="C6819" s="15" t="s">
        <v>589</v>
      </c>
      <c r="D6819" s="13">
        <v>7318</v>
      </c>
      <c r="E6819" s="13">
        <v>14425.495000000001</v>
      </c>
      <c r="F6819" s="13">
        <v>26549.636999999999</v>
      </c>
      <c r="G6819" s="13">
        <v>39076.074000000001</v>
      </c>
      <c r="H6819" s="13"/>
      <c r="I6819" s="14"/>
      <c r="J6819" s="14"/>
      <c r="K6819" s="14"/>
      <c r="L6819" s="14"/>
      <c r="M6819" s="14"/>
      <c r="N6819" s="14"/>
      <c r="O6819" s="14"/>
      <c r="P6819" s="14"/>
      <c r="Q6819" s="14"/>
      <c r="R6819" s="14"/>
      <c r="S6819" s="14"/>
    </row>
    <row r="6820" spans="1:19" x14ac:dyDescent="0.2">
      <c r="A6820" s="15" t="s">
        <v>585</v>
      </c>
      <c r="B6820" s="15" t="s">
        <v>590</v>
      </c>
      <c r="C6820" s="15" t="s">
        <v>589</v>
      </c>
      <c r="D6820" s="13">
        <v>1208703</v>
      </c>
      <c r="E6820" s="13">
        <v>1256773.4169999999</v>
      </c>
      <c r="F6820" s="13">
        <v>1280640.611</v>
      </c>
      <c r="G6820" s="13">
        <v>1337135.047</v>
      </c>
      <c r="H6820" s="13"/>
      <c r="I6820" s="14"/>
      <c r="J6820" s="14"/>
      <c r="K6820" s="14"/>
      <c r="L6820" s="14"/>
      <c r="M6820" s="14"/>
      <c r="N6820" s="14"/>
      <c r="O6820" s="14"/>
      <c r="P6820" s="14"/>
      <c r="Q6820" s="14"/>
      <c r="R6820" s="14"/>
      <c r="S6820" s="14"/>
    </row>
    <row r="6821" spans="1:19" x14ac:dyDescent="0.2">
      <c r="A6821" s="15" t="s">
        <v>585</v>
      </c>
      <c r="B6821" s="15" t="s">
        <v>591</v>
      </c>
      <c r="C6821" s="15" t="s">
        <v>589</v>
      </c>
      <c r="D6821" s="13">
        <v>40853</v>
      </c>
      <c r="E6821" s="13">
        <v>32190.223000000002</v>
      </c>
      <c r="F6821" s="13">
        <v>42019.955000000002</v>
      </c>
      <c r="G6821" s="13">
        <v>49442.785000000003</v>
      </c>
      <c r="H6821" s="13"/>
      <c r="I6821" s="14"/>
      <c r="J6821" s="14"/>
      <c r="K6821" s="14"/>
      <c r="L6821" s="14"/>
      <c r="M6821" s="14"/>
      <c r="N6821" s="14"/>
      <c r="O6821" s="14"/>
      <c r="P6821" s="14"/>
      <c r="Q6821" s="14"/>
      <c r="R6821" s="14"/>
      <c r="S6821" s="14"/>
    </row>
    <row r="6822" spans="1:19" x14ac:dyDescent="0.2">
      <c r="A6822" s="15" t="s">
        <v>585</v>
      </c>
      <c r="B6822" s="15" t="s">
        <v>574</v>
      </c>
      <c r="C6822" s="15" t="s">
        <v>589</v>
      </c>
      <c r="D6822" s="13">
        <v>1256873</v>
      </c>
      <c r="E6822" s="13">
        <v>1303389.135</v>
      </c>
      <c r="F6822" s="13">
        <v>1349210.203</v>
      </c>
      <c r="G6822" s="13">
        <v>1425653.906</v>
      </c>
      <c r="H6822" s="13"/>
      <c r="I6822" s="14"/>
      <c r="J6822" s="14"/>
      <c r="K6822" s="14"/>
      <c r="L6822" s="14"/>
      <c r="M6822" s="14"/>
      <c r="N6822" s="14"/>
      <c r="O6822" s="14"/>
      <c r="P6822" s="14"/>
      <c r="Q6822" s="14"/>
      <c r="R6822" s="14"/>
      <c r="S6822" s="14"/>
    </row>
    <row r="6823" spans="1:19" x14ac:dyDescent="0.2">
      <c r="A6823" s="15" t="s">
        <v>586</v>
      </c>
      <c r="B6823" s="15" t="s">
        <v>570</v>
      </c>
      <c r="C6823" s="15" t="s">
        <v>589</v>
      </c>
      <c r="D6823" s="13">
        <v>1854789</v>
      </c>
      <c r="E6823" s="13">
        <v>1908615.2069999999</v>
      </c>
      <c r="F6823" s="13">
        <v>1781534.368</v>
      </c>
      <c r="G6823" s="13">
        <v>1825682.152</v>
      </c>
      <c r="H6823" s="13"/>
      <c r="I6823" s="14"/>
      <c r="J6823" s="14"/>
      <c r="K6823" s="14"/>
      <c r="L6823" s="14"/>
      <c r="M6823" s="14"/>
      <c r="N6823" s="14"/>
      <c r="O6823" s="14"/>
      <c r="P6823" s="14"/>
      <c r="Q6823" s="14"/>
      <c r="R6823" s="14"/>
      <c r="S6823" s="14"/>
    </row>
    <row r="6824" spans="1:19" x14ac:dyDescent="0.2">
      <c r="A6824" s="15" t="s">
        <v>586</v>
      </c>
      <c r="B6824" s="15" t="s">
        <v>590</v>
      </c>
      <c r="C6824" s="15" t="s">
        <v>589</v>
      </c>
      <c r="D6824" s="13">
        <v>5516376</v>
      </c>
      <c r="E6824" s="13">
        <v>5719780.6740000006</v>
      </c>
      <c r="F6824" s="13">
        <v>5693438.1030000001</v>
      </c>
      <c r="G6824" s="13">
        <v>5368619.6809999999</v>
      </c>
      <c r="H6824" s="13"/>
      <c r="I6824" s="14"/>
      <c r="J6824" s="14"/>
      <c r="K6824" s="14"/>
      <c r="L6824" s="14"/>
      <c r="M6824" s="14"/>
      <c r="N6824" s="14"/>
      <c r="O6824" s="14"/>
      <c r="P6824" s="14"/>
      <c r="Q6824" s="14"/>
      <c r="R6824" s="14"/>
      <c r="S6824" s="14"/>
    </row>
    <row r="6825" spans="1:19" x14ac:dyDescent="0.2">
      <c r="A6825" s="15" t="s">
        <v>586</v>
      </c>
      <c r="B6825" s="15" t="s">
        <v>591</v>
      </c>
      <c r="C6825" s="15" t="s">
        <v>589</v>
      </c>
      <c r="D6825" s="13">
        <v>3131674</v>
      </c>
      <c r="E6825" s="13">
        <v>3204988.4339999999</v>
      </c>
      <c r="F6825" s="13">
        <v>3368928.3489999999</v>
      </c>
      <c r="G6825" s="13">
        <v>3489397.6680000001</v>
      </c>
      <c r="H6825" s="13"/>
      <c r="I6825" s="14"/>
      <c r="J6825" s="14"/>
      <c r="K6825" s="14"/>
      <c r="L6825" s="14"/>
      <c r="M6825" s="14"/>
      <c r="N6825" s="14"/>
      <c r="O6825" s="14"/>
      <c r="P6825" s="14"/>
      <c r="Q6825" s="14"/>
      <c r="R6825" s="14"/>
      <c r="S6825" s="14"/>
    </row>
    <row r="6826" spans="1:19" x14ac:dyDescent="0.2">
      <c r="A6826" s="15" t="s">
        <v>586</v>
      </c>
      <c r="B6826" s="15" t="s">
        <v>574</v>
      </c>
      <c r="C6826" s="15" t="s">
        <v>589</v>
      </c>
      <c r="D6826" s="13">
        <v>10598454</v>
      </c>
      <c r="E6826" s="13">
        <v>10931522.148</v>
      </c>
      <c r="F6826" s="13">
        <v>10950161.085999999</v>
      </c>
      <c r="G6826" s="13">
        <v>10788051.161</v>
      </c>
      <c r="H6826" s="13"/>
      <c r="I6826" s="14"/>
      <c r="J6826" s="14"/>
      <c r="K6826" s="14"/>
      <c r="L6826" s="14"/>
      <c r="M6826" s="14"/>
      <c r="N6826" s="14"/>
      <c r="O6826" s="14"/>
      <c r="P6826" s="14"/>
      <c r="Q6826" s="14"/>
      <c r="R6826" s="14"/>
      <c r="S6826" s="14"/>
    </row>
    <row r="6827" spans="1:19" x14ac:dyDescent="0.2">
      <c r="A6827" s="15" t="s">
        <v>587</v>
      </c>
      <c r="B6827" s="15" t="s">
        <v>570</v>
      </c>
      <c r="C6827" s="15" t="s">
        <v>589</v>
      </c>
      <c r="D6827" s="13">
        <v>2374938</v>
      </c>
      <c r="E6827" s="13">
        <v>2487776.2030000002</v>
      </c>
      <c r="F6827" s="13">
        <v>2340380.1770000001</v>
      </c>
      <c r="G6827" s="13">
        <v>2392962.875</v>
      </c>
      <c r="H6827" s="13"/>
      <c r="I6827" s="14"/>
      <c r="J6827" s="14"/>
      <c r="K6827" s="14"/>
      <c r="L6827" s="14"/>
      <c r="M6827" s="14"/>
      <c r="N6827" s="14"/>
      <c r="O6827" s="14"/>
      <c r="P6827" s="14"/>
      <c r="Q6827" s="14"/>
      <c r="R6827" s="14"/>
      <c r="S6827" s="14"/>
    </row>
    <row r="6828" spans="1:19" x14ac:dyDescent="0.2">
      <c r="A6828" s="15" t="s">
        <v>587</v>
      </c>
      <c r="B6828" s="15" t="s">
        <v>590</v>
      </c>
      <c r="C6828" s="15" t="s">
        <v>589</v>
      </c>
      <c r="D6828" s="13">
        <v>13130489</v>
      </c>
      <c r="E6828" s="13">
        <v>13999742.096000001</v>
      </c>
      <c r="F6828" s="13">
        <v>14139096.9</v>
      </c>
      <c r="G6828" s="13">
        <v>14363203.732999999</v>
      </c>
      <c r="H6828" s="13"/>
      <c r="I6828" s="14"/>
      <c r="J6828" s="14"/>
      <c r="K6828" s="14"/>
      <c r="L6828" s="14"/>
      <c r="M6828" s="14"/>
      <c r="N6828" s="14"/>
      <c r="O6828" s="14"/>
      <c r="P6828" s="14"/>
      <c r="Q6828" s="14"/>
      <c r="R6828" s="14"/>
      <c r="S6828" s="14"/>
    </row>
    <row r="6829" spans="1:19" x14ac:dyDescent="0.2">
      <c r="A6829" s="15" t="s">
        <v>587</v>
      </c>
      <c r="B6829" s="15" t="s">
        <v>591</v>
      </c>
      <c r="C6829" s="15" t="s">
        <v>589</v>
      </c>
      <c r="D6829" s="13">
        <v>6476185</v>
      </c>
      <c r="E6829" s="13">
        <v>6853777.8689999999</v>
      </c>
      <c r="F6829" s="13">
        <v>7415076.9390000002</v>
      </c>
      <c r="G6829" s="13">
        <v>7812112.5060000001</v>
      </c>
      <c r="H6829" s="13"/>
      <c r="I6829" s="14"/>
      <c r="J6829" s="14"/>
      <c r="K6829" s="14"/>
      <c r="L6829" s="14"/>
      <c r="M6829" s="14"/>
      <c r="N6829" s="14"/>
      <c r="O6829" s="14"/>
      <c r="P6829" s="14"/>
      <c r="Q6829" s="14"/>
      <c r="R6829" s="14"/>
      <c r="S6829" s="14"/>
    </row>
    <row r="6830" spans="1:19" x14ac:dyDescent="0.2">
      <c r="A6830" s="15" t="s">
        <v>587</v>
      </c>
      <c r="B6830" s="15" t="s">
        <v>574</v>
      </c>
      <c r="C6830" s="15" t="s">
        <v>589</v>
      </c>
      <c r="D6830" s="13">
        <v>22091673</v>
      </c>
      <c r="E6830" s="13">
        <v>23453151.967</v>
      </c>
      <c r="F6830" s="13">
        <v>24014358.425000001</v>
      </c>
      <c r="G6830" s="13">
        <v>24685913.807</v>
      </c>
      <c r="H6830" s="13"/>
      <c r="I6830" s="14"/>
      <c r="J6830" s="14"/>
      <c r="K6830" s="14"/>
      <c r="L6830" s="14"/>
      <c r="M6830" s="14"/>
      <c r="N6830" s="14"/>
      <c r="O6830" s="14"/>
      <c r="P6830" s="14"/>
      <c r="Q6830" s="14"/>
      <c r="R6830" s="14"/>
      <c r="S6830" s="14"/>
    </row>
    <row r="6831" spans="1:19" x14ac:dyDescent="0.2">
      <c r="A6831" s="15" t="s">
        <v>588</v>
      </c>
      <c r="B6831" s="15" t="s">
        <v>570</v>
      </c>
      <c r="C6831" s="15" t="s">
        <v>589</v>
      </c>
      <c r="D6831" s="13">
        <v>2676326</v>
      </c>
      <c r="E6831" s="13">
        <v>2813791.1970000002</v>
      </c>
      <c r="F6831" s="13">
        <v>2682846.0699999998</v>
      </c>
      <c r="G6831" s="13">
        <v>2740481.2889999999</v>
      </c>
      <c r="H6831" s="13"/>
      <c r="I6831" s="14"/>
      <c r="J6831" s="14"/>
      <c r="K6831" s="14"/>
      <c r="L6831" s="14"/>
      <c r="M6831" s="14"/>
      <c r="N6831" s="14"/>
      <c r="O6831" s="14"/>
      <c r="P6831" s="14"/>
      <c r="Q6831" s="14"/>
      <c r="R6831" s="14"/>
      <c r="S6831" s="14"/>
    </row>
    <row r="6832" spans="1:19" x14ac:dyDescent="0.2">
      <c r="A6832" s="15" t="s">
        <v>588</v>
      </c>
      <c r="B6832" s="15" t="s">
        <v>590</v>
      </c>
      <c r="C6832" s="15" t="s">
        <v>589</v>
      </c>
      <c r="D6832" s="13">
        <v>16596001</v>
      </c>
      <c r="E6832" s="13">
        <v>17628033.613000002</v>
      </c>
      <c r="F6832" s="13">
        <v>17805279.138999999</v>
      </c>
      <c r="G6832" s="13">
        <v>18112676.052999999</v>
      </c>
      <c r="H6832" s="13"/>
      <c r="I6832" s="14"/>
      <c r="J6832" s="14"/>
      <c r="K6832" s="14"/>
      <c r="L6832" s="14"/>
      <c r="M6832" s="14"/>
      <c r="N6832" s="14"/>
      <c r="O6832" s="14"/>
      <c r="P6832" s="14"/>
      <c r="Q6832" s="14"/>
      <c r="R6832" s="14"/>
      <c r="S6832" s="14"/>
    </row>
    <row r="6833" spans="1:19" x14ac:dyDescent="0.2">
      <c r="A6833" s="15" t="s">
        <v>588</v>
      </c>
      <c r="B6833" s="15" t="s">
        <v>591</v>
      </c>
      <c r="C6833" s="15" t="s">
        <v>589</v>
      </c>
      <c r="D6833" s="13">
        <v>7518751</v>
      </c>
      <c r="E6833" s="13">
        <v>7973065.6950000003</v>
      </c>
      <c r="F6833" s="13">
        <v>8572232.2139999997</v>
      </c>
      <c r="G6833" s="13">
        <v>9001391.5030000005</v>
      </c>
      <c r="H6833" s="13"/>
      <c r="I6833" s="14"/>
      <c r="J6833" s="14"/>
      <c r="K6833" s="14"/>
      <c r="L6833" s="14"/>
      <c r="M6833" s="14"/>
      <c r="N6833" s="14"/>
      <c r="O6833" s="14"/>
      <c r="P6833" s="14"/>
      <c r="Q6833" s="14"/>
      <c r="R6833" s="14"/>
      <c r="S6833" s="14"/>
    </row>
    <row r="6834" spans="1:19" x14ac:dyDescent="0.2">
      <c r="A6834" s="15" t="s">
        <v>588</v>
      </c>
      <c r="B6834" s="15" t="s">
        <v>574</v>
      </c>
      <c r="C6834" s="15" t="s">
        <v>589</v>
      </c>
      <c r="D6834" s="13">
        <v>26906986</v>
      </c>
      <c r="E6834" s="13">
        <v>28532959.715</v>
      </c>
      <c r="F6834" s="13">
        <v>29186187.377999999</v>
      </c>
      <c r="G6834" s="13">
        <v>29978148.109000001</v>
      </c>
      <c r="H6834" s="13"/>
      <c r="I6834" s="14"/>
      <c r="J6834" s="14"/>
      <c r="K6834" s="14"/>
      <c r="L6834" s="14"/>
      <c r="M6834" s="14"/>
      <c r="N6834" s="14"/>
      <c r="O6834" s="14"/>
      <c r="P6834" s="14"/>
      <c r="Q6834" s="14"/>
      <c r="R6834" s="14"/>
      <c r="S6834" s="14"/>
    </row>
  </sheetData>
  <mergeCells count="1">
    <mergeCell ref="A1:S1"/>
  </mergeCells>
  <hyperlinks>
    <hyperlink ref="A1" r:id="rId1" display="https://www.iea.org/terms" xr:uid="{FC60EB72-7E98-0449-8A44-C03A59268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 PATHWAY V4</vt:lpstr>
      <vt:lpstr>IEA WEO NZE 2024 2030-2050</vt:lpstr>
      <vt:lpstr>IEA EDGAR Emissions</vt:lpstr>
      <vt:lpstr>IEA World Energy Balances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Caswell</dc:creator>
  <cp:lastModifiedBy>Parker Caswell</cp:lastModifiedBy>
  <dcterms:created xsi:type="dcterms:W3CDTF">2026-08-11T18:48:35Z</dcterms:created>
  <dcterms:modified xsi:type="dcterms:W3CDTF">2026-08-11T22:04:40Z</dcterms:modified>
</cp:coreProperties>
</file>